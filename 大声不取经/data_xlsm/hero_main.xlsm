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2.xml" ContentType="application/vnd.openxmlformats-officedocument.spreadsheetml.externalLink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/>
  <bookViews>
    <workbookView xWindow="0" yWindow="840" windowWidth="15330" windowHeight="9750"/>
  </bookViews>
  <sheets>
    <sheet name="Sheet1" sheetId="1" r:id="rId1"/>
    <sheet name="Sheet3" sheetId="3" r:id="rId2"/>
    <sheet name="Sheet2" sheetId="4" r:id="rId3"/>
    <sheet name="Sheet4" sheetId="5" r:id="rId4"/>
    <sheet name="Sheet5" sheetId="6" r:id="rId5"/>
  </sheets>
  <functionGroups/>
  <externalReferences>
    <externalReference r:id="rId6"/>
    <externalReference r:id="rId7"/>
  </externalReferences>
  <definedNames>
    <definedName name="_xlnm._FilterDatabase" localSheetId="0" hidden="1">Sheet1!$A$3:$BV$119</definedName>
    <definedName name="_xlnm._FilterDatabase" localSheetId="2" hidden="1">Sheet2!$A$1:$AW$61</definedName>
  </definedNames>
  <calcPr calcId="125725" concurrentCalc="0"/>
</workbook>
</file>

<file path=xl/calcChain.xml><?xml version="1.0" encoding="utf-8"?>
<calcChain xmlns="http://schemas.openxmlformats.org/spreadsheetml/2006/main">
  <c r="BW123" i="1"/>
  <c r="BS123"/>
  <c r="BV123"/>
  <c r="BU123"/>
  <c r="BT123"/>
  <c r="BL123"/>
  <c r="Y123"/>
  <c r="X123"/>
  <c r="W123"/>
  <c r="BW122"/>
  <c r="BS122"/>
  <c r="BV122"/>
  <c r="BU122"/>
  <c r="BT122"/>
  <c r="BL122"/>
  <c r="Y122"/>
  <c r="X122"/>
  <c r="W122"/>
  <c r="BW121"/>
  <c r="BS121"/>
  <c r="BV121"/>
  <c r="BU121"/>
  <c r="BT121"/>
  <c r="BL121"/>
  <c r="Y121"/>
  <c r="X121"/>
  <c r="W121"/>
  <c r="BW120"/>
  <c r="BS120"/>
  <c r="BV120"/>
  <c r="BU120"/>
  <c r="BT120"/>
  <c r="BL120"/>
  <c r="Y120"/>
  <c r="X120"/>
  <c r="BL5"/>
  <c r="BL6"/>
  <c r="BL7"/>
  <c r="BL8"/>
  <c r="BL9"/>
  <c r="BL10"/>
  <c r="BL11"/>
  <c r="BL12"/>
  <c r="BL13"/>
  <c r="BL14"/>
  <c r="BL15"/>
  <c r="BL16"/>
  <c r="BL17"/>
  <c r="BL18"/>
  <c r="BL19"/>
  <c r="BL20"/>
  <c r="BL21"/>
  <c r="BL22"/>
  <c r="BL23"/>
  <c r="BL24"/>
  <c r="BL25"/>
  <c r="BL26"/>
  <c r="BL27"/>
  <c r="BL28"/>
  <c r="BL29"/>
  <c r="BL30"/>
  <c r="BL31"/>
  <c r="BL32"/>
  <c r="BL33"/>
  <c r="BL34"/>
  <c r="BL35"/>
  <c r="BL36"/>
  <c r="BL37"/>
  <c r="BL38"/>
  <c r="BL39"/>
  <c r="BL40"/>
  <c r="BL41"/>
  <c r="BL42"/>
  <c r="BL43"/>
  <c r="BL44"/>
  <c r="BL45"/>
  <c r="BL46"/>
  <c r="BL47"/>
  <c r="BL48"/>
  <c r="BL49"/>
  <c r="BL50"/>
  <c r="BL51"/>
  <c r="BL52"/>
  <c r="BL53"/>
  <c r="BL54"/>
  <c r="BL55"/>
  <c r="BL56"/>
  <c r="BL57"/>
  <c r="BL58"/>
  <c r="BL59"/>
  <c r="BL60"/>
  <c r="BL61"/>
  <c r="BL62"/>
  <c r="BL63"/>
  <c r="BL64"/>
  <c r="BL65"/>
  <c r="BL66"/>
  <c r="BL67"/>
  <c r="BL68"/>
  <c r="BL69"/>
  <c r="BL70"/>
  <c r="BL71"/>
  <c r="BL72"/>
  <c r="BL73"/>
  <c r="BL74"/>
  <c r="BL75"/>
  <c r="BL76"/>
  <c r="BL77"/>
  <c r="BL78"/>
  <c r="BL79"/>
  <c r="BL80"/>
  <c r="BL81"/>
  <c r="BL82"/>
  <c r="BL83"/>
  <c r="BL84"/>
  <c r="BL85"/>
  <c r="BL86"/>
  <c r="BL87"/>
  <c r="BL88"/>
  <c r="BL89"/>
  <c r="BL90"/>
  <c r="BL91"/>
  <c r="BL92"/>
  <c r="BL93"/>
  <c r="BL94"/>
  <c r="BL95"/>
  <c r="BL96"/>
  <c r="BL97"/>
  <c r="BL98"/>
  <c r="BL99"/>
  <c r="BL100"/>
  <c r="BL101"/>
  <c r="BL102"/>
  <c r="BL103"/>
  <c r="BL104"/>
  <c r="BL105"/>
  <c r="BL106"/>
  <c r="BL107"/>
  <c r="BL108"/>
  <c r="BL4"/>
  <c r="Y5"/>
  <c r="Y6"/>
  <c r="Y7"/>
  <c r="Y8"/>
  <c r="Y9"/>
  <c r="Y10"/>
  <c r="Y11"/>
  <c r="Y12"/>
  <c r="Y13"/>
  <c r="Y14"/>
  <c r="Y15"/>
  <c r="Y16"/>
  <c r="Y17"/>
  <c r="Y18"/>
  <c r="Y19"/>
  <c r="Y20"/>
  <c r="Y21"/>
  <c r="Y22"/>
  <c r="Y23"/>
  <c r="Y24"/>
  <c r="Y25"/>
  <c r="Y26"/>
  <c r="Y27"/>
  <c r="Y28"/>
  <c r="Y29"/>
  <c r="Y30"/>
  <c r="Y31"/>
  <c r="Y32"/>
  <c r="Y33"/>
  <c r="Y34"/>
  <c r="Y35"/>
  <c r="Y36"/>
  <c r="Y37"/>
  <c r="Y38"/>
  <c r="Y39"/>
  <c r="Y40"/>
  <c r="Y41"/>
  <c r="Y42"/>
  <c r="Y43"/>
  <c r="Y44"/>
  <c r="Y45"/>
  <c r="Y46"/>
  <c r="Y47"/>
  <c r="Y48"/>
  <c r="Y49"/>
  <c r="Y50"/>
  <c r="Y51"/>
  <c r="Y52"/>
  <c r="Y53"/>
  <c r="Y54"/>
  <c r="Y55"/>
  <c r="Y56"/>
  <c r="Y57"/>
  <c r="Y58"/>
  <c r="Y59"/>
  <c r="Y60"/>
  <c r="Y61"/>
  <c r="Y62"/>
  <c r="Y63"/>
  <c r="Y64"/>
  <c r="Y65"/>
  <c r="Y66"/>
  <c r="Y67"/>
  <c r="Y68"/>
  <c r="Y69"/>
  <c r="Y70"/>
  <c r="Y71"/>
  <c r="Y72"/>
  <c r="Y73"/>
  <c r="Y74"/>
  <c r="Y75"/>
  <c r="Y76"/>
  <c r="Y77"/>
  <c r="Y78"/>
  <c r="Y79"/>
  <c r="Y80"/>
  <c r="Y81"/>
  <c r="Y82"/>
  <c r="Y83"/>
  <c r="Y84"/>
  <c r="Y85"/>
  <c r="Y86"/>
  <c r="Y87"/>
  <c r="Y88"/>
  <c r="Y89"/>
  <c r="Y90"/>
  <c r="Y91"/>
  <c r="Y92"/>
  <c r="Y93"/>
  <c r="Y94"/>
  <c r="Y95"/>
  <c r="Y96"/>
  <c r="Y97"/>
  <c r="Y98"/>
  <c r="Y99"/>
  <c r="Y100"/>
  <c r="Y101"/>
  <c r="Y102"/>
  <c r="Y103"/>
  <c r="Y104"/>
  <c r="Y105"/>
  <c r="Y106"/>
  <c r="Y107"/>
  <c r="Y108"/>
  <c r="Y4"/>
  <c r="X5"/>
  <c r="X6"/>
  <c r="X7"/>
  <c r="X8"/>
  <c r="X9"/>
  <c r="X10"/>
  <c r="X11"/>
  <c r="X12"/>
  <c r="X13"/>
  <c r="X14"/>
  <c r="X15"/>
  <c r="X16"/>
  <c r="X17"/>
  <c r="X18"/>
  <c r="X19"/>
  <c r="X20"/>
  <c r="X21"/>
  <c r="X22"/>
  <c r="X23"/>
  <c r="X24"/>
  <c r="X25"/>
  <c r="X26"/>
  <c r="X27"/>
  <c r="X28"/>
  <c r="X29"/>
  <c r="X30"/>
  <c r="X31"/>
  <c r="X32"/>
  <c r="X33"/>
  <c r="X34"/>
  <c r="X35"/>
  <c r="X36"/>
  <c r="X37"/>
  <c r="X38"/>
  <c r="X39"/>
  <c r="X40"/>
  <c r="X41"/>
  <c r="X42"/>
  <c r="X43"/>
  <c r="X44"/>
  <c r="X45"/>
  <c r="X46"/>
  <c r="X47"/>
  <c r="X48"/>
  <c r="X49"/>
  <c r="X50"/>
  <c r="X51"/>
  <c r="X52"/>
  <c r="X53"/>
  <c r="X54"/>
  <c r="X55"/>
  <c r="X56"/>
  <c r="X57"/>
  <c r="X58"/>
  <c r="X59"/>
  <c r="X60"/>
  <c r="X61"/>
  <c r="X62"/>
  <c r="X63"/>
  <c r="X64"/>
  <c r="X65"/>
  <c r="X66"/>
  <c r="X67"/>
  <c r="X68"/>
  <c r="X69"/>
  <c r="X70"/>
  <c r="X71"/>
  <c r="X72"/>
  <c r="X73"/>
  <c r="X74"/>
  <c r="X75"/>
  <c r="X76"/>
  <c r="X77"/>
  <c r="X78"/>
  <c r="X79"/>
  <c r="X80"/>
  <c r="X81"/>
  <c r="X82"/>
  <c r="X83"/>
  <c r="X84"/>
  <c r="X85"/>
  <c r="X86"/>
  <c r="X87"/>
  <c r="X88"/>
  <c r="X89"/>
  <c r="X90"/>
  <c r="X91"/>
  <c r="X92"/>
  <c r="X93"/>
  <c r="X94"/>
  <c r="X95"/>
  <c r="X96"/>
  <c r="X97"/>
  <c r="X98"/>
  <c r="X99"/>
  <c r="X100"/>
  <c r="X101"/>
  <c r="X102"/>
  <c r="X103"/>
  <c r="X104"/>
  <c r="X105"/>
  <c r="X106"/>
  <c r="X107"/>
  <c r="X108"/>
  <c r="X4"/>
  <c r="W5"/>
  <c r="W6"/>
  <c r="W7"/>
  <c r="W8"/>
  <c r="W9"/>
  <c r="W10"/>
  <c r="W11"/>
  <c r="W12"/>
  <c r="W13"/>
  <c r="W14"/>
  <c r="W15"/>
  <c r="W16"/>
  <c r="W17"/>
  <c r="W18"/>
  <c r="W19"/>
  <c r="W20"/>
  <c r="W21"/>
  <c r="W22"/>
  <c r="W23"/>
  <c r="W24"/>
  <c r="W25"/>
  <c r="W26"/>
  <c r="W27"/>
  <c r="W28"/>
  <c r="W29"/>
  <c r="W30"/>
  <c r="W31"/>
  <c r="W32"/>
  <c r="W33"/>
  <c r="W34"/>
  <c r="W35"/>
  <c r="W36"/>
  <c r="W37"/>
  <c r="W38"/>
  <c r="W39"/>
  <c r="W40"/>
  <c r="W41"/>
  <c r="W42"/>
  <c r="W43"/>
  <c r="W44"/>
  <c r="W45"/>
  <c r="W46"/>
  <c r="W47"/>
  <c r="W48"/>
  <c r="W49"/>
  <c r="W50"/>
  <c r="W51"/>
  <c r="W52"/>
  <c r="W53"/>
  <c r="W54"/>
  <c r="W55"/>
  <c r="W56"/>
  <c r="W57"/>
  <c r="W58"/>
  <c r="W59"/>
  <c r="W60"/>
  <c r="W61"/>
  <c r="W62"/>
  <c r="W63"/>
  <c r="W64"/>
  <c r="W65"/>
  <c r="W66"/>
  <c r="W67"/>
  <c r="W68"/>
  <c r="W69"/>
  <c r="W70"/>
  <c r="W71"/>
  <c r="W72"/>
  <c r="W73"/>
  <c r="W74"/>
  <c r="W75"/>
  <c r="W76"/>
  <c r="W77"/>
  <c r="W78"/>
  <c r="W79"/>
  <c r="W80"/>
  <c r="W81"/>
  <c r="W82"/>
  <c r="W83"/>
  <c r="W84"/>
  <c r="W85"/>
  <c r="W86"/>
  <c r="W87"/>
  <c r="W88"/>
  <c r="W89"/>
  <c r="W90"/>
  <c r="W91"/>
  <c r="W92"/>
  <c r="W93"/>
  <c r="W94"/>
  <c r="W95"/>
  <c r="W96"/>
  <c r="W97"/>
  <c r="W98"/>
  <c r="W99"/>
  <c r="W100"/>
  <c r="W101"/>
  <c r="W102"/>
  <c r="W103"/>
  <c r="W104"/>
  <c r="W105"/>
  <c r="W106"/>
  <c r="W107"/>
  <c r="W108"/>
  <c r="W4"/>
  <c r="BW5"/>
  <c r="BW6"/>
  <c r="BW7"/>
  <c r="BW8"/>
  <c r="BW9"/>
  <c r="BW10"/>
  <c r="BW11"/>
  <c r="BW12"/>
  <c r="BW13"/>
  <c r="BW14"/>
  <c r="BW15"/>
  <c r="BW16"/>
  <c r="BW17"/>
  <c r="BW18"/>
  <c r="BW19"/>
  <c r="BW20"/>
  <c r="BW21"/>
  <c r="BW22"/>
  <c r="BW23"/>
  <c r="BW24"/>
  <c r="BW25"/>
  <c r="BW26"/>
  <c r="BW27"/>
  <c r="BW28"/>
  <c r="BW29"/>
  <c r="BW30"/>
  <c r="BW31"/>
  <c r="BW32"/>
  <c r="BW33"/>
  <c r="BW34"/>
  <c r="BW35"/>
  <c r="BW36"/>
  <c r="BW37"/>
  <c r="BW38"/>
  <c r="BW39"/>
  <c r="BW40"/>
  <c r="BW41"/>
  <c r="BW42"/>
  <c r="BW43"/>
  <c r="BW44"/>
  <c r="BW45"/>
  <c r="BW46"/>
  <c r="BW47"/>
  <c r="BW48"/>
  <c r="BW49"/>
  <c r="BW50"/>
  <c r="BW51"/>
  <c r="BW52"/>
  <c r="BW53"/>
  <c r="BW54"/>
  <c r="BW55"/>
  <c r="BW56"/>
  <c r="BW57"/>
  <c r="BW58"/>
  <c r="BW59"/>
  <c r="BW60"/>
  <c r="BW61"/>
  <c r="BW62"/>
  <c r="BW63"/>
  <c r="BW64"/>
  <c r="BW65"/>
  <c r="BW66"/>
  <c r="BW67"/>
  <c r="BW68"/>
  <c r="BW69"/>
  <c r="BW70"/>
  <c r="BW71"/>
  <c r="BW72"/>
  <c r="BW73"/>
  <c r="BW74"/>
  <c r="BW75"/>
  <c r="BW76"/>
  <c r="BW77"/>
  <c r="BW78"/>
  <c r="BW79"/>
  <c r="BW80"/>
  <c r="BW81"/>
  <c r="BW82"/>
  <c r="BW83"/>
  <c r="BW84"/>
  <c r="BW85"/>
  <c r="BW86"/>
  <c r="BW87"/>
  <c r="BW88"/>
  <c r="BW89"/>
  <c r="BW90"/>
  <c r="BW91"/>
  <c r="BW92"/>
  <c r="BW93"/>
  <c r="BW94"/>
  <c r="BW95"/>
  <c r="BW96"/>
  <c r="BW97"/>
  <c r="BW98"/>
  <c r="BW99"/>
  <c r="BW100"/>
  <c r="BW101"/>
  <c r="BW102"/>
  <c r="BW103"/>
  <c r="BW104"/>
  <c r="BW105"/>
  <c r="BW106"/>
  <c r="BW107"/>
  <c r="BW108"/>
  <c r="BW109"/>
  <c r="BW110"/>
  <c r="BW111"/>
  <c r="BW112"/>
  <c r="BW113"/>
  <c r="BW114"/>
  <c r="BW115"/>
  <c r="BW116"/>
  <c r="BW117"/>
  <c r="BW118"/>
  <c r="BW119"/>
  <c r="BW4"/>
  <c r="H19" i="3"/>
  <c r="H20"/>
  <c r="H21"/>
  <c r="H22"/>
  <c r="H23"/>
  <c r="H18"/>
  <c r="BO49" i="1"/>
  <c r="BO46"/>
  <c r="BS46"/>
  <c r="BV46"/>
  <c r="BO45"/>
  <c r="BS45"/>
  <c r="BV45"/>
  <c r="BO8"/>
  <c r="BO9"/>
  <c r="BO10"/>
  <c r="BO11"/>
  <c r="BS11"/>
  <c r="BU11"/>
  <c r="BO12"/>
  <c r="BO13"/>
  <c r="BO14"/>
  <c r="BS14"/>
  <c r="BV14"/>
  <c r="BO15"/>
  <c r="BO16"/>
  <c r="BO17"/>
  <c r="BO18"/>
  <c r="BO19"/>
  <c r="BS19"/>
  <c r="BO20"/>
  <c r="BO21"/>
  <c r="BO22"/>
  <c r="BS22"/>
  <c r="BO23"/>
  <c r="BO24"/>
  <c r="BO25"/>
  <c r="BO26"/>
  <c r="BO27"/>
  <c r="BS27"/>
  <c r="BV27"/>
  <c r="BO28"/>
  <c r="BO29"/>
  <c r="BO30"/>
  <c r="BS30"/>
  <c r="BU30"/>
  <c r="BO31"/>
  <c r="BO32"/>
  <c r="BO33"/>
  <c r="BO34"/>
  <c r="BO35"/>
  <c r="BS35"/>
  <c r="BU35"/>
  <c r="BO36"/>
  <c r="BO37"/>
  <c r="BO38"/>
  <c r="BS38"/>
  <c r="BV38"/>
  <c r="BO39"/>
  <c r="BO40"/>
  <c r="BO41"/>
  <c r="BO42"/>
  <c r="BO43"/>
  <c r="BS43"/>
  <c r="BV43"/>
  <c r="BO44"/>
  <c r="BO7"/>
  <c r="BO6"/>
  <c r="BS6"/>
  <c r="BV6"/>
  <c r="BT5"/>
  <c r="BT6"/>
  <c r="BT7"/>
  <c r="BT8"/>
  <c r="BT9"/>
  <c r="BT10"/>
  <c r="BT11"/>
  <c r="BT12"/>
  <c r="BT13"/>
  <c r="BT14"/>
  <c r="BT15"/>
  <c r="BT16"/>
  <c r="BT17"/>
  <c r="BT18"/>
  <c r="BT19"/>
  <c r="BT20"/>
  <c r="BT21"/>
  <c r="BT22"/>
  <c r="BT23"/>
  <c r="BT24"/>
  <c r="BT25"/>
  <c r="BT26"/>
  <c r="BT27"/>
  <c r="BT28"/>
  <c r="BT29"/>
  <c r="BT30"/>
  <c r="BT31"/>
  <c r="BT32"/>
  <c r="BT33"/>
  <c r="BT34"/>
  <c r="BT35"/>
  <c r="BT36"/>
  <c r="BT37"/>
  <c r="BT38"/>
  <c r="BT39"/>
  <c r="BT40"/>
  <c r="BT41"/>
  <c r="BT42"/>
  <c r="BT43"/>
  <c r="BT44"/>
  <c r="BT45"/>
  <c r="BT46"/>
  <c r="BT47"/>
  <c r="BT48"/>
  <c r="BT49"/>
  <c r="BT50"/>
  <c r="BT51"/>
  <c r="BT52"/>
  <c r="BT53"/>
  <c r="BT54"/>
  <c r="BT55"/>
  <c r="BT56"/>
  <c r="BT57"/>
  <c r="BT58"/>
  <c r="BT59"/>
  <c r="BT60"/>
  <c r="BT61"/>
  <c r="BT65"/>
  <c r="BT66"/>
  <c r="BT67"/>
  <c r="BT68"/>
  <c r="BT69"/>
  <c r="BT62"/>
  <c r="BT70"/>
  <c r="BT71"/>
  <c r="BT72"/>
  <c r="BT73"/>
  <c r="BT74"/>
  <c r="BT75"/>
  <c r="BT76"/>
  <c r="BT63"/>
  <c r="BT77"/>
  <c r="BT78"/>
  <c r="BT79"/>
  <c r="BT80"/>
  <c r="BT81"/>
  <c r="BT82"/>
  <c r="BT83"/>
  <c r="BT84"/>
  <c r="BT85"/>
  <c r="BT86"/>
  <c r="BT87"/>
  <c r="BT88"/>
  <c r="BT89"/>
  <c r="BT90"/>
  <c r="BT91"/>
  <c r="BT92"/>
  <c r="BT93"/>
  <c r="BT94"/>
  <c r="BT95"/>
  <c r="BT96"/>
  <c r="BT97"/>
  <c r="BT98"/>
  <c r="BT99"/>
  <c r="BT100"/>
  <c r="BT101"/>
  <c r="BT102"/>
  <c r="BT103"/>
  <c r="BT64"/>
  <c r="BT104"/>
  <c r="BT105"/>
  <c r="BT106"/>
  <c r="BT107"/>
  <c r="BT108"/>
  <c r="BT109"/>
  <c r="BT110"/>
  <c r="BT111"/>
  <c r="BT112"/>
  <c r="BT113"/>
  <c r="BT114"/>
  <c r="BT115"/>
  <c r="BT116"/>
  <c r="BT117"/>
  <c r="BT119"/>
  <c r="BT4"/>
  <c r="BS5"/>
  <c r="BU5"/>
  <c r="BS7"/>
  <c r="BV7"/>
  <c r="BS8"/>
  <c r="BU8"/>
  <c r="BS9"/>
  <c r="BV9"/>
  <c r="BS10"/>
  <c r="BU10"/>
  <c r="BS12"/>
  <c r="BU12"/>
  <c r="BS13"/>
  <c r="BV13"/>
  <c r="BS15"/>
  <c r="BV15"/>
  <c r="BS16"/>
  <c r="BV16"/>
  <c r="BS17"/>
  <c r="BV17"/>
  <c r="BS18"/>
  <c r="BV18"/>
  <c r="BS20"/>
  <c r="BU20"/>
  <c r="BS21"/>
  <c r="BV21"/>
  <c r="BS23"/>
  <c r="BV23"/>
  <c r="BS24"/>
  <c r="BV24"/>
  <c r="BS25"/>
  <c r="BV25"/>
  <c r="BS26"/>
  <c r="BV26"/>
  <c r="BS28"/>
  <c r="BU28"/>
  <c r="BS29"/>
  <c r="BU29"/>
  <c r="BS31"/>
  <c r="BV31"/>
  <c r="BS32"/>
  <c r="BV32"/>
  <c r="BS33"/>
  <c r="BV33"/>
  <c r="BS34"/>
  <c r="BV34"/>
  <c r="BS36"/>
  <c r="BU36"/>
  <c r="BS37"/>
  <c r="BV37"/>
  <c r="BS39"/>
  <c r="BV39"/>
  <c r="BS40"/>
  <c r="BV40"/>
  <c r="BS41"/>
  <c r="BV41"/>
  <c r="BS42"/>
  <c r="BU42"/>
  <c r="BS44"/>
  <c r="BU44"/>
  <c r="BS47"/>
  <c r="BV47"/>
  <c r="BS48"/>
  <c r="BU48"/>
  <c r="BS49"/>
  <c r="BV49"/>
  <c r="BS50"/>
  <c r="BU50"/>
  <c r="BS51"/>
  <c r="BU51"/>
  <c r="BS52"/>
  <c r="BU52"/>
  <c r="BS53"/>
  <c r="BU53"/>
  <c r="BS54"/>
  <c r="BV54"/>
  <c r="BS55"/>
  <c r="BU55"/>
  <c r="BS56"/>
  <c r="BU56"/>
  <c r="BS57"/>
  <c r="BV57"/>
  <c r="BS58"/>
  <c r="BU58"/>
  <c r="BS59"/>
  <c r="BU59"/>
  <c r="BS60"/>
  <c r="BV60"/>
  <c r="BS61"/>
  <c r="BU61"/>
  <c r="BS65"/>
  <c r="BU65"/>
  <c r="BS66"/>
  <c r="BU66"/>
  <c r="BS67"/>
  <c r="BV67"/>
  <c r="BS68"/>
  <c r="BU68"/>
  <c r="BS69"/>
  <c r="BU69"/>
  <c r="BS62"/>
  <c r="BV62"/>
  <c r="BS70"/>
  <c r="BU70"/>
  <c r="BS71"/>
  <c r="BU71"/>
  <c r="BS72"/>
  <c r="BU72"/>
  <c r="BS73"/>
  <c r="BV73"/>
  <c r="BS74"/>
  <c r="BU74"/>
  <c r="BS75"/>
  <c r="BV75"/>
  <c r="BS76"/>
  <c r="BU76"/>
  <c r="BS63"/>
  <c r="BU63"/>
  <c r="BS77"/>
  <c r="BU77"/>
  <c r="BS78"/>
  <c r="BV78"/>
  <c r="BS79"/>
  <c r="BU79"/>
  <c r="BS80"/>
  <c r="BV80"/>
  <c r="BS81"/>
  <c r="BU81"/>
  <c r="BS82"/>
  <c r="BU82"/>
  <c r="BS83"/>
  <c r="BV83"/>
  <c r="BS84"/>
  <c r="BU84"/>
  <c r="BS85"/>
  <c r="BV85"/>
  <c r="BS86"/>
  <c r="BU86"/>
  <c r="BS87"/>
  <c r="BU87"/>
  <c r="BS88"/>
  <c r="BV88"/>
  <c r="BS89"/>
  <c r="BV89"/>
  <c r="BS90"/>
  <c r="BU90"/>
  <c r="BS91"/>
  <c r="BV91"/>
  <c r="BS92"/>
  <c r="BV92"/>
  <c r="BS93"/>
  <c r="BU93"/>
  <c r="BS94"/>
  <c r="BU94"/>
  <c r="BS95"/>
  <c r="BU95"/>
  <c r="BS96"/>
  <c r="BU96"/>
  <c r="BS97"/>
  <c r="BV97"/>
  <c r="BS98"/>
  <c r="BU98"/>
  <c r="BS99"/>
  <c r="BU99"/>
  <c r="BS100"/>
  <c r="BU100"/>
  <c r="BS101"/>
  <c r="BU101"/>
  <c r="BS102"/>
  <c r="BV102"/>
  <c r="BS103"/>
  <c r="BV103"/>
  <c r="BS64"/>
  <c r="BV64"/>
  <c r="BS104"/>
  <c r="BV104"/>
  <c r="BS105"/>
  <c r="BV105"/>
  <c r="BS106"/>
  <c r="BV106"/>
  <c r="BS107"/>
  <c r="BV107"/>
  <c r="BS108"/>
  <c r="BU108"/>
  <c r="BS109"/>
  <c r="BV109"/>
  <c r="BS110"/>
  <c r="BU110"/>
  <c r="BS111"/>
  <c r="BU111"/>
  <c r="BS112"/>
  <c r="BV112"/>
  <c r="BS113"/>
  <c r="BV113"/>
  <c r="BS114"/>
  <c r="BU114"/>
  <c r="BS115"/>
  <c r="BU115"/>
  <c r="BS116"/>
  <c r="BU116"/>
  <c r="BS117"/>
  <c r="BU117"/>
  <c r="BS119"/>
  <c r="BU119"/>
  <c r="BS4"/>
  <c r="BU4"/>
  <c r="AP48" i="4"/>
  <c r="AP49"/>
  <c r="AP50"/>
  <c r="AP51"/>
  <c r="AP52"/>
  <c r="AP53"/>
  <c r="AP54"/>
  <c r="AP55"/>
  <c r="AP56"/>
  <c r="AP57"/>
  <c r="AP58"/>
  <c r="AP59"/>
  <c r="AP60"/>
  <c r="AP61"/>
  <c r="AP47"/>
  <c r="AQ19"/>
  <c r="AR19"/>
  <c r="AQ20"/>
  <c r="AR20"/>
  <c r="AQ21"/>
  <c r="AR21"/>
  <c r="AQ22"/>
  <c r="AR22"/>
  <c r="AQ23"/>
  <c r="AR23"/>
  <c r="AQ24"/>
  <c r="AR24"/>
  <c r="AQ25"/>
  <c r="AR25"/>
  <c r="AQ26"/>
  <c r="AR26"/>
  <c r="AQ27"/>
  <c r="AR27"/>
  <c r="AQ28"/>
  <c r="AR28"/>
  <c r="AQ29"/>
  <c r="AR29"/>
  <c r="AQ30"/>
  <c r="AR30"/>
  <c r="AQ31"/>
  <c r="AR31"/>
  <c r="AQ32"/>
  <c r="AR32"/>
  <c r="AQ33"/>
  <c r="AR33"/>
  <c r="AQ34"/>
  <c r="AR34"/>
  <c r="AQ35"/>
  <c r="AR35"/>
  <c r="AQ36"/>
  <c r="AR36"/>
  <c r="AQ37"/>
  <c r="AR37"/>
  <c r="AQ38"/>
  <c r="AR38"/>
  <c r="AQ39"/>
  <c r="AR39"/>
  <c r="AQ40"/>
  <c r="AR40"/>
  <c r="AQ41"/>
  <c r="AR41"/>
  <c r="AQ42"/>
  <c r="AR42"/>
  <c r="AQ43"/>
  <c r="AR43"/>
  <c r="AQ44"/>
  <c r="AR44"/>
  <c r="AQ45"/>
  <c r="AR45"/>
  <c r="AQ46"/>
  <c r="AR46"/>
  <c r="AQ47"/>
  <c r="AR47"/>
  <c r="AQ48"/>
  <c r="AR48"/>
  <c r="AQ49"/>
  <c r="AR49"/>
  <c r="AQ50"/>
  <c r="AR50"/>
  <c r="AQ51"/>
  <c r="AR51"/>
  <c r="AQ52"/>
  <c r="AR52"/>
  <c r="AQ53"/>
  <c r="AR53"/>
  <c r="AQ54"/>
  <c r="AR54"/>
  <c r="AQ55"/>
  <c r="AR55"/>
  <c r="AQ56"/>
  <c r="AR56"/>
  <c r="AQ57"/>
  <c r="AR57"/>
  <c r="AQ58"/>
  <c r="AR58"/>
  <c r="AQ59"/>
  <c r="AR59"/>
  <c r="AQ60"/>
  <c r="AR60"/>
  <c r="AQ61"/>
  <c r="AR61"/>
  <c r="AQ7"/>
  <c r="AR7"/>
  <c r="AQ8"/>
  <c r="AR8"/>
  <c r="AQ9"/>
  <c r="AR9"/>
  <c r="AQ10"/>
  <c r="AR10"/>
  <c r="AQ11"/>
  <c r="AR11"/>
  <c r="AQ12"/>
  <c r="AR12"/>
  <c r="AQ13"/>
  <c r="AR13"/>
  <c r="AQ14"/>
  <c r="AR14"/>
  <c r="AQ15"/>
  <c r="AR15"/>
  <c r="AQ16"/>
  <c r="AR16"/>
  <c r="AQ17"/>
  <c r="AR17"/>
  <c r="AQ18"/>
  <c r="AR18"/>
  <c r="AR6"/>
  <c r="AQ6"/>
  <c r="AP7"/>
  <c r="AP8"/>
  <c r="AP9"/>
  <c r="AP10"/>
  <c r="AP11"/>
  <c r="AP12"/>
  <c r="AP13"/>
  <c r="AP14"/>
  <c r="AP15"/>
  <c r="AP16"/>
  <c r="AP17"/>
  <c r="AP18"/>
  <c r="AP19"/>
  <c r="AP20"/>
  <c r="AP21"/>
  <c r="AP22"/>
  <c r="AP23"/>
  <c r="AP24"/>
  <c r="AP25"/>
  <c r="AP26"/>
  <c r="AP27"/>
  <c r="AP28"/>
  <c r="AP29"/>
  <c r="AP30"/>
  <c r="AP31"/>
  <c r="AP32"/>
  <c r="AP33"/>
  <c r="AP34"/>
  <c r="AP35"/>
  <c r="AP36"/>
  <c r="AP37"/>
  <c r="AP38"/>
  <c r="AP39"/>
  <c r="AP40"/>
  <c r="AP41"/>
  <c r="AP42"/>
  <c r="AP43"/>
  <c r="AP44"/>
  <c r="AP45"/>
  <c r="AP46"/>
  <c r="AP6"/>
  <c r="AL3"/>
  <c r="F112"/>
  <c r="N62"/>
  <c r="N63"/>
  <c r="N64"/>
  <c r="N65"/>
  <c r="N66"/>
  <c r="N67"/>
  <c r="N68"/>
  <c r="N69"/>
  <c r="N70"/>
  <c r="N71"/>
  <c r="N72"/>
  <c r="N73"/>
  <c r="N74"/>
  <c r="N75"/>
  <c r="N76"/>
  <c r="N77"/>
  <c r="N78"/>
  <c r="N79"/>
  <c r="N80"/>
  <c r="N81"/>
  <c r="N82"/>
  <c r="N83"/>
  <c r="N84"/>
  <c r="N85"/>
  <c r="N86"/>
  <c r="N87"/>
  <c r="N88"/>
  <c r="N89"/>
  <c r="N90"/>
  <c r="N91"/>
  <c r="N92"/>
  <c r="N93"/>
  <c r="N94"/>
  <c r="N95"/>
  <c r="N96"/>
  <c r="N97"/>
  <c r="N98"/>
  <c r="N99"/>
  <c r="N100"/>
  <c r="N101"/>
  <c r="N102"/>
  <c r="N103"/>
  <c r="N104"/>
  <c r="N105"/>
  <c r="N106"/>
  <c r="N107"/>
  <c r="N108"/>
  <c r="N109"/>
  <c r="N110"/>
  <c r="N111"/>
  <c r="N112"/>
  <c r="N113"/>
  <c r="N114"/>
  <c r="A6"/>
  <c r="B6"/>
  <c r="C6"/>
  <c r="D6"/>
  <c r="E6"/>
  <c r="F6"/>
  <c r="H6"/>
  <c r="AK6"/>
  <c r="G6"/>
  <c r="A7"/>
  <c r="B7"/>
  <c r="C7"/>
  <c r="D7"/>
  <c r="E7"/>
  <c r="F7"/>
  <c r="G7"/>
  <c r="H7"/>
  <c r="A8"/>
  <c r="B8"/>
  <c r="C8"/>
  <c r="D8"/>
  <c r="E8"/>
  <c r="F8"/>
  <c r="G8"/>
  <c r="H8"/>
  <c r="S8"/>
  <c r="AE8"/>
  <c r="A9"/>
  <c r="B9"/>
  <c r="C9"/>
  <c r="D9"/>
  <c r="E9"/>
  <c r="F9"/>
  <c r="G9"/>
  <c r="H9"/>
  <c r="A10"/>
  <c r="B10"/>
  <c r="C10"/>
  <c r="D10"/>
  <c r="E10"/>
  <c r="F10"/>
  <c r="G10"/>
  <c r="H10"/>
  <c r="R10"/>
  <c r="A11"/>
  <c r="B11"/>
  <c r="C11"/>
  <c r="D11"/>
  <c r="E11"/>
  <c r="F11"/>
  <c r="H11"/>
  <c r="G11"/>
  <c r="A12"/>
  <c r="B12"/>
  <c r="C12"/>
  <c r="D12"/>
  <c r="E12"/>
  <c r="F12"/>
  <c r="H12"/>
  <c r="AK12"/>
  <c r="G12"/>
  <c r="R12"/>
  <c r="AD12"/>
  <c r="Q12"/>
  <c r="AC12"/>
  <c r="A13"/>
  <c r="B13"/>
  <c r="C13"/>
  <c r="D13"/>
  <c r="E13"/>
  <c r="F13"/>
  <c r="H13"/>
  <c r="AK13"/>
  <c r="G13"/>
  <c r="Q13"/>
  <c r="AC13"/>
  <c r="A14"/>
  <c r="B14"/>
  <c r="C14"/>
  <c r="D14"/>
  <c r="E14"/>
  <c r="F14"/>
  <c r="G14"/>
  <c r="H14"/>
  <c r="P14"/>
  <c r="AB14"/>
  <c r="A15"/>
  <c r="B15"/>
  <c r="C15"/>
  <c r="D15"/>
  <c r="E15"/>
  <c r="F15"/>
  <c r="G15"/>
  <c r="H15"/>
  <c r="Q15"/>
  <c r="AC15"/>
  <c r="A16"/>
  <c r="B16"/>
  <c r="C16"/>
  <c r="D16"/>
  <c r="E16"/>
  <c r="F16"/>
  <c r="G16"/>
  <c r="H16"/>
  <c r="A17"/>
  <c r="B17"/>
  <c r="C17"/>
  <c r="D17"/>
  <c r="E17"/>
  <c r="F17"/>
  <c r="H17"/>
  <c r="AK17"/>
  <c r="G17"/>
  <c r="P17"/>
  <c r="AB17"/>
  <c r="A18"/>
  <c r="B18"/>
  <c r="C18"/>
  <c r="D18"/>
  <c r="E18"/>
  <c r="F18"/>
  <c r="G18"/>
  <c r="H18"/>
  <c r="O18"/>
  <c r="A19"/>
  <c r="B19"/>
  <c r="C19"/>
  <c r="D19"/>
  <c r="E19"/>
  <c r="F19"/>
  <c r="G19"/>
  <c r="H19"/>
  <c r="A20"/>
  <c r="B20"/>
  <c r="C20"/>
  <c r="D20"/>
  <c r="E20"/>
  <c r="F20"/>
  <c r="G20"/>
  <c r="H20"/>
  <c r="Q20"/>
  <c r="A21"/>
  <c r="B21"/>
  <c r="C21"/>
  <c r="D21"/>
  <c r="E21"/>
  <c r="F21"/>
  <c r="G21"/>
  <c r="H21"/>
  <c r="Q21"/>
  <c r="AC21"/>
  <c r="P21"/>
  <c r="AB21"/>
  <c r="A22"/>
  <c r="B22"/>
  <c r="C22"/>
  <c r="D22"/>
  <c r="E22"/>
  <c r="F22"/>
  <c r="H22"/>
  <c r="AK22"/>
  <c r="G22"/>
  <c r="P22"/>
  <c r="AB22"/>
  <c r="A23"/>
  <c r="B23"/>
  <c r="C23"/>
  <c r="D23"/>
  <c r="E23"/>
  <c r="F23"/>
  <c r="G23"/>
  <c r="H23"/>
  <c r="R23"/>
  <c r="AD23"/>
  <c r="A24"/>
  <c r="B24"/>
  <c r="C24"/>
  <c r="D24"/>
  <c r="E24"/>
  <c r="F24"/>
  <c r="H24"/>
  <c r="AK24"/>
  <c r="G24"/>
  <c r="O24"/>
  <c r="AA24"/>
  <c r="A25"/>
  <c r="B25"/>
  <c r="C25"/>
  <c r="D25"/>
  <c r="E25"/>
  <c r="F25"/>
  <c r="G25"/>
  <c r="H25"/>
  <c r="A26"/>
  <c r="B26"/>
  <c r="C26"/>
  <c r="D26"/>
  <c r="E26"/>
  <c r="F26"/>
  <c r="G26"/>
  <c r="H26"/>
  <c r="A27"/>
  <c r="B27"/>
  <c r="C27"/>
  <c r="D27"/>
  <c r="E27"/>
  <c r="F27"/>
  <c r="G27"/>
  <c r="H27"/>
  <c r="A28"/>
  <c r="B28"/>
  <c r="C28"/>
  <c r="D28"/>
  <c r="E28"/>
  <c r="F28"/>
  <c r="G28"/>
  <c r="H28"/>
  <c r="Q28"/>
  <c r="P28"/>
  <c r="AB28"/>
  <c r="A29"/>
  <c r="B29"/>
  <c r="C29"/>
  <c r="D29"/>
  <c r="E29"/>
  <c r="F29"/>
  <c r="H29"/>
  <c r="G29"/>
  <c r="A30"/>
  <c r="B30"/>
  <c r="C30"/>
  <c r="D30"/>
  <c r="E30"/>
  <c r="F30"/>
  <c r="H30"/>
  <c r="AK30"/>
  <c r="G30"/>
  <c r="P30"/>
  <c r="AB30"/>
  <c r="A31"/>
  <c r="B31"/>
  <c r="C31"/>
  <c r="D31"/>
  <c r="E31"/>
  <c r="F31"/>
  <c r="H31"/>
  <c r="P31"/>
  <c r="AB31"/>
  <c r="G31"/>
  <c r="A32"/>
  <c r="B32"/>
  <c r="C32"/>
  <c r="D32"/>
  <c r="E32"/>
  <c r="F32"/>
  <c r="H32"/>
  <c r="AK32"/>
  <c r="G32"/>
  <c r="A33"/>
  <c r="B33"/>
  <c r="C33"/>
  <c r="D33"/>
  <c r="E33"/>
  <c r="F33"/>
  <c r="G33"/>
  <c r="H33"/>
  <c r="A34"/>
  <c r="B34"/>
  <c r="C34"/>
  <c r="D34"/>
  <c r="E34"/>
  <c r="F34"/>
  <c r="G34"/>
  <c r="H34"/>
  <c r="A35"/>
  <c r="B35"/>
  <c r="C35"/>
  <c r="D35"/>
  <c r="E35"/>
  <c r="F35"/>
  <c r="G35"/>
  <c r="H35"/>
  <c r="A36"/>
  <c r="B36"/>
  <c r="C36"/>
  <c r="D36"/>
  <c r="E36"/>
  <c r="F36"/>
  <c r="H36"/>
  <c r="O36"/>
  <c r="AA36"/>
  <c r="G36"/>
  <c r="A37"/>
  <c r="B37"/>
  <c r="C37"/>
  <c r="D37"/>
  <c r="E37"/>
  <c r="F37"/>
  <c r="H37"/>
  <c r="G37"/>
  <c r="A38"/>
  <c r="B38"/>
  <c r="C38"/>
  <c r="D38"/>
  <c r="E38"/>
  <c r="F38"/>
  <c r="H38"/>
  <c r="G38"/>
  <c r="A39"/>
  <c r="B39"/>
  <c r="C39"/>
  <c r="D39"/>
  <c r="E39"/>
  <c r="F39"/>
  <c r="H39"/>
  <c r="AK39"/>
  <c r="G39"/>
  <c r="A40"/>
  <c r="B40"/>
  <c r="C40"/>
  <c r="D40"/>
  <c r="E40"/>
  <c r="F40"/>
  <c r="H40"/>
  <c r="G40"/>
  <c r="R40"/>
  <c r="AD40"/>
  <c r="A41"/>
  <c r="B41"/>
  <c r="C41"/>
  <c r="D41"/>
  <c r="E41"/>
  <c r="F41"/>
  <c r="G41"/>
  <c r="H41"/>
  <c r="A42"/>
  <c r="B42"/>
  <c r="C42"/>
  <c r="D42"/>
  <c r="E42"/>
  <c r="F42"/>
  <c r="G42"/>
  <c r="H42"/>
  <c r="A43"/>
  <c r="B43"/>
  <c r="C43"/>
  <c r="D43"/>
  <c r="E43"/>
  <c r="F43"/>
  <c r="G43"/>
  <c r="H43"/>
  <c r="A44"/>
  <c r="B44"/>
  <c r="C44"/>
  <c r="D44"/>
  <c r="E44"/>
  <c r="F44"/>
  <c r="G44"/>
  <c r="H44"/>
  <c r="AK44"/>
  <c r="A45"/>
  <c r="B45"/>
  <c r="C45"/>
  <c r="D45"/>
  <c r="E45"/>
  <c r="F45"/>
  <c r="H45"/>
  <c r="R45"/>
  <c r="AD45"/>
  <c r="G45"/>
  <c r="A46"/>
  <c r="B46"/>
  <c r="C46"/>
  <c r="D46"/>
  <c r="E46"/>
  <c r="F46"/>
  <c r="G46"/>
  <c r="H46"/>
  <c r="T46"/>
  <c r="AF46"/>
  <c r="A47"/>
  <c r="B47"/>
  <c r="C47"/>
  <c r="D47"/>
  <c r="E47"/>
  <c r="F47"/>
  <c r="H47"/>
  <c r="AK47"/>
  <c r="G47"/>
  <c r="A48"/>
  <c r="B48"/>
  <c r="C48"/>
  <c r="D48"/>
  <c r="E48"/>
  <c r="F48"/>
  <c r="G48"/>
  <c r="H48"/>
  <c r="T48"/>
  <c r="A49"/>
  <c r="B49"/>
  <c r="C49"/>
  <c r="D49"/>
  <c r="E49"/>
  <c r="F49"/>
  <c r="G49"/>
  <c r="H49"/>
  <c r="A50"/>
  <c r="B50"/>
  <c r="C50"/>
  <c r="D50"/>
  <c r="E50"/>
  <c r="F50"/>
  <c r="G50"/>
  <c r="H50"/>
  <c r="Q50"/>
  <c r="A51"/>
  <c r="B51"/>
  <c r="C51"/>
  <c r="D51"/>
  <c r="E51"/>
  <c r="F51"/>
  <c r="H51"/>
  <c r="AK51"/>
  <c r="G51"/>
  <c r="Q51"/>
  <c r="AC51"/>
  <c r="A52"/>
  <c r="B52"/>
  <c r="C52"/>
  <c r="D52"/>
  <c r="E52"/>
  <c r="F52"/>
  <c r="H52"/>
  <c r="AK52"/>
  <c r="G52"/>
  <c r="R52"/>
  <c r="AD52"/>
  <c r="A53"/>
  <c r="B53"/>
  <c r="C53"/>
  <c r="D53"/>
  <c r="E53"/>
  <c r="F53"/>
  <c r="H53"/>
  <c r="G53"/>
  <c r="A54"/>
  <c r="B54"/>
  <c r="C54"/>
  <c r="D54"/>
  <c r="E54"/>
  <c r="F54"/>
  <c r="H54"/>
  <c r="G54"/>
  <c r="O54"/>
  <c r="AA54"/>
  <c r="A55"/>
  <c r="B55"/>
  <c r="C55"/>
  <c r="D55"/>
  <c r="E55"/>
  <c r="F55"/>
  <c r="G55"/>
  <c r="H55"/>
  <c r="A56"/>
  <c r="B56"/>
  <c r="C56"/>
  <c r="D56"/>
  <c r="E56"/>
  <c r="F56"/>
  <c r="G56"/>
  <c r="H56"/>
  <c r="A57"/>
  <c r="B57"/>
  <c r="C57"/>
  <c r="D57"/>
  <c r="E57"/>
  <c r="F57"/>
  <c r="H57"/>
  <c r="G57"/>
  <c r="A58"/>
  <c r="B58"/>
  <c r="C58"/>
  <c r="D58"/>
  <c r="E58"/>
  <c r="F58"/>
  <c r="G58"/>
  <c r="H58"/>
  <c r="A59"/>
  <c r="B59"/>
  <c r="C59"/>
  <c r="D59"/>
  <c r="E59"/>
  <c r="F59"/>
  <c r="G59"/>
  <c r="H59"/>
  <c r="A60"/>
  <c r="B60"/>
  <c r="C60"/>
  <c r="D60"/>
  <c r="E60"/>
  <c r="F60"/>
  <c r="G60"/>
  <c r="H60"/>
  <c r="T60"/>
  <c r="AF60"/>
  <c r="A61"/>
  <c r="B61"/>
  <c r="C61"/>
  <c r="D61"/>
  <c r="E61"/>
  <c r="F61"/>
  <c r="H61"/>
  <c r="R61"/>
  <c r="AK61"/>
  <c r="G61"/>
  <c r="A62"/>
  <c r="B62"/>
  <c r="C62"/>
  <c r="D62"/>
  <c r="E62"/>
  <c r="F62"/>
  <c r="H62"/>
  <c r="G62"/>
  <c r="A63"/>
  <c r="B63"/>
  <c r="C63"/>
  <c r="D63"/>
  <c r="E63"/>
  <c r="F63"/>
  <c r="G63"/>
  <c r="H63"/>
  <c r="A64"/>
  <c r="B64"/>
  <c r="C64"/>
  <c r="D64"/>
  <c r="E64"/>
  <c r="F64"/>
  <c r="H64"/>
  <c r="T64"/>
  <c r="G64"/>
  <c r="A65"/>
  <c r="B65"/>
  <c r="C65"/>
  <c r="D65"/>
  <c r="E65"/>
  <c r="F65"/>
  <c r="H65"/>
  <c r="P65"/>
  <c r="AB65"/>
  <c r="G65"/>
  <c r="A66"/>
  <c r="B66"/>
  <c r="C66"/>
  <c r="D66"/>
  <c r="E66"/>
  <c r="F66"/>
  <c r="H66"/>
  <c r="G66"/>
  <c r="A67"/>
  <c r="B67"/>
  <c r="C67"/>
  <c r="D67"/>
  <c r="E67"/>
  <c r="F67"/>
  <c r="H67"/>
  <c r="G67"/>
  <c r="S67"/>
  <c r="AE67"/>
  <c r="A68"/>
  <c r="B68"/>
  <c r="C68"/>
  <c r="D68"/>
  <c r="E68"/>
  <c r="F68"/>
  <c r="G68"/>
  <c r="H68"/>
  <c r="T68"/>
  <c r="AF68"/>
  <c r="A69"/>
  <c r="B69"/>
  <c r="C69"/>
  <c r="D69"/>
  <c r="E69"/>
  <c r="F69"/>
  <c r="H69"/>
  <c r="AK69"/>
  <c r="G69"/>
  <c r="A70"/>
  <c r="B70"/>
  <c r="C70"/>
  <c r="D70"/>
  <c r="E70"/>
  <c r="F70"/>
  <c r="H70"/>
  <c r="G70"/>
  <c r="A71"/>
  <c r="B71"/>
  <c r="C71"/>
  <c r="D71"/>
  <c r="E71"/>
  <c r="F71"/>
  <c r="H71"/>
  <c r="G71"/>
  <c r="A72"/>
  <c r="B72"/>
  <c r="C72"/>
  <c r="D72"/>
  <c r="E72"/>
  <c r="F72"/>
  <c r="G72"/>
  <c r="H72"/>
  <c r="A73"/>
  <c r="B73"/>
  <c r="C73"/>
  <c r="D73"/>
  <c r="E73"/>
  <c r="F73"/>
  <c r="G73"/>
  <c r="H73"/>
  <c r="O73"/>
  <c r="AA73"/>
  <c r="A74"/>
  <c r="B74"/>
  <c r="C74"/>
  <c r="D74"/>
  <c r="E74"/>
  <c r="F74"/>
  <c r="G74"/>
  <c r="H74"/>
  <c r="Q74"/>
  <c r="AC74"/>
  <c r="O74"/>
  <c r="AA74"/>
  <c r="A75"/>
  <c r="B75"/>
  <c r="C75"/>
  <c r="D75"/>
  <c r="E75"/>
  <c r="F75"/>
  <c r="H75"/>
  <c r="Q75"/>
  <c r="AC75"/>
  <c r="G75"/>
  <c r="A76"/>
  <c r="B76"/>
  <c r="C76"/>
  <c r="D76"/>
  <c r="E76"/>
  <c r="F76"/>
  <c r="G76"/>
  <c r="H76"/>
  <c r="A77"/>
  <c r="B77"/>
  <c r="C77"/>
  <c r="D77"/>
  <c r="E77"/>
  <c r="F77"/>
  <c r="H77"/>
  <c r="G77"/>
  <c r="A78"/>
  <c r="B78"/>
  <c r="C78"/>
  <c r="D78"/>
  <c r="E78"/>
  <c r="F78"/>
  <c r="G78"/>
  <c r="H78"/>
  <c r="A79"/>
  <c r="B79"/>
  <c r="C79"/>
  <c r="D79"/>
  <c r="E79"/>
  <c r="F79"/>
  <c r="G79"/>
  <c r="H79"/>
  <c r="P79"/>
  <c r="R79"/>
  <c r="AD79"/>
  <c r="A80"/>
  <c r="B80"/>
  <c r="C80"/>
  <c r="D80"/>
  <c r="E80"/>
  <c r="F80"/>
  <c r="H80"/>
  <c r="AK80"/>
  <c r="G80"/>
  <c r="A81"/>
  <c r="B81"/>
  <c r="C81"/>
  <c r="D81"/>
  <c r="E81"/>
  <c r="F81"/>
  <c r="H81"/>
  <c r="G81"/>
  <c r="A82"/>
  <c r="B82"/>
  <c r="C82"/>
  <c r="D82"/>
  <c r="E82"/>
  <c r="F82"/>
  <c r="G82"/>
  <c r="H82"/>
  <c r="A83"/>
  <c r="B83"/>
  <c r="C83"/>
  <c r="D83"/>
  <c r="E83"/>
  <c r="F83"/>
  <c r="G83"/>
  <c r="H83"/>
  <c r="S83"/>
  <c r="AE83"/>
  <c r="A84"/>
  <c r="B84"/>
  <c r="C84"/>
  <c r="D84"/>
  <c r="E84"/>
  <c r="F84"/>
  <c r="H84"/>
  <c r="G84"/>
  <c r="A85"/>
  <c r="B85"/>
  <c r="C85"/>
  <c r="D85"/>
  <c r="E85"/>
  <c r="F85"/>
  <c r="H85"/>
  <c r="G85"/>
  <c r="A86"/>
  <c r="B86"/>
  <c r="C86"/>
  <c r="D86"/>
  <c r="E86"/>
  <c r="F86"/>
  <c r="H86"/>
  <c r="O86"/>
  <c r="G86"/>
  <c r="A87"/>
  <c r="B87"/>
  <c r="C87"/>
  <c r="D87"/>
  <c r="E87"/>
  <c r="F87"/>
  <c r="H87"/>
  <c r="G87"/>
  <c r="A88"/>
  <c r="B88"/>
  <c r="C88"/>
  <c r="D88"/>
  <c r="E88"/>
  <c r="F88"/>
  <c r="H88"/>
  <c r="AK88"/>
  <c r="G88"/>
  <c r="A89"/>
  <c r="B89"/>
  <c r="C89"/>
  <c r="D89"/>
  <c r="E89"/>
  <c r="F89"/>
  <c r="G89"/>
  <c r="H89"/>
  <c r="AK89"/>
  <c r="A90"/>
  <c r="B90"/>
  <c r="C90"/>
  <c r="D90"/>
  <c r="E90"/>
  <c r="F90"/>
  <c r="H90"/>
  <c r="AK90"/>
  <c r="G90"/>
  <c r="A91"/>
  <c r="B91"/>
  <c r="C91"/>
  <c r="D91"/>
  <c r="E91"/>
  <c r="F91"/>
  <c r="G91"/>
  <c r="H91"/>
  <c r="R91"/>
  <c r="AD91"/>
  <c r="A92"/>
  <c r="B92"/>
  <c r="C92"/>
  <c r="D92"/>
  <c r="E92"/>
  <c r="F92"/>
  <c r="G92"/>
  <c r="H92"/>
  <c r="S92"/>
  <c r="AE92"/>
  <c r="A93"/>
  <c r="B93"/>
  <c r="C93"/>
  <c r="D93"/>
  <c r="E93"/>
  <c r="F93"/>
  <c r="G93"/>
  <c r="H93"/>
  <c r="R93"/>
  <c r="AD93"/>
  <c r="A94"/>
  <c r="B94"/>
  <c r="C94"/>
  <c r="D94"/>
  <c r="E94"/>
  <c r="F94"/>
  <c r="H94"/>
  <c r="G94"/>
  <c r="A95"/>
  <c r="B95"/>
  <c r="C95"/>
  <c r="D95"/>
  <c r="E95"/>
  <c r="F95"/>
  <c r="H95"/>
  <c r="G95"/>
  <c r="A96"/>
  <c r="B96"/>
  <c r="C96"/>
  <c r="D96"/>
  <c r="E96"/>
  <c r="F96"/>
  <c r="H96"/>
  <c r="T96"/>
  <c r="G96"/>
  <c r="A97"/>
  <c r="B97"/>
  <c r="C97"/>
  <c r="D97"/>
  <c r="E97"/>
  <c r="F97"/>
  <c r="H97"/>
  <c r="AK97"/>
  <c r="G97"/>
  <c r="A98"/>
  <c r="B98"/>
  <c r="C98"/>
  <c r="D98"/>
  <c r="E98"/>
  <c r="F98"/>
  <c r="H98"/>
  <c r="G98"/>
  <c r="A99"/>
  <c r="B99"/>
  <c r="C99"/>
  <c r="D99"/>
  <c r="E99"/>
  <c r="F99"/>
  <c r="G99"/>
  <c r="H99"/>
  <c r="S99"/>
  <c r="AE99"/>
  <c r="A100"/>
  <c r="B100"/>
  <c r="C100"/>
  <c r="D100"/>
  <c r="E100"/>
  <c r="F100"/>
  <c r="G100"/>
  <c r="H100"/>
  <c r="P100"/>
  <c r="AB100"/>
  <c r="A101"/>
  <c r="B101"/>
  <c r="C101"/>
  <c r="D101"/>
  <c r="E101"/>
  <c r="F101"/>
  <c r="H101"/>
  <c r="AK101"/>
  <c r="G101"/>
  <c r="P101"/>
  <c r="AB101"/>
  <c r="A102"/>
  <c r="B102"/>
  <c r="C102"/>
  <c r="D102"/>
  <c r="E102"/>
  <c r="F102"/>
  <c r="H102"/>
  <c r="AK102"/>
  <c r="G102"/>
  <c r="A103"/>
  <c r="B103"/>
  <c r="C103"/>
  <c r="D103"/>
  <c r="E103"/>
  <c r="F103"/>
  <c r="G103"/>
  <c r="H103"/>
  <c r="A104"/>
  <c r="B104"/>
  <c r="C104"/>
  <c r="D104"/>
  <c r="E104"/>
  <c r="F104"/>
  <c r="H104"/>
  <c r="G104"/>
  <c r="A105"/>
  <c r="B105"/>
  <c r="C105"/>
  <c r="D105"/>
  <c r="E105"/>
  <c r="F105"/>
  <c r="G105"/>
  <c r="H105"/>
  <c r="O105"/>
  <c r="AA105"/>
  <c r="T105"/>
  <c r="AF105"/>
  <c r="A106"/>
  <c r="B106"/>
  <c r="C106"/>
  <c r="D106"/>
  <c r="E106"/>
  <c r="F106"/>
  <c r="H106"/>
  <c r="O106"/>
  <c r="G106"/>
  <c r="A107"/>
  <c r="B107"/>
  <c r="C107"/>
  <c r="D107"/>
  <c r="E107"/>
  <c r="F107"/>
  <c r="H107"/>
  <c r="G107"/>
  <c r="A108"/>
  <c r="B108"/>
  <c r="C108"/>
  <c r="D108"/>
  <c r="E108"/>
  <c r="F108"/>
  <c r="G108"/>
  <c r="H108"/>
  <c r="P108"/>
  <c r="AB108"/>
  <c r="A109"/>
  <c r="B109"/>
  <c r="C109"/>
  <c r="D109"/>
  <c r="E109"/>
  <c r="F109"/>
  <c r="G109"/>
  <c r="H109"/>
  <c r="A110"/>
  <c r="B110"/>
  <c r="C110"/>
  <c r="D110"/>
  <c r="E110"/>
  <c r="F110"/>
  <c r="H110"/>
  <c r="AK110"/>
  <c r="G110"/>
  <c r="A111"/>
  <c r="B111"/>
  <c r="C111"/>
  <c r="D111"/>
  <c r="E111"/>
  <c r="F111"/>
  <c r="H111"/>
  <c r="G111"/>
  <c r="A112"/>
  <c r="B112"/>
  <c r="C112"/>
  <c r="D112"/>
  <c r="E112"/>
  <c r="G112"/>
  <c r="H112"/>
  <c r="A113"/>
  <c r="B113"/>
  <c r="C113"/>
  <c r="D113"/>
  <c r="E113"/>
  <c r="F113"/>
  <c r="H113"/>
  <c r="G113"/>
  <c r="A114"/>
  <c r="B114"/>
  <c r="C114"/>
  <c r="D114"/>
  <c r="E114"/>
  <c r="F114"/>
  <c r="G114"/>
  <c r="H114"/>
  <c r="S114"/>
  <c r="AE114"/>
  <c r="K2" i="5"/>
  <c r="L2"/>
  <c r="M2"/>
  <c r="N2"/>
  <c r="O2"/>
  <c r="J2"/>
  <c r="N26" i="4"/>
  <c r="N27"/>
  <c r="N28"/>
  <c r="N29"/>
  <c r="N30"/>
  <c r="N31"/>
  <c r="N32"/>
  <c r="N33"/>
  <c r="N34"/>
  <c r="N35"/>
  <c r="N36"/>
  <c r="N37"/>
  <c r="N38"/>
  <c r="N39"/>
  <c r="N40"/>
  <c r="N41"/>
  <c r="N42"/>
  <c r="N43"/>
  <c r="N44"/>
  <c r="N45"/>
  <c r="N46"/>
  <c r="N47"/>
  <c r="N48"/>
  <c r="N49"/>
  <c r="N50"/>
  <c r="N51"/>
  <c r="N52"/>
  <c r="N53"/>
  <c r="N54"/>
  <c r="N55"/>
  <c r="N56"/>
  <c r="N57"/>
  <c r="N58"/>
  <c r="N59"/>
  <c r="N60"/>
  <c r="N61"/>
  <c r="N16"/>
  <c r="N17"/>
  <c r="N18"/>
  <c r="N19"/>
  <c r="N20"/>
  <c r="N21"/>
  <c r="N22"/>
  <c r="N23"/>
  <c r="N24"/>
  <c r="N25"/>
  <c r="N5"/>
  <c r="N6"/>
  <c r="N7"/>
  <c r="N8"/>
  <c r="N9"/>
  <c r="N10"/>
  <c r="N11"/>
  <c r="N12"/>
  <c r="N13"/>
  <c r="N14"/>
  <c r="N15"/>
  <c r="N4"/>
  <c r="AS2"/>
  <c r="AS3"/>
  <c r="AS4"/>
  <c r="AS5"/>
  <c r="AS6"/>
  <c r="AS7"/>
  <c r="AS8"/>
  <c r="AS9"/>
  <c r="AS10"/>
  <c r="AS11"/>
  <c r="AS12"/>
  <c r="AS13"/>
  <c r="AS14"/>
  <c r="AS15"/>
  <c r="AS16"/>
  <c r="AS17"/>
  <c r="AS18"/>
  <c r="AS19"/>
  <c r="AS20"/>
  <c r="AS21"/>
  <c r="AS22"/>
  <c r="AS23"/>
  <c r="AS24"/>
  <c r="AS25"/>
  <c r="AS26"/>
  <c r="AS27"/>
  <c r="AS28"/>
  <c r="AS29"/>
  <c r="AS30"/>
  <c r="AS31"/>
  <c r="AS32"/>
  <c r="AS33"/>
  <c r="AS34"/>
  <c r="AS35"/>
  <c r="AS36"/>
  <c r="AS37"/>
  <c r="AS38"/>
  <c r="AS39"/>
  <c r="AS40"/>
  <c r="AS41"/>
  <c r="AS42"/>
  <c r="AS43"/>
  <c r="AS44"/>
  <c r="AS45"/>
  <c r="AS46"/>
  <c r="AS47"/>
  <c r="AS48"/>
  <c r="AS49"/>
  <c r="AS50"/>
  <c r="AS51"/>
  <c r="AS52"/>
  <c r="AS53"/>
  <c r="AS54"/>
  <c r="AS55"/>
  <c r="AS56"/>
  <c r="AS57"/>
  <c r="AS58"/>
  <c r="AS59"/>
  <c r="AS60"/>
  <c r="AS61"/>
  <c r="A2"/>
  <c r="B2"/>
  <c r="C2"/>
  <c r="D2"/>
  <c r="E2"/>
  <c r="F2"/>
  <c r="G2"/>
  <c r="H2"/>
  <c r="J2"/>
  <c r="K2"/>
  <c r="L2"/>
  <c r="O2"/>
  <c r="P2"/>
  <c r="Q2"/>
  <c r="R2"/>
  <c r="S2"/>
  <c r="T2"/>
  <c r="U2"/>
  <c r="V2"/>
  <c r="W2"/>
  <c r="X2"/>
  <c r="Y2"/>
  <c r="Z2"/>
  <c r="AA2"/>
  <c r="AB2"/>
  <c r="AC2"/>
  <c r="AD2"/>
  <c r="AE2"/>
  <c r="AF2"/>
  <c r="AG2"/>
  <c r="AH2"/>
  <c r="AI2"/>
  <c r="AJ2"/>
  <c r="AK2"/>
  <c r="AL2"/>
  <c r="AM2"/>
  <c r="AN2"/>
  <c r="AO2"/>
  <c r="AP2"/>
  <c r="AQ2"/>
  <c r="AR2"/>
  <c r="AT2"/>
  <c r="AU2"/>
  <c r="AV2"/>
  <c r="AW2"/>
  <c r="A3"/>
  <c r="B3"/>
  <c r="C3"/>
  <c r="D3"/>
  <c r="E3"/>
  <c r="F3"/>
  <c r="G3"/>
  <c r="H3"/>
  <c r="J3"/>
  <c r="K3"/>
  <c r="L3"/>
  <c r="O3"/>
  <c r="P3"/>
  <c r="Q3"/>
  <c r="R3"/>
  <c r="S3"/>
  <c r="T3"/>
  <c r="U3"/>
  <c r="V3"/>
  <c r="W3"/>
  <c r="X3"/>
  <c r="Y3"/>
  <c r="Z3"/>
  <c r="AA3"/>
  <c r="AB3"/>
  <c r="AC3"/>
  <c r="AD3"/>
  <c r="AE3"/>
  <c r="AF3"/>
  <c r="AG3"/>
  <c r="AH3"/>
  <c r="AI3"/>
  <c r="AJ3"/>
  <c r="AK3"/>
  <c r="AM3"/>
  <c r="AN3"/>
  <c r="AO3"/>
  <c r="AP3"/>
  <c r="AQ3"/>
  <c r="AR3"/>
  <c r="AT3"/>
  <c r="AU3"/>
  <c r="AV3"/>
  <c r="AW3"/>
  <c r="A4"/>
  <c r="B4"/>
  <c r="C4"/>
  <c r="D4"/>
  <c r="E4"/>
  <c r="F4"/>
  <c r="H4"/>
  <c r="T4"/>
  <c r="AF4"/>
  <c r="G4"/>
  <c r="K4"/>
  <c r="L4"/>
  <c r="AO4"/>
  <c r="AP4"/>
  <c r="AQ4"/>
  <c r="AR4"/>
  <c r="AT4"/>
  <c r="AU4"/>
  <c r="AV4"/>
  <c r="AW4"/>
  <c r="A5"/>
  <c r="B5"/>
  <c r="C5"/>
  <c r="D5"/>
  <c r="E5"/>
  <c r="F5"/>
  <c r="H5"/>
  <c r="G5"/>
  <c r="K5"/>
  <c r="L5"/>
  <c r="AO5"/>
  <c r="AP5"/>
  <c r="AQ5"/>
  <c r="AR5"/>
  <c r="AT5"/>
  <c r="AU5"/>
  <c r="AV5"/>
  <c r="AW5"/>
  <c r="K6"/>
  <c r="L6"/>
  <c r="AO6"/>
  <c r="AT6"/>
  <c r="AU6"/>
  <c r="AV6"/>
  <c r="AW6"/>
  <c r="K7"/>
  <c r="L7"/>
  <c r="AO7"/>
  <c r="AT7"/>
  <c r="AU7"/>
  <c r="AV7"/>
  <c r="AW7"/>
  <c r="K8"/>
  <c r="L8"/>
  <c r="AO8"/>
  <c r="AT8"/>
  <c r="AU8"/>
  <c r="AV8"/>
  <c r="AW8"/>
  <c r="K9"/>
  <c r="L9"/>
  <c r="AO9"/>
  <c r="AT9"/>
  <c r="AU9"/>
  <c r="AV9"/>
  <c r="AW9"/>
  <c r="K10"/>
  <c r="L10"/>
  <c r="AO10"/>
  <c r="AT10"/>
  <c r="AU10"/>
  <c r="AV10"/>
  <c r="AW10"/>
  <c r="K11"/>
  <c r="L11"/>
  <c r="AO11"/>
  <c r="AT11"/>
  <c r="AU11"/>
  <c r="AV11"/>
  <c r="AW11"/>
  <c r="K12"/>
  <c r="L12"/>
  <c r="AO12"/>
  <c r="AT12"/>
  <c r="AU12"/>
  <c r="AV12"/>
  <c r="AW12"/>
  <c r="K13"/>
  <c r="L13"/>
  <c r="AO13"/>
  <c r="AT13"/>
  <c r="AU13"/>
  <c r="AV13"/>
  <c r="AW13"/>
  <c r="K14"/>
  <c r="L14"/>
  <c r="AO14"/>
  <c r="AT14"/>
  <c r="AU14"/>
  <c r="AV14"/>
  <c r="AW14"/>
  <c r="K15"/>
  <c r="L15"/>
  <c r="AO15"/>
  <c r="AT15"/>
  <c r="AU15"/>
  <c r="AV15"/>
  <c r="AW15"/>
  <c r="K16"/>
  <c r="L16"/>
  <c r="AO16"/>
  <c r="AT16"/>
  <c r="AU16"/>
  <c r="AV16"/>
  <c r="AW16"/>
  <c r="K17"/>
  <c r="L17"/>
  <c r="AO17"/>
  <c r="AT17"/>
  <c r="AU17"/>
  <c r="AV17"/>
  <c r="AW17"/>
  <c r="K18"/>
  <c r="L18"/>
  <c r="AO18"/>
  <c r="AT18"/>
  <c r="AU18"/>
  <c r="AV18"/>
  <c r="AW18"/>
  <c r="K19"/>
  <c r="L19"/>
  <c r="AO19"/>
  <c r="AT19"/>
  <c r="AU19"/>
  <c r="AV19"/>
  <c r="AW19"/>
  <c r="K20"/>
  <c r="L20"/>
  <c r="AO20"/>
  <c r="AT20"/>
  <c r="AU20"/>
  <c r="AV20"/>
  <c r="AW20"/>
  <c r="K21"/>
  <c r="L21"/>
  <c r="AO21"/>
  <c r="AT21"/>
  <c r="AU21"/>
  <c r="AV21"/>
  <c r="AW21"/>
  <c r="K22"/>
  <c r="L22"/>
  <c r="AO22"/>
  <c r="AT22"/>
  <c r="AU22"/>
  <c r="AV22"/>
  <c r="AW22"/>
  <c r="K23"/>
  <c r="L23"/>
  <c r="AO23"/>
  <c r="AT23"/>
  <c r="AU23"/>
  <c r="AV23"/>
  <c r="AW23"/>
  <c r="K24"/>
  <c r="L24"/>
  <c r="AO24"/>
  <c r="AT24"/>
  <c r="AU24"/>
  <c r="AV24"/>
  <c r="AW24"/>
  <c r="K25"/>
  <c r="L25"/>
  <c r="AO25"/>
  <c r="AT25"/>
  <c r="AU25"/>
  <c r="AV25"/>
  <c r="AW25"/>
  <c r="K26"/>
  <c r="L26"/>
  <c r="AO26"/>
  <c r="AT26"/>
  <c r="AU26"/>
  <c r="AV26"/>
  <c r="AW26"/>
  <c r="K27"/>
  <c r="L27"/>
  <c r="AO27"/>
  <c r="AT27"/>
  <c r="AU27"/>
  <c r="AV27"/>
  <c r="AW27"/>
  <c r="K28"/>
  <c r="L28"/>
  <c r="AO28"/>
  <c r="AT28"/>
  <c r="AU28"/>
  <c r="AV28"/>
  <c r="AW28"/>
  <c r="K29"/>
  <c r="L29"/>
  <c r="AO29"/>
  <c r="AT29"/>
  <c r="AU29"/>
  <c r="AV29"/>
  <c r="AW29"/>
  <c r="K30"/>
  <c r="L30"/>
  <c r="AO30"/>
  <c r="AT30"/>
  <c r="AU30"/>
  <c r="AV30"/>
  <c r="AW30"/>
  <c r="K31"/>
  <c r="L31"/>
  <c r="AM31"/>
  <c r="AN31"/>
  <c r="AO31"/>
  <c r="AT31"/>
  <c r="AU31"/>
  <c r="AV31"/>
  <c r="AW31"/>
  <c r="K32"/>
  <c r="L32"/>
  <c r="AM32"/>
  <c r="AN32"/>
  <c r="AO32"/>
  <c r="AT32"/>
  <c r="AU32"/>
  <c r="AV32"/>
  <c r="AW32"/>
  <c r="K33"/>
  <c r="L33"/>
  <c r="AM33"/>
  <c r="AN33"/>
  <c r="AO33"/>
  <c r="AT33"/>
  <c r="AU33"/>
  <c r="AV33"/>
  <c r="AW33"/>
  <c r="K34"/>
  <c r="L34"/>
  <c r="AM34"/>
  <c r="AN34"/>
  <c r="AO34"/>
  <c r="AT34"/>
  <c r="AU34"/>
  <c r="AV34"/>
  <c r="AW34"/>
  <c r="K35"/>
  <c r="L35"/>
  <c r="AM35"/>
  <c r="AN35"/>
  <c r="AO35"/>
  <c r="AT35"/>
  <c r="AU35"/>
  <c r="AV35"/>
  <c r="AW35"/>
  <c r="K36"/>
  <c r="L36"/>
  <c r="AM36"/>
  <c r="AN36"/>
  <c r="AO36"/>
  <c r="AT36"/>
  <c r="AU36"/>
  <c r="AV36"/>
  <c r="AW36"/>
  <c r="K37"/>
  <c r="L37"/>
  <c r="AM37"/>
  <c r="AN37"/>
  <c r="AO37"/>
  <c r="AT37"/>
  <c r="AU37"/>
  <c r="AV37"/>
  <c r="AW37"/>
  <c r="K38"/>
  <c r="L38"/>
  <c r="AM38"/>
  <c r="AN38"/>
  <c r="AO38"/>
  <c r="AT38"/>
  <c r="AU38"/>
  <c r="AV38"/>
  <c r="AW38"/>
  <c r="K39"/>
  <c r="L39"/>
  <c r="AM39"/>
  <c r="AN39"/>
  <c r="AO39"/>
  <c r="AT39"/>
  <c r="AU39"/>
  <c r="AV39"/>
  <c r="AW39"/>
  <c r="K40"/>
  <c r="L40"/>
  <c r="AM40"/>
  <c r="AN40"/>
  <c r="AO40"/>
  <c r="AT40"/>
  <c r="AU40"/>
  <c r="AV40"/>
  <c r="AW40"/>
  <c r="K41"/>
  <c r="L41"/>
  <c r="AM41"/>
  <c r="AN41"/>
  <c r="AO41"/>
  <c r="AT41"/>
  <c r="AU41"/>
  <c r="AV41"/>
  <c r="AW41"/>
  <c r="K42"/>
  <c r="L42"/>
  <c r="AM42"/>
  <c r="AN42"/>
  <c r="AO42"/>
  <c r="AT42"/>
  <c r="AU42"/>
  <c r="AV42"/>
  <c r="AW42"/>
  <c r="K43"/>
  <c r="L43"/>
  <c r="AM43"/>
  <c r="AN43"/>
  <c r="AO43"/>
  <c r="AT43"/>
  <c r="AU43"/>
  <c r="AV43"/>
  <c r="AW43"/>
  <c r="K44"/>
  <c r="L44"/>
  <c r="AM44"/>
  <c r="AN44"/>
  <c r="AO44"/>
  <c r="AT44"/>
  <c r="AU44"/>
  <c r="AV44"/>
  <c r="AW44"/>
  <c r="K45"/>
  <c r="L45"/>
  <c r="AM45"/>
  <c r="AN45"/>
  <c r="AO45"/>
  <c r="AT45"/>
  <c r="AU45"/>
  <c r="AV45"/>
  <c r="AW45"/>
  <c r="K46"/>
  <c r="L46"/>
  <c r="AM46"/>
  <c r="AN46"/>
  <c r="AO46"/>
  <c r="AT46"/>
  <c r="AU46"/>
  <c r="AV46"/>
  <c r="AW46"/>
  <c r="K47"/>
  <c r="L47"/>
  <c r="AM47"/>
  <c r="AN47"/>
  <c r="AO47"/>
  <c r="AT47"/>
  <c r="AU47"/>
  <c r="AV47"/>
  <c r="AW47"/>
  <c r="K48"/>
  <c r="L48"/>
  <c r="AM48"/>
  <c r="AN48"/>
  <c r="AO48"/>
  <c r="AT48"/>
  <c r="AU48"/>
  <c r="AV48"/>
  <c r="AW48"/>
  <c r="K49"/>
  <c r="L49"/>
  <c r="AM49"/>
  <c r="AN49"/>
  <c r="AO49"/>
  <c r="AT49"/>
  <c r="AU49"/>
  <c r="AV49"/>
  <c r="AW49"/>
  <c r="K50"/>
  <c r="L50"/>
  <c r="AM50"/>
  <c r="AN50"/>
  <c r="AO50"/>
  <c r="AT50"/>
  <c r="AU50"/>
  <c r="AV50"/>
  <c r="AW50"/>
  <c r="K51"/>
  <c r="L51"/>
  <c r="AM51"/>
  <c r="AN51"/>
  <c r="AO51"/>
  <c r="AT51"/>
  <c r="AU51"/>
  <c r="AV51"/>
  <c r="AW51"/>
  <c r="K52"/>
  <c r="L52"/>
  <c r="AM52"/>
  <c r="AN52"/>
  <c r="AO52"/>
  <c r="AT52"/>
  <c r="AU52"/>
  <c r="AV52"/>
  <c r="AW52"/>
  <c r="K53"/>
  <c r="L53"/>
  <c r="AM53"/>
  <c r="AN53"/>
  <c r="AO53"/>
  <c r="AT53"/>
  <c r="AU53"/>
  <c r="AV53"/>
  <c r="AW53"/>
  <c r="K54"/>
  <c r="L54"/>
  <c r="AM54"/>
  <c r="AN54"/>
  <c r="AO54"/>
  <c r="AT54"/>
  <c r="AU54"/>
  <c r="AV54"/>
  <c r="AW54"/>
  <c r="K55"/>
  <c r="L55"/>
  <c r="AM55"/>
  <c r="AN55"/>
  <c r="AO55"/>
  <c r="AT55"/>
  <c r="AU55"/>
  <c r="AV55"/>
  <c r="AW55"/>
  <c r="K56"/>
  <c r="L56"/>
  <c r="AM56"/>
  <c r="AN56"/>
  <c r="AO56"/>
  <c r="AT56"/>
  <c r="AU56"/>
  <c r="AV56"/>
  <c r="AW56"/>
  <c r="K57"/>
  <c r="L57"/>
  <c r="AM57"/>
  <c r="AN57"/>
  <c r="AO57"/>
  <c r="AT57"/>
  <c r="AU57"/>
  <c r="AV57"/>
  <c r="AW57"/>
  <c r="K58"/>
  <c r="L58"/>
  <c r="AM58"/>
  <c r="AN58"/>
  <c r="AO58"/>
  <c r="AT58"/>
  <c r="AU58"/>
  <c r="AV58"/>
  <c r="AW58"/>
  <c r="K59"/>
  <c r="L59"/>
  <c r="AM59"/>
  <c r="AN59"/>
  <c r="AO59"/>
  <c r="AT59"/>
  <c r="AU59"/>
  <c r="AV59"/>
  <c r="AW59"/>
  <c r="K60"/>
  <c r="L60"/>
  <c r="AM60"/>
  <c r="AN60"/>
  <c r="AO60"/>
  <c r="AT60"/>
  <c r="AU60"/>
  <c r="AV60"/>
  <c r="AW60"/>
  <c r="K61"/>
  <c r="L61"/>
  <c r="AM61"/>
  <c r="AN61"/>
  <c r="AO61"/>
  <c r="AT61"/>
  <c r="AU61"/>
  <c r="AV61"/>
  <c r="AW61"/>
  <c r="I4" i="3"/>
  <c r="J4"/>
  <c r="M4"/>
  <c r="H6"/>
  <c r="H7"/>
  <c r="L7"/>
  <c r="H8"/>
  <c r="L8"/>
  <c r="I6"/>
  <c r="J6"/>
  <c r="O6"/>
  <c r="I7"/>
  <c r="J7"/>
  <c r="I3"/>
  <c r="J3"/>
  <c r="H3"/>
  <c r="L3"/>
  <c r="H4"/>
  <c r="K4"/>
  <c r="L4"/>
  <c r="H5"/>
  <c r="L5"/>
  <c r="K5"/>
  <c r="M6"/>
  <c r="K7"/>
  <c r="I5"/>
  <c r="J5"/>
  <c r="L6"/>
  <c r="O3"/>
  <c r="M3"/>
  <c r="K6"/>
  <c r="BU32" i="1"/>
  <c r="BU33"/>
  <c r="BV5"/>
  <c r="BU24"/>
  <c r="BU18"/>
  <c r="BU37"/>
  <c r="BU47"/>
  <c r="BU27"/>
  <c r="BU43"/>
  <c r="BU39"/>
  <c r="BU73"/>
  <c r="BU7"/>
  <c r="BV48"/>
  <c r="BU45"/>
  <c r="BU17"/>
  <c r="BU15"/>
  <c r="BV42"/>
  <c r="BU34"/>
  <c r="BU31"/>
  <c r="BV36"/>
  <c r="BU9"/>
  <c r="BU23"/>
  <c r="BV8"/>
  <c r="BV28"/>
  <c r="BV44"/>
  <c r="BV35"/>
  <c r="BV12"/>
  <c r="BU38"/>
  <c r="BU40"/>
  <c r="BU16"/>
  <c r="BV30"/>
  <c r="BU25"/>
  <c r="BU46"/>
  <c r="BU13"/>
  <c r="BU21"/>
  <c r="BV53"/>
  <c r="BV29"/>
  <c r="BU57"/>
  <c r="BU14"/>
  <c r="BU41"/>
  <c r="BV20"/>
  <c r="BV10"/>
  <c r="BU6"/>
  <c r="BU26"/>
  <c r="O7" i="3"/>
  <c r="M7"/>
  <c r="O5"/>
  <c r="M5"/>
  <c r="O4"/>
  <c r="K3"/>
  <c r="K8"/>
  <c r="I8"/>
  <c r="J8"/>
  <c r="M8"/>
  <c r="P66" i="4"/>
  <c r="AB66"/>
  <c r="O94"/>
  <c r="AA94"/>
  <c r="R107"/>
  <c r="AD107"/>
  <c r="S81"/>
  <c r="AE81"/>
  <c r="P112"/>
  <c r="AB112"/>
  <c r="Q85"/>
  <c r="AC85"/>
  <c r="S110"/>
  <c r="AE110"/>
  <c r="R110"/>
  <c r="AD110"/>
  <c r="O110"/>
  <c r="AA110"/>
  <c r="Q101"/>
  <c r="AC101"/>
  <c r="R81"/>
  <c r="AD81"/>
  <c r="Q106"/>
  <c r="AC106"/>
  <c r="Q97"/>
  <c r="AC97"/>
  <c r="P92"/>
  <c r="AB92"/>
  <c r="S88"/>
  <c r="AE88"/>
  <c r="Q80"/>
  <c r="AC80"/>
  <c r="O80"/>
  <c r="AA80"/>
  <c r="P110"/>
  <c r="AB110"/>
  <c r="T85"/>
  <c r="AF85"/>
  <c r="AA86"/>
  <c r="S80"/>
  <c r="AE80"/>
  <c r="O108"/>
  <c r="AA108"/>
  <c r="S86"/>
  <c r="AE86"/>
  <c r="O83"/>
  <c r="AA83"/>
  <c r="O91"/>
  <c r="AA91"/>
  <c r="P91"/>
  <c r="AB91"/>
  <c r="O84"/>
  <c r="AA84"/>
  <c r="P113"/>
  <c r="AB113"/>
  <c r="P68"/>
  <c r="AB68"/>
  <c r="P87"/>
  <c r="AB87"/>
  <c r="S96"/>
  <c r="AE96"/>
  <c r="Q110"/>
  <c r="AC110"/>
  <c r="P88"/>
  <c r="AB88"/>
  <c r="P78"/>
  <c r="AB78"/>
  <c r="Q112"/>
  <c r="AC112"/>
  <c r="Q82"/>
  <c r="AC82"/>
  <c r="BU19" i="1"/>
  <c r="BV19"/>
  <c r="BU22"/>
  <c r="BV22"/>
  <c r="Q53" i="4"/>
  <c r="AC53"/>
  <c r="P16"/>
  <c r="AB16"/>
  <c r="Q31"/>
  <c r="AC31"/>
  <c r="P43"/>
  <c r="AB43"/>
  <c r="P20"/>
  <c r="AB20"/>
  <c r="R42"/>
  <c r="AD42"/>
  <c r="P36"/>
  <c r="AB36"/>
  <c r="Q39"/>
  <c r="AC39"/>
  <c r="Q16"/>
  <c r="AC16"/>
  <c r="Q38"/>
  <c r="AC38"/>
  <c r="P40"/>
  <c r="AB40"/>
  <c r="R17"/>
  <c r="AD17"/>
  <c r="S17"/>
  <c r="AE17"/>
  <c r="S50"/>
  <c r="AE50"/>
  <c r="AC50"/>
  <c r="T13"/>
  <c r="AF13"/>
  <c r="S13"/>
  <c r="AE13"/>
  <c r="R13"/>
  <c r="AD13"/>
  <c r="S12"/>
  <c r="AE12"/>
  <c r="O10"/>
  <c r="AA10"/>
  <c r="P13"/>
  <c r="AB13"/>
  <c r="T50"/>
  <c r="AF50"/>
  <c r="O13"/>
  <c r="AA13"/>
  <c r="S60"/>
  <c r="AE60"/>
  <c r="Q24"/>
  <c r="AC24"/>
  <c r="T24"/>
  <c r="AF24"/>
  <c r="O22"/>
  <c r="AA22"/>
  <c r="S22"/>
  <c r="AE22"/>
  <c r="AC20"/>
  <c r="AK20"/>
  <c r="Q46"/>
  <c r="AC46"/>
  <c r="O52"/>
  <c r="AA52"/>
  <c r="R36"/>
  <c r="AD36"/>
  <c r="P38"/>
  <c r="AB38"/>
  <c r="AF48"/>
  <c r="P48"/>
  <c r="AB48"/>
  <c r="O38"/>
  <c r="AA38"/>
  <c r="O37"/>
  <c r="AA37"/>
  <c r="R37"/>
  <c r="AD37"/>
  <c r="O27"/>
  <c r="AA27"/>
  <c r="S27"/>
  <c r="AE27"/>
  <c r="T26"/>
  <c r="AF26"/>
  <c r="O25"/>
  <c r="AA25"/>
  <c r="S15"/>
  <c r="AE15"/>
  <c r="AK10"/>
  <c r="T54"/>
  <c r="AF54"/>
  <c r="R24"/>
  <c r="AD24"/>
  <c r="S20"/>
  <c r="AE20"/>
  <c r="AK46"/>
  <c r="O67"/>
  <c r="AA67"/>
  <c r="T67"/>
  <c r="AF67"/>
  <c r="S51"/>
  <c r="AE51"/>
  <c r="O51"/>
  <c r="AA51"/>
  <c r="P51"/>
  <c r="AB51"/>
  <c r="R51"/>
  <c r="AD51"/>
  <c r="T51"/>
  <c r="AF51"/>
  <c r="Q32"/>
  <c r="AC32"/>
  <c r="S32"/>
  <c r="AE32"/>
  <c r="R14"/>
  <c r="AD14"/>
  <c r="Q14"/>
  <c r="AC14"/>
  <c r="O14"/>
  <c r="AA14"/>
  <c r="T14"/>
  <c r="AF14"/>
  <c r="S14"/>
  <c r="AE14"/>
  <c r="P55"/>
  <c r="AB55"/>
  <c r="Q55"/>
  <c r="AC55"/>
  <c r="Q37"/>
  <c r="AC37"/>
  <c r="T37"/>
  <c r="AF37"/>
  <c r="T18"/>
  <c r="AF18"/>
  <c r="R28"/>
  <c r="AD28"/>
  <c r="O28"/>
  <c r="AA28"/>
  <c r="AK14"/>
  <c r="AC28"/>
  <c r="S42"/>
  <c r="AE42"/>
  <c r="T22"/>
  <c r="AF22"/>
  <c r="S53"/>
  <c r="AE53"/>
  <c r="P49"/>
  <c r="AB49"/>
  <c r="AK49"/>
  <c r="S44"/>
  <c r="AE44"/>
  <c r="P12"/>
  <c r="AB12"/>
  <c r="T12"/>
  <c r="AF12"/>
  <c r="O12"/>
  <c r="AA12"/>
  <c r="O61"/>
  <c r="AA61"/>
  <c r="O79"/>
  <c r="AA79"/>
  <c r="AK109"/>
  <c r="P109"/>
  <c r="AB109"/>
  <c r="O109"/>
  <c r="AA109"/>
  <c r="S109"/>
  <c r="AE109"/>
  <c r="R109"/>
  <c r="AD109"/>
  <c r="Q104"/>
  <c r="AC104"/>
  <c r="T104"/>
  <c r="AF104"/>
  <c r="T88"/>
  <c r="AF88"/>
  <c r="Q88"/>
  <c r="AC88"/>
  <c r="T87"/>
  <c r="AF87"/>
  <c r="AF64"/>
  <c r="R64"/>
  <c r="AD64"/>
  <c r="Q59"/>
  <c r="AC59"/>
  <c r="S59"/>
  <c r="AE59"/>
  <c r="S41"/>
  <c r="AE41"/>
  <c r="P9"/>
  <c r="AB9"/>
  <c r="T9"/>
  <c r="AF9"/>
  <c r="AK7"/>
  <c r="P61"/>
  <c r="AB61"/>
  <c r="R102"/>
  <c r="AD102"/>
  <c r="T62"/>
  <c r="AF62"/>
  <c r="AB79"/>
  <c r="O111"/>
  <c r="AA111"/>
  <c r="P111"/>
  <c r="AB111"/>
  <c r="T111"/>
  <c r="AF111"/>
  <c r="T108"/>
  <c r="AF108"/>
  <c r="T98"/>
  <c r="AF98"/>
  <c r="O98"/>
  <c r="AA98"/>
  <c r="P98"/>
  <c r="AB98"/>
  <c r="P83"/>
  <c r="AB83"/>
  <c r="Q83"/>
  <c r="AC83"/>
  <c r="AK83"/>
  <c r="T83"/>
  <c r="AF83"/>
  <c r="R83"/>
  <c r="AD83"/>
  <c r="T82"/>
  <c r="AF82"/>
  <c r="S82"/>
  <c r="AE82"/>
  <c r="S72"/>
  <c r="AE72"/>
  <c r="T72"/>
  <c r="AF72"/>
  <c r="O39"/>
  <c r="AA39"/>
  <c r="P39"/>
  <c r="AB39"/>
  <c r="AK16"/>
  <c r="O16"/>
  <c r="AA16"/>
  <c r="S61"/>
  <c r="AE61"/>
  <c r="R59"/>
  <c r="AD59"/>
  <c r="R39"/>
  <c r="AD39"/>
  <c r="R16"/>
  <c r="AD16"/>
  <c r="AK9"/>
  <c r="R19"/>
  <c r="AD19"/>
  <c r="AK19"/>
  <c r="P7"/>
  <c r="AB7"/>
  <c r="T109"/>
  <c r="AF109"/>
  <c r="Q109"/>
  <c r="AC109"/>
  <c r="Q5"/>
  <c r="AC5"/>
  <c r="P5"/>
  <c r="AB5"/>
  <c r="O97"/>
  <c r="AA97"/>
  <c r="O96"/>
  <c r="AA96"/>
  <c r="AF96"/>
  <c r="Q66"/>
  <c r="AC66"/>
  <c r="R66"/>
  <c r="AD66"/>
  <c r="O66"/>
  <c r="AA66"/>
  <c r="S49"/>
  <c r="AE49"/>
  <c r="AK33"/>
  <c r="P33"/>
  <c r="AB33"/>
  <c r="R33"/>
  <c r="AD33"/>
  <c r="T79"/>
  <c r="AF79"/>
  <c r="Q79"/>
  <c r="AC79"/>
  <c r="S79"/>
  <c r="AE79"/>
  <c r="Q62"/>
  <c r="AC62"/>
  <c r="Q61"/>
  <c r="AC61"/>
  <c r="AD61"/>
  <c r="T61"/>
  <c r="AF61"/>
  <c r="Q30"/>
  <c r="AC30"/>
  <c r="R30"/>
  <c r="AD30"/>
  <c r="O30"/>
  <c r="AA30"/>
  <c r="R95"/>
  <c r="AD95"/>
  <c r="R94"/>
  <c r="AD94"/>
  <c r="T94"/>
  <c r="AF94"/>
  <c r="T84"/>
  <c r="AF84"/>
  <c r="S84"/>
  <c r="AE84"/>
  <c r="AK73"/>
  <c r="O43"/>
  <c r="AA43"/>
  <c r="BV11" i="1"/>
  <c r="O53" i="4"/>
  <c r="AA53"/>
  <c r="AD10"/>
  <c r="Q67"/>
  <c r="AC67"/>
  <c r="R11"/>
  <c r="AD11"/>
  <c r="Q22"/>
  <c r="AC22"/>
  <c r="P24"/>
  <c r="AB24"/>
  <c r="R43"/>
  <c r="AD43"/>
  <c r="S24"/>
  <c r="AE24"/>
  <c r="P95"/>
  <c r="AB95"/>
  <c r="R80"/>
  <c r="AD80"/>
  <c r="P80"/>
  <c r="AB80"/>
  <c r="AK79"/>
  <c r="R76"/>
  <c r="AD76"/>
  <c r="AK18"/>
  <c r="AK76"/>
  <c r="AK105"/>
  <c r="P63"/>
  <c r="AB63"/>
  <c r="AK63"/>
  <c r="S35"/>
  <c r="AE35"/>
  <c r="R35"/>
  <c r="AD35"/>
  <c r="O35"/>
  <c r="AA35"/>
  <c r="Q34"/>
  <c r="AC34"/>
  <c r="P34"/>
  <c r="AB34"/>
  <c r="O29"/>
  <c r="AA29"/>
  <c r="T29"/>
  <c r="AF29"/>
  <c r="T6"/>
  <c r="AF6"/>
  <c r="Q6"/>
  <c r="AC6"/>
  <c r="O6"/>
  <c r="AA6"/>
  <c r="S6"/>
  <c r="AE6"/>
  <c r="P6"/>
  <c r="AB6"/>
  <c r="R6"/>
  <c r="AD6"/>
  <c r="Q93"/>
  <c r="AC93"/>
  <c r="O93"/>
  <c r="AA93"/>
  <c r="T93"/>
  <c r="AF93"/>
  <c r="T92"/>
  <c r="AF92"/>
  <c r="O92"/>
  <c r="AA92"/>
  <c r="R92"/>
  <c r="AD92"/>
  <c r="Q92"/>
  <c r="AC92"/>
  <c r="O48"/>
  <c r="AA48"/>
  <c r="R48"/>
  <c r="AD48"/>
  <c r="Q48"/>
  <c r="AC48"/>
  <c r="S48"/>
  <c r="AE48"/>
  <c r="AK48"/>
  <c r="O40"/>
  <c r="AA40"/>
  <c r="R26"/>
  <c r="AD26"/>
  <c r="S26"/>
  <c r="AE26"/>
  <c r="Q26"/>
  <c r="AC26"/>
  <c r="T25"/>
  <c r="AF25"/>
  <c r="R25"/>
  <c r="AD25"/>
  <c r="S25"/>
  <c r="AE25"/>
  <c r="Q17"/>
  <c r="AC17"/>
  <c r="O17"/>
  <c r="AA17"/>
  <c r="T17"/>
  <c r="AF17"/>
  <c r="T16"/>
  <c r="AF16"/>
  <c r="S16"/>
  <c r="AE16"/>
  <c r="P105"/>
  <c r="AB105"/>
  <c r="R105"/>
  <c r="AD105"/>
  <c r="Q105"/>
  <c r="AC105"/>
  <c r="S74"/>
  <c r="AE74"/>
  <c r="R74"/>
  <c r="AD74"/>
  <c r="Q58"/>
  <c r="AC58"/>
  <c r="S58"/>
  <c r="AE58"/>
  <c r="R58"/>
  <c r="AD58"/>
  <c r="Q57"/>
  <c r="AC57"/>
  <c r="Q56"/>
  <c r="AC56"/>
  <c r="O56"/>
  <c r="AA56"/>
  <c r="T52"/>
  <c r="AF52"/>
  <c r="S52"/>
  <c r="AE52"/>
  <c r="S21"/>
  <c r="AE21"/>
  <c r="R8"/>
  <c r="AD8"/>
  <c r="T8"/>
  <c r="AF8"/>
  <c r="Q8"/>
  <c r="AC8"/>
  <c r="AK8"/>
  <c r="S7"/>
  <c r="AE7"/>
  <c r="Q7"/>
  <c r="AC7"/>
  <c r="R56"/>
  <c r="AD56"/>
  <c r="T55"/>
  <c r="AF55"/>
  <c r="P41"/>
  <c r="AB41"/>
  <c r="T41"/>
  <c r="AF41"/>
  <c r="S29"/>
  <c r="AE29"/>
  <c r="P52"/>
  <c r="AB52"/>
  <c r="P8"/>
  <c r="AB8"/>
  <c r="S34"/>
  <c r="AE34"/>
  <c r="S30"/>
  <c r="AE30"/>
  <c r="O58"/>
  <c r="AA58"/>
  <c r="T30"/>
  <c r="AF30"/>
  <c r="O8"/>
  <c r="AA8"/>
  <c r="S105"/>
  <c r="AE105"/>
  <c r="P114"/>
  <c r="AB114"/>
  <c r="Q114"/>
  <c r="AC114"/>
  <c r="R114"/>
  <c r="AD114"/>
  <c r="S113"/>
  <c r="AE113"/>
  <c r="T113"/>
  <c r="AF113"/>
  <c r="O113"/>
  <c r="AA113"/>
  <c r="O104"/>
  <c r="AA104"/>
  <c r="P104"/>
  <c r="AB104"/>
  <c r="AK104"/>
  <c r="R104"/>
  <c r="AD104"/>
  <c r="S104"/>
  <c r="AE104"/>
  <c r="T103"/>
  <c r="AF103"/>
  <c r="Q103"/>
  <c r="AC103"/>
  <c r="S103"/>
  <c r="AE103"/>
  <c r="O78"/>
  <c r="AA78"/>
  <c r="AK78"/>
  <c r="Q78"/>
  <c r="AC78"/>
  <c r="S78"/>
  <c r="AE78"/>
  <c r="O68"/>
  <c r="AA68"/>
  <c r="AK68"/>
  <c r="Q52"/>
  <c r="AC52"/>
  <c r="S47"/>
  <c r="AE47"/>
  <c r="O47"/>
  <c r="AA47"/>
  <c r="T15"/>
  <c r="AF15"/>
  <c r="P15"/>
  <c r="AB15"/>
  <c r="R15"/>
  <c r="AD15"/>
  <c r="O112"/>
  <c r="AA112"/>
  <c r="S112"/>
  <c r="AE112"/>
  <c r="Q102"/>
  <c r="AC102"/>
  <c r="P102"/>
  <c r="AB102"/>
  <c r="O102"/>
  <c r="AA102"/>
  <c r="S91"/>
  <c r="AE91"/>
  <c r="AK91"/>
  <c r="P71"/>
  <c r="AB71"/>
  <c r="R22"/>
  <c r="AD22"/>
  <c r="AK28"/>
  <c r="S28"/>
  <c r="AE28"/>
  <c r="T28"/>
  <c r="AF28"/>
  <c r="R67"/>
  <c r="AD67"/>
  <c r="P67"/>
  <c r="AB67"/>
  <c r="S39"/>
  <c r="AE39"/>
  <c r="T39"/>
  <c r="AF39"/>
  <c r="O60"/>
  <c r="AA60"/>
  <c r="Q19"/>
  <c r="AC19"/>
  <c r="Q91"/>
  <c r="AC91"/>
  <c r="T80"/>
  <c r="AF80"/>
  <c r="T112"/>
  <c r="AF112"/>
  <c r="T102"/>
  <c r="AF102"/>
  <c r="S102"/>
  <c r="AE102"/>
  <c r="T110"/>
  <c r="AF110"/>
  <c r="Q90"/>
  <c r="AC90"/>
  <c r="T90"/>
  <c r="AF90"/>
  <c r="S90"/>
  <c r="AE90"/>
  <c r="P90"/>
  <c r="AB90"/>
  <c r="O82"/>
  <c r="AA82"/>
  <c r="AK82"/>
  <c r="P82"/>
  <c r="AB82"/>
  <c r="R82"/>
  <c r="AD82"/>
  <c r="R27"/>
  <c r="AD27"/>
  <c r="P27"/>
  <c r="AB27"/>
  <c r="S18"/>
  <c r="AE18"/>
  <c r="Q18"/>
  <c r="AC18"/>
  <c r="AK85"/>
  <c r="T106"/>
  <c r="AF106"/>
  <c r="AA106"/>
  <c r="P73"/>
  <c r="AB73"/>
  <c r="S66"/>
  <c r="AE66"/>
  <c r="T66"/>
  <c r="AF66"/>
  <c r="BU78" i="1"/>
  <c r="BV59"/>
  <c r="BU49"/>
  <c r="BV51"/>
  <c r="BV52"/>
  <c r="BV65"/>
  <c r="BV61"/>
  <c r="BU80"/>
  <c r="BV79"/>
  <c r="AK70" i="4"/>
  <c r="S70"/>
  <c r="AE70"/>
  <c r="Q64"/>
  <c r="AC64"/>
  <c r="O64"/>
  <c r="AA64"/>
  <c r="P64"/>
  <c r="AB64"/>
  <c r="P72"/>
  <c r="AB72"/>
  <c r="T70"/>
  <c r="AF70"/>
  <c r="O69"/>
  <c r="AA69"/>
  <c r="P69"/>
  <c r="AB69"/>
  <c r="T11"/>
  <c r="AF11"/>
  <c r="O11"/>
  <c r="AA11"/>
  <c r="S11"/>
  <c r="AE11"/>
  <c r="S73"/>
  <c r="AE73"/>
  <c r="R73"/>
  <c r="AD73"/>
  <c r="S68"/>
  <c r="AE68"/>
  <c r="O21"/>
  <c r="AA21"/>
  <c r="T74"/>
  <c r="AF74"/>
  <c r="T21"/>
  <c r="AF21"/>
  <c r="P74"/>
  <c r="AB74"/>
  <c r="T69"/>
  <c r="AF69"/>
  <c r="T73"/>
  <c r="AF73"/>
  <c r="R72"/>
  <c r="AD72"/>
  <c r="R32"/>
  <c r="AD32"/>
  <c r="O32"/>
  <c r="AA32"/>
  <c r="P11"/>
  <c r="AB11"/>
  <c r="S69"/>
  <c r="AE69"/>
  <c r="Q69"/>
  <c r="AC69"/>
  <c r="R70"/>
  <c r="AD70"/>
  <c r="S98"/>
  <c r="AE98"/>
  <c r="Q98"/>
  <c r="AC98"/>
  <c r="T97"/>
  <c r="AF97"/>
  <c r="S97"/>
  <c r="AE97"/>
  <c r="Q96"/>
  <c r="AC96"/>
  <c r="P96"/>
  <c r="AB96"/>
  <c r="O88"/>
  <c r="AA88"/>
  <c r="R88"/>
  <c r="AD88"/>
  <c r="Q87"/>
  <c r="AC87"/>
  <c r="R87"/>
  <c r="AD87"/>
  <c r="O87"/>
  <c r="AA87"/>
  <c r="O81"/>
  <c r="AA81"/>
  <c r="P81"/>
  <c r="AB81"/>
  <c r="AK81"/>
  <c r="Q81"/>
  <c r="AC81"/>
  <c r="T81"/>
  <c r="AF81"/>
  <c r="AK71"/>
  <c r="R71"/>
  <c r="AD71"/>
  <c r="P70"/>
  <c r="AB70"/>
  <c r="R44"/>
  <c r="AD44"/>
  <c r="T44"/>
  <c r="AF44"/>
  <c r="O44"/>
  <c r="AA44"/>
  <c r="Q44"/>
  <c r="AC44"/>
  <c r="P44"/>
  <c r="AB44"/>
  <c r="T43"/>
  <c r="AF43"/>
  <c r="S43"/>
  <c r="AE43"/>
  <c r="AK43"/>
  <c r="Q43"/>
  <c r="AC43"/>
  <c r="AK42"/>
  <c r="O42"/>
  <c r="AA42"/>
  <c r="R38"/>
  <c r="AD38"/>
  <c r="T38"/>
  <c r="AF38"/>
  <c r="AK65"/>
  <c r="T65"/>
  <c r="AF65"/>
  <c r="R65"/>
  <c r="AD65"/>
  <c r="O65"/>
  <c r="AA65"/>
  <c r="Q65"/>
  <c r="AC65"/>
  <c r="S36"/>
  <c r="AE36"/>
  <c r="T36"/>
  <c r="AF36"/>
  <c r="AK36"/>
  <c r="R68"/>
  <c r="AD68"/>
  <c r="AK64"/>
  <c r="P75"/>
  <c r="AB75"/>
  <c r="Q47"/>
  <c r="AC47"/>
  <c r="T47"/>
  <c r="AF47"/>
  <c r="R47"/>
  <c r="AD47"/>
  <c r="P47"/>
  <c r="AB47"/>
  <c r="Q68"/>
  <c r="AC68"/>
  <c r="R21"/>
  <c r="AD21"/>
  <c r="AK74"/>
  <c r="AK21"/>
  <c r="R69"/>
  <c r="AD69"/>
  <c r="O75"/>
  <c r="AA75"/>
  <c r="O72"/>
  <c r="AA72"/>
  <c r="S64"/>
  <c r="AE64"/>
  <c r="T32"/>
  <c r="AF32"/>
  <c r="Q36"/>
  <c r="AC36"/>
  <c r="R75"/>
  <c r="AD75"/>
  <c r="Q73"/>
  <c r="AC73"/>
  <c r="S65"/>
  <c r="AE65"/>
  <c r="S106"/>
  <c r="AE106"/>
  <c r="R106"/>
  <c r="AD106"/>
  <c r="AK106"/>
  <c r="P106"/>
  <c r="AB106"/>
  <c r="P103"/>
  <c r="AB103"/>
  <c r="T76"/>
  <c r="AF76"/>
  <c r="O76"/>
  <c r="AA76"/>
  <c r="P76"/>
  <c r="AB76"/>
  <c r="Q76"/>
  <c r="AC76"/>
  <c r="S76"/>
  <c r="AE76"/>
  <c r="O63"/>
  <c r="AA63"/>
  <c r="T63"/>
  <c r="AF63"/>
  <c r="P18"/>
  <c r="AB18"/>
  <c r="AA18"/>
  <c r="R18"/>
  <c r="AD18"/>
  <c r="AK112"/>
  <c r="R112"/>
  <c r="AD112"/>
  <c r="Q94"/>
  <c r="AC94"/>
  <c r="R86"/>
  <c r="AD86"/>
  <c r="P86"/>
  <c r="AB86"/>
  <c r="Q86"/>
  <c r="AC86"/>
  <c r="S85"/>
  <c r="AE85"/>
  <c r="R85"/>
  <c r="AD85"/>
  <c r="P77"/>
  <c r="AB77"/>
  <c r="AK66"/>
  <c r="R50"/>
  <c r="AD50"/>
  <c r="P50"/>
  <c r="AB50"/>
  <c r="O50"/>
  <c r="AA50"/>
  <c r="AK107"/>
  <c r="R101"/>
  <c r="AD101"/>
  <c r="O101"/>
  <c r="AA101"/>
  <c r="S101"/>
  <c r="AE101"/>
  <c r="T101"/>
  <c r="AF101"/>
  <c r="AK67"/>
  <c r="R53"/>
  <c r="AD53"/>
  <c r="T53"/>
  <c r="AF53"/>
  <c r="BV86" i="1"/>
  <c r="BV72"/>
  <c r="BV70"/>
  <c r="BV81"/>
  <c r="BU104"/>
  <c r="BV82"/>
  <c r="BV94"/>
  <c r="BU85"/>
  <c r="BV117"/>
  <c r="BU113"/>
  <c r="BV100"/>
  <c r="BU88"/>
  <c r="BV101"/>
  <c r="BV95"/>
  <c r="BU83"/>
  <c r="BU60"/>
  <c r="BU102"/>
  <c r="BU75"/>
  <c r="BV96"/>
  <c r="BU107"/>
  <c r="BU109"/>
  <c r="AK5" i="4"/>
  <c r="O5"/>
  <c r="AA5"/>
  <c r="T5"/>
  <c r="AF5"/>
  <c r="R5"/>
  <c r="AD5"/>
  <c r="T107"/>
  <c r="AF107"/>
  <c r="O107"/>
  <c r="AA107"/>
  <c r="Q107"/>
  <c r="AC107"/>
  <c r="AK103"/>
  <c r="R103"/>
  <c r="AD103"/>
  <c r="O103"/>
  <c r="AA103"/>
  <c r="AK98"/>
  <c r="R98"/>
  <c r="AD98"/>
  <c r="O90"/>
  <c r="AA90"/>
  <c r="R90"/>
  <c r="AD90"/>
  <c r="O57"/>
  <c r="AA57"/>
  <c r="R57"/>
  <c r="AD57"/>
  <c r="T57"/>
  <c r="AF57"/>
  <c r="S57"/>
  <c r="AE57"/>
  <c r="P57"/>
  <c r="AB57"/>
  <c r="AK57"/>
  <c r="R46"/>
  <c r="AD46"/>
  <c r="S46"/>
  <c r="AE46"/>
  <c r="O46"/>
  <c r="AA46"/>
  <c r="P46"/>
  <c r="AB46"/>
  <c r="S75"/>
  <c r="AE75"/>
  <c r="R100"/>
  <c r="AD100"/>
  <c r="T23"/>
  <c r="AF23"/>
  <c r="R31"/>
  <c r="AD31"/>
  <c r="R4"/>
  <c r="AD4"/>
  <c r="P4"/>
  <c r="AB4"/>
  <c r="AK4"/>
  <c r="O4"/>
  <c r="AA4"/>
  <c r="S100"/>
  <c r="AE100"/>
  <c r="O100"/>
  <c r="AA100"/>
  <c r="T99"/>
  <c r="AF99"/>
  <c r="P99"/>
  <c r="AB99"/>
  <c r="AK99"/>
  <c r="T89"/>
  <c r="AF89"/>
  <c r="O89"/>
  <c r="AA89"/>
  <c r="R77"/>
  <c r="AD77"/>
  <c r="T77"/>
  <c r="AF77"/>
  <c r="S77"/>
  <c r="AE77"/>
  <c r="AK77"/>
  <c r="Q77"/>
  <c r="AC77"/>
  <c r="AK62"/>
  <c r="P62"/>
  <c r="AB62"/>
  <c r="O62"/>
  <c r="AA62"/>
  <c r="P45"/>
  <c r="AB45"/>
  <c r="T45"/>
  <c r="AF45"/>
  <c r="O45"/>
  <c r="AA45"/>
  <c r="Q45"/>
  <c r="AC45"/>
  <c r="T31"/>
  <c r="AF31"/>
  <c r="AK31"/>
  <c r="O23"/>
  <c r="AA23"/>
  <c r="AK23"/>
  <c r="Q23"/>
  <c r="AC23"/>
  <c r="O71"/>
  <c r="AA71"/>
  <c r="Q71"/>
  <c r="AC71"/>
  <c r="S71"/>
  <c r="AE71"/>
  <c r="T71"/>
  <c r="AF71"/>
  <c r="O70"/>
  <c r="AA70"/>
  <c r="Q70"/>
  <c r="AC70"/>
  <c r="T58"/>
  <c r="AF58"/>
  <c r="AK58"/>
  <c r="Q42"/>
  <c r="AC42"/>
  <c r="P42"/>
  <c r="AB42"/>
  <c r="T42"/>
  <c r="AF42"/>
  <c r="R41"/>
  <c r="AD41"/>
  <c r="O41"/>
  <c r="AA41"/>
  <c r="Q41"/>
  <c r="AC41"/>
  <c r="AK41"/>
  <c r="P37"/>
  <c r="AB37"/>
  <c r="S37"/>
  <c r="AE37"/>
  <c r="T35"/>
  <c r="AF35"/>
  <c r="AK35"/>
  <c r="Q35"/>
  <c r="AC35"/>
  <c r="P35"/>
  <c r="AB35"/>
  <c r="R34"/>
  <c r="AD34"/>
  <c r="O34"/>
  <c r="AA34"/>
  <c r="T34"/>
  <c r="AF34"/>
  <c r="AK34"/>
  <c r="Q33"/>
  <c r="AC33"/>
  <c r="S33"/>
  <c r="AE33"/>
  <c r="T33"/>
  <c r="AF33"/>
  <c r="O33"/>
  <c r="AA33"/>
  <c r="BV115" i="1"/>
  <c r="S4" i="4"/>
  <c r="AE4"/>
  <c r="P89"/>
  <c r="AB89"/>
  <c r="AK100"/>
  <c r="S89"/>
  <c r="AE89"/>
  <c r="T100"/>
  <c r="AF100"/>
  <c r="Q99"/>
  <c r="AC99"/>
  <c r="P23"/>
  <c r="AB23"/>
  <c r="O99"/>
  <c r="AA99"/>
  <c r="S62"/>
  <c r="AE62"/>
  <c r="S45"/>
  <c r="AE45"/>
  <c r="S31"/>
  <c r="AE31"/>
  <c r="P107"/>
  <c r="AB107"/>
  <c r="Q4"/>
  <c r="AC4"/>
  <c r="S5"/>
  <c r="AE5"/>
  <c r="S107"/>
  <c r="AE107"/>
  <c r="AK45"/>
  <c r="S23"/>
  <c r="AE23"/>
  <c r="T95"/>
  <c r="AF95"/>
  <c r="Q95"/>
  <c r="AC95"/>
  <c r="S95"/>
  <c r="AE95"/>
  <c r="AK95"/>
  <c r="O95"/>
  <c r="AA95"/>
  <c r="P94"/>
  <c r="AB94"/>
  <c r="AK94"/>
  <c r="S94"/>
  <c r="AE94"/>
  <c r="AK93"/>
  <c r="S93"/>
  <c r="AE93"/>
  <c r="P93"/>
  <c r="AB93"/>
  <c r="Q84"/>
  <c r="AC84"/>
  <c r="P84"/>
  <c r="AB84"/>
  <c r="AK84"/>
  <c r="R84"/>
  <c r="AD84"/>
  <c r="Q72"/>
  <c r="AC72"/>
  <c r="AK72"/>
  <c r="R63"/>
  <c r="AD63"/>
  <c r="S63"/>
  <c r="AE63"/>
  <c r="Q63"/>
  <c r="AC63"/>
  <c r="P53"/>
  <c r="AB53"/>
  <c r="AK53"/>
  <c r="S38"/>
  <c r="AE38"/>
  <c r="AK38"/>
  <c r="O77"/>
  <c r="AA77"/>
  <c r="T75"/>
  <c r="AF75"/>
  <c r="AK75"/>
  <c r="Q89"/>
  <c r="AC89"/>
  <c r="R99"/>
  <c r="AD99"/>
  <c r="R89"/>
  <c r="AD89"/>
  <c r="Q100"/>
  <c r="AC100"/>
  <c r="R62"/>
  <c r="AD62"/>
  <c r="O31"/>
  <c r="AA31"/>
  <c r="P58"/>
  <c r="AB58"/>
  <c r="AK37"/>
  <c r="R108"/>
  <c r="AD108"/>
  <c r="AK108"/>
  <c r="P85"/>
  <c r="AB85"/>
  <c r="O85"/>
  <c r="AA85"/>
  <c r="R60"/>
  <c r="AD60"/>
  <c r="Q60"/>
  <c r="AC60"/>
  <c r="P59"/>
  <c r="AB59"/>
  <c r="T59"/>
  <c r="AF59"/>
  <c r="O59"/>
  <c r="AA59"/>
  <c r="T56"/>
  <c r="AF56"/>
  <c r="P56"/>
  <c r="AB56"/>
  <c r="S55"/>
  <c r="AE55"/>
  <c r="O55"/>
  <c r="AA55"/>
  <c r="R54"/>
  <c r="AD54"/>
  <c r="Q54"/>
  <c r="AC54"/>
  <c r="Q49"/>
  <c r="AC49"/>
  <c r="R49"/>
  <c r="AD49"/>
  <c r="AK40"/>
  <c r="T40"/>
  <c r="AF40"/>
  <c r="Q40"/>
  <c r="AC40"/>
  <c r="S19"/>
  <c r="AE19"/>
  <c r="T19"/>
  <c r="AF19"/>
  <c r="AK11"/>
  <c r="Q11"/>
  <c r="AC11"/>
  <c r="O9"/>
  <c r="AA9"/>
  <c r="Q9"/>
  <c r="AC9"/>
  <c r="R9"/>
  <c r="AD9"/>
  <c r="R7"/>
  <c r="AD7"/>
  <c r="T7"/>
  <c r="AF7"/>
  <c r="O7"/>
  <c r="AA7"/>
  <c r="T114"/>
  <c r="AF114"/>
  <c r="O114"/>
  <c r="AA114"/>
  <c r="AK114"/>
  <c r="S111"/>
  <c r="AE111"/>
  <c r="Q111"/>
  <c r="AC111"/>
  <c r="R111"/>
  <c r="AD111"/>
  <c r="AK111"/>
  <c r="P97"/>
  <c r="AB97"/>
  <c r="R97"/>
  <c r="AD97"/>
  <c r="AK87"/>
  <c r="S87"/>
  <c r="AE87"/>
  <c r="T78"/>
  <c r="AF78"/>
  <c r="R78"/>
  <c r="AD78"/>
  <c r="AK29"/>
  <c r="R29"/>
  <c r="AD29"/>
  <c r="P29"/>
  <c r="AB29"/>
  <c r="Q29"/>
  <c r="AC29"/>
  <c r="T27"/>
  <c r="AF27"/>
  <c r="Q27"/>
  <c r="AC27"/>
  <c r="AK27"/>
  <c r="AK26"/>
  <c r="O26"/>
  <c r="AA26"/>
  <c r="P26"/>
  <c r="AB26"/>
  <c r="Q25"/>
  <c r="AC25"/>
  <c r="P25"/>
  <c r="AB25"/>
  <c r="AK25"/>
  <c r="O15"/>
  <c r="AA15"/>
  <c r="AK15"/>
  <c r="AK113"/>
  <c r="BV116" i="1"/>
  <c r="BV114"/>
  <c r="AK50" i="4"/>
  <c r="P32"/>
  <c r="AB32"/>
  <c r="P19"/>
  <c r="AB19"/>
  <c r="AK60"/>
  <c r="T91"/>
  <c r="AF91"/>
  <c r="Q113"/>
  <c r="AC113"/>
  <c r="R113"/>
  <c r="AD113"/>
  <c r="R55"/>
  <c r="AD55"/>
  <c r="AK56"/>
  <c r="AK55"/>
  <c r="S56"/>
  <c r="AE56"/>
  <c r="S40"/>
  <c r="AE40"/>
  <c r="T10"/>
  <c r="AF10"/>
  <c r="T49"/>
  <c r="AF49"/>
  <c r="O19"/>
  <c r="AA19"/>
  <c r="S108"/>
  <c r="AE108"/>
  <c r="AK59"/>
  <c r="S9"/>
  <c r="AE9"/>
  <c r="Q10"/>
  <c r="AC10"/>
  <c r="P10"/>
  <c r="AB10"/>
  <c r="O20"/>
  <c r="AA20"/>
  <c r="R20"/>
  <c r="AD20"/>
  <c r="P60"/>
  <c r="AB60"/>
  <c r="O49"/>
  <c r="AA49"/>
  <c r="S54"/>
  <c r="AE54"/>
  <c r="P54"/>
  <c r="AB54"/>
  <c r="R96"/>
  <c r="AD96"/>
  <c r="T86"/>
  <c r="AF86"/>
  <c r="Q108"/>
  <c r="AC108"/>
  <c r="AK96"/>
  <c r="AK92"/>
  <c r="AK86"/>
  <c r="AK54"/>
  <c r="T20"/>
  <c r="AF20"/>
  <c r="S10"/>
  <c r="AE10"/>
  <c r="BV119" i="1"/>
  <c r="BU105"/>
  <c r="BV84"/>
  <c r="BU67"/>
  <c r="BU97"/>
  <c r="BV93"/>
  <c r="BV77"/>
  <c r="BU92"/>
  <c r="BV98"/>
  <c r="BV69"/>
  <c r="BV74"/>
  <c r="BV55"/>
  <c r="BV87"/>
  <c r="BV90"/>
  <c r="BV66"/>
  <c r="BV4"/>
  <c r="BU112"/>
  <c r="BV110"/>
  <c r="BV108"/>
  <c r="BU106"/>
  <c r="BU103"/>
  <c r="BV99"/>
  <c r="BU91"/>
  <c r="BU89"/>
  <c r="BV76"/>
  <c r="BV58"/>
  <c r="BV56"/>
  <c r="BU54"/>
  <c r="BV50"/>
  <c r="BV111"/>
  <c r="BV71"/>
  <c r="BU64"/>
  <c r="BV63"/>
  <c r="BV68"/>
  <c r="BU62"/>
</calcChain>
</file>

<file path=xl/sharedStrings.xml><?xml version="1.0" encoding="utf-8"?>
<sst xmlns="http://schemas.openxmlformats.org/spreadsheetml/2006/main" count="3185" uniqueCount="1157">
  <si>
    <t>英雄名称
[字符串]</t>
  </si>
  <si>
    <t>英雄描述|英雄语录
[字符串]</t>
  </si>
  <si>
    <t>音效包ID
[字符串]</t>
  </si>
  <si>
    <t>npc_id</t>
  </si>
  <si>
    <t>hidden</t>
  </si>
  <si>
    <t>character_type</t>
  </si>
  <si>
    <t>warning_range</t>
  </si>
  <si>
    <t>attack_id</t>
  </si>
  <si>
    <t>skill_id</t>
  </si>
  <si>
    <t>avatar_icon</t>
  </si>
  <si>
    <t>effect_id</t>
  </si>
  <si>
    <t>music_id</t>
  </si>
  <si>
    <t>move_speed</t>
  </si>
  <si>
    <t>attack</t>
  </si>
  <si>
    <t>hp</t>
  </si>
  <si>
    <t>mp</t>
  </si>
  <si>
    <t>hit_prop</t>
  </si>
  <si>
    <t>dodge_prop</t>
  </si>
  <si>
    <t>s</t>
  </si>
  <si>
    <t>i</t>
  </si>
  <si>
    <t>n</t>
  </si>
  <si>
    <t>[]</t>
  </si>
  <si>
    <t>魔法防御成长[浮点型]</t>
  </si>
  <si>
    <t>抗暴成长[浮点型]</t>
  </si>
  <si>
    <t>crit_prop</t>
  </si>
  <si>
    <t>uncrit_prop</t>
  </si>
  <si>
    <t>六耳猕猴</t>
  </si>
  <si>
    <t>白骨夫人</t>
  </si>
  <si>
    <t>紫霞仙子</t>
  </si>
  <si>
    <t>虎力大仙</t>
  </si>
  <si>
    <t>羊力大仙</t>
  </si>
  <si>
    <t>铁扇公主</t>
  </si>
  <si>
    <t>红孩儿</t>
  </si>
  <si>
    <t>哪吒</t>
  </si>
  <si>
    <t>猪八戒</t>
  </si>
  <si>
    <t>墨鱼精</t>
  </si>
  <si>
    <t>玉面夫人</t>
  </si>
  <si>
    <t>阎罗王</t>
  </si>
  <si>
    <t>蝎子精</t>
  </si>
  <si>
    <t>东海龙王</t>
  </si>
  <si>
    <t>chengsebiankuang</t>
  </si>
  <si>
    <t>二郎神</t>
  </si>
  <si>
    <t>head_erlangshen</t>
  </si>
  <si>
    <t>honghaier_attack</t>
  </si>
  <si>
    <t>honghaier_skill01,honghaier_skill02,honghaier_skill03,honghaier_skill04</t>
  </si>
  <si>
    <t>head_honghaier</t>
  </si>
  <si>
    <t>niumowang_attack</t>
  </si>
  <si>
    <t>niumowang_skill01,niumowang_skill02,niumowang_skill03,niumowang_skill04</t>
  </si>
  <si>
    <t>head_niumowang</t>
  </si>
  <si>
    <t>唐三藏</t>
  </si>
  <si>
    <t>混沌</t>
  </si>
  <si>
    <t>小白龙</t>
  </si>
  <si>
    <t>hulidaxian_attack</t>
  </si>
  <si>
    <t>hulidaxian_skill01,hulidaxian_skill02,hulidaxian_skill03,hulidaxian_skill04</t>
  </si>
  <si>
    <t>head_hulidaxian</t>
  </si>
  <si>
    <t>tieshangongzhu_attack</t>
  </si>
  <si>
    <t>tieshangongzhu_skill01,tieshangongzhu_skill02,tieshangongzhu_skill03,tieshangongzhu_skill04</t>
  </si>
  <si>
    <t>head_tieshangongzhu</t>
  </si>
  <si>
    <t>玉皇大帝</t>
  </si>
  <si>
    <t>yuhuangdadi_attack</t>
  </si>
  <si>
    <t>head_yuhuangdadi</t>
  </si>
  <si>
    <t>赛太岁</t>
  </si>
  <si>
    <t>zisebiankuang</t>
  </si>
  <si>
    <t>地藏王</t>
  </si>
  <si>
    <t>混世魔王</t>
  </si>
  <si>
    <t>hunshimowang_attack</t>
  </si>
  <si>
    <t>hunshimowang_skill01,hunshimowang_skill02,hunshimowang_skill03,hunshimowang_skill04</t>
  </si>
  <si>
    <t>head_hunshimowang</t>
  </si>
  <si>
    <t>雷公</t>
  </si>
  <si>
    <t>jinghelongwang_attack</t>
  </si>
  <si>
    <t>jinghelongwang_skill01,jinghelongwang_skill02,jinghelongwang_skill03,jinghelongwang_skill04</t>
  </si>
  <si>
    <t>head_jinghelongwang</t>
  </si>
  <si>
    <t>白龙公主</t>
  </si>
  <si>
    <t>jinqianbaowang_attack</t>
  </si>
  <si>
    <t>jinqianbaowang_skill01,jinqianbaowang_skill02,jinqianbaowang_skill03,jinqianbaowang_skill04</t>
  </si>
  <si>
    <t>moyujing_attack</t>
  </si>
  <si>
    <t>moyujing_skill01,moyujing_skill02,moyujing_skill03,moyujing_skill04</t>
  </si>
  <si>
    <t>head_moyujing</t>
  </si>
  <si>
    <t>lansebiankuang</t>
  </si>
  <si>
    <t>黑熊精</t>
  </si>
  <si>
    <t>lvsebiankuang</t>
  </si>
  <si>
    <t>0</t>
  </si>
  <si>
    <t>head_yanglidaxian</t>
  </si>
  <si>
    <t>nanzhujue_attack</t>
  </si>
  <si>
    <t>head_lulidaxian</t>
  </si>
  <si>
    <t>nezha_skill01,nezha_skill02,nezha_skill03,nezha_skill04</t>
  </si>
  <si>
    <t>zhubajie_skill01,zhubajie_skill02,zhubajie_skill03,zhubajie_skill04</t>
  </si>
  <si>
    <t>tuotatianwang_skill01,tuotatianwang_skill02,tuotatianwang_skill03,tuotatianwang_skill04</t>
  </si>
  <si>
    <t>zixiaxianzi_skill01,zixiaxianzi_skill02,zixiaxianzi_skill03,zixiaxianzi_skill04</t>
  </si>
  <si>
    <t>tangsanzang_skill01,tangsanzang_skill02,tangsanzang_skill03,tangsanzang_skill04</t>
  </si>
  <si>
    <t>shaheshang_skill01,shaheshang_skill02,shaheshang_skill03,shaheshang_skill04</t>
  </si>
  <si>
    <t>liuermihou_skill01,liuermihou_skill02,liuermihou_skill03,liuermihou_skill04</t>
  </si>
  <si>
    <t>baigufuren_skill01,baigufuren_skill02,baigufuren_skill03,baigufuren_skill04</t>
  </si>
  <si>
    <t>xiaobailong_skill01,xiaobailong_skill02,xiaobailong_skill03,xiaobailong_skill04</t>
  </si>
  <si>
    <t>yanglidaxian_skill01,yanglidaxian_skill02,yanglidaxian_skill03,yanglidaxian_skill04</t>
  </si>
  <si>
    <t>lulidaxian_skill01,lulidaxian_skill02,lulidaxian_skill03,lulidaxian_skill04</t>
  </si>
  <si>
    <t>change_skill01,change_skill02,change_skill03,change_skill04</t>
  </si>
  <si>
    <t>yanluowang_skill01,yanluowang_skill02,yanluowang_skill03,yanluowang_skill04</t>
  </si>
  <si>
    <t>dizangwang_skill01,dizangwang_skill02,dizangwang_skill03,dizangwang_skill04</t>
  </si>
  <si>
    <t>xiezijing_skill01,xiezijing_skill02,xiezijing_skill03,xiezijing_skill04</t>
  </si>
  <si>
    <t>donghailongwang_skill01,donghailongwang_skill02,donghailongwang_skill03,donghailongwang_skill04</t>
  </si>
  <si>
    <t>zhizhujing_skill01,zhizhujing_skill02,zhizhujing_skill03,zhizhujing_skill04</t>
  </si>
  <si>
    <t>yumianfuren_skill01,yumianfuren_skill02,yumianfuren_skill03,yumianfuren_skill04</t>
  </si>
  <si>
    <t>baigufuren_attack</t>
  </si>
  <si>
    <t>head_baigufuren</t>
  </si>
  <si>
    <t>avatar_point_add</t>
  </si>
  <si>
    <t>nezha_attack</t>
  </si>
  <si>
    <t>head_nezha</t>
  </si>
  <si>
    <t>嫦娥</t>
  </si>
  <si>
    <t>change_attack</t>
  </si>
  <si>
    <t>head_change</t>
  </si>
  <si>
    <t>王母娘娘</t>
  </si>
  <si>
    <t>wangmuniangniang_skill01,wangmuniangniang_skill02,wangmuniangniang_skill03,wangmuniangniang_skill04</t>
  </si>
  <si>
    <t>head_wangmuniangniang</t>
  </si>
  <si>
    <t>太白金星</t>
  </si>
  <si>
    <t>taibaijinxing_attack</t>
  </si>
  <si>
    <t>taibaijinxing_skill01,taibaijinxing_skill02,taibaijinxing_skill03,taibaijinxing_skill04</t>
  </si>
  <si>
    <t>head_taibaijinxing</t>
  </si>
  <si>
    <t>赤脚大仙</t>
  </si>
  <si>
    <t>chijiaodaxian_attack</t>
  </si>
  <si>
    <t>chijiaodaxian_skill01,chijiaodaxian_skill02,chijiaodaxian_skill03,chijiaodaxian_skill04</t>
  </si>
  <si>
    <t>head_chijiaodaxian</t>
  </si>
  <si>
    <t>九天玄女</t>
  </si>
  <si>
    <t>jiutianxuannv_attack</t>
  </si>
  <si>
    <t>jiutianxuannv_skill01,jiutianxuannv_skill02,jiutianxuannv_skill03,jiutianxuannv_skill04</t>
  </si>
  <si>
    <t>head_jiutianxuannv</t>
  </si>
  <si>
    <t>lulidaxian_attack</t>
  </si>
  <si>
    <t>yanglidaxian_attack</t>
  </si>
  <si>
    <t>liuermihou_attack</t>
  </si>
  <si>
    <t>head_liuermihou</t>
  </si>
  <si>
    <t>hundun_attack</t>
  </si>
  <si>
    <t>head_hundun</t>
  </si>
  <si>
    <t>孙悟空</t>
  </si>
  <si>
    <t>sunwukong_attack</t>
  </si>
  <si>
    <t>head_sunwukong</t>
  </si>
  <si>
    <t>zhubajie_attack</t>
  </si>
  <si>
    <t>head_zhubajie</t>
  </si>
  <si>
    <t>zixiaxianzi_attack</t>
  </si>
  <si>
    <t>head_zixiaxianzi</t>
  </si>
  <si>
    <t>tangsanzang_attack</t>
  </si>
  <si>
    <t>xiaobailong_attack</t>
  </si>
  <si>
    <t>shaheshang_attack</t>
  </si>
  <si>
    <t>head_shaheshang</t>
  </si>
  <si>
    <t>迦叶</t>
  </si>
  <si>
    <t>jiaye_attack</t>
  </si>
  <si>
    <t>jiaye_skill01,jiaye_skill02,jiaye_skill03,jiaye_skill04</t>
  </si>
  <si>
    <t>head_jiaye</t>
  </si>
  <si>
    <t>文殊菩萨</t>
  </si>
  <si>
    <t>wenshupusa_attack</t>
  </si>
  <si>
    <t>wenshupusa_skill01,wenshupusa_skill02,wenshupusa_skill03,wenshupusa_skill04</t>
  </si>
  <si>
    <t>head_wenshupusa</t>
  </si>
  <si>
    <t>弥勒佛</t>
  </si>
  <si>
    <t>milefo_attack</t>
  </si>
  <si>
    <t>milefo_skill01,milefo_skill02,milefo_skill03,milefo_skill04</t>
  </si>
  <si>
    <t>head_milefo</t>
  </si>
  <si>
    <t>head_yanluowang</t>
  </si>
  <si>
    <t>dizangwang_attack</t>
  </si>
  <si>
    <t>head_dizangwang</t>
  </si>
  <si>
    <t>xiezijing_attack</t>
  </si>
  <si>
    <t>head_xiezijing</t>
  </si>
  <si>
    <t>leigong_attack</t>
  </si>
  <si>
    <t>head_leigong</t>
  </si>
  <si>
    <t>donghailongwang_attack</t>
  </si>
  <si>
    <t>bailonggongzhu_attack</t>
  </si>
  <si>
    <t>bailonggongzhu_skill01,bailonggongzhu_skill02,bailonggongzhu_skill03,bailonggongzhu_skill04</t>
  </si>
  <si>
    <t>head_bailonggongzhu</t>
  </si>
  <si>
    <t>蜘蛛精</t>
  </si>
  <si>
    <t>zhizhujing_attack</t>
  </si>
  <si>
    <t>head_zhizhujing</t>
  </si>
  <si>
    <t>yumianfuren_attack</t>
  </si>
  <si>
    <t>head_yumianfuren</t>
  </si>
  <si>
    <t>heixiongjing_attack</t>
  </si>
  <si>
    <t>head_heixiongjing</t>
  </si>
  <si>
    <t>erlangshen_attack</t>
  </si>
  <si>
    <t>yuhuangdadi_skill01,yuhuangdadi_skill02,yuhuangdadi_skill03,yuhuangdadi_skill04</t>
  </si>
  <si>
    <t>wangmuniangniang_attack</t>
  </si>
  <si>
    <t>狮人-光启</t>
  </si>
  <si>
    <t>狮人-立辉</t>
  </si>
  <si>
    <t>鲛人-嫦曦</t>
  </si>
  <si>
    <t>鲛人-月婵</t>
  </si>
  <si>
    <t>天兵-金斌</t>
  </si>
  <si>
    <t>天兵-政仲</t>
  </si>
  <si>
    <t>天兵-火夕</t>
  </si>
  <si>
    <t>狼人-霍金</t>
  </si>
  <si>
    <t>狼人-霍文</t>
  </si>
  <si>
    <t>狼人-霍达</t>
  </si>
  <si>
    <t>狼人-霍格</t>
  </si>
  <si>
    <t>狼人-霍武</t>
  </si>
  <si>
    <t>蜘蛛-元瑶</t>
  </si>
  <si>
    <t>蜘蛛-怜寒</t>
  </si>
  <si>
    <t>蜘蛛-盼香</t>
  </si>
  <si>
    <t>女鬼-歆瑶</t>
  </si>
  <si>
    <t>女鬼-桑榆</t>
  </si>
  <si>
    <t>女鬼-语嫣</t>
  </si>
  <si>
    <t>女鬼-凌菲</t>
  </si>
  <si>
    <t>理想总是很丰满，奈何现实太过骨感！</t>
  </si>
  <si>
    <t>小看我可是会丢了性命的！</t>
  </si>
  <si>
    <t>想试试鬼爪的厉害么？</t>
  </si>
  <si>
    <t>快给我留下买路财！</t>
  </si>
  <si>
    <t>来呀！我们打一架吧！</t>
  </si>
  <si>
    <t>来听听我的安魂曲吧。</t>
  </si>
  <si>
    <t>什么时候才能见到妲己姐姐呢？</t>
  </si>
  <si>
    <t>箭无虚发！</t>
  </si>
  <si>
    <t>再说我可爱，我就跟你急啦！</t>
  </si>
  <si>
    <t>巡海夜叉就是我！怕了吧！</t>
  </si>
  <si>
    <t>一，二，三！我们都是石头人！</t>
  </si>
  <si>
    <t>我很丑，可是我很温柔。</t>
  </si>
  <si>
    <t>雷动九天！</t>
  </si>
  <si>
    <t>攻击速度初始值
[浮点]</t>
  </si>
  <si>
    <t>shitouren_attack</t>
  </si>
  <si>
    <t>damangjing_attack</t>
  </si>
  <si>
    <t>jiaoren_attack</t>
  </si>
  <si>
    <t>tianbing_attack</t>
  </si>
  <si>
    <t>langren_attack</t>
  </si>
  <si>
    <t>shanzei_attack</t>
  </si>
  <si>
    <t>zhizhu_attack</t>
  </si>
  <si>
    <t>nvgui_attack</t>
  </si>
  <si>
    <t>humeiren_attack</t>
  </si>
  <si>
    <t>kuloubing_attack</t>
  </si>
  <si>
    <t>shiren_attack</t>
  </si>
  <si>
    <t>1001|50</t>
  </si>
  <si>
    <t>5001|50</t>
  </si>
  <si>
    <t>4001|50</t>
  </si>
  <si>
    <t>3001|50</t>
  </si>
  <si>
    <t>2001|50</t>
  </si>
  <si>
    <t>金蝉子</t>
  </si>
  <si>
    <t>龙帝</t>
  </si>
  <si>
    <t>角色最大等级</t>
  </si>
  <si>
    <t>技能最大等级</t>
  </si>
  <si>
    <t xml:space="preserve">皮肤包ID(多个皮肤逗号隔开，根据填写顺序排列)
[字符串]
</t>
  </si>
  <si>
    <t>初始资质（不参与数值计算，仅用于显示）
[整型]</t>
  </si>
  <si>
    <t>移动速度初始值
[浮点]</t>
  </si>
  <si>
    <t>命中初始值
（百分比）</t>
  </si>
  <si>
    <t>闪避初始值
（百分比）</t>
  </si>
  <si>
    <t>暴击初始值
（百分比）</t>
  </si>
  <si>
    <t>伤害减免初始值（百分比）</t>
  </si>
  <si>
    <t xml:space="preserve">伤害加成初始值（百分比）
</t>
  </si>
  <si>
    <t>进阶上限
[整形]</t>
  </si>
  <si>
    <t>进阶附加的效果组(读取jinjie_effect)</t>
  </si>
  <si>
    <t>觉醒最大等级</t>
  </si>
  <si>
    <t>伙伴被吞噬提供基础经验[整数]
=0时不可吞噬</t>
  </si>
  <si>
    <t xml:space="preserve">吞噬时消耗的金币
</t>
  </si>
  <si>
    <t>角色合成所需碎片ID
调用game_items的id</t>
  </si>
  <si>
    <t>对变身积分的贡献值
（玩家获取该hero后，会增加对应的变身积分）</t>
  </si>
  <si>
    <t>角色初始仇恨值
（用于角色进入怪物警戒范围后，怪物初始目标的选择）
数值为整形</t>
  </si>
  <si>
    <t>仇恨值系数
（用于仇恨值计算）
数值为浮点型</t>
  </si>
  <si>
    <t>name</t>
  </si>
  <si>
    <t>combat_positioning</t>
  </si>
  <si>
    <t>hero_jobs</t>
  </si>
  <si>
    <t>lvl_max</t>
  </si>
  <si>
    <t>skill_max</t>
  </si>
  <si>
    <t>common_skill_id</t>
  </si>
  <si>
    <t>model_id</t>
  </si>
  <si>
    <t>skin_id</t>
  </si>
  <si>
    <t>pinzhi</t>
  </si>
  <si>
    <t>zizhi</t>
  </si>
  <si>
    <t>atk_range</t>
  </si>
  <si>
    <t>mp_r</t>
  </si>
  <si>
    <t>defense_p</t>
  </si>
  <si>
    <t>defense_m</t>
  </si>
  <si>
    <t>damage_r</t>
  </si>
  <si>
    <t>damage_b</t>
  </si>
  <si>
    <t>hp_lvl</t>
  </si>
  <si>
    <t>mp_lvl</t>
  </si>
  <si>
    <t>mp_r_lvl</t>
  </si>
  <si>
    <t>attack_lvl</t>
  </si>
  <si>
    <t>defense_p_lvl</t>
  </si>
  <si>
    <t>defense_m_lvl</t>
  </si>
  <si>
    <t>hit_prop_lvl</t>
  </si>
  <si>
    <t>dodge_prop_lvl</t>
  </si>
  <si>
    <t>crit_prop_lvl</t>
  </si>
  <si>
    <t>uncrit_prop_lvl</t>
  </si>
  <si>
    <t>jinjie_id</t>
  </si>
  <si>
    <t>jinjie_max</t>
  </si>
  <si>
    <t>jinjie_effect</t>
  </si>
  <si>
    <t>juexing_id</t>
  </si>
  <si>
    <t>juexing_max</t>
  </si>
  <si>
    <t>jiban_npc</t>
  </si>
  <si>
    <t>jiban_equip</t>
  </si>
  <si>
    <t>jiban_fabao</t>
  </si>
  <si>
    <t>npc_baseexp</t>
  </si>
  <si>
    <t>npc_fenjie</t>
  </si>
  <si>
    <t>npc_costjinbi</t>
  </si>
  <si>
    <t>hero_find</t>
  </si>
  <si>
    <t>hero_banshen</t>
  </si>
  <si>
    <t>hero_hatepoint</t>
  </si>
  <si>
    <t>hate_coefficient</t>
  </si>
  <si>
    <t>player</t>
  </si>
  <si>
    <t>女主角</t>
  </si>
  <si>
    <t>nvzhujue_attack</t>
  </si>
  <si>
    <t>head_nvzhujue</t>
  </si>
  <si>
    <t>player2</t>
  </si>
  <si>
    <t>男主角</t>
  </si>
  <si>
    <t>head_nanzhujue</t>
  </si>
  <si>
    <t>erlangshen_skill01,erlangshen_skill02,erlangshen_skill03,erlangshen_skill04</t>
  </si>
  <si>
    <t>head_tangsanzang</t>
  </si>
  <si>
    <t>女儿国国王</t>
  </si>
  <si>
    <t>head_xiaobailong</t>
  </si>
  <si>
    <t>head_donghailongwang</t>
  </si>
  <si>
    <t>马面</t>
  </si>
  <si>
    <t>牛头</t>
  </si>
  <si>
    <t>金钱豹王</t>
  </si>
  <si>
    <t>head_jinqianbaowang</t>
  </si>
  <si>
    <t>琴仙</t>
  </si>
  <si>
    <t>烟雨缥缈中，抚琴九天之上。</t>
  </si>
  <si>
    <t>qinxian_attack</t>
  </si>
  <si>
    <t>head_qinxian</t>
  </si>
  <si>
    <t>山贼</t>
  </si>
  <si>
    <t>head_shanzei</t>
  </si>
  <si>
    <t>夜叉-金利</t>
  </si>
  <si>
    <t>yecha_attack</t>
  </si>
  <si>
    <t>夜叉-碧涛</t>
  </si>
  <si>
    <t>缥缈天宫，由我来守护！</t>
  </si>
  <si>
    <t>猴兵</t>
  </si>
  <si>
    <t>嘿嘿，想要我的桃子么？</t>
  </si>
  <si>
    <t>houbing_attack</t>
  </si>
  <si>
    <t>head_houbing</t>
  </si>
  <si>
    <t>[]</t>
    <phoneticPr fontId="6" type="noConversion"/>
  </si>
  <si>
    <t>孙悟空</t>
    <phoneticPr fontId="6" type="noConversion"/>
  </si>
  <si>
    <t>虾兵</t>
    <phoneticPr fontId="6" type="noConversion"/>
  </si>
  <si>
    <t>xiabing_attack</t>
    <phoneticPr fontId="6" type="noConversion"/>
  </si>
  <si>
    <t>斗战胜佛</t>
    <phoneticPr fontId="6" type="noConversion"/>
  </si>
  <si>
    <t>head_douzhanshengfo</t>
  </si>
  <si>
    <t>head_jinchanzi</t>
  </si>
  <si>
    <t>head_longdi</t>
  </si>
  <si>
    <t>head_babutianlong</t>
  </si>
  <si>
    <t>head_mamian</t>
  </si>
  <si>
    <t>head_niutou</t>
  </si>
  <si>
    <t>sunwukong_skill01,sunwukong_skill02,sunwukong_skill03,sunwukong_skill04</t>
    <phoneticPr fontId="6" type="noConversion"/>
  </si>
  <si>
    <t>hero_biankuang</t>
    <phoneticPr fontId="6" type="noConversion"/>
  </si>
  <si>
    <t>牛魔王</t>
    <phoneticPr fontId="6" type="noConversion"/>
  </si>
  <si>
    <t>n</t>
    <phoneticPr fontId="6" type="noConversion"/>
  </si>
  <si>
    <t>n</t>
    <phoneticPr fontId="6" type="noConversion"/>
  </si>
  <si>
    <t>n</t>
    <phoneticPr fontId="6" type="noConversion"/>
  </si>
  <si>
    <t>niutou_attack</t>
  </si>
  <si>
    <t>niutou_skill01,niutou_skill02,niutou_skill03,niutou_skill04</t>
  </si>
  <si>
    <t>mamian_attack</t>
  </si>
  <si>
    <t>mamian_skill01,mamian_skill02,mamian_skill03,mamian_skill04</t>
  </si>
  <si>
    <t>head_xiabing</t>
    <phoneticPr fontId="6" type="noConversion"/>
  </si>
  <si>
    <t>yanluowang_attack</t>
  </si>
  <si>
    <t>玉兔</t>
    <phoneticPr fontId="6" type="noConversion"/>
  </si>
  <si>
    <t>head_tianjiang</t>
  </si>
  <si>
    <t>douzhanshengfo_attack</t>
  </si>
  <si>
    <t>douzhanshengfo_skill01,douzhanshengfo_skill02,douzhanshengfo_skill03,douzhanshengfo_skill04</t>
  </si>
  <si>
    <t>蟒精-雅芙</t>
    <phoneticPr fontId="6" type="noConversion"/>
  </si>
  <si>
    <t>蟒精-依娜</t>
    <phoneticPr fontId="6" type="noConversion"/>
  </si>
  <si>
    <t>石人-博达</t>
    <phoneticPr fontId="6" type="noConversion"/>
  </si>
  <si>
    <t>石人-离落</t>
    <phoneticPr fontId="6" type="noConversion"/>
  </si>
  <si>
    <t>石人-安和</t>
    <phoneticPr fontId="6" type="noConversion"/>
  </si>
  <si>
    <t>骷髅-德明</t>
    <phoneticPr fontId="6" type="noConversion"/>
  </si>
  <si>
    <t>骷髅-奇伟</t>
    <phoneticPr fontId="6" type="noConversion"/>
  </si>
  <si>
    <t>骷髅-德元</t>
    <phoneticPr fontId="6" type="noConversion"/>
  </si>
  <si>
    <t>骷髅-彭泽</t>
    <phoneticPr fontId="6" type="noConversion"/>
  </si>
  <si>
    <t>狐狸-优璇</t>
    <phoneticPr fontId="6" type="noConversion"/>
  </si>
  <si>
    <t>狐狸-茹雪</t>
    <phoneticPr fontId="6" type="noConversion"/>
  </si>
  <si>
    <t>狐狸-若火</t>
    <phoneticPr fontId="6" type="noConversion"/>
  </si>
  <si>
    <t>nvzhujue_actor</t>
  </si>
  <si>
    <t>nanzhujue_actor</t>
  </si>
  <si>
    <t>erlangshen_actor</t>
  </si>
  <si>
    <t>nezha_actor</t>
  </si>
  <si>
    <t>change_actor</t>
  </si>
  <si>
    <t>wangmuniangniang_actor</t>
  </si>
  <si>
    <t>yuhuangdadi_actor</t>
  </si>
  <si>
    <t>tieshangongzhu_actor</t>
  </si>
  <si>
    <t>niumowang_actor</t>
  </si>
  <si>
    <t>hulidaxian_actor</t>
  </si>
  <si>
    <t>liuermihou_actor</t>
  </si>
  <si>
    <t>sunwukong_actor</t>
  </si>
  <si>
    <t>zhubajie_actor</t>
  </si>
  <si>
    <t>zixiaxianzi_actor</t>
  </si>
  <si>
    <t>jiaye_actor</t>
  </si>
  <si>
    <t>douzhanshengfo_actor</t>
  </si>
  <si>
    <t>taibaijinxing_actor</t>
  </si>
  <si>
    <t>honghaier_actor</t>
  </si>
  <si>
    <t>lulidaxian_actor</t>
  </si>
  <si>
    <t>yanglidaxian_actor</t>
  </si>
  <si>
    <t>baigufuren_actor</t>
  </si>
  <si>
    <t>hundun_actor</t>
  </si>
  <si>
    <t>tangsanzang_actor</t>
  </si>
  <si>
    <t>xiaobailong_actor</t>
  </si>
  <si>
    <t>shaheshang_actor</t>
  </si>
  <si>
    <t>dizangwang_actor</t>
  </si>
  <si>
    <t>xiezijing_actor</t>
  </si>
  <si>
    <t>hunshimowang_actor</t>
  </si>
  <si>
    <t>zhizhujing_actor</t>
  </si>
  <si>
    <t>donghailongwang_actor</t>
  </si>
  <si>
    <t>yanluowang_actor</t>
  </si>
  <si>
    <t>mamian_actor</t>
  </si>
  <si>
    <t>niutou_actor</t>
  </si>
  <si>
    <t>leigong_actor</t>
  </si>
  <si>
    <t>jinghelongwang_actor</t>
  </si>
  <si>
    <t>bailonggongzhu_actor</t>
  </si>
  <si>
    <t>yumianfuren_actor</t>
  </si>
  <si>
    <t>jinqianbaowang_actor</t>
  </si>
  <si>
    <t>moyujing_actor</t>
  </si>
  <si>
    <t>tianjiang_actor</t>
  </si>
  <si>
    <t>heixiongjing_actor</t>
  </si>
  <si>
    <t>qinxian_actor</t>
  </si>
  <si>
    <t>houbing_actor</t>
  </si>
  <si>
    <t>shanzei_actor</t>
  </si>
  <si>
    <t>xiabing_actor</t>
  </si>
  <si>
    <t>huoniao_skill01,huo_shiren_skill02</t>
    <phoneticPr fontId="6" type="noConversion"/>
  </si>
  <si>
    <t>feishazoushi_skill01,tu_shiren_skill02</t>
    <phoneticPr fontId="6" type="noConversion"/>
  </si>
  <si>
    <t>zhongchui_skill01,jin_shitouren_skill02</t>
    <phoneticPr fontId="6" type="noConversion"/>
  </si>
  <si>
    <t>zhangqidutan_skill01,mu_shitouren_skill02</t>
    <phoneticPr fontId="6" type="noConversion"/>
  </si>
  <si>
    <t>jisufeijian_skill01,jin_damangjing_skill02</t>
    <phoneticPr fontId="6" type="noConversion"/>
  </si>
  <si>
    <t>jianqi_skill01</t>
    <phoneticPr fontId="6" type="noConversion"/>
  </si>
  <si>
    <t>lijianxueren_skill01,jin_jiaoren_skill02</t>
    <phoneticPr fontId="6" type="noConversion"/>
  </si>
  <si>
    <t>lijianxueren_skill01</t>
  </si>
  <si>
    <t>dujianyu_skill01,mu_damangjing_skill02</t>
    <phoneticPr fontId="6" type="noConversion"/>
  </si>
  <si>
    <t>zhangqidutan_skill01,mu_humeiren_skill02</t>
    <phoneticPr fontId="6" type="noConversion"/>
  </si>
  <si>
    <t>yingyan_skill01</t>
    <phoneticPr fontId="6" type="noConversion"/>
  </si>
  <si>
    <t>duchi_skill01</t>
    <phoneticPr fontId="6" type="noConversion"/>
  </si>
  <si>
    <t>baofengxue_skill01</t>
    <phoneticPr fontId="6" type="noConversion"/>
  </si>
  <si>
    <t>baofengxue_skill01,shui_jiaoren_skill02</t>
    <phoneticPr fontId="6" type="noConversion"/>
  </si>
  <si>
    <t>bingbao_skill01,shui_humeiren_skill02</t>
    <phoneticPr fontId="6" type="noConversion"/>
  </si>
  <si>
    <t>bingbao_skill01</t>
    <phoneticPr fontId="6" type="noConversion"/>
  </si>
  <si>
    <t>shuiwuqinshi_skill01</t>
  </si>
  <si>
    <t>shuiwuqinshi_skill01</t>
    <phoneticPr fontId="6" type="noConversion"/>
  </si>
  <si>
    <t>huoniao_skill01</t>
    <phoneticPr fontId="6" type="noConversion"/>
  </si>
  <si>
    <t>huoqiuzhadan_skill01,huo_humeiren_skill02</t>
    <phoneticPr fontId="6" type="noConversion"/>
  </si>
  <si>
    <t>rexuebaofa_skill01</t>
    <phoneticPr fontId="6" type="noConversion"/>
  </si>
  <si>
    <t>diyuhuohai_skill01</t>
    <phoneticPr fontId="6" type="noConversion"/>
  </si>
  <si>
    <t>dicituxi_skill01</t>
    <phoneticPr fontId="6" type="noConversion"/>
  </si>
  <si>
    <t>feishazoushi_skill01</t>
  </si>
  <si>
    <t>feishazoushi_skill01</t>
    <phoneticPr fontId="6" type="noConversion"/>
  </si>
  <si>
    <t>tuqiangfanghu_skill01,tu_shitouren_skill02</t>
    <phoneticPr fontId="6" type="noConversion"/>
  </si>
  <si>
    <t>leiji_skill01</t>
    <phoneticPr fontId="6" type="noConversion"/>
  </si>
  <si>
    <t>jisufeijian_skill01</t>
  </si>
  <si>
    <t>jiutianxuannv_actor</t>
    <phoneticPr fontId="6" type="noConversion"/>
  </si>
  <si>
    <t>[]</t>
    <phoneticPr fontId="6" type="noConversion"/>
  </si>
  <si>
    <t>英雄名称
[字符串]</t>
    <phoneticPr fontId="11" type="noConversion"/>
  </si>
  <si>
    <t xml:space="preserve">生命初始值
[整型] </t>
    <phoneticPr fontId="11" type="noConversion"/>
  </si>
  <si>
    <t>攻击力初始值        
[整型]</t>
    <phoneticPr fontId="11" type="noConversion"/>
  </si>
  <si>
    <t xml:space="preserve">物理防御初始值
[整型] </t>
    <phoneticPr fontId="11" type="noConversion"/>
  </si>
  <si>
    <t xml:space="preserve">魔法防御初始值
[整型] </t>
    <phoneticPr fontId="11" type="noConversion"/>
  </si>
  <si>
    <t>天兵</t>
  </si>
  <si>
    <t>角色初始仇恨值
数值为整形</t>
    <phoneticPr fontId="11" type="noConversion"/>
  </si>
  <si>
    <t>仇恨值系数
数值为浮点型</t>
    <phoneticPr fontId="11" type="noConversion"/>
  </si>
  <si>
    <t>单次伤害</t>
    <phoneticPr fontId="11" type="noConversion"/>
  </si>
  <si>
    <t>秒受伤</t>
    <phoneticPr fontId="11" type="noConversion"/>
  </si>
  <si>
    <t>战斗5秒总受伤</t>
    <phoneticPr fontId="11" type="noConversion"/>
  </si>
  <si>
    <t>掉血占比例</t>
    <phoneticPr fontId="11" type="noConversion"/>
  </si>
  <si>
    <t>战斗5秒仇恨</t>
    <phoneticPr fontId="11" type="noConversion"/>
  </si>
  <si>
    <t>第一下仇恨</t>
    <phoneticPr fontId="11" type="noConversion"/>
  </si>
  <si>
    <t>男主角</t>
    <phoneticPr fontId="11" type="noConversion"/>
  </si>
  <si>
    <t>终结伤害</t>
    <phoneticPr fontId="11" type="noConversion"/>
  </si>
  <si>
    <t>沙和尚</t>
    <phoneticPr fontId="6" type="noConversion"/>
  </si>
  <si>
    <t>九头虫</t>
    <phoneticPr fontId="6" type="noConversion"/>
  </si>
  <si>
    <t>如来佛祖</t>
    <phoneticPr fontId="6" type="noConversion"/>
  </si>
  <si>
    <t>鬼使白</t>
    <phoneticPr fontId="6" type="noConversion"/>
  </si>
  <si>
    <t>孔雀大明王</t>
    <phoneticPr fontId="6" type="noConversion"/>
  </si>
  <si>
    <t>[]</t>
    <phoneticPr fontId="6" type="noConversion"/>
  </si>
  <si>
    <t>观世阴</t>
    <phoneticPr fontId="6" type="noConversion"/>
  </si>
  <si>
    <t>description</t>
    <phoneticPr fontId="6" type="noConversion"/>
  </si>
  <si>
    <t>s</t>
    <phoneticPr fontId="6" type="noConversion"/>
  </si>
  <si>
    <t>peiyang</t>
    <phoneticPr fontId="6" type="noConversion"/>
  </si>
  <si>
    <t>shenbing</t>
    <phoneticPr fontId="6" type="noConversion"/>
  </si>
  <si>
    <t>神兵
填写对应的神兵id
相关配置game_shenbing
[]-无神兵</t>
    <phoneticPr fontId="6" type="noConversion"/>
  </si>
  <si>
    <t>角色培养
填写xilian_jihe表格ID</t>
    <phoneticPr fontId="6" type="noConversion"/>
  </si>
  <si>
    <t>鬼使黑</t>
    <phoneticPr fontId="6" type="noConversion"/>
  </si>
  <si>
    <t>guishihei_attack</t>
  </si>
  <si>
    <t>guishihei_skill01,guishihei_skill02,guishihei_skill03,guishihei_skill04</t>
  </si>
  <si>
    <t>head_guishihei</t>
  </si>
  <si>
    <t>guishihei_actor</t>
  </si>
  <si>
    <t>guishibai_attack</t>
  </si>
  <si>
    <t>head_guishibai</t>
  </si>
  <si>
    <t>guishibai_actor</t>
  </si>
  <si>
    <t>jinchanzi_attack</t>
  </si>
  <si>
    <t>jinchanzi_skill01,jinchanzi_skill02,jinchanzi_skill03,jinchanzi_skill04</t>
  </si>
  <si>
    <t>jinchanzi_actor</t>
    <phoneticPr fontId="6" type="noConversion"/>
  </si>
  <si>
    <t>白无常</t>
  </si>
  <si>
    <t>baiwuchang_attack</t>
  </si>
  <si>
    <t>baiwuchang_skill01,baiwuchang_skill02,baiwuchang_skill03,baiwuchang_skill04</t>
  </si>
  <si>
    <t>head_baiwuchang</t>
  </si>
  <si>
    <t>baiwuchang_actor</t>
  </si>
  <si>
    <t>黑无常</t>
  </si>
  <si>
    <t>heiwuchang_attack</t>
  </si>
  <si>
    <t>heiwuchang_skill01,heiwuchang_skill02,heiwuchang_skill03,heiwuchang_skill04</t>
  </si>
  <si>
    <t>head_heiwuchang</t>
  </si>
  <si>
    <t>heiwuchang_actor</t>
  </si>
  <si>
    <t>milefo_actor</t>
  </si>
  <si>
    <t>renshenwa_attack</t>
    <phoneticPr fontId="6" type="noConversion"/>
  </si>
  <si>
    <t>renshenwa_skill01,renshenwa_skill02,renshenwa_skill03,renshenwa_skill04</t>
    <phoneticPr fontId="6" type="noConversion"/>
  </si>
  <si>
    <t>renshenwa_actor</t>
    <phoneticPr fontId="6" type="noConversion"/>
  </si>
  <si>
    <t>job_desc</t>
    <phoneticPr fontId="6" type="noConversion"/>
  </si>
  <si>
    <t>wenshupusa_actor</t>
    <phoneticPr fontId="6" type="noConversion"/>
  </si>
  <si>
    <t>babutianlong_attack</t>
  </si>
  <si>
    <t>babutianlong_skill01,babutianlong_skill02,babutianlong_skill03,babutianlong_skill04</t>
  </si>
  <si>
    <t>babutianlong_actor</t>
  </si>
  <si>
    <t>longdi_attack</t>
  </si>
  <si>
    <t>longdi_skill01,longdi_skill02,longdi_skill03,longdi_skill04</t>
  </si>
  <si>
    <t>longdi_actor</t>
  </si>
  <si>
    <t>待我元灵重生，方可逆转未来</t>
    <phoneticPr fontId="6" type="noConversion"/>
  </si>
  <si>
    <t>我要逆天改命，重写西游真经</t>
    <phoneticPr fontId="6" type="noConversion"/>
  </si>
  <si>
    <t>天若赐我辉煌，我定比天猖狂</t>
    <phoneticPr fontId="6" type="noConversion"/>
  </si>
  <si>
    <t>有两个不争气的哥哥，是我人生最大的败笔！</t>
    <phoneticPr fontId="6" type="noConversion"/>
  </si>
  <si>
    <t>后羿又被拉去打排位了，好寂寞啊~</t>
    <phoneticPr fontId="6" type="noConversion"/>
  </si>
  <si>
    <t xml:space="preserve">我的美貌，岂是嫦娥所能比的！ </t>
    <phoneticPr fontId="6" type="noConversion"/>
  </si>
  <si>
    <t>死猴子，竟敢勾引我老婆！</t>
    <phoneticPr fontId="6" type="noConversion"/>
  </si>
  <si>
    <t>之前还喊人家小甜甜，现在怎的喊我牛夫人了？</t>
    <phoneticPr fontId="6" type="noConversion"/>
  </si>
  <si>
    <t>大家来猜猜，谁才是真正的齐天大圣！</t>
    <phoneticPr fontId="6" type="noConversion"/>
  </si>
  <si>
    <t>想当年，我可是大名鼎鼎天蓬元帅！</t>
    <phoneticPr fontId="6" type="noConversion"/>
  </si>
  <si>
    <t>我的意中人是一个盖世英雄！</t>
    <phoneticPr fontId="6" type="noConversion"/>
  </si>
  <si>
    <t>做人呢，既要有肚，也要有量！</t>
    <phoneticPr fontId="6" type="noConversion"/>
  </si>
  <si>
    <t>想见如来？先得过我这关！</t>
    <phoneticPr fontId="6" type="noConversion"/>
  </si>
  <si>
    <t>颤抖吧凡人，本大爷天生就浪！</t>
    <phoneticPr fontId="6" type="noConversion"/>
  </si>
  <si>
    <t>妖刀村雨，有死无生！</t>
    <phoneticPr fontId="6" type="noConversion"/>
  </si>
  <si>
    <t>如来，早晚我会取代你！</t>
    <phoneticPr fontId="6" type="noConversion"/>
  </si>
  <si>
    <t>腹黑？那是因为我脸白~</t>
    <phoneticPr fontId="6" type="noConversion"/>
  </si>
  <si>
    <t>光脚的有时候真怕穿鞋的！</t>
    <phoneticPr fontId="6" type="noConversion"/>
  </si>
  <si>
    <t>我家那笨兄长不知道又去哪里装神仙了！</t>
    <phoneticPr fontId="6" type="noConversion"/>
  </si>
  <si>
    <t>哥哥，你怎么又受伤了？我会心疼的。</t>
    <phoneticPr fontId="6" type="noConversion"/>
  </si>
  <si>
    <t>唐僧肉，我吃定了！</t>
    <phoneticPr fontId="6" type="noConversion"/>
  </si>
  <si>
    <t>王母娘娘也要让我三分！</t>
    <phoneticPr fontId="6" type="noConversion"/>
  </si>
  <si>
    <t>都说我的肉能长生不老，要不我自己试试？</t>
    <phoneticPr fontId="6" type="noConversion"/>
  </si>
  <si>
    <t>我是真正的白马王子！</t>
    <phoneticPr fontId="6" type="noConversion"/>
  </si>
  <si>
    <t>大师兄，妖怪被师傅捉走啦~</t>
    <phoneticPr fontId="6" type="noConversion"/>
  </si>
  <si>
    <t>论拳法，那老虎头怎么能和我比！</t>
    <phoneticPr fontId="6" type="noConversion"/>
  </si>
  <si>
    <t>纵使拨断琴弦，也等不到你归期了么？</t>
    <phoneticPr fontId="6" type="noConversion"/>
  </si>
  <si>
    <t>终于轮到本大爷上场了！</t>
    <phoneticPr fontId="6" type="noConversion"/>
  </si>
  <si>
    <t>哪吒！孙猴子！你们究竟和我东海有什么仇！</t>
    <phoneticPr fontId="6" type="noConversion"/>
  </si>
  <si>
    <t>为了我的美貌，奉献你的全部吧。</t>
    <phoneticPr fontId="6" type="noConversion"/>
  </si>
  <si>
    <t>本王让你三更死，谁敢留你到五更？</t>
    <phoneticPr fontId="6" type="noConversion"/>
  </si>
  <si>
    <t>别看人家个子小，我厉害着呢！</t>
    <phoneticPr fontId="6" type="noConversion"/>
  </si>
  <si>
    <t>别害怕，我是你的引魂灯。</t>
    <phoneticPr fontId="6" type="noConversion"/>
  </si>
  <si>
    <t>哇~我闻到了春天的味道。</t>
    <phoneticPr fontId="6" type="noConversion"/>
  </si>
  <si>
    <t>金圣宫娘娘可真漂亮！</t>
    <phoneticPr fontId="6" type="noConversion"/>
  </si>
  <si>
    <t>正义，是我们前进的动力！</t>
    <phoneticPr fontId="6" type="noConversion"/>
  </si>
  <si>
    <t>不知道白龙哥哥过得好不好？</t>
    <phoneticPr fontId="6" type="noConversion"/>
  </si>
  <si>
    <t>我要通过征服男人，来征服这个世界。</t>
    <phoneticPr fontId="6" type="noConversion"/>
  </si>
  <si>
    <t>想跑？没我快！</t>
    <phoneticPr fontId="6" type="noConversion"/>
  </si>
  <si>
    <t>我会是你的死刑执行者！</t>
    <phoneticPr fontId="6" type="noConversion"/>
  </si>
  <si>
    <t>猪八戒那个吃货，又来抢我月饼了！</t>
    <phoneticPr fontId="6" type="noConversion"/>
  </si>
  <si>
    <t>不要再挣扎了，没用的。</t>
    <phoneticPr fontId="6" type="noConversion"/>
  </si>
  <si>
    <t>时辰已到，上路吧！</t>
    <phoneticPr fontId="6" type="noConversion"/>
  </si>
  <si>
    <t>勾魂，可是个辛苦活</t>
    <phoneticPr fontId="6" type="noConversion"/>
  </si>
  <si>
    <t>在地府打杂，不是一般人干的来的。</t>
    <phoneticPr fontId="6" type="noConversion"/>
  </si>
  <si>
    <t>紫霞，你区区一根灯芯，也配拥有幸福？</t>
    <phoneticPr fontId="6" type="noConversion"/>
  </si>
  <si>
    <t>纵行山河万里，肆意九州五岳</t>
    <phoneticPr fontId="6" type="noConversion"/>
  </si>
  <si>
    <t>侍女</t>
    <phoneticPr fontId="6" type="noConversion"/>
  </si>
  <si>
    <t>女婢请安了！</t>
    <phoneticPr fontId="6" type="noConversion"/>
  </si>
  <si>
    <t>shinv_attack</t>
    <phoneticPr fontId="6" type="noConversion"/>
  </si>
  <si>
    <t>head_shinv</t>
    <phoneticPr fontId="6" type="noConversion"/>
  </si>
  <si>
    <t>llvsebiankuang</t>
    <phoneticPr fontId="6" type="noConversion"/>
  </si>
  <si>
    <t>shinv_actor</t>
    <phoneticPr fontId="6" type="noConversion"/>
  </si>
  <si>
    <t>强盗</t>
    <phoneticPr fontId="6" type="noConversion"/>
  </si>
  <si>
    <t>留下买路财！</t>
    <phoneticPr fontId="6" type="noConversion"/>
  </si>
  <si>
    <t>qiangdao_attack</t>
    <phoneticPr fontId="6" type="noConversion"/>
  </si>
  <si>
    <t>head_qiangdao</t>
    <phoneticPr fontId="6" type="noConversion"/>
  </si>
  <si>
    <t>qiangdao_actor</t>
    <phoneticPr fontId="6" type="noConversion"/>
  </si>
  <si>
    <t>野猪怪</t>
    <phoneticPr fontId="6" type="noConversion"/>
  </si>
  <si>
    <t>yezhuguai_attack</t>
    <phoneticPr fontId="6" type="noConversion"/>
  </si>
  <si>
    <t>head_yezhuguai</t>
    <phoneticPr fontId="6" type="noConversion"/>
  </si>
  <si>
    <t>yezhuguai_actor</t>
    <phoneticPr fontId="6" type="noConversion"/>
  </si>
  <si>
    <t>蟹将</t>
    <phoneticPr fontId="6" type="noConversion"/>
  </si>
  <si>
    <t>xiejiang_attack_L</t>
    <phoneticPr fontId="6" type="noConversion"/>
  </si>
  <si>
    <t>head_xiejiang</t>
    <phoneticPr fontId="6" type="noConversion"/>
  </si>
  <si>
    <t>lvsebiankuang</t>
    <phoneticPr fontId="6" type="noConversion"/>
  </si>
  <si>
    <t>xiejiang_actor</t>
    <phoneticPr fontId="6" type="noConversion"/>
  </si>
  <si>
    <t>狂豹</t>
    <phoneticPr fontId="6" type="noConversion"/>
  </si>
  <si>
    <t>kuangbao_attack</t>
    <phoneticPr fontId="6" type="noConversion"/>
  </si>
  <si>
    <t>head_kuangbao</t>
    <phoneticPr fontId="6" type="noConversion"/>
  </si>
  <si>
    <t>kuangbao_actor</t>
    <phoneticPr fontId="6" type="noConversion"/>
  </si>
  <si>
    <t>护卫</t>
    <phoneticPr fontId="6" type="noConversion"/>
  </si>
  <si>
    <t>收了保护费你就是我的人了!</t>
    <phoneticPr fontId="6" type="noConversion"/>
  </si>
  <si>
    <t>huwei_attack</t>
    <phoneticPr fontId="6" type="noConversion"/>
  </si>
  <si>
    <t>head_huwei</t>
    <phoneticPr fontId="6" type="noConversion"/>
  </si>
  <si>
    <t>huwei_actor</t>
    <phoneticPr fontId="6" type="noConversion"/>
  </si>
  <si>
    <t>龟丞相</t>
    <phoneticPr fontId="6" type="noConversion"/>
  </si>
  <si>
    <t>guichengxiang_attack</t>
    <phoneticPr fontId="6" type="noConversion"/>
  </si>
  <si>
    <t>head_guichengxiang</t>
    <phoneticPr fontId="6" type="noConversion"/>
  </si>
  <si>
    <t>guichengxiang_actor</t>
    <phoneticPr fontId="6" type="noConversion"/>
  </si>
  <si>
    <t>炎魔</t>
    <phoneticPr fontId="6" type="noConversion"/>
  </si>
  <si>
    <t>yanmo_attack</t>
    <phoneticPr fontId="6" type="noConversion"/>
  </si>
  <si>
    <t>head_yanmo</t>
    <phoneticPr fontId="6" type="noConversion"/>
  </si>
  <si>
    <t>yanmo_actor</t>
    <phoneticPr fontId="6" type="noConversion"/>
  </si>
  <si>
    <t>天将</t>
    <phoneticPr fontId="6" type="noConversion"/>
  </si>
  <si>
    <t>tianjiang_attack</t>
    <phoneticPr fontId="6" type="noConversion"/>
  </si>
  <si>
    <t>御弟哥哥，你就从了朕吧！</t>
  </si>
  <si>
    <t>nverguoguowang_attack</t>
  </si>
  <si>
    <t>nverguoguowang_skill01,nverguoguowang_skill02,nverguoguowang_skill03,nverguoguowang_skill04</t>
  </si>
  <si>
    <t>nverguoguowang_actor</t>
  </si>
  <si>
    <t>head_nverguoguowang</t>
    <phoneticPr fontId="6" type="noConversion"/>
  </si>
  <si>
    <t>刺客型，快速攻击，制造毁灭性伤害</t>
  </si>
  <si>
    <t>防御型，偏重于防御，生命值和防御都会偏高</t>
  </si>
  <si>
    <t>镇元大仙</t>
    <phoneticPr fontId="6" type="noConversion"/>
  </si>
  <si>
    <t>新手引导</t>
    <phoneticPr fontId="6" type="noConversion"/>
  </si>
  <si>
    <t>人参娃</t>
    <phoneticPr fontId="6" type="noConversion"/>
  </si>
  <si>
    <t>head_renshenwa</t>
    <phoneticPr fontId="6" type="noConversion"/>
  </si>
  <si>
    <t>saitaisui_attack</t>
    <phoneticPr fontId="6" type="noConversion"/>
  </si>
  <si>
    <t>head_saitaisui</t>
    <phoneticPr fontId="6" type="noConversion"/>
  </si>
  <si>
    <t>saitaisui_actor</t>
    <phoneticPr fontId="6" type="noConversion"/>
  </si>
  <si>
    <t>托塔天王</t>
    <phoneticPr fontId="6" type="noConversion"/>
  </si>
  <si>
    <t>tuotatianwang_attack</t>
    <phoneticPr fontId="6" type="noConversion"/>
  </si>
  <si>
    <t>head_tuotatianwang</t>
    <phoneticPr fontId="6" type="noConversion"/>
  </si>
  <si>
    <t>tuotatianwang_actor</t>
    <phoneticPr fontId="6" type="noConversion"/>
  </si>
  <si>
    <t>所有的生灵在生死面前，都是苍白的。</t>
    <phoneticPr fontId="6" type="noConversion"/>
  </si>
  <si>
    <t>老臣都一把年纪了，你们下手轻点！</t>
    <phoneticPr fontId="6" type="noConversion"/>
  </si>
  <si>
    <t>我是火焰的主宰！</t>
    <phoneticPr fontId="6" type="noConversion"/>
  </si>
  <si>
    <t>虾兵虾兵，我是蟹将！</t>
    <phoneticPr fontId="6" type="noConversion"/>
  </si>
  <si>
    <t>蟹将蟹将，我是虾兵！</t>
    <phoneticPr fontId="6" type="noConversion"/>
  </si>
  <si>
    <t>嗷嗷嗷~~~~被老子的英姿吓傻了么？</t>
    <phoneticPr fontId="6" type="noConversion"/>
  </si>
  <si>
    <t>缥缈天宫，由我来守护！</t>
    <phoneticPr fontId="6" type="noConversion"/>
  </si>
  <si>
    <t>缥缈天宫，由我来守护！</t>
    <phoneticPr fontId="6" type="noConversion"/>
  </si>
  <si>
    <t>head_kongquedamingwang</t>
    <phoneticPr fontId="6" type="noConversion"/>
  </si>
  <si>
    <t>kongquedamingwang_actor</t>
    <phoneticPr fontId="6" type="noConversion"/>
  </si>
  <si>
    <t>head_shiren_guangqi</t>
    <phoneticPr fontId="6" type="noConversion"/>
  </si>
  <si>
    <t>shiren_guangqi_actor</t>
    <phoneticPr fontId="6" type="noConversion"/>
  </si>
  <si>
    <t>shiren_lihui_actor</t>
    <phoneticPr fontId="6" type="noConversion"/>
  </si>
  <si>
    <t>head_shiren_lihui</t>
    <phoneticPr fontId="6" type="noConversion"/>
  </si>
  <si>
    <t>head_shiren_boda</t>
    <phoneticPr fontId="6" type="noConversion"/>
  </si>
  <si>
    <t>shiren_boda_actor</t>
    <phoneticPr fontId="6" type="noConversion"/>
  </si>
  <si>
    <t>head_shiren_liluo</t>
    <phoneticPr fontId="6" type="noConversion"/>
  </si>
  <si>
    <t>shiren_liluo_actor</t>
    <phoneticPr fontId="6" type="noConversion"/>
  </si>
  <si>
    <t>shiren_anhe_actor</t>
    <phoneticPr fontId="6" type="noConversion"/>
  </si>
  <si>
    <t>head_shiren_anhe</t>
    <phoneticPr fontId="6" type="noConversion"/>
  </si>
  <si>
    <t>head_mangjing_yafu</t>
    <phoneticPr fontId="6" type="noConversion"/>
  </si>
  <si>
    <t>mangjing_yafu_actor</t>
    <phoneticPr fontId="6" type="noConversion"/>
  </si>
  <si>
    <t>mangjing_yina_actor</t>
    <phoneticPr fontId="6" type="noConversion"/>
  </si>
  <si>
    <t>head_mangjing_yina</t>
    <phoneticPr fontId="6" type="noConversion"/>
  </si>
  <si>
    <t>head_huli_youxuan</t>
    <phoneticPr fontId="6" type="noConversion"/>
  </si>
  <si>
    <t>huli_youxuan_actor</t>
    <phoneticPr fontId="6" type="noConversion"/>
  </si>
  <si>
    <t>head_huli_ruxue</t>
    <phoneticPr fontId="6" type="noConversion"/>
  </si>
  <si>
    <t>huli_ruxue_actor</t>
    <phoneticPr fontId="6" type="noConversion"/>
  </si>
  <si>
    <t>huli_ruohuo_actor</t>
    <phoneticPr fontId="6" type="noConversion"/>
  </si>
  <si>
    <t>head_huli_ruohuo</t>
    <phoneticPr fontId="6" type="noConversion"/>
  </si>
  <si>
    <t>head_jiaoren_yuechan</t>
    <phoneticPr fontId="6" type="noConversion"/>
  </si>
  <si>
    <t>jiaoren_yuechan_actor</t>
    <phoneticPr fontId="6" type="noConversion"/>
  </si>
  <si>
    <t>head_yecha_jinli</t>
    <phoneticPr fontId="6" type="noConversion"/>
  </si>
  <si>
    <t>yecha_jinli_actor</t>
    <phoneticPr fontId="6" type="noConversion"/>
  </si>
  <si>
    <t>yecha_bitao_actor</t>
    <phoneticPr fontId="6" type="noConversion"/>
  </si>
  <si>
    <t>head_yecha_bitao</t>
    <phoneticPr fontId="6" type="noConversion"/>
  </si>
  <si>
    <t>head_tianbing_jinbing</t>
    <phoneticPr fontId="6" type="noConversion"/>
  </si>
  <si>
    <t>tianbing_jinbing_actor</t>
    <phoneticPr fontId="6" type="noConversion"/>
  </si>
  <si>
    <t>tianbing_zhengzhong_actor</t>
    <phoneticPr fontId="6" type="noConversion"/>
  </si>
  <si>
    <t>head_tianbing_zhengzhong</t>
    <phoneticPr fontId="6" type="noConversion"/>
  </si>
  <si>
    <t>head_tianbing_huoxi</t>
    <phoneticPr fontId="6" type="noConversion"/>
  </si>
  <si>
    <t>tianbing_huoxi_actor</t>
    <phoneticPr fontId="6" type="noConversion"/>
  </si>
  <si>
    <t>head_langren_huojing</t>
    <phoneticPr fontId="6" type="noConversion"/>
  </si>
  <si>
    <t>langren_huojing_actor</t>
    <phoneticPr fontId="6" type="noConversion"/>
  </si>
  <si>
    <t>head_langren_huowen</t>
    <phoneticPr fontId="6" type="noConversion"/>
  </si>
  <si>
    <t>langren_huowen_actor</t>
    <phoneticPr fontId="6" type="noConversion"/>
  </si>
  <si>
    <t>head_langren_huoda</t>
    <phoneticPr fontId="6" type="noConversion"/>
  </si>
  <si>
    <t>langren_huoda_actor</t>
    <phoneticPr fontId="6" type="noConversion"/>
  </si>
  <si>
    <t>head_langren_huoge</t>
    <phoneticPr fontId="6" type="noConversion"/>
  </si>
  <si>
    <t>langren_huoge_actor</t>
    <phoneticPr fontId="6" type="noConversion"/>
  </si>
  <si>
    <t>head_langren_huowu</t>
    <phoneticPr fontId="6" type="noConversion"/>
  </si>
  <si>
    <t>head_kulou_deming</t>
    <phoneticPr fontId="6" type="noConversion"/>
  </si>
  <si>
    <t>kulou_deming_actor</t>
    <phoneticPr fontId="6" type="noConversion"/>
  </si>
  <si>
    <t>langren_huowu_actor</t>
    <phoneticPr fontId="6" type="noConversion"/>
  </si>
  <si>
    <t>head_kulou_qiwei</t>
    <phoneticPr fontId="6" type="noConversion"/>
  </si>
  <si>
    <t>kulou_qiwei_actor</t>
    <phoneticPr fontId="6" type="noConversion"/>
  </si>
  <si>
    <t>head_kulou_deyuan</t>
    <phoneticPr fontId="6" type="noConversion"/>
  </si>
  <si>
    <t>kulou_deyuan_actor</t>
    <phoneticPr fontId="6" type="noConversion"/>
  </si>
  <si>
    <t>head_kulou_pengze</t>
    <phoneticPr fontId="6" type="noConversion"/>
  </si>
  <si>
    <t>kulou_pengze_actor</t>
    <phoneticPr fontId="6" type="noConversion"/>
  </si>
  <si>
    <t>head_zhizhu_yuanyao</t>
    <phoneticPr fontId="6" type="noConversion"/>
  </si>
  <si>
    <t>zhizhu_yuanyao_actor</t>
    <phoneticPr fontId="6" type="noConversion"/>
  </si>
  <si>
    <t>head_zhizhu_lianhan</t>
    <phoneticPr fontId="6" type="noConversion"/>
  </si>
  <si>
    <t>zhizhu_lianhan_actor</t>
    <phoneticPr fontId="6" type="noConversion"/>
  </si>
  <si>
    <t>zhizhu_panxiang_actor</t>
    <phoneticPr fontId="6" type="noConversion"/>
  </si>
  <si>
    <t>head_zhizhu_panxiang</t>
    <phoneticPr fontId="6" type="noConversion"/>
  </si>
  <si>
    <t>head_nvgui_xinyao</t>
    <phoneticPr fontId="6" type="noConversion"/>
  </si>
  <si>
    <t>nvgui_xinyao_actor</t>
    <phoneticPr fontId="6" type="noConversion"/>
  </si>
  <si>
    <t>head_nvgui_sangyu</t>
    <phoneticPr fontId="6" type="noConversion"/>
  </si>
  <si>
    <t>nvgui_sangyu_actor</t>
    <phoneticPr fontId="6" type="noConversion"/>
  </si>
  <si>
    <t>head_nvgui_lingfei</t>
    <phoneticPr fontId="6" type="noConversion"/>
  </si>
  <si>
    <t>nvgui_lingfei_actor</t>
    <phoneticPr fontId="6" type="noConversion"/>
  </si>
  <si>
    <t>head_nvgui_yuyan</t>
    <phoneticPr fontId="6" type="noConversion"/>
  </si>
  <si>
    <t>nvgui_yuyan_actor</t>
    <phoneticPr fontId="6" type="noConversion"/>
  </si>
  <si>
    <t>chijiaodaxian_actor</t>
    <phoneticPr fontId="6" type="noConversion"/>
  </si>
  <si>
    <t>yutu_attack</t>
    <phoneticPr fontId="6" type="noConversion"/>
  </si>
  <si>
    <t>yutu_skill01,yutu_skill02,yutu_skill03,yutu_skill04</t>
    <phoneticPr fontId="6" type="noConversion"/>
  </si>
  <si>
    <t>head_yutu</t>
    <phoneticPr fontId="6" type="noConversion"/>
  </si>
  <si>
    <t>yutu_actor</t>
    <phoneticPr fontId="6" type="noConversion"/>
  </si>
  <si>
    <t>神兵
填写对应的神兵id
相关配置game_shenbing
[]-无神兵</t>
  </si>
  <si>
    <t>英雄ID
[字符串]
调用角色的唯一ID
1101-1500伙伴
1500-2000特殊伙伴
（助战或者新手引导）
2000以上临时伙伴</t>
  </si>
  <si>
    <t>战斗定位
1=辅助
2=远程
3=近战
4=防御
5=主角</t>
  </si>
  <si>
    <t>魔法成长
[浮点型]</t>
  </si>
  <si>
    <t>攻击成长[浮点型]</t>
  </si>
  <si>
    <t>羁绊角色组
[字符串]
调用hero_jiban的id</t>
  </si>
  <si>
    <t>英雄是否在祭坛显示[整型]
1=开放
2=隐藏
无用</t>
    <phoneticPr fontId="16" type="noConversion"/>
  </si>
  <si>
    <t>初始资质
（不参与数值计算，仅用于显示）
[整型]</t>
    <phoneticPr fontId="16" type="noConversion"/>
  </si>
  <si>
    <t>攻击范围
[浮点型]</t>
    <phoneticPr fontId="16" type="noConversion"/>
  </si>
  <si>
    <t>视野范围
[浮点型]</t>
    <phoneticPr fontId="16" type="noConversion"/>
  </si>
  <si>
    <t>移动速度
初始值
[浮点]</t>
    <phoneticPr fontId="16" type="noConversion"/>
  </si>
  <si>
    <t>攻击速度
初始值
[浮点]</t>
    <phoneticPr fontId="16" type="noConversion"/>
  </si>
  <si>
    <t>生命
初始值
[整型]</t>
    <phoneticPr fontId="16" type="noConversion"/>
  </si>
  <si>
    <t>魔法
初始值
[整型]</t>
    <phoneticPr fontId="16" type="noConversion"/>
  </si>
  <si>
    <t>魔法
回复初始值
（仅针对主角）
[整型]</t>
    <phoneticPr fontId="16" type="noConversion"/>
  </si>
  <si>
    <t>攻击力
初始值
[整型]</t>
    <phoneticPr fontId="16" type="noConversion"/>
  </si>
  <si>
    <t>物理防御
初始值
[整型]</t>
    <phoneticPr fontId="16" type="noConversion"/>
  </si>
  <si>
    <t>魔法防御
初始值
[整型]</t>
    <phoneticPr fontId="16" type="noConversion"/>
  </si>
  <si>
    <t>命中
初始值
（百分比）</t>
    <phoneticPr fontId="16" type="noConversion"/>
  </si>
  <si>
    <t>闪避
初始值
（百分比）</t>
    <phoneticPr fontId="16" type="noConversion"/>
  </si>
  <si>
    <t>暴击
初始值
（百分比）</t>
    <phoneticPr fontId="16" type="noConversion"/>
  </si>
  <si>
    <t>抗暴击
初始值
（百分比）</t>
    <phoneticPr fontId="16" type="noConversion"/>
  </si>
  <si>
    <t>伤害减免
初始值
（百分比）</t>
    <phoneticPr fontId="16" type="noConversion"/>
  </si>
  <si>
    <t xml:space="preserve">伤害加成
初始值
（百分比）
</t>
    <phoneticPr fontId="16" type="noConversion"/>
  </si>
  <si>
    <t>生命成长
[浮点型]</t>
    <phoneticPr fontId="16" type="noConversion"/>
  </si>
  <si>
    <t>魔法回复成长
（仅针对主角）
[浮点型]</t>
    <phoneticPr fontId="16" type="noConversion"/>
  </si>
  <si>
    <t>物理防御成长
[浮点型]</t>
    <phoneticPr fontId="16" type="noConversion"/>
  </si>
  <si>
    <t>魔法防御成长
[浮点型]</t>
    <phoneticPr fontId="16" type="noConversion"/>
  </si>
  <si>
    <t>闪避成长
[浮点型]</t>
    <phoneticPr fontId="16" type="noConversion"/>
  </si>
  <si>
    <t>命中成长
[浮点型]</t>
    <phoneticPr fontId="16" type="noConversion"/>
  </si>
  <si>
    <t>暴击成长
[浮点型]</t>
    <phoneticPr fontId="16" type="noConversion"/>
  </si>
  <si>
    <t>抗暴成长
[浮点型]</t>
    <phoneticPr fontId="16" type="noConversion"/>
  </si>
  <si>
    <t>进阶组
(读取一组连续ID)
起始ID|长度
调用hero_jinjie的id</t>
    <phoneticPr fontId="16" type="noConversion"/>
  </si>
  <si>
    <t>进阶附加的效果组
(读取jinjie_effect)</t>
    <phoneticPr fontId="16" type="noConversion"/>
  </si>
  <si>
    <t>觉醒组起点
(读取一组连续数据）
调用hero_juexing表里的id</t>
    <phoneticPr fontId="16" type="noConversion"/>
  </si>
  <si>
    <t>觉醒最大
等级</t>
    <phoneticPr fontId="16" type="noConversion"/>
  </si>
  <si>
    <t>羁绊装备组
[字符串数组]
调用hero_jiban的id</t>
    <phoneticPr fontId="16" type="noConversion"/>
  </si>
  <si>
    <t>羁绊法宝组
[字符串数组]
调用hero_jiban的id</t>
    <phoneticPr fontId="16" type="noConversion"/>
  </si>
  <si>
    <t xml:space="preserve">分解可获得的
货币精魄数量
</t>
    <phoneticPr fontId="16" type="noConversion"/>
  </si>
  <si>
    <t>角色初始仇恨值
（用于角色进入怪物警戒范围后，
怪物初始目标的选择）
数值为整形</t>
    <phoneticPr fontId="16" type="noConversion"/>
  </si>
  <si>
    <t>角色培养
填写xilian_jihe表格ID</t>
    <phoneticPr fontId="16" type="noConversion"/>
  </si>
  <si>
    <t>英雄类型
1=仙
2=妖
3=佛
4=不显示
6=主角</t>
    <phoneticPr fontId="16" type="noConversion"/>
  </si>
  <si>
    <t>英雄职业描述
1=辅助
2=法师
3=战士
4=防御
5=刺客
6=主角</t>
    <phoneticPr fontId="16" type="noConversion"/>
  </si>
  <si>
    <t>初始品质
[整型]
0=无品质
1=绿色
2=蓝色
3=紫色
4=橙色
5=红色</t>
    <phoneticPr fontId="16" type="noConversion"/>
  </si>
  <si>
    <t>武将品质</t>
    <phoneticPr fontId="19" type="noConversion"/>
  </si>
  <si>
    <t>属性调整</t>
    <phoneticPr fontId="19" type="noConversion"/>
  </si>
  <si>
    <t>随机数</t>
    <phoneticPr fontId="16" type="noConversion"/>
  </si>
  <si>
    <t xml:space="preserve">魔法
</t>
    <phoneticPr fontId="16" type="noConversion"/>
  </si>
  <si>
    <t>优化数值</t>
    <phoneticPr fontId="16" type="noConversion"/>
  </si>
  <si>
    <t>哼哼！不许喊俺老猪蓬蓬！</t>
    <phoneticPr fontId="6" type="noConversion"/>
  </si>
  <si>
    <t>羁绊装备组
[字符串数组]
调用hero_jiban的id</t>
  </si>
  <si>
    <t>扇子精</t>
    <phoneticPr fontId="6" type="noConversion"/>
  </si>
  <si>
    <t>太上老君</t>
    <phoneticPr fontId="6" type="noConversion"/>
  </si>
  <si>
    <t>10201,10202,10203,10204,10205,10206</t>
  </si>
  <si>
    <t>10501,10502,10503,10504,10505,10506</t>
  </si>
  <si>
    <t>10401,10402,10403,10404,10405,10406</t>
  </si>
  <si>
    <t>10601,10602,10603,10604</t>
  </si>
  <si>
    <t>10401,10402,10403,10404</t>
  </si>
  <si>
    <t>10101,10102,10103,10104</t>
  </si>
  <si>
    <t>10501,10502,10503,10504</t>
  </si>
  <si>
    <t>10601,10602,10603,10604,10605,10606</t>
  </si>
  <si>
    <t>shanzijing_attack</t>
    <phoneticPr fontId="6" type="noConversion"/>
  </si>
  <si>
    <t>shanzijing_skill01,shanzijing_skill02,shanzijing_skill03,shanzijing_skill04</t>
    <phoneticPr fontId="6" type="noConversion"/>
  </si>
  <si>
    <t>zisebiankuang</t>
    <phoneticPr fontId="6" type="noConversion"/>
  </si>
  <si>
    <t>shanzijing_actor</t>
    <phoneticPr fontId="6" type="noConversion"/>
  </si>
  <si>
    <t>head_shanzijing</t>
    <phoneticPr fontId="6" type="noConversion"/>
  </si>
  <si>
    <t>武器模型</t>
    <phoneticPr fontId="6" type="noConversion"/>
  </si>
  <si>
    <t>武器特效</t>
    <phoneticPr fontId="6" type="noConversion"/>
  </si>
  <si>
    <t>人物模型</t>
    <phoneticPr fontId="6" type="noConversion"/>
  </si>
  <si>
    <t>特效触发时机|特效ID[字符串数组]0=不触发1=出生时|表现包ID2=死亡时|表现包ID5=英雄面板独有7=英雄自带特效（永不删除）</t>
  </si>
  <si>
    <t>攻击范围[浮点型]</t>
  </si>
  <si>
    <t>视野范围[浮点型]</t>
  </si>
  <si>
    <t>生命初始值
[整型]</t>
  </si>
  <si>
    <t>魔法初始值
[整型]</t>
  </si>
  <si>
    <t>魔法回复初始值（仅针对主角）
[整型]</t>
  </si>
  <si>
    <t>攻击力初始值[整型]</t>
  </si>
  <si>
    <t>抗暴击初始值（百分比）</t>
  </si>
  <si>
    <t>生命成长[浮点型]</t>
  </si>
  <si>
    <t>魔法回复成长（仅针对主角）
[浮点型]</t>
  </si>
  <si>
    <t>闪避成长[浮点型]</t>
  </si>
  <si>
    <t>命中成长[浮点型]</t>
  </si>
  <si>
    <t>暴击成长[浮点型]</t>
  </si>
  <si>
    <t>觉醒组起点(读取一组连续数据）调用hero_juexing表里的id</t>
  </si>
  <si>
    <t xml:space="preserve">分解可获得的货币精魄数量
</t>
  </si>
  <si>
    <t>角色半身像资源调用game_res的id</t>
  </si>
  <si>
    <t>英雄ID
[字符串]
调用角色的唯一ID
1101-1500伙伴
1500-2000特殊伙伴（助战或者新手引导）
2000以上临时伙伴</t>
    <phoneticPr fontId="6" type="noConversion"/>
  </si>
  <si>
    <t>英雄名称
[字符串]</t>
    <phoneticPr fontId="6" type="noConversion"/>
  </si>
  <si>
    <t>头像图片ID
[字符串数组]
调用game_res里面的id</t>
    <phoneticPr fontId="6" type="noConversion"/>
  </si>
  <si>
    <t>边框资源ID
[字符串]
调用game_res里面的id
此字段未用到，伙伴边框由伙伴品质决定。</t>
    <phoneticPr fontId="6" type="noConversion"/>
  </si>
  <si>
    <t>资源ID
调用game_res里面的id</t>
    <phoneticPr fontId="6" type="noConversion"/>
  </si>
  <si>
    <t>公共技能ID
[字符串数组]
调用skill_main里面的id</t>
    <phoneticPr fontId="6" type="noConversion"/>
  </si>
  <si>
    <t>技能ID
[字符串数组]
调用skill_main里面的id</t>
    <phoneticPr fontId="6" type="noConversion"/>
  </si>
  <si>
    <t>普通攻击
调用skill_main里面的id</t>
    <phoneticPr fontId="6" type="noConversion"/>
  </si>
  <si>
    <t>英雄是否在祭坛显示
[整型]
1=开放
2=隐藏无用</t>
    <phoneticPr fontId="6" type="noConversion"/>
  </si>
  <si>
    <t>英雄类型
1=仙
2=妖
3=佛
4=不显示
6=主角
可控制聚仙的显示，对应聚仙预览里面的标签</t>
    <phoneticPr fontId="6" type="noConversion"/>
  </si>
  <si>
    <t>hero_dubbing</t>
    <phoneticPr fontId="6" type="noConversion"/>
  </si>
  <si>
    <t>battle_dubbing</t>
    <phoneticPr fontId="6" type="noConversion"/>
  </si>
  <si>
    <t>s</t>
    <phoneticPr fontId="6" type="noConversion"/>
  </si>
  <si>
    <t>战斗核心技能配音
支持配置数组
无配音填写[]</t>
    <phoneticPr fontId="6" type="noConversion"/>
  </si>
  <si>
    <t>角色展示配音
支持配置数组
无配音填写[]</t>
    <phoneticPr fontId="6" type="noConversion"/>
  </si>
  <si>
    <t>[]</t>
    <phoneticPr fontId="6" type="noConversion"/>
  </si>
  <si>
    <t>atk_speed</t>
    <phoneticPr fontId="6" type="noConversion"/>
  </si>
  <si>
    <t>atk_range</t>
    <phoneticPr fontId="6" type="noConversion"/>
  </si>
  <si>
    <t>common_fangyu,common_chaofeng</t>
  </si>
  <si>
    <t>zhongchui_skill01</t>
    <phoneticPr fontId="6" type="noConversion"/>
  </si>
  <si>
    <t>huoqiuzhadan_skill01</t>
    <phoneticPr fontId="6" type="noConversion"/>
  </si>
  <si>
    <t>taishanyading_skill01,tianjiang_skill02</t>
    <phoneticPr fontId="6" type="noConversion"/>
  </si>
  <si>
    <t>jinganghuti_skill01</t>
    <phoneticPr fontId="6" type="noConversion"/>
  </si>
  <si>
    <t>baigufuren_a_01</t>
  </si>
  <si>
    <t>bailonggongzhu_a_01</t>
  </si>
  <si>
    <t>baiwuchang_a_01,baiwuchang_a_02</t>
    <phoneticPr fontId="6" type="noConversion"/>
  </si>
  <si>
    <t>change_a_01,change_a_02</t>
    <phoneticPr fontId="6" type="noConversion"/>
  </si>
  <si>
    <t>donghailongwang_a_01</t>
    <phoneticPr fontId="6" type="noConversion"/>
  </si>
  <si>
    <t>douzhanshengfuo_a_01,douzhanshengfuo_a_02</t>
    <phoneticPr fontId="6" type="noConversion"/>
  </si>
  <si>
    <t>erlangshen_a_01,erlangshen_a_02</t>
    <phoneticPr fontId="6" type="noConversion"/>
  </si>
  <si>
    <t>guanyin_a_01,guanyin_a_02</t>
    <phoneticPr fontId="6" type="noConversion"/>
  </si>
  <si>
    <t>guishibai_a_01</t>
    <phoneticPr fontId="6" type="noConversion"/>
  </si>
  <si>
    <t>guishihei_a_01</t>
    <phoneticPr fontId="6" type="noConversion"/>
  </si>
  <si>
    <t>heiwuchang_a_01,heiwuchang_a_02</t>
    <phoneticPr fontId="6" type="noConversion"/>
  </si>
  <si>
    <t>honghaier_a_01</t>
    <phoneticPr fontId="6" type="noConversion"/>
  </si>
  <si>
    <t>hulidaxian_a_01,hulidaxian_a_02</t>
    <phoneticPr fontId="6" type="noConversion"/>
  </si>
  <si>
    <t>hundun_a_01</t>
    <phoneticPr fontId="6" type="noConversion"/>
  </si>
  <si>
    <t>hunshimowang_a_01</t>
    <phoneticPr fontId="6" type="noConversion"/>
  </si>
  <si>
    <t>jinchanzi_a_01_01,jinchanzi_a_01_03,jinchanzi_a_02_01,jinchanzi_a_02_02</t>
    <phoneticPr fontId="6" type="noConversion"/>
  </si>
  <si>
    <t>jinqianbaowang_a_01</t>
    <phoneticPr fontId="6" type="noConversion"/>
  </si>
  <si>
    <t>jiutianxuannv_a_01,jiutianxuannv_a_02</t>
    <phoneticPr fontId="6" type="noConversion"/>
  </si>
  <si>
    <t>leigong_a_01</t>
    <phoneticPr fontId="6" type="noConversion"/>
  </si>
  <si>
    <t>liuermihou_a_01,liuermihou_a_02</t>
    <phoneticPr fontId="6" type="noConversion"/>
  </si>
  <si>
    <t>longdi_a_01,longdi_a_02</t>
    <phoneticPr fontId="6" type="noConversion"/>
  </si>
  <si>
    <t>lulidaxian_a_01</t>
    <phoneticPr fontId="6" type="noConversion"/>
  </si>
  <si>
    <t>milefuo_a_01,milefuo_a_02</t>
    <phoneticPr fontId="6" type="noConversion"/>
  </si>
  <si>
    <t>nanzhujue_a_01_01,nanzhujue_a_01_02,nanzhujue_a_02_01,nanzhujue_b_01_01,nanzhujue_b_02_01,nanzhujue_b_02_02,nanzhujue_b_02_03,nanzhujue_b_03_01,nanzhujue_b_04_01,nanzhujue_b_05_01,nanzhujue_b_06_01,nanzhujue_b_07_01,nanzhujue_b_08_01,nanzhujue_b_09_01,nanzhujue_b_10_01</t>
    <phoneticPr fontId="6" type="noConversion"/>
  </si>
  <si>
    <t>nezha_a_01,nezha_a_02</t>
    <phoneticPr fontId="6" type="noConversion"/>
  </si>
  <si>
    <t>niumowang_a_01,niumowang_a_01_01,niumowang_a_01_02</t>
    <phoneticPr fontId="6" type="noConversion"/>
  </si>
  <si>
    <t>nverguoguowang_a_01</t>
    <phoneticPr fontId="6" type="noConversion"/>
  </si>
  <si>
    <t>nvzhujue_a_01,nvzhujue_a_02,nvzhujue_b_01,nvzhujue_b_02,nvzhujue_b_03,nvzhujue_b_04,nvzhujue_b_05,nvzhujue_b_06,nvzhujue_b_07,nvzhujue_b_08,nvzhujue_b_09,nvzhujue_b_10</t>
    <phoneticPr fontId="6" type="noConversion"/>
  </si>
  <si>
    <t>renshenwawa_a_01</t>
    <phoneticPr fontId="6" type="noConversion"/>
  </si>
  <si>
    <t>saitaisui_a_01</t>
    <phoneticPr fontId="6" type="noConversion"/>
  </si>
  <si>
    <t>shaheshang_a_01_01,shaheshang_a_01_02,shaheshang_a_01_03</t>
    <phoneticPr fontId="6" type="noConversion"/>
  </si>
  <si>
    <t>sunwukong_a_01,sunwukong_a_02</t>
    <phoneticPr fontId="6" type="noConversion"/>
  </si>
  <si>
    <t>taibaijinxing_a_01</t>
    <phoneticPr fontId="6" type="noConversion"/>
  </si>
  <si>
    <t>tangsanzang_a_01</t>
    <phoneticPr fontId="6" type="noConversion"/>
  </si>
  <si>
    <t>babutianlong_a_01,babutianlong_a_02</t>
    <phoneticPr fontId="6" type="noConversion"/>
  </si>
  <si>
    <t>tieshangongzhu_a_01,tieshangongzhu_a_02</t>
    <phoneticPr fontId="6" type="noConversion"/>
  </si>
  <si>
    <t>tuotatianwang_a_01,tuotatianwang_a_02</t>
    <phoneticPr fontId="6" type="noConversion"/>
  </si>
  <si>
    <t>wangmuniangniang_a_01,wangmuniangniang_a_02</t>
    <phoneticPr fontId="6" type="noConversion"/>
  </si>
  <si>
    <t>wenshupusa_a_01,wenshupusa_a_02</t>
    <phoneticPr fontId="6" type="noConversion"/>
  </si>
  <si>
    <t>xiaobailong_a_01</t>
    <phoneticPr fontId="6" type="noConversion"/>
  </si>
  <si>
    <t>xiezijing_a_01</t>
    <phoneticPr fontId="6" type="noConversion"/>
  </si>
  <si>
    <t>yanglidaxian_a_01_01,yanglidaxian_a_01_02</t>
    <phoneticPr fontId="6" type="noConversion"/>
  </si>
  <si>
    <t>yanluowang_a_01</t>
    <phoneticPr fontId="6" type="noConversion"/>
  </si>
  <si>
    <t>yuhuangdadi_a_01,yuhuangdadi_a_02</t>
    <phoneticPr fontId="6" type="noConversion"/>
  </si>
  <si>
    <t>zhizhujing_a_01</t>
    <phoneticPr fontId="6" type="noConversion"/>
  </si>
  <si>
    <t>zhubajie_a_01,zhubajie_a_02</t>
    <phoneticPr fontId="6" type="noConversion"/>
  </si>
  <si>
    <t>zixia_a_01,zixia_a_02_01,zixia_a_02_02</t>
    <phoneticPr fontId="6" type="noConversion"/>
  </si>
  <si>
    <t>tieshangongzhu_a_01,tieshangongzhu_a_02</t>
  </si>
  <si>
    <t>tieshangongzhu</t>
  </si>
  <si>
    <t>新手引导</t>
  </si>
  <si>
    <t>tieshangongzhu_skill01,zixiaxianzi_skill05</t>
    <phoneticPr fontId="6" type="noConversion"/>
  </si>
  <si>
    <t>彩蝶仙童</t>
    <phoneticPr fontId="6" type="noConversion"/>
  </si>
  <si>
    <t>caidiexiantong_attack</t>
  </si>
  <si>
    <t>caidiexiantong_skill01,caidiexiantong_skill02,caidiexiantong_skill03,caidiexiantong_skill04</t>
  </si>
  <si>
    <t>head_caidiexiantong</t>
  </si>
  <si>
    <t>caidiexiantong_actor</t>
  </si>
  <si>
    <t>引魂仙子</t>
  </si>
  <si>
    <t>yinhunxianzi_attack</t>
  </si>
  <si>
    <t>yinhunxianzi_skill01,yinhunxianzi_skill02,yinhunxianzi_skill03,yinhunxianzi_skill04</t>
  </si>
  <si>
    <t>head_yinhunxianzi</t>
  </si>
  <si>
    <t>yinhunxianzi_actor</t>
  </si>
  <si>
    <t>dieyao_a_01</t>
    <phoneticPr fontId="6" type="noConversion"/>
  </si>
  <si>
    <t>youyinghun_a_01</t>
    <phoneticPr fontId="6" type="noConversion"/>
  </si>
  <si>
    <t>n</t>
    <phoneticPr fontId="6" type="noConversion"/>
  </si>
  <si>
    <t>技能cd时长
默认为1</t>
    <phoneticPr fontId="6" type="noConversion"/>
  </si>
  <si>
    <t>cd_reduce</t>
    <phoneticPr fontId="6" type="noConversion"/>
  </si>
  <si>
    <t>泾河龙王</t>
    <phoneticPr fontId="6" type="noConversion"/>
  </si>
  <si>
    <t>head_jiaoren_changxi</t>
    <phoneticPr fontId="6" type="noConversion"/>
  </si>
  <si>
    <t>观世音</t>
    <phoneticPr fontId="6" type="noConversion"/>
  </si>
  <si>
    <t>head_guanshiyin</t>
    <phoneticPr fontId="6" type="noConversion"/>
  </si>
  <si>
    <t>zixiaxianzi_actor</t>
    <phoneticPr fontId="6" type="noConversion"/>
  </si>
  <si>
    <t>zixiaxianzi_skill06,zixiaxianzi_skill07,zixiaxianzi_skill05</t>
    <phoneticPr fontId="6" type="noConversion"/>
  </si>
  <si>
    <t>人物自身
特效</t>
    <phoneticPr fontId="6" type="noConversion"/>
  </si>
  <si>
    <t>perform_eff_id</t>
    <phoneticPr fontId="6" type="noConversion"/>
  </si>
  <si>
    <t>guanshiyin_attack</t>
    <phoneticPr fontId="6" type="noConversion"/>
  </si>
  <si>
    <t>guanshiyin_skill01,guanshiyin_skill02,guanshiyin_skill03,guanshiyin_skill04</t>
    <phoneticPr fontId="6" type="noConversion"/>
  </si>
  <si>
    <t>guanshiyin_actor</t>
    <phoneticPr fontId="6" type="noConversion"/>
  </si>
  <si>
    <t>我的扇子只比芭蕉扇小一点点儿~</t>
    <phoneticPr fontId="6" type="noConversion"/>
  </si>
  <si>
    <t>紫霞仙子</t>
    <phoneticPr fontId="6" type="noConversion"/>
  </si>
  <si>
    <t>铁扇公主</t>
    <phoneticPr fontId="6" type="noConversion"/>
  </si>
  <si>
    <t xml:space="preserve">生命
初始值
</t>
  </si>
  <si>
    <t xml:space="preserve">魔法
初始值
</t>
  </si>
  <si>
    <t xml:space="preserve">攻击力
初始值
</t>
  </si>
  <si>
    <t xml:space="preserve">物理防御
初始值
</t>
  </si>
  <si>
    <t xml:space="preserve">魔法防御
初始值
</t>
  </si>
  <si>
    <t>对范围内目标造成伙伴攻击91%的伤害，并沉默2秒</t>
    <phoneticPr fontId="6" type="noConversion"/>
  </si>
  <si>
    <t>鹿力大仙</t>
    <phoneticPr fontId="6" type="noConversion"/>
  </si>
  <si>
    <t>11011,11014,11016,11026,11028,11029</t>
  </si>
  <si>
    <t>11012,11013,11015,11025,11027,11029</t>
  </si>
  <si>
    <t>11012,11014,11023,11031,11035,11040</t>
  </si>
  <si>
    <t>11011,11013,11021,11030,11034,11038</t>
  </si>
  <si>
    <t>11011,11013,11022,11032,11036,11039</t>
  </si>
  <si>
    <t>11012,11014,11024,11033,11037,11041</t>
  </si>
  <si>
    <t>11018,11019,11030,11031,11041</t>
  </si>
  <si>
    <t>11017,11020,11025,11026,11038</t>
  </si>
  <si>
    <t>11019,11020,11034,11035,11042</t>
  </si>
  <si>
    <t>11017,11018,11036,11037,11040</t>
  </si>
  <si>
    <t>110201,110202,110203,110204,110205,110206,110207,110208,110209,110210</t>
  </si>
  <si>
    <t>121101,121102,121103,121104,121105,121106,121107,121108,121109,121110</t>
  </si>
  <si>
    <t>110101,110102,110103,110104,110105,110106,110107,110108,110109,110110</t>
  </si>
  <si>
    <t>110801,110802,110803,110804,110805,110806,110807,110808,110809,110810</t>
  </si>
  <si>
    <t>111301,111302,111303,111304,111305,111306,111307,111308,111309,111310</t>
  </si>
  <si>
    <t>112001,112002,112003,112004,112005,112006,112007,112008,112009,112010</t>
  </si>
  <si>
    <t>112701,112702,112703,112704,112705,112706,112707,112708,112709,112710</t>
  </si>
  <si>
    <t>121201,121202,121203,121204,121205,121206,121207,121208,121209,121210</t>
  </si>
  <si>
    <t>121901,121902,121903,121904,121905,121906,121907,121908,121909,121910</t>
  </si>
  <si>
    <t>111201,111202,111203,111204,111205,111206,111207,111208,111209,111210</t>
  </si>
  <si>
    <t>111901,111902,111903,111904,111905,111906,111907,111908,111909,111910</t>
  </si>
  <si>
    <t>110501,110502,110503,110504,110505,110506,110507,110508,110509,110510</t>
  </si>
  <si>
    <t>121801,121802,121803,121804,121805,121806,121807,121808,121809,121810</t>
  </si>
  <si>
    <t>112401,112402,112403,112404,112405,112406,112407,112408,112409,112410</t>
  </si>
  <si>
    <t>112601,112602,112603,112604,112605,112606,112607,112608,112609,112610</t>
  </si>
  <si>
    <t>121301,121302,121303,121304,121305,121306,121307,121308,121309,121310</t>
  </si>
  <si>
    <t>121401,121402,121403,121404,121405,121406,121407,121408,121409,121410</t>
  </si>
  <si>
    <t>110301,110302,110303,110304,110305,110306,110307,110308,110309,110310</t>
  </si>
  <si>
    <t>110901,110902,110903,110904,110905,110906,110907,110908,110909,110910</t>
  </si>
  <si>
    <t>111101,111102,111103,111104,111105,111106,111107,111108,111109,111110</t>
  </si>
  <si>
    <t>111601,111602,111603,111604,111605,111606,111607,111608,111609,111610</t>
  </si>
  <si>
    <t>112101,112102,112103,112104,112105,112106,112107,112108,112109,112110</t>
  </si>
  <si>
    <t>121501,121502,121503,121504,121505,121506,121507,121508,121509,121510</t>
  </si>
  <si>
    <t>111401,111402,111403,111404,111405,111406,111407,111408,111409,111410</t>
  </si>
  <si>
    <t>111001,111002,111003,111004,111005,111006,111007,111008,111009,111010</t>
  </si>
  <si>
    <t>110401,110402,110403,110404,110405,110406,110407,110408,110409,110410</t>
  </si>
  <si>
    <t>113501,113502,113503,113504,113505,113506,113507,113508,113509,113510</t>
  </si>
  <si>
    <t>113201,113202,113203,113204,113205,113206,113207,113208,113209,113210</t>
  </si>
  <si>
    <t>112501,112502,112503,112504,112505,112506,112507,112508,112509,112510</t>
  </si>
  <si>
    <t>120201,120202,120203,120204,120205,120206,120207,120208,120209,120210</t>
  </si>
  <si>
    <t>112301,112302,112303,112304,112305,112306,112307,112308,112309,112310</t>
  </si>
  <si>
    <t>111701,111702,111703,111704,111705,111706,111707,111708,111709,111710</t>
  </si>
  <si>
    <t>120101,120102,120103,120104,120105,120106,120107,120108,120109,120110</t>
  </si>
  <si>
    <t>113101,113102,113103,113104,113105,113106,113107,113108,113109,113110</t>
  </si>
  <si>
    <t>113701,113702,113703,113704,113705,113706,113707,113708,113709,113710</t>
  </si>
  <si>
    <t>121601,121602,121603,121604,121605,121606,121607,121608,121609,121610</t>
  </si>
  <si>
    <t>110601,110602,110603,110604,110605,110606,110607,110608,110609,110610</t>
  </si>
  <si>
    <t>111501,111502,111503,111504,111505,111506,111507,111508,111509,111510</t>
  </si>
  <si>
    <t>120801,120802,120803,120804,120805,120806,120807,120808,120809,120810</t>
  </si>
  <si>
    <t>112201,112202,112203,112204,112205,112206,112207,112208,112209,112210</t>
  </si>
  <si>
    <t>120701,120702,120703,120704,120705,120706,120707,120708,120709,120710</t>
  </si>
  <si>
    <t>100001,100002,100003,100004,100005,100006,100007,100008,100009,100010</t>
    <phoneticPr fontId="6" type="noConversion"/>
  </si>
  <si>
    <t>122601,122602,122603,122604,122605,122606,122607,122608</t>
  </si>
  <si>
    <t>113901,113902,113903,113904,113905,113906,113907,113908</t>
  </si>
  <si>
    <t>114001,114002,114003,114004,114005,114006,114007,114008</t>
  </si>
  <si>
    <t>113401,113402,113403,113404,113405,113406,113407,113408</t>
  </si>
  <si>
    <t>120601,120602,120603,120604,120605,120606,120607,120608</t>
  </si>
  <si>
    <t>113001,113002,113003,113004,113005,113006,113007,113008</t>
  </si>
  <si>
    <t>120301,120302,120303,120304,120305,120306,120307,120308</t>
  </si>
  <si>
    <t>120501,120502,120503,120504,120505,120506,120507,120508</t>
  </si>
  <si>
    <t>113301,113302,113303,113304,113305,113306,113307,113308</t>
  </si>
  <si>
    <t>112801,112802,112803,112804,112805,112806,112807,112808</t>
  </si>
  <si>
    <t>111801,111802,111803,111804,111805,111806,111807,111808</t>
  </si>
  <si>
    <t>113601,113602,113603,113604,113605,113606,113607,113608</t>
  </si>
  <si>
    <t>114101,114102,114103,114104,114105,114106,114107,114108</t>
  </si>
  <si>
    <t>113801,113802,113803,113804,113805,113806,113807,113808</t>
  </si>
  <si>
    <t>115201,115202,115203,115204,115205,115206,115207,115208</t>
  </si>
  <si>
    <t>119201,119202,119203,119204,119205,119206,119207,119208</t>
  </si>
  <si>
    <t>150401,150402,150403,150404,150405,150406,150407,150408</t>
  </si>
  <si>
    <t>120401,120402,120403,120404,120405,120406,120407,120408</t>
    <phoneticPr fontId="6" type="noConversion"/>
  </si>
  <si>
    <t>英雄ID
[字符串]
调用角色的唯一ID
1101-1500伙伴
1500-2000特殊伙伴（助战或者新手引导）
2000以上临时伙伴</t>
  </si>
  <si>
    <t>英雄类型
1=仙
2=妖
3=佛
4=不显示
6=主角
可控制聚仙的显示，对应聚仙预览里面的标签</t>
  </si>
  <si>
    <t>英雄职业描述(直接调用game_jobs表格里面的id)
1=辅助
2=法师
2=战士
4=防御
2=刺客
2=主角</t>
  </si>
  <si>
    <t>品质</t>
  </si>
  <si>
    <t>HP</t>
  </si>
  <si>
    <t>攻击</t>
  </si>
  <si>
    <t>物理防御</t>
  </si>
  <si>
    <t>魔法防御</t>
  </si>
  <si>
    <t>生命成长</t>
  </si>
  <si>
    <t>攻击成长</t>
  </si>
  <si>
    <t>物防成长</t>
  </si>
  <si>
    <t>法防成长</t>
  </si>
  <si>
    <t>无</t>
  </si>
  <si>
    <t>绿</t>
  </si>
  <si>
    <t>骷髅-德明</t>
  </si>
  <si>
    <t>骷髅-奇伟</t>
  </si>
  <si>
    <t>骷髅-德元</t>
  </si>
  <si>
    <t>骷髅-彭泽</t>
  </si>
  <si>
    <t>虾兵</t>
  </si>
  <si>
    <t>侍女</t>
  </si>
  <si>
    <t>强盗</t>
  </si>
  <si>
    <t>野猪怪</t>
  </si>
  <si>
    <t>蟒精-雅芙</t>
  </si>
  <si>
    <t>蓝</t>
  </si>
  <si>
    <t>蟒精-依娜</t>
  </si>
  <si>
    <t>狐狸-优璇</t>
  </si>
  <si>
    <t>狐狸-茹雪</t>
  </si>
  <si>
    <t>狐狸-若火</t>
  </si>
  <si>
    <t>狂豹</t>
  </si>
  <si>
    <t>护卫</t>
  </si>
  <si>
    <t>龟丞相</t>
  </si>
  <si>
    <t>炎魔</t>
  </si>
  <si>
    <t>天将</t>
  </si>
  <si>
    <t>石人-博达</t>
  </si>
  <si>
    <t>石人-离落</t>
  </si>
  <si>
    <t>石人-安和</t>
  </si>
  <si>
    <t>玉兔</t>
  </si>
  <si>
    <t>紫</t>
  </si>
  <si>
    <t>鬼使黑</t>
  </si>
  <si>
    <t>鬼使白</t>
  </si>
  <si>
    <t>扇子精</t>
  </si>
  <si>
    <t>泾河龙王</t>
  </si>
  <si>
    <t>蟹将</t>
  </si>
  <si>
    <t>橙13</t>
  </si>
  <si>
    <t>观世音</t>
  </si>
  <si>
    <t>彩蝶仙童</t>
  </si>
  <si>
    <t>鹿力大仙</t>
  </si>
  <si>
    <t>人参娃</t>
  </si>
  <si>
    <t>橙16</t>
  </si>
  <si>
    <t>斗战胜佛</t>
  </si>
  <si>
    <t>牛魔王</t>
  </si>
  <si>
    <t>沙和尚</t>
  </si>
  <si>
    <t>八部天龙</t>
  </si>
  <si>
    <t>托塔天王</t>
  </si>
  <si>
    <t>九头虫</t>
  </si>
  <si>
    <t>镇元大仙</t>
  </si>
  <si>
    <t>如来佛祖</t>
  </si>
  <si>
    <t>孔雀大明王</t>
  </si>
  <si>
    <t>观世阴</t>
  </si>
  <si>
    <t>太上老君</t>
  </si>
  <si>
    <t>物理防御初始值
[整型]</t>
    <phoneticPr fontId="6" type="noConversion"/>
  </si>
  <si>
    <t>魔法防御初始值
[整型]</t>
    <phoneticPr fontId="6" type="noConversion"/>
  </si>
  <si>
    <t>12017,12019,12021,12023</t>
  </si>
  <si>
    <t>12017,12019,12022,12024</t>
  </si>
  <si>
    <t>[]</t>
    <phoneticPr fontId="6" type="noConversion"/>
  </si>
  <si>
    <t>1=辅助</t>
  </si>
  <si>
    <t>2=法师</t>
  </si>
  <si>
    <t>3=战士</t>
  </si>
  <si>
    <t>4=防御</t>
  </si>
  <si>
    <t>5=刺客</t>
  </si>
  <si>
    <t>6=主角</t>
  </si>
  <si>
    <t>主角，使用上阵的核心技能战斗</t>
  </si>
  <si>
    <t>法师型，通过法术攻击来对敌人进行打击</t>
    <phoneticPr fontId="11" type="noConversion"/>
  </si>
  <si>
    <t>战士型，通过物理攻击来对敌人进行打击</t>
    <phoneticPr fontId="11" type="noConversion"/>
  </si>
  <si>
    <t>辅助型，提供支援或给受伤的队友疗伤。</t>
    <phoneticPr fontId="11" type="noConversion"/>
  </si>
  <si>
    <t>职业介绍
直接填文字</t>
    <phoneticPr fontId="6" type="noConversion"/>
  </si>
  <si>
    <t>12020,12018,12022,12024</t>
  </si>
  <si>
    <t>12020,12018,12021,12023</t>
  </si>
  <si>
    <t>12015,12013</t>
  </si>
  <si>
    <t>12016,12014</t>
  </si>
  <si>
    <t>moyujing_a_01</t>
  </si>
  <si>
    <t>niutou_a_01</t>
    <phoneticPr fontId="6" type="noConversion"/>
  </si>
  <si>
    <t>guishihei_a_01</t>
  </si>
  <si>
    <t>mamian_a_01</t>
  </si>
  <si>
    <t>mamian_a_01</t>
    <phoneticPr fontId="6" type="noConversion"/>
  </si>
  <si>
    <t>chijiaodaxian_a_01</t>
    <phoneticPr fontId="6" type="noConversion"/>
  </si>
  <si>
    <t>moyujing_a_01</t>
    <phoneticPr fontId="6" type="noConversion"/>
  </si>
  <si>
    <t>dizangwang_a_01</t>
  </si>
  <si>
    <t>dizangwang_a_01</t>
    <phoneticPr fontId="6" type="noConversion"/>
  </si>
  <si>
    <t>moyujing_a_01</t>
    <phoneticPr fontId="6" type="noConversion"/>
  </si>
  <si>
    <t>[]</t>
    <phoneticPr fontId="6" type="noConversion"/>
  </si>
  <si>
    <t>初始仇恨</t>
    <phoneticPr fontId="11" type="noConversion"/>
  </si>
  <si>
    <t>攻击速度</t>
    <phoneticPr fontId="11" type="noConversion"/>
  </si>
  <si>
    <t>进阶组
(读取一组连续ID)
起始ID|长度
蓝色，绿色只有一种，不跟职业走
调用hero_jinjie的id</t>
    <phoneticPr fontId="6" type="noConversion"/>
  </si>
  <si>
    <t>羁绊法宝组
[字符串数组]
调用hero_jiban的id</t>
  </si>
  <si>
    <t>20012,20011,20010,20009,20005,20006,20007,20008</t>
  </si>
  <si>
    <t>20101,20102,20103,20104</t>
  </si>
  <si>
    <t>11011,11015,11016,11021,11022,11043</t>
  </si>
  <si>
    <t>11012,11015,11016,11023,11024,11043</t>
  </si>
  <si>
    <t>11112,11114,11123,11131,11135,11140</t>
  </si>
  <si>
    <t>11211,11213,11221,11230,11234,11238</t>
  </si>
  <si>
    <t>11111,11113,11121,11130,11134,11138</t>
  </si>
  <si>
    <t>11112,11113,11115,11125,11127,11129</t>
  </si>
  <si>
    <t>11211,11214,11216,11226,11228,11229</t>
  </si>
  <si>
    <t>11212,11213,11215,11225,11227,11229</t>
  </si>
  <si>
    <t>11111,11114,11116,11126,11128,11129</t>
  </si>
  <si>
    <t>11111,11113,11122,11132,11136,11139</t>
  </si>
  <si>
    <t>11112,11114,11124,11133,11137,11141</t>
  </si>
  <si>
    <t>11211,11215,11216,11221,11222,11243</t>
  </si>
  <si>
    <t>11212,11214,11224,11233,11237,11241</t>
  </si>
  <si>
    <t>11212,11214,11223,11231,11235,11240</t>
  </si>
  <si>
    <t>11112,11115,11116,11123,11124,11143</t>
  </si>
  <si>
    <t>11111,11115,11116,11121,11122,11143</t>
  </si>
  <si>
    <t>11211,11213,11222,11232,11236,11239</t>
  </si>
  <si>
    <t>11212,11215,11216,11223,11224,11243</t>
  </si>
  <si>
    <t>11218,11219,11230,11231,11241</t>
  </si>
  <si>
    <t>11118,11119,11130,11131,11141</t>
  </si>
  <si>
    <t>11117,11118,11127,11128,11139</t>
  </si>
  <si>
    <t>11017,11018,11027,11028,11039</t>
  </si>
  <si>
    <t>11217,11218,11227,11228,11239</t>
  </si>
  <si>
    <t>11219,11220,11234,11235,11242</t>
  </si>
  <si>
    <t>11119,11120,11134,11135,11142</t>
  </si>
  <si>
    <t>11119,11120,11132,11133,11142</t>
  </si>
  <si>
    <t>11019,11020,11032,11033,11042</t>
  </si>
  <si>
    <t>11217,11218,11236,11237,11240</t>
  </si>
  <si>
    <t>11117,11118,11136,11137,11140</t>
  </si>
  <si>
    <t>11217,11220,11225,11226,11238</t>
  </si>
  <si>
    <t>11219,11220,11232,11233,11242</t>
  </si>
  <si>
    <t>11044,11047,11048,11052</t>
  </si>
  <si>
    <t>11044,11047,11049,11050</t>
  </si>
  <si>
    <t>11117,11120,11125,11126,11138</t>
  </si>
  <si>
    <t>11144,11147,11148,11152</t>
  </si>
  <si>
    <t>11145,11146,11151,11153</t>
  </si>
  <si>
    <t>11244,11247,11248,11252</t>
  </si>
  <si>
    <t>11144,11146,11151,11152</t>
  </si>
  <si>
    <t>11145,11147,11148,11150</t>
  </si>
  <si>
    <t>11144,11147,11149,11150</t>
  </si>
  <si>
    <t>11145,11146,11149,11153</t>
  </si>
  <si>
    <t>11245,11246,11249,11253</t>
  </si>
  <si>
    <t>11244,11247,11249,11250</t>
  </si>
  <si>
    <t>11244,11246,11251,11252</t>
  </si>
  <si>
    <t>11045,11046,11051,11053</t>
  </si>
  <si>
    <t>11044,11046,11051,11052</t>
  </si>
  <si>
    <t>11245,11247,11248,11250</t>
  </si>
  <si>
    <t>11245,11246,11251,11253</t>
  </si>
  <si>
    <t>11045,11047,11048,11050</t>
  </si>
  <si>
    <t>11045,11046,11049,11053</t>
  </si>
  <si>
    <t>hundun_skill01,hundun_skill02,hundun_skill03,hundun_skill04</t>
    <phoneticPr fontId="6" type="noConversion"/>
  </si>
  <si>
    <t>guishibai_skill01,guishibai_skill02,guishibai_skill03,guishibai_skill04</t>
    <phoneticPr fontId="6" type="noConversion"/>
  </si>
  <si>
    <t>tuqiangfanghu_skill01,heixiongjing_skill02,saitaisui_skill03,saitaisui_skill04</t>
    <phoneticPr fontId="6" type="noConversion"/>
  </si>
  <si>
    <t>leigong_skill01,leigong_skill02,leigong_skill03,leigong_skill04</t>
    <phoneticPr fontId="6" type="noConversion"/>
  </si>
  <si>
    <t>bingbao_skill01,leigong_skill02,leigong_skill03,leigong_skill04</t>
    <phoneticPr fontId="6" type="noConversion"/>
  </si>
  <si>
    <t>saitaisui_skill01,saitaisui_skill02,leigong_skill03,saitaisui_skill04</t>
    <phoneticPr fontId="6" type="noConversion"/>
  </si>
  <si>
    <t>101|10</t>
    <phoneticPr fontId="6" type="noConversion"/>
  </si>
  <si>
    <t>5301|10</t>
  </si>
  <si>
    <t>6301|10</t>
  </si>
  <si>
    <t>5401|10</t>
  </si>
  <si>
    <t>6201|10</t>
  </si>
  <si>
    <t>5201|10</t>
  </si>
  <si>
    <t>4101|10</t>
  </si>
  <si>
    <t>5101|10</t>
  </si>
  <si>
    <t>4301|10</t>
  </si>
  <si>
    <t>4201|10</t>
  </si>
  <si>
    <t>4401|10</t>
  </si>
  <si>
    <t>2001|6</t>
  </si>
  <si>
    <t>1001|4</t>
  </si>
  <si>
    <t>3001|8</t>
  </si>
  <si>
    <t>3001|8</t>
    <phoneticPr fontId="6" type="noConversion"/>
  </si>
  <si>
    <t>shengguangshuiyu_skill01,leigong_skill02,leigong_skill03,leigong_skill04</t>
    <phoneticPr fontId="6" type="noConversion"/>
  </si>
  <si>
    <t>二郎神在此，妖孽休得猖狂！</t>
    <phoneticPr fontId="6" type="noConversion"/>
  </si>
  <si>
    <t>百分百空手接白刃。我不会。</t>
    <phoneticPr fontId="6" type="noConversion"/>
  </si>
  <si>
    <t>买鞋的钱，都拿来强化拳套了。</t>
    <phoneticPr fontId="6" type="noConversion"/>
  </si>
  <si>
    <t>俺老孙要去拯救世界，取经这种事，别找俺！</t>
    <phoneticPr fontId="6" type="noConversion"/>
  </si>
  <si>
    <t>灵魂就是要被禁锢的。</t>
    <phoneticPr fontId="6" type="noConversion"/>
  </si>
  <si>
    <t>没有什么地方可以跟我的瑶池相比。</t>
    <phoneticPr fontId="6" type="noConversion"/>
  </si>
  <si>
    <t>拯救世界，那是悟空的事，我只要看着就好。</t>
    <phoneticPr fontId="6" type="noConversion"/>
  </si>
  <si>
    <t>你是猴子请来搞笑的么？</t>
    <phoneticPr fontId="6" type="noConversion"/>
  </si>
  <si>
    <t>[]</t>
    <phoneticPr fontId="6" type="noConversion"/>
  </si>
  <si>
    <t>sunwukong_skill051,sunwukong_skill05,sunwukong_skill06,sunwukong_skill07</t>
    <phoneticPr fontId="6" type="noConversion"/>
  </si>
  <si>
    <t>主角，使用上阵伙伴赋予的专属技能战斗</t>
    <phoneticPr fontId="6" type="noConversion"/>
  </si>
  <si>
    <t>主角，使用上阵伙伴赋予的专属技能战斗</t>
    <phoneticPr fontId="6" type="noConversion"/>
  </si>
  <si>
    <t>物攻型，负责物理输出</t>
  </si>
  <si>
    <t>防御型，俗称肉盾，生命值高，防御力强</t>
  </si>
  <si>
    <t>法攻型，负责法术输出</t>
  </si>
  <si>
    <t>辅助型，提供支援或给受伤的队友疗伤</t>
  </si>
  <si>
    <t>物理防御成长[浮点型]</t>
    <phoneticPr fontId="6" type="noConversion"/>
  </si>
  <si>
    <t>辅助型</t>
  </si>
  <si>
    <t>防御型</t>
  </si>
  <si>
    <t>英雄职业描述(直接调用game_jobs表格里面的id)
1=辅助型
2=法攻型
3=物攻型
4=防御型</t>
    <phoneticPr fontId="6" type="noConversion"/>
  </si>
  <si>
    <t>战斗定位
1=辅助
2=远程
3=近战
4=防御
5=主角</t>
    <phoneticPr fontId="6" type="noConversion"/>
  </si>
  <si>
    <t>远程</t>
    <phoneticPr fontId="6" type="noConversion"/>
  </si>
  <si>
    <t>近战</t>
    <phoneticPr fontId="6" type="noConversion"/>
  </si>
  <si>
    <t>主角</t>
    <phoneticPr fontId="6" type="noConversion"/>
  </si>
  <si>
    <t>初始品质
0=无品质
1=绿色
2=蓝色
3=紫色
4=橙13
5=橙16
6=红色</t>
    <phoneticPr fontId="6" type="noConversion"/>
  </si>
  <si>
    <t>观世音(废弃)</t>
    <phoneticPr fontId="6" type="noConversion"/>
  </si>
  <si>
    <t>4401|10</t>
    <phoneticPr fontId="6" type="noConversion"/>
  </si>
  <si>
    <t>110701,110702,110703,110704,110705,110706,110707,110708,110709,110710</t>
    <phoneticPr fontId="6" type="noConversion"/>
  </si>
  <si>
    <t>ui_model_scale</t>
    <phoneticPr fontId="6" type="noConversion"/>
  </si>
  <si>
    <t>n</t>
    <phoneticPr fontId="6" type="noConversion"/>
  </si>
  <si>
    <t>在UI界面上模型缩放比例
默认大小=1（不缩放）
&lt;1--缩小
&gt;1--放大</t>
    <phoneticPr fontId="6" type="noConversion"/>
  </si>
  <si>
    <t>1=辅助</t>
    <phoneticPr fontId="11" type="noConversion"/>
  </si>
  <si>
    <t>5=主角</t>
    <phoneticPr fontId="11" type="noConversion"/>
  </si>
  <si>
    <t>警戒范围</t>
    <phoneticPr fontId="11" type="noConversion"/>
  </si>
  <si>
    <t>攻击范围</t>
    <phoneticPr fontId="11" type="noConversion"/>
  </si>
  <si>
    <t>移动速度</t>
    <phoneticPr fontId="11" type="noConversion"/>
  </si>
  <si>
    <t>2=远程</t>
    <phoneticPr fontId="11" type="noConversion"/>
  </si>
  <si>
    <t>3=近战</t>
    <phoneticPr fontId="11" type="noConversion"/>
  </si>
  <si>
    <t>初始仇恨</t>
    <phoneticPr fontId="11" type="noConversion"/>
  </si>
  <si>
    <t>[]</t>
    <phoneticPr fontId="6" type="noConversion"/>
  </si>
  <si>
    <t>zixiaxianzi_skill31,zixiaxianzi_skill32,zixiaxianzi_skill33,zixiaxianzi_skill34</t>
  </si>
  <si>
    <t>douzhanshengfo_skill31,douzhanshengfo_skill32,douzhanshengfo_skill33,douzhanshengfo_skill34</t>
  </si>
  <si>
    <t>longdi_skill31,longdi_skill32,longdi_skill33,longdi_skill34</t>
  </si>
  <si>
    <t>zhubajie_skill31,zhubajie_skill32,zhubajie_skill33,zhubajie_skill34</t>
    <phoneticPr fontId="6" type="noConversion"/>
  </si>
  <si>
    <t>八部天龙</t>
    <phoneticPr fontId="6" type="noConversion"/>
  </si>
  <si>
    <t>黑无常</t>
    <phoneticPr fontId="6" type="noConversion"/>
  </si>
  <si>
    <t>白无常</t>
    <phoneticPr fontId="6" type="noConversion"/>
  </si>
</sst>
</file>

<file path=xl/styles.xml><?xml version="1.0" encoding="utf-8"?>
<styleSheet xmlns="http://schemas.openxmlformats.org/spreadsheetml/2006/main">
  <fonts count="28">
    <font>
      <sz val="11"/>
      <color indexed="8"/>
      <name val="宋体"/>
      <charset val="134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0"/>
      <color theme="1"/>
      <name val="微软雅黑"/>
      <family val="2"/>
      <charset val="134"/>
    </font>
    <font>
      <sz val="9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indexed="8"/>
      <name val="宋体"/>
      <family val="3"/>
      <charset val="134"/>
    </font>
    <font>
      <sz val="10"/>
      <name val="微软雅黑"/>
      <family val="2"/>
      <charset val="134"/>
    </font>
    <font>
      <sz val="11"/>
      <name val="微软雅黑"/>
      <family val="2"/>
      <charset val="134"/>
    </font>
    <font>
      <sz val="9"/>
      <name val="宋体"/>
      <family val="3"/>
      <charset val="134"/>
    </font>
    <font>
      <b/>
      <sz val="10"/>
      <color rgb="FFFF0000"/>
      <name val="微软雅黑"/>
      <family val="2"/>
      <charset val="134"/>
    </font>
    <font>
      <sz val="10"/>
      <color rgb="FFFF0000"/>
      <name val="微软雅黑"/>
      <family val="2"/>
      <charset val="134"/>
    </font>
    <font>
      <b/>
      <sz val="10"/>
      <name val="微软雅黑"/>
      <family val="2"/>
      <charset val="134"/>
    </font>
    <font>
      <sz val="10"/>
      <color theme="9" tint="-0.249977111117893"/>
      <name val="微软雅黑"/>
      <family val="2"/>
      <charset val="134"/>
    </font>
    <font>
      <sz val="9"/>
      <name val="宋体"/>
      <family val="3"/>
      <charset val="134"/>
    </font>
    <font>
      <sz val="10"/>
      <color indexed="8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10"/>
      <color theme="5" tint="-0.249977111117893"/>
      <name val="微软雅黑"/>
      <family val="2"/>
      <charset val="134"/>
    </font>
    <font>
      <sz val="10"/>
      <color theme="0"/>
      <name val="微软雅黑"/>
      <family val="2"/>
      <charset val="134"/>
    </font>
    <font>
      <b/>
      <sz val="10"/>
      <color theme="0"/>
      <name val="微软雅黑"/>
      <family val="2"/>
      <charset val="134"/>
    </font>
    <font>
      <sz val="11"/>
      <color theme="1"/>
      <name val="宋体"/>
      <family val="2"/>
      <scheme val="minor"/>
    </font>
    <font>
      <sz val="11"/>
      <color indexed="8"/>
      <name val="宋体"/>
      <family val="3"/>
      <charset val="134"/>
    </font>
    <font>
      <sz val="9"/>
      <name val="宋体"/>
      <family val="3"/>
      <charset val="134"/>
    </font>
    <font>
      <sz val="11"/>
      <color theme="0" tint="-0.499984740745262"/>
      <name val="微软雅黑"/>
      <family val="2"/>
      <charset val="134"/>
    </font>
    <font>
      <sz val="10"/>
      <color theme="0" tint="-0.499984740745262"/>
      <name val="微软雅黑"/>
      <family val="2"/>
      <charset val="134"/>
    </font>
    <font>
      <sz val="11"/>
      <color rgb="FFFF0000"/>
      <name val="微软雅黑"/>
      <family val="2"/>
      <charset val="134"/>
    </font>
  </fonts>
  <fills count="19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-0.2499465926084170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00B05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23">
    <xf numFmtId="0" fontId="0" fillId="0" borderId="0">
      <alignment vertical="center"/>
    </xf>
    <xf numFmtId="0" fontId="7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22" fillId="0" borderId="0"/>
    <xf numFmtId="0" fontId="4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</cellStyleXfs>
  <cellXfs count="128">
    <xf numFmtId="0" fontId="0" fillId="0" borderId="0" xfId="0" applyAlignment="1"/>
    <xf numFmtId="0" fontId="9" fillId="2" borderId="1" xfId="0" applyFont="1" applyFill="1" applyBorder="1" applyAlignment="1">
      <alignment vertical="top" wrapText="1"/>
    </xf>
    <xf numFmtId="0" fontId="9" fillId="7" borderId="1" xfId="0" applyFont="1" applyFill="1" applyBorder="1" applyAlignment="1">
      <alignment vertical="top"/>
    </xf>
    <xf numFmtId="0" fontId="9" fillId="0" borderId="0" xfId="0" applyFont="1" applyAlignment="1">
      <alignment vertical="top" wrapText="1"/>
    </xf>
    <xf numFmtId="0" fontId="9" fillId="8" borderId="1" xfId="0" applyFont="1" applyFill="1" applyBorder="1" applyAlignment="1">
      <alignment vertical="top" wrapText="1"/>
    </xf>
    <xf numFmtId="0" fontId="9" fillId="10" borderId="1" xfId="0" applyFont="1" applyFill="1" applyBorder="1" applyAlignment="1">
      <alignment vertical="top" wrapText="1"/>
    </xf>
    <xf numFmtId="0" fontId="10" fillId="5" borderId="1" xfId="0" applyFont="1" applyFill="1" applyBorder="1" applyAlignment="1">
      <alignment vertical="top" wrapText="1"/>
    </xf>
    <xf numFmtId="0" fontId="10" fillId="4" borderId="1" xfId="0" applyFont="1" applyFill="1" applyBorder="1" applyAlignment="1">
      <alignment vertical="top" wrapText="1"/>
    </xf>
    <xf numFmtId="0" fontId="10" fillId="10" borderId="1" xfId="0" applyFont="1" applyFill="1" applyBorder="1" applyAlignment="1">
      <alignment vertical="top" wrapText="1"/>
    </xf>
    <xf numFmtId="0" fontId="10" fillId="3" borderId="1" xfId="0" applyFont="1" applyFill="1" applyBorder="1" applyAlignment="1">
      <alignment vertical="top" wrapText="1"/>
    </xf>
    <xf numFmtId="0" fontId="10" fillId="8" borderId="1" xfId="0" applyFont="1" applyFill="1" applyBorder="1" applyAlignment="1">
      <alignment vertical="top" wrapText="1"/>
    </xf>
    <xf numFmtId="0" fontId="10" fillId="7" borderId="1" xfId="0" applyFont="1" applyFill="1" applyBorder="1" applyAlignment="1">
      <alignment vertical="center"/>
    </xf>
    <xf numFmtId="0" fontId="9" fillId="9" borderId="0" xfId="0" applyFont="1" applyFill="1" applyAlignment="1">
      <alignment vertical="top"/>
    </xf>
    <xf numFmtId="0" fontId="9" fillId="0" borderId="0" xfId="0" applyFont="1" applyAlignment="1">
      <alignment vertical="top"/>
    </xf>
    <xf numFmtId="0" fontId="9" fillId="0" borderId="0" xfId="0" applyFont="1" applyAlignment="1">
      <alignment horizontal="left" vertical="top" wrapText="1"/>
    </xf>
    <xf numFmtId="49" fontId="9" fillId="0" borderId="0" xfId="0" applyNumberFormat="1" applyFont="1" applyAlignment="1">
      <alignment horizontal="center" vertical="center"/>
    </xf>
    <xf numFmtId="0" fontId="0" fillId="0" borderId="0" xfId="0" applyAlignment="1">
      <alignment wrapText="1"/>
    </xf>
    <xf numFmtId="0" fontId="9" fillId="15" borderId="1" xfId="0" applyFont="1" applyFill="1" applyBorder="1" applyAlignment="1">
      <alignment horizontal="left" vertical="top"/>
    </xf>
    <xf numFmtId="0" fontId="0" fillId="6" borderId="1" xfId="0" applyFill="1" applyBorder="1" applyAlignment="1">
      <alignment horizontal="left" vertical="top"/>
    </xf>
    <xf numFmtId="0" fontId="0" fillId="0" borderId="0" xfId="0" applyAlignment="1">
      <alignment horizontal="left" wrapText="1"/>
    </xf>
    <xf numFmtId="0" fontId="0" fillId="0" borderId="0" xfId="0" applyFont="1" applyAlignment="1">
      <alignment horizontal="left" wrapText="1"/>
    </xf>
    <xf numFmtId="0" fontId="7" fillId="0" borderId="0" xfId="0" applyFont="1" applyAlignment="1">
      <alignment horizontal="left" wrapText="1"/>
    </xf>
    <xf numFmtId="2" fontId="0" fillId="0" borderId="0" xfId="0" applyNumberFormat="1" applyAlignment="1"/>
    <xf numFmtId="0" fontId="12" fillId="0" borderId="0" xfId="0" applyFont="1" applyAlignment="1">
      <alignment vertical="top" wrapText="1"/>
    </xf>
    <xf numFmtId="0" fontId="9" fillId="0" borderId="1" xfId="0" applyFont="1" applyBorder="1" applyAlignment="1">
      <alignment vertical="top" wrapText="1"/>
    </xf>
    <xf numFmtId="0" fontId="12" fillId="0" borderId="1" xfId="0" applyFont="1" applyBorder="1" applyAlignment="1">
      <alignment vertical="top" wrapText="1"/>
    </xf>
    <xf numFmtId="0" fontId="10" fillId="0" borderId="1" xfId="0" applyFont="1" applyBorder="1" applyAlignment="1"/>
    <xf numFmtId="0" fontId="9" fillId="9" borderId="1" xfId="0" applyFont="1" applyFill="1" applyBorder="1" applyAlignment="1">
      <alignment vertical="top"/>
    </xf>
    <xf numFmtId="0" fontId="12" fillId="9" borderId="1" xfId="0" applyFont="1" applyFill="1" applyBorder="1" applyAlignment="1">
      <alignment vertical="top"/>
    </xf>
    <xf numFmtId="49" fontId="12" fillId="0" borderId="1" xfId="0" applyNumberFormat="1" applyFont="1" applyBorder="1" applyAlignment="1">
      <alignment vertical="top" wrapText="1"/>
    </xf>
    <xf numFmtId="49" fontId="12" fillId="9" borderId="1" xfId="0" applyNumberFormat="1" applyFont="1" applyFill="1" applyBorder="1" applyAlignment="1">
      <alignment vertical="top"/>
    </xf>
    <xf numFmtId="49" fontId="12" fillId="0" borderId="0" xfId="0" applyNumberFormat="1" applyFont="1" applyAlignment="1">
      <alignment vertical="top" wrapText="1"/>
    </xf>
    <xf numFmtId="49" fontId="10" fillId="7" borderId="1" xfId="0" applyNumberFormat="1" applyFont="1" applyFill="1" applyBorder="1" applyAlignment="1">
      <alignment vertical="center"/>
    </xf>
    <xf numFmtId="0" fontId="9" fillId="0" borderId="1" xfId="0" applyFont="1" applyFill="1" applyBorder="1" applyAlignment="1">
      <alignment vertical="center"/>
    </xf>
    <xf numFmtId="49" fontId="9" fillId="0" borderId="1" xfId="0" applyNumberFormat="1" applyFont="1" applyFill="1" applyBorder="1" applyAlignment="1">
      <alignment vertical="center"/>
    </xf>
    <xf numFmtId="0" fontId="9" fillId="0" borderId="1" xfId="0" applyNumberFormat="1" applyFont="1" applyFill="1" applyBorder="1" applyAlignment="1">
      <alignment vertical="center"/>
    </xf>
    <xf numFmtId="0" fontId="9" fillId="11" borderId="1" xfId="0" applyFont="1" applyFill="1" applyBorder="1" applyAlignment="1">
      <alignment vertical="center"/>
    </xf>
    <xf numFmtId="0" fontId="9" fillId="6" borderId="1" xfId="0" applyFont="1" applyFill="1" applyBorder="1" applyAlignment="1">
      <alignment vertical="center"/>
    </xf>
    <xf numFmtId="0" fontId="13" fillId="11" borderId="1" xfId="0" applyFont="1" applyFill="1" applyBorder="1" applyAlignment="1">
      <alignment vertical="center"/>
    </xf>
    <xf numFmtId="0" fontId="13" fillId="0" borderId="1" xfId="0" applyFont="1" applyFill="1" applyBorder="1" applyAlignment="1">
      <alignment vertical="center"/>
    </xf>
    <xf numFmtId="0" fontId="13" fillId="12" borderId="1" xfId="0" applyFont="1" applyFill="1" applyBorder="1" applyAlignment="1">
      <alignment vertical="center"/>
    </xf>
    <xf numFmtId="0" fontId="9" fillId="12" borderId="1" xfId="0" applyFont="1" applyFill="1" applyBorder="1" applyAlignment="1">
      <alignment vertical="center"/>
    </xf>
    <xf numFmtId="0" fontId="13" fillId="6" borderId="1" xfId="0" applyFont="1" applyFill="1" applyBorder="1" applyAlignment="1">
      <alignment vertical="center"/>
    </xf>
    <xf numFmtId="0" fontId="9" fillId="13" borderId="1" xfId="0" applyFont="1" applyFill="1" applyBorder="1" applyAlignment="1">
      <alignment vertical="center"/>
    </xf>
    <xf numFmtId="0" fontId="9" fillId="14" borderId="1" xfId="0" applyFont="1" applyFill="1" applyBorder="1" applyAlignment="1">
      <alignment vertical="center"/>
    </xf>
    <xf numFmtId="0" fontId="9" fillId="16" borderId="1" xfId="0" applyFont="1" applyFill="1" applyBorder="1" applyAlignment="1">
      <alignment vertical="center"/>
    </xf>
    <xf numFmtId="0" fontId="15" fillId="14" borderId="1" xfId="0" applyFont="1" applyFill="1" applyBorder="1" applyAlignment="1">
      <alignment vertical="center"/>
    </xf>
    <xf numFmtId="49" fontId="15" fillId="14" borderId="1" xfId="0" applyNumberFormat="1" applyFont="1" applyFill="1" applyBorder="1" applyAlignment="1">
      <alignment vertical="center"/>
    </xf>
    <xf numFmtId="0" fontId="17" fillId="0" borderId="0" xfId="0" applyFont="1" applyAlignment="1">
      <alignment vertical="top" wrapText="1"/>
    </xf>
    <xf numFmtId="0" fontId="17" fillId="0" borderId="1" xfId="0" applyFont="1" applyBorder="1" applyAlignment="1">
      <alignment vertical="top"/>
    </xf>
    <xf numFmtId="0" fontId="17" fillId="0" borderId="0" xfId="0" applyFont="1" applyAlignment="1">
      <alignment vertical="top"/>
    </xf>
    <xf numFmtId="0" fontId="17" fillId="4" borderId="1" xfId="0" applyFont="1" applyFill="1" applyBorder="1" applyAlignment="1">
      <alignment vertical="top"/>
    </xf>
    <xf numFmtId="0" fontId="17" fillId="6" borderId="1" xfId="0" applyFont="1" applyFill="1" applyBorder="1" applyAlignment="1">
      <alignment vertical="top" wrapText="1"/>
    </xf>
    <xf numFmtId="0" fontId="17" fillId="5" borderId="1" xfId="0" applyFont="1" applyFill="1" applyBorder="1" applyAlignment="1">
      <alignment vertical="top" wrapText="1"/>
    </xf>
    <xf numFmtId="0" fontId="17" fillId="7" borderId="1" xfId="0" applyFont="1" applyFill="1" applyBorder="1" applyAlignment="1">
      <alignment vertical="top"/>
    </xf>
    <xf numFmtId="0" fontId="18" fillId="0" borderId="1" xfId="0" applyFont="1" applyBorder="1">
      <alignment vertical="center"/>
    </xf>
    <xf numFmtId="0" fontId="0" fillId="0" borderId="1" xfId="0" applyBorder="1" applyAlignment="1"/>
    <xf numFmtId="0" fontId="18" fillId="0" borderId="0" xfId="0" applyFont="1" applyBorder="1">
      <alignment vertical="center"/>
    </xf>
    <xf numFmtId="0" fontId="7" fillId="0" borderId="0" xfId="0" applyFont="1" applyBorder="1" applyAlignment="1">
      <alignment wrapText="1"/>
    </xf>
    <xf numFmtId="0" fontId="0" fillId="0" borderId="0" xfId="0" applyBorder="1" applyAlignment="1"/>
    <xf numFmtId="0" fontId="7" fillId="0" borderId="0" xfId="0" applyFont="1" applyBorder="1" applyAlignment="1"/>
    <xf numFmtId="49" fontId="5" fillId="0" borderId="1" xfId="0" applyNumberFormat="1" applyFont="1" applyBorder="1" applyAlignment="1">
      <alignment vertical="center"/>
    </xf>
    <xf numFmtId="0" fontId="9" fillId="0" borderId="0" xfId="0" applyFont="1" applyFill="1" applyAlignment="1">
      <alignment vertical="center" wrapText="1"/>
    </xf>
    <xf numFmtId="0" fontId="9" fillId="14" borderId="0" xfId="0" applyFont="1" applyFill="1" applyAlignment="1">
      <alignment vertical="center" wrapText="1"/>
    </xf>
    <xf numFmtId="0" fontId="13" fillId="6" borderId="0" xfId="0" applyFont="1" applyFill="1" applyAlignment="1">
      <alignment vertical="center" wrapText="1"/>
    </xf>
    <xf numFmtId="0" fontId="9" fillId="6" borderId="0" xfId="0" applyFont="1" applyFill="1" applyAlignment="1">
      <alignment vertical="center" wrapText="1"/>
    </xf>
    <xf numFmtId="0" fontId="13" fillId="0" borderId="0" xfId="0" applyFont="1" applyFill="1" applyAlignment="1">
      <alignment vertical="center" wrapText="1"/>
    </xf>
    <xf numFmtId="0" fontId="12" fillId="0" borderId="1" xfId="0" applyFont="1" applyFill="1" applyBorder="1" applyAlignment="1">
      <alignment vertical="center"/>
    </xf>
    <xf numFmtId="0" fontId="9" fillId="0" borderId="0" xfId="0" applyFont="1" applyFill="1" applyAlignment="1">
      <alignment vertical="center"/>
    </xf>
    <xf numFmtId="0" fontId="14" fillId="0" borderId="1" xfId="0" applyFont="1" applyFill="1" applyBorder="1" applyAlignment="1">
      <alignment vertical="center"/>
    </xf>
    <xf numFmtId="0" fontId="9" fillId="0" borderId="0" xfId="0" applyFont="1" applyAlignment="1">
      <alignment vertical="center" wrapText="1"/>
    </xf>
    <xf numFmtId="0" fontId="9" fillId="0" borderId="0" xfId="0" applyFont="1" applyAlignment="1">
      <alignment vertical="center"/>
    </xf>
    <xf numFmtId="0" fontId="9" fillId="0" borderId="0" xfId="0" applyFont="1" applyAlignment="1">
      <alignment horizontal="left" vertical="center" wrapText="1"/>
    </xf>
    <xf numFmtId="0" fontId="12" fillId="0" borderId="0" xfId="0" applyFont="1" applyAlignment="1">
      <alignment vertical="center" wrapText="1"/>
    </xf>
    <xf numFmtId="49" fontId="12" fillId="0" borderId="0" xfId="0" applyNumberFormat="1" applyFont="1" applyAlignment="1">
      <alignment vertical="center" wrapText="1"/>
    </xf>
    <xf numFmtId="0" fontId="12" fillId="6" borderId="1" xfId="0" applyFont="1" applyFill="1" applyBorder="1" applyAlignment="1">
      <alignment vertical="center"/>
    </xf>
    <xf numFmtId="0" fontId="12" fillId="14" borderId="1" xfId="0" applyFont="1" applyFill="1" applyBorder="1" applyAlignment="1">
      <alignment vertical="center"/>
    </xf>
    <xf numFmtId="0" fontId="9" fillId="14" borderId="0" xfId="0" applyFont="1" applyFill="1" applyAlignment="1">
      <alignment vertical="center"/>
    </xf>
    <xf numFmtId="0" fontId="13" fillId="6" borderId="0" xfId="0" applyFont="1" applyFill="1" applyAlignment="1">
      <alignment vertical="center"/>
    </xf>
    <xf numFmtId="0" fontId="9" fillId="6" borderId="0" xfId="0" applyFont="1" applyFill="1" applyAlignment="1">
      <alignment vertical="center"/>
    </xf>
    <xf numFmtId="0" fontId="13" fillId="0" borderId="0" xfId="0" applyFont="1" applyFill="1" applyAlignment="1">
      <alignment vertical="center"/>
    </xf>
    <xf numFmtId="0" fontId="20" fillId="14" borderId="1" xfId="0" applyFont="1" applyFill="1" applyBorder="1" applyAlignment="1">
      <alignment vertical="center"/>
    </xf>
    <xf numFmtId="0" fontId="21" fillId="14" borderId="1" xfId="0" applyFont="1" applyFill="1" applyBorder="1" applyAlignment="1">
      <alignment vertical="center"/>
    </xf>
    <xf numFmtId="0" fontId="20" fillId="14" borderId="0" xfId="0" applyFont="1" applyFill="1" applyAlignment="1">
      <alignment vertical="center"/>
    </xf>
    <xf numFmtId="0" fontId="20" fillId="14" borderId="0" xfId="0" applyFont="1" applyFill="1" applyAlignment="1">
      <alignment vertical="center" wrapText="1"/>
    </xf>
    <xf numFmtId="0" fontId="9" fillId="4" borderId="1" xfId="0" applyFont="1" applyFill="1" applyBorder="1" applyAlignment="1">
      <alignment vertical="center"/>
    </xf>
    <xf numFmtId="0" fontId="9" fillId="4" borderId="1" xfId="0" applyNumberFormat="1" applyFont="1" applyFill="1" applyBorder="1" applyAlignment="1">
      <alignment vertical="center"/>
    </xf>
    <xf numFmtId="0" fontId="12" fillId="4" borderId="1" xfId="0" applyFont="1" applyFill="1" applyBorder="1" applyAlignment="1">
      <alignment vertical="center"/>
    </xf>
    <xf numFmtId="0" fontId="9" fillId="4" borderId="0" xfId="0" applyFont="1" applyFill="1" applyAlignment="1">
      <alignment vertical="center"/>
    </xf>
    <xf numFmtId="0" fontId="9" fillId="4" borderId="0" xfId="0" applyFont="1" applyFill="1" applyAlignment="1">
      <alignment vertical="center" wrapText="1"/>
    </xf>
    <xf numFmtId="0" fontId="9" fillId="17" borderId="1" xfId="0" applyNumberFormat="1" applyFont="1" applyFill="1" applyBorder="1" applyAlignment="1">
      <alignment vertical="center"/>
    </xf>
    <xf numFmtId="49" fontId="10" fillId="8" borderId="1" xfId="0" applyNumberFormat="1" applyFont="1" applyFill="1" applyBorder="1" applyAlignment="1">
      <alignment vertical="top" wrapText="1"/>
    </xf>
    <xf numFmtId="49" fontId="9" fillId="0" borderId="0" xfId="0" applyNumberFormat="1" applyFont="1" applyAlignment="1">
      <alignment vertical="center" wrapText="1"/>
    </xf>
    <xf numFmtId="49" fontId="9" fillId="0" borderId="0" xfId="0" applyNumberFormat="1" applyFont="1" applyAlignment="1">
      <alignment vertical="top" wrapText="1"/>
    </xf>
    <xf numFmtId="49" fontId="5" fillId="0" borderId="1" xfId="19" applyNumberFormat="1" applyFont="1" applyBorder="1">
      <alignment vertical="center"/>
    </xf>
    <xf numFmtId="0" fontId="25" fillId="8" borderId="1" xfId="0" applyFont="1" applyFill="1" applyBorder="1" applyAlignment="1">
      <alignment vertical="top" wrapText="1"/>
    </xf>
    <xf numFmtId="0" fontId="25" fillId="7" borderId="1" xfId="0" applyFont="1" applyFill="1" applyBorder="1" applyAlignment="1">
      <alignment vertical="center"/>
    </xf>
    <xf numFmtId="0" fontId="26" fillId="0" borderId="1" xfId="0" applyFont="1" applyFill="1" applyBorder="1" applyAlignment="1">
      <alignment vertical="center"/>
    </xf>
    <xf numFmtId="0" fontId="26" fillId="6" borderId="1" xfId="0" applyFont="1" applyFill="1" applyBorder="1" applyAlignment="1">
      <alignment vertical="center"/>
    </xf>
    <xf numFmtId="0" fontId="26" fillId="14" borderId="1" xfId="0" applyFont="1" applyFill="1" applyBorder="1" applyAlignment="1">
      <alignment vertical="center"/>
    </xf>
    <xf numFmtId="0" fontId="26" fillId="4" borderId="1" xfId="0" applyFont="1" applyFill="1" applyBorder="1" applyAlignment="1">
      <alignment vertical="center"/>
    </xf>
    <xf numFmtId="0" fontId="26" fillId="0" borderId="0" xfId="0" applyFont="1" applyAlignment="1">
      <alignment vertical="center" wrapText="1"/>
    </xf>
    <xf numFmtId="0" fontId="26" fillId="0" borderId="0" xfId="0" applyFont="1" applyAlignment="1">
      <alignment vertical="top" wrapText="1"/>
    </xf>
    <xf numFmtId="0" fontId="25" fillId="5" borderId="1" xfId="0" applyFont="1" applyFill="1" applyBorder="1" applyAlignment="1">
      <alignment vertical="top" wrapText="1"/>
    </xf>
    <xf numFmtId="0" fontId="25" fillId="4" borderId="1" xfId="0" applyFont="1" applyFill="1" applyBorder="1" applyAlignment="1">
      <alignment vertical="top" wrapText="1"/>
    </xf>
    <xf numFmtId="0" fontId="9" fillId="0" borderId="0" xfId="0" applyFont="1" applyFill="1" applyBorder="1" applyAlignment="1">
      <alignment vertical="center"/>
    </xf>
    <xf numFmtId="49" fontId="10" fillId="6" borderId="1" xfId="0" applyNumberFormat="1" applyFont="1" applyFill="1" applyBorder="1" applyAlignment="1">
      <alignment vertical="top" wrapText="1"/>
    </xf>
    <xf numFmtId="49" fontId="5" fillId="0" borderId="1" xfId="22" applyNumberFormat="1" applyFont="1" applyBorder="1">
      <alignment vertical="center"/>
    </xf>
    <xf numFmtId="0" fontId="10" fillId="4" borderId="1" xfId="0" applyNumberFormat="1" applyFont="1" applyFill="1" applyBorder="1" applyAlignment="1">
      <alignment vertical="top" wrapText="1"/>
    </xf>
    <xf numFmtId="0" fontId="10" fillId="7" borderId="1" xfId="0" applyNumberFormat="1" applyFont="1" applyFill="1" applyBorder="1" applyAlignment="1">
      <alignment vertical="center"/>
    </xf>
    <xf numFmtId="0" fontId="15" fillId="14" borderId="1" xfId="0" applyNumberFormat="1" applyFont="1" applyFill="1" applyBorder="1" applyAlignment="1">
      <alignment vertical="center"/>
    </xf>
    <xf numFmtId="0" fontId="9" fillId="0" borderId="0" xfId="0" applyNumberFormat="1" applyFont="1" applyAlignment="1">
      <alignment vertical="center" wrapText="1"/>
    </xf>
    <xf numFmtId="0" fontId="9" fillId="0" borderId="0" xfId="0" applyNumberFormat="1" applyFont="1" applyAlignment="1">
      <alignment vertical="top" wrapText="1"/>
    </xf>
    <xf numFmtId="0" fontId="10" fillId="6" borderId="1" xfId="0" applyNumberFormat="1" applyFont="1" applyFill="1" applyBorder="1" applyAlignment="1">
      <alignment vertical="top" wrapText="1"/>
    </xf>
    <xf numFmtId="0" fontId="9" fillId="0" borderId="0" xfId="0" applyNumberFormat="1" applyFont="1" applyAlignment="1">
      <alignment horizontal="center" vertical="center"/>
    </xf>
    <xf numFmtId="0" fontId="13" fillId="18" borderId="1" xfId="0" applyFont="1" applyFill="1" applyBorder="1" applyAlignment="1">
      <alignment vertical="center"/>
    </xf>
    <xf numFmtId="0" fontId="13" fillId="18" borderId="1" xfId="0" applyNumberFormat="1" applyFont="1" applyFill="1" applyBorder="1" applyAlignment="1">
      <alignment vertical="center"/>
    </xf>
    <xf numFmtId="49" fontId="13" fillId="18" borderId="1" xfId="0" applyNumberFormat="1" applyFont="1" applyFill="1" applyBorder="1" applyAlignment="1">
      <alignment vertical="center"/>
    </xf>
    <xf numFmtId="49" fontId="13" fillId="18" borderId="1" xfId="22" applyNumberFormat="1" applyFont="1" applyFill="1" applyBorder="1">
      <alignment vertical="center"/>
    </xf>
    <xf numFmtId="49" fontId="13" fillId="18" borderId="1" xfId="19" applyNumberFormat="1" applyFont="1" applyFill="1" applyBorder="1">
      <alignment vertical="center"/>
    </xf>
    <xf numFmtId="0" fontId="12" fillId="18" borderId="1" xfId="0" applyFont="1" applyFill="1" applyBorder="1" applyAlignment="1">
      <alignment vertical="center"/>
    </xf>
    <xf numFmtId="0" fontId="13" fillId="18" borderId="0" xfId="0" applyFont="1" applyFill="1" applyAlignment="1">
      <alignment vertical="center"/>
    </xf>
    <xf numFmtId="0" fontId="13" fillId="18" borderId="0" xfId="0" applyFont="1" applyFill="1" applyAlignment="1">
      <alignment vertical="center" wrapText="1"/>
    </xf>
    <xf numFmtId="0" fontId="13" fillId="18" borderId="2" xfId="0" applyFont="1" applyFill="1" applyBorder="1" applyAlignment="1">
      <alignment vertical="center"/>
    </xf>
    <xf numFmtId="0" fontId="27" fillId="18" borderId="2" xfId="0" applyFont="1" applyFill="1" applyBorder="1" applyAlignment="1">
      <alignment vertical="center"/>
    </xf>
    <xf numFmtId="49" fontId="13" fillId="18" borderId="2" xfId="0" applyNumberFormat="1" applyFont="1" applyFill="1" applyBorder="1" applyAlignment="1">
      <alignment vertical="center"/>
    </xf>
    <xf numFmtId="0" fontId="12" fillId="18" borderId="2" xfId="0" applyFont="1" applyFill="1" applyBorder="1" applyAlignment="1">
      <alignment vertical="center"/>
    </xf>
    <xf numFmtId="0" fontId="18" fillId="0" borderId="0" xfId="0" applyFont="1" applyBorder="1" applyAlignment="1">
      <alignment horizontal="center" vertical="center"/>
    </xf>
  </cellXfs>
  <cellStyles count="23">
    <cellStyle name="百分比 2" xfId="6"/>
    <cellStyle name="常规" xfId="0" builtinId="0"/>
    <cellStyle name="常规 2" xfId="1"/>
    <cellStyle name="常规 2 2" xfId="2"/>
    <cellStyle name="常规 2 2 2" xfId="9"/>
    <cellStyle name="常规 2 3" xfId="8"/>
    <cellStyle name="常规 2 4" xfId="4"/>
    <cellStyle name="常规 3" xfId="5"/>
    <cellStyle name="常规 3 2" xfId="11"/>
    <cellStyle name="常规 3 2 2" xfId="19"/>
    <cellStyle name="常规 3 2 3" xfId="22"/>
    <cellStyle name="常规 3 3" xfId="15"/>
    <cellStyle name="常规 4" xfId="7"/>
    <cellStyle name="常规 5" xfId="3"/>
    <cellStyle name="常规 5 2" xfId="13"/>
    <cellStyle name="常规 5 2 2" xfId="21"/>
    <cellStyle name="常规 5 3" xfId="17"/>
    <cellStyle name="常规 6" xfId="12"/>
    <cellStyle name="常规 6 2" xfId="20"/>
    <cellStyle name="常规 6 3" xfId="16"/>
    <cellStyle name="常规 7" xfId="10"/>
    <cellStyle name="常规 7 2" xfId="18"/>
    <cellStyle name="常规 8" xfId="1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game_shenbing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game_shenbing_show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  <sheetName val="Sheet2"/>
    </sheetNames>
    <sheetDataSet>
      <sheetData sheetId="0">
        <row r="1">
          <cell r="A1" t="str">
            <v>神兵ID
[字符串]</v>
          </cell>
          <cell r="B1" t="str">
            <v>角色</v>
          </cell>
          <cell r="C1" t="str">
            <v>备注字段</v>
          </cell>
        </row>
        <row r="2">
          <cell r="A2" t="str">
            <v>id</v>
          </cell>
          <cell r="B2" t="str">
            <v>name_old</v>
          </cell>
          <cell r="C2" t="str">
            <v>name</v>
          </cell>
        </row>
        <row r="3">
          <cell r="A3" t="str">
            <v>s</v>
          </cell>
          <cell r="B3" t="str">
            <v>s</v>
          </cell>
          <cell r="C3" t="str">
            <v>s</v>
          </cell>
        </row>
        <row r="4">
          <cell r="A4">
            <v>1001</v>
          </cell>
          <cell r="B4" t="str">
            <v>女主角</v>
          </cell>
          <cell r="C4" t="str">
            <v>凤鸣折翼剑</v>
          </cell>
        </row>
        <row r="5">
          <cell r="A5">
            <v>1002</v>
          </cell>
          <cell r="B5" t="str">
            <v>男主角</v>
          </cell>
          <cell r="C5" t="str">
            <v>龙麟碎霜扇</v>
          </cell>
        </row>
        <row r="6">
          <cell r="A6">
            <v>1102</v>
          </cell>
          <cell r="B6" t="str">
            <v>哪吒</v>
          </cell>
          <cell r="C6" t="str">
            <v>红莲岩泉</v>
          </cell>
        </row>
        <row r="7">
          <cell r="A7">
            <v>1211</v>
          </cell>
          <cell r="B7" t="str">
            <v>斗战胜佛</v>
          </cell>
          <cell r="C7" t="str">
            <v>斗神镇狱棒</v>
          </cell>
        </row>
        <row r="8">
          <cell r="A8">
            <v>1101</v>
          </cell>
          <cell r="B8" t="str">
            <v>二郎神</v>
          </cell>
          <cell r="C8" t="str">
            <v>三尖两刃刀</v>
          </cell>
        </row>
        <row r="9">
          <cell r="A9">
            <v>1108</v>
          </cell>
          <cell r="B9" t="str">
            <v>托塔天王</v>
          </cell>
          <cell r="C9" t="str">
            <v>玲珑天晶塔</v>
          </cell>
        </row>
        <row r="10">
          <cell r="A10">
            <v>1113</v>
          </cell>
          <cell r="B10" t="str">
            <v>虎力大仙</v>
          </cell>
          <cell r="C10" t="str">
            <v>明王摧城</v>
          </cell>
        </row>
        <row r="11">
          <cell r="A11">
            <v>1120</v>
          </cell>
          <cell r="B11" t="str">
            <v>猪八戒</v>
          </cell>
          <cell r="C11" t="str">
            <v>上宝沁金钯</v>
          </cell>
        </row>
        <row r="12">
          <cell r="A12">
            <v>1127</v>
          </cell>
          <cell r="B12" t="str">
            <v>弥勒佛</v>
          </cell>
          <cell r="C12" t="str">
            <v>昆仑神木珠</v>
          </cell>
        </row>
        <row r="13">
          <cell r="A13">
            <v>1212</v>
          </cell>
          <cell r="B13" t="str">
            <v>金蝉子</v>
          </cell>
          <cell r="C13" t="str">
            <v>浮沉三世</v>
          </cell>
        </row>
        <row r="14">
          <cell r="A14">
            <v>1219</v>
          </cell>
          <cell r="B14" t="str">
            <v>黑无常</v>
          </cell>
          <cell r="C14" t="str">
            <v>斩鬼流岩</v>
          </cell>
        </row>
        <row r="15">
          <cell r="A15">
            <v>1112</v>
          </cell>
          <cell r="B15" t="str">
            <v>牛魔王</v>
          </cell>
          <cell r="C15" t="str">
            <v>修罗开山斧</v>
          </cell>
        </row>
        <row r="16">
          <cell r="A16">
            <v>1119</v>
          </cell>
          <cell r="B16" t="str">
            <v>孙悟空</v>
          </cell>
          <cell r="C16" t="str">
            <v>如意金箍棒</v>
          </cell>
        </row>
        <row r="17">
          <cell r="A17">
            <v>1105</v>
          </cell>
          <cell r="B17" t="str">
            <v>王母娘娘</v>
          </cell>
          <cell r="C17" t="str">
            <v>如意鸾凤簪</v>
          </cell>
        </row>
        <row r="18">
          <cell r="A18">
            <v>1218</v>
          </cell>
          <cell r="B18" t="str">
            <v>白无常</v>
          </cell>
          <cell r="C18" t="str">
            <v>绝魂领悟</v>
          </cell>
        </row>
        <row r="19">
          <cell r="A19">
            <v>1124</v>
          </cell>
          <cell r="B19" t="str">
            <v>沙和尚</v>
          </cell>
          <cell r="C19" t="str">
            <v>降妖宝杖</v>
          </cell>
        </row>
        <row r="20">
          <cell r="A20">
            <v>1126</v>
          </cell>
          <cell r="B20" t="str">
            <v>文殊菩萨</v>
          </cell>
          <cell r="C20" t="str">
            <v>天慧法杖</v>
          </cell>
        </row>
        <row r="21">
          <cell r="A21">
            <v>1213</v>
          </cell>
          <cell r="B21" t="str">
            <v>龙帝</v>
          </cell>
          <cell r="C21" t="str">
            <v>深海碎霜</v>
          </cell>
        </row>
        <row r="22">
          <cell r="A22">
            <v>1214</v>
          </cell>
          <cell r="B22" t="str">
            <v>八部天龙</v>
          </cell>
          <cell r="C22" t="str">
            <v>焚焰溯流</v>
          </cell>
        </row>
        <row r="23">
          <cell r="A23">
            <v>1103</v>
          </cell>
          <cell r="B23" t="str">
            <v>嫦娥</v>
          </cell>
          <cell r="C23" t="str">
            <v>追风紫罗带</v>
          </cell>
        </row>
        <row r="24">
          <cell r="A24">
            <v>1109</v>
          </cell>
          <cell r="B24" t="str">
            <v>九天玄女</v>
          </cell>
          <cell r="C24" t="str">
            <v>碧海定沁丹</v>
          </cell>
        </row>
        <row r="25">
          <cell r="A25">
            <v>1111</v>
          </cell>
          <cell r="B25" t="str">
            <v>铁扇公主</v>
          </cell>
          <cell r="C25" t="str">
            <v>沉星芭蕉扇</v>
          </cell>
        </row>
        <row r="26">
          <cell r="A26">
            <v>1116</v>
          </cell>
          <cell r="B26" t="str">
            <v>白骨夫人</v>
          </cell>
          <cell r="C26" t="str">
            <v>白骨幡</v>
          </cell>
        </row>
        <row r="27">
          <cell r="A27">
            <v>1121</v>
          </cell>
          <cell r="B27" t="str">
            <v>紫霞仙子</v>
          </cell>
          <cell r="C27" t="str">
            <v>紫青玄铁剑</v>
          </cell>
        </row>
        <row r="28">
          <cell r="A28">
            <v>1215</v>
          </cell>
          <cell r="B28" t="str">
            <v>观世音</v>
          </cell>
          <cell r="C28" t="str">
            <v>羊脂玉净瓶</v>
          </cell>
        </row>
        <row r="29">
          <cell r="A29">
            <v>1114</v>
          </cell>
          <cell r="B29" t="str">
            <v>鹿力大仙</v>
          </cell>
          <cell r="C29" t="str">
            <v>龙凤双环</v>
          </cell>
        </row>
        <row r="30">
          <cell r="A30">
            <v>1110</v>
          </cell>
          <cell r="B30" t="str">
            <v>红孩儿</v>
          </cell>
          <cell r="C30" t="str">
            <v>真火子母枪</v>
          </cell>
        </row>
        <row r="31">
          <cell r="A31">
            <v>1104</v>
          </cell>
          <cell r="B31" t="str">
            <v>玉皇大帝</v>
          </cell>
          <cell r="C31" t="str">
            <v>渊微凡尘</v>
          </cell>
        </row>
        <row r="32">
          <cell r="A32">
            <v>1135</v>
          </cell>
          <cell r="B32" t="str">
            <v>东海龙王</v>
          </cell>
          <cell r="C32" t="str">
            <v>海王戟</v>
          </cell>
        </row>
        <row r="33">
          <cell r="A33">
            <v>1132</v>
          </cell>
          <cell r="B33" t="str">
            <v>混世魔王</v>
          </cell>
          <cell r="C33" t="str">
            <v>混世蛇矛</v>
          </cell>
        </row>
        <row r="34">
          <cell r="A34">
            <v>1125</v>
          </cell>
          <cell r="B34" t="str">
            <v>迦叶</v>
          </cell>
          <cell r="C34" t="str">
            <v>流星拳</v>
          </cell>
        </row>
        <row r="35">
          <cell r="A35">
            <v>1202</v>
          </cell>
          <cell r="B35" t="str">
            <v>人参娃</v>
          </cell>
          <cell r="C35" t="str">
            <v>人参糖葫芦</v>
          </cell>
        </row>
        <row r="36">
          <cell r="A36">
            <v>1123</v>
          </cell>
          <cell r="B36" t="str">
            <v>小白龙</v>
          </cell>
          <cell r="C36" t="str">
            <v>逆流白龙吟</v>
          </cell>
        </row>
        <row r="37">
          <cell r="A37">
            <v>1117</v>
          </cell>
          <cell r="B37" t="str">
            <v>六耳猕猴</v>
          </cell>
          <cell r="C37" t="str">
            <v>猕猴斩魄刀</v>
          </cell>
        </row>
        <row r="38">
          <cell r="A38">
            <v>1201</v>
          </cell>
          <cell r="B38" t="str">
            <v>阎罗王</v>
          </cell>
          <cell r="C38" t="str">
            <v>判官笔</v>
          </cell>
        </row>
        <row r="39">
          <cell r="A39">
            <v>1131</v>
          </cell>
          <cell r="B39" t="str">
            <v>蝎子精</v>
          </cell>
          <cell r="C39" t="str">
            <v>琴瑟琵琶</v>
          </cell>
        </row>
        <row r="40">
          <cell r="A40">
            <v>1137</v>
          </cell>
          <cell r="B40" t="str">
            <v>蜘蛛精</v>
          </cell>
          <cell r="C40" t="str">
            <v>肚脐蛛网</v>
          </cell>
        </row>
        <row r="41">
          <cell r="A41">
            <v>1216</v>
          </cell>
          <cell r="B41" t="str">
            <v>女儿国国王</v>
          </cell>
          <cell r="C41" t="str">
            <v>相思醉</v>
          </cell>
        </row>
        <row r="42">
          <cell r="A42">
            <v>1106</v>
          </cell>
          <cell r="B42" t="str">
            <v>太白金星</v>
          </cell>
          <cell r="C42" t="str">
            <v>太白金剑</v>
          </cell>
        </row>
        <row r="43">
          <cell r="A43">
            <v>1115</v>
          </cell>
          <cell r="B43" t="str">
            <v>羊力大仙</v>
          </cell>
          <cell r="C43" t="str">
            <v>羊角画戟</v>
          </cell>
        </row>
        <row r="44">
          <cell r="A44">
            <v>1208</v>
          </cell>
          <cell r="B44" t="str">
            <v>彩蝶仙童</v>
          </cell>
          <cell r="C44" t="str">
            <v>凝神花</v>
          </cell>
        </row>
        <row r="45">
          <cell r="A45">
            <v>1122</v>
          </cell>
          <cell r="B45" t="str">
            <v>唐三藏</v>
          </cell>
          <cell r="C45" t="str">
            <v>九环锡杖</v>
          </cell>
        </row>
        <row r="46">
          <cell r="A46">
            <v>1207</v>
          </cell>
          <cell r="B46" t="str">
            <v>引魂仙子</v>
          </cell>
          <cell r="C46" t="str">
            <v>吊莲仙灯</v>
          </cell>
        </row>
        <row r="47">
          <cell r="A47">
            <v>1107</v>
          </cell>
          <cell r="B47" t="str">
            <v>赤脚大仙</v>
          </cell>
          <cell r="C47" t="str">
            <v>落樱神斧</v>
          </cell>
        </row>
        <row r="48">
          <cell r="A48">
            <v>100000</v>
          </cell>
          <cell r="B48" t="str">
            <v>暴走孙悟空</v>
          </cell>
          <cell r="C48" t="str">
            <v>暴走孙悟空</v>
          </cell>
        </row>
      </sheetData>
      <sheetData sheetId="1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</sheetNames>
    <sheetDataSet>
      <sheetData sheetId="0">
        <row r="1">
          <cell r="A1" t="str">
            <v>展示效果id</v>
          </cell>
          <cell r="B1" t="str">
            <v>神兵对应阶段的名字</v>
          </cell>
          <cell r="C1" t="str">
            <v>神兵对应阶段的模型</v>
          </cell>
          <cell r="D1" t="str">
            <v>展示特效
神兵组件对应的特效</v>
          </cell>
        </row>
        <row r="2">
          <cell r="A2" t="str">
            <v>id</v>
          </cell>
          <cell r="B2" t="str">
            <v>name</v>
          </cell>
          <cell r="C2" t="str">
            <v>model</v>
          </cell>
          <cell r="D2" t="str">
            <v>effect</v>
          </cell>
        </row>
        <row r="3">
          <cell r="A3" t="str">
            <v>s</v>
          </cell>
          <cell r="B3" t="str">
            <v>s</v>
          </cell>
          <cell r="C3" t="str">
            <v>na</v>
          </cell>
          <cell r="D3" t="str">
            <v>na</v>
          </cell>
        </row>
        <row r="4">
          <cell r="A4">
            <v>10010</v>
          </cell>
          <cell r="B4" t="str">
            <v>凤鸣折翼剑</v>
          </cell>
          <cell r="C4" t="str">
            <v>["nvzhujue_wuqi01_01"]</v>
          </cell>
          <cell r="D4" t="str">
            <v>[]</v>
          </cell>
        </row>
        <row r="5">
          <cell r="A5">
            <v>10011</v>
          </cell>
          <cell r="B5" t="str">
            <v>凤鸣折翼剑</v>
          </cell>
          <cell r="C5" t="str">
            <v>["nvzhujue_wuqi01_01"]</v>
          </cell>
          <cell r="D5" t="str">
            <v>["nvzhujue_sb2_wuqi01_01"]</v>
          </cell>
        </row>
        <row r="6">
          <cell r="A6">
            <v>10012</v>
          </cell>
          <cell r="B6" t="str">
            <v>凤鸣折翼剑</v>
          </cell>
          <cell r="C6" t="str">
            <v>["nvzhujue_wuqi02_01"]</v>
          </cell>
          <cell r="D6" t="str">
            <v>["nvzhujue_sb3_wuqi02_01"]</v>
          </cell>
        </row>
        <row r="7">
          <cell r="A7">
            <v>10013</v>
          </cell>
          <cell r="B7" t="str">
            <v>凤鸣折翼剑</v>
          </cell>
          <cell r="C7" t="str">
            <v>["nvzhujue_wuqi03_01"]</v>
          </cell>
          <cell r="D7" t="str">
            <v>["nvzhujue_sb4_wuqi02_01"]</v>
          </cell>
        </row>
        <row r="8">
          <cell r="A8">
            <v>10014</v>
          </cell>
          <cell r="B8" t="str">
            <v>凤鸣折翼剑</v>
          </cell>
          <cell r="C8" t="str">
            <v>["nvzhujue_wuqi03_01"]</v>
          </cell>
          <cell r="D8" t="str">
            <v>["nvzhujue_sb5_wuqi03_01"]</v>
          </cell>
        </row>
        <row r="9">
          <cell r="A9">
            <v>10015</v>
          </cell>
          <cell r="B9" t="str">
            <v>凤鸣折翼剑</v>
          </cell>
          <cell r="C9" t="str">
            <v>["nvzhujue_wuqi03_01"]</v>
          </cell>
          <cell r="D9" t="str">
            <v>["nvzhujue_sb5_wuqi03_01"]</v>
          </cell>
        </row>
        <row r="10">
          <cell r="A10">
            <v>10016</v>
          </cell>
          <cell r="B10" t="str">
            <v>凤鸣折翼剑</v>
          </cell>
          <cell r="C10" t="str">
            <v>["nvzhujue_wuqi03_01"]</v>
          </cell>
          <cell r="D10" t="str">
            <v>["nvzhujue_sb5_wuqi03_01"]</v>
          </cell>
        </row>
        <row r="11">
          <cell r="A11">
            <v>10020</v>
          </cell>
          <cell r="B11" t="str">
            <v>龙麟碎霜扇</v>
          </cell>
          <cell r="C11" t="str">
            <v>["nanzhujue_wuqi01_01"]</v>
          </cell>
          <cell r="D11" t="str">
            <v>[]</v>
          </cell>
        </row>
        <row r="12">
          <cell r="A12">
            <v>10021</v>
          </cell>
          <cell r="B12" t="str">
            <v>龙麟碎霜扇</v>
          </cell>
          <cell r="C12" t="str">
            <v>["nanzhujue_wuqi01_01"]</v>
          </cell>
          <cell r="D12" t="str">
            <v>["nanzhujue_sb2_wuqi01_01"]</v>
          </cell>
        </row>
        <row r="13">
          <cell r="A13">
            <v>10022</v>
          </cell>
          <cell r="B13" t="str">
            <v>龙麟碎霜扇</v>
          </cell>
          <cell r="C13" t="str">
            <v>["nanzhujue_wuqi02_01"]</v>
          </cell>
          <cell r="D13" t="str">
            <v>["nanzhujue_sb3_wuqi02_01"]</v>
          </cell>
        </row>
        <row r="14">
          <cell r="A14">
            <v>10023</v>
          </cell>
          <cell r="B14" t="str">
            <v>龙麟碎霜扇</v>
          </cell>
          <cell r="C14" t="str">
            <v>["nanzhujue_wuqi03_01"]</v>
          </cell>
          <cell r="D14" t="str">
            <v>["nanzhujue_sb4_wuqi02_01"]</v>
          </cell>
        </row>
        <row r="15">
          <cell r="A15">
            <v>10024</v>
          </cell>
          <cell r="B15" t="str">
            <v>龙麟碎霜扇</v>
          </cell>
          <cell r="C15" t="str">
            <v>["nanzhujue_wuqi03_01"]</v>
          </cell>
          <cell r="D15" t="str">
            <v>["nanzhujue_sb5_wuqi03_01"]</v>
          </cell>
        </row>
        <row r="16">
          <cell r="A16">
            <v>10025</v>
          </cell>
          <cell r="B16" t="str">
            <v>龙麟碎霜扇</v>
          </cell>
          <cell r="C16" t="str">
            <v>["nanzhujue_wuqi03_01"]</v>
          </cell>
          <cell r="D16" t="str">
            <v>["nanzhujue_sb5_wuqi03_01"]</v>
          </cell>
        </row>
        <row r="17">
          <cell r="A17">
            <v>10026</v>
          </cell>
          <cell r="B17" t="str">
            <v>龙麟碎霜扇</v>
          </cell>
          <cell r="C17" t="str">
            <v>["nanzhujue_wuqi03_01"]</v>
          </cell>
          <cell r="D17" t="str">
            <v>["nanzhujue_sb5_wuqi03_01"]</v>
          </cell>
        </row>
        <row r="18">
          <cell r="A18">
            <v>11020</v>
          </cell>
          <cell r="B18" t="str">
            <v>红莲岩泉</v>
          </cell>
          <cell r="C18" t="str">
            <v>["nezha_wuqi01_01"]</v>
          </cell>
          <cell r="D18" t="str">
            <v>[]</v>
          </cell>
        </row>
        <row r="19">
          <cell r="A19">
            <v>11021</v>
          </cell>
          <cell r="B19" t="str">
            <v>红莲岩泉</v>
          </cell>
          <cell r="C19" t="str">
            <v>["nezha_wuqi02_01"]</v>
          </cell>
          <cell r="D19" t="str">
            <v>["nezha_sb2_wuqi01_01"]</v>
          </cell>
        </row>
        <row r="20">
          <cell r="A20">
            <v>11022</v>
          </cell>
          <cell r="B20" t="str">
            <v>红莲岩泉</v>
          </cell>
          <cell r="C20" t="str">
            <v>["nezha_wuqi02_01"]</v>
          </cell>
          <cell r="D20" t="str">
            <v>["nezha_sb3_wuqi02_01"]</v>
          </cell>
        </row>
        <row r="21">
          <cell r="A21">
            <v>11023</v>
          </cell>
          <cell r="B21" t="str">
            <v>红莲岩泉</v>
          </cell>
          <cell r="C21" t="str">
            <v>["nezha_wuqi02_01"]</v>
          </cell>
          <cell r="D21" t="str">
            <v>["nezha_sb4_wuqi02_01"]</v>
          </cell>
        </row>
        <row r="22">
          <cell r="A22">
            <v>11024</v>
          </cell>
          <cell r="B22" t="str">
            <v>红莲岩泉</v>
          </cell>
          <cell r="C22" t="str">
            <v>["nezha_wuqi02_01"]</v>
          </cell>
          <cell r="D22" t="str">
            <v>["nezha_sb5_wuqi03_01"]</v>
          </cell>
        </row>
        <row r="23">
          <cell r="A23">
            <v>11025</v>
          </cell>
          <cell r="B23" t="str">
            <v>红莲岩泉</v>
          </cell>
          <cell r="C23" t="str">
            <v>["nezha_wuqi02_01"]</v>
          </cell>
          <cell r="D23" t="str">
            <v>["nezha_sb5_wuqi03_01"]</v>
          </cell>
        </row>
        <row r="24">
          <cell r="A24">
            <v>11026</v>
          </cell>
          <cell r="B24" t="str">
            <v>红莲岩泉</v>
          </cell>
          <cell r="C24" t="str">
            <v>["nezha_wuqi02_01"]</v>
          </cell>
          <cell r="D24" t="str">
            <v>["nezha_sb5_wuqi03_01"]</v>
          </cell>
        </row>
        <row r="25">
          <cell r="A25">
            <v>12110</v>
          </cell>
          <cell r="B25" t="str">
            <v>斗神镇狱棒</v>
          </cell>
          <cell r="C25" t="str">
            <v>["douzhanshengfo_wuqi01_01"]</v>
          </cell>
          <cell r="D25" t="str">
            <v>[]</v>
          </cell>
        </row>
        <row r="26">
          <cell r="A26">
            <v>12111</v>
          </cell>
          <cell r="B26" t="str">
            <v>斗神镇狱棒</v>
          </cell>
          <cell r="C26" t="str">
            <v>["douzhanshengfo_wuqi02_01"]</v>
          </cell>
          <cell r="D26" t="str">
            <v>["douzhanshengfo_sb2_wuqi01_01"]</v>
          </cell>
        </row>
        <row r="27">
          <cell r="A27">
            <v>12112</v>
          </cell>
          <cell r="B27" t="str">
            <v>斗神镇狱棒</v>
          </cell>
          <cell r="C27" t="str">
            <v>["douzhanshengfo_wuqi02_01"]</v>
          </cell>
          <cell r="D27" t="str">
            <v>["douzhanshengfo_sb3_wuqi02_01"]</v>
          </cell>
        </row>
        <row r="28">
          <cell r="A28">
            <v>12113</v>
          </cell>
          <cell r="B28" t="str">
            <v>斗神镇狱棒</v>
          </cell>
          <cell r="C28" t="str">
            <v>["douzhanshengfo_wuqi02_01"]</v>
          </cell>
          <cell r="D28" t="str">
            <v>["douzhanshengfo_sb4_wuqi02_01"]</v>
          </cell>
        </row>
        <row r="29">
          <cell r="A29">
            <v>12114</v>
          </cell>
          <cell r="B29" t="str">
            <v>斗神镇狱棒</v>
          </cell>
          <cell r="C29" t="str">
            <v>["douzhanshengfo_wuqi02_01"]</v>
          </cell>
          <cell r="D29" t="str">
            <v>["douzhanshengfo_sb5_wuqi03_01"]</v>
          </cell>
        </row>
        <row r="30">
          <cell r="A30">
            <v>12115</v>
          </cell>
          <cell r="B30" t="str">
            <v>斗神镇狱棒</v>
          </cell>
          <cell r="C30" t="str">
            <v>["douzhanshengfo_wuqi02_01"]</v>
          </cell>
          <cell r="D30" t="str">
            <v>["douzhanshengfo_sb5_wuqi03_01"]</v>
          </cell>
        </row>
        <row r="31">
          <cell r="A31">
            <v>12116</v>
          </cell>
          <cell r="B31" t="str">
            <v>斗神镇狱棒</v>
          </cell>
          <cell r="C31" t="str">
            <v>["douzhanshengfo_wuqi02_01"]</v>
          </cell>
          <cell r="D31" t="str">
            <v>["douzhanshengfo_sb5_wuqi03_01"]</v>
          </cell>
        </row>
        <row r="32">
          <cell r="A32">
            <v>11010</v>
          </cell>
          <cell r="B32" t="str">
            <v>三尖两刃刀</v>
          </cell>
          <cell r="C32" t="str">
            <v>["erlangshen_wuqi01_01"]</v>
          </cell>
          <cell r="D32" t="str">
            <v>[]</v>
          </cell>
        </row>
        <row r="33">
          <cell r="A33">
            <v>11011</v>
          </cell>
          <cell r="B33" t="str">
            <v>三尖两刃刀</v>
          </cell>
          <cell r="C33" t="str">
            <v>["erlangshen_wuqi02_01"]</v>
          </cell>
          <cell r="D33" t="str">
            <v>["erlangshen_sb2_wuqi01_01"]</v>
          </cell>
        </row>
        <row r="34">
          <cell r="A34">
            <v>11012</v>
          </cell>
          <cell r="B34" t="str">
            <v>三尖两刃刀</v>
          </cell>
          <cell r="C34" t="str">
            <v>["erlangshen_wuqi02_01"]</v>
          </cell>
          <cell r="D34" t="str">
            <v>["erlangshen_sb3_wuqi02_01"]</v>
          </cell>
        </row>
        <row r="35">
          <cell r="A35">
            <v>11013</v>
          </cell>
          <cell r="B35" t="str">
            <v>三尖两刃刀</v>
          </cell>
          <cell r="C35" t="str">
            <v>["erlangshen_wuqi02_01"]</v>
          </cell>
          <cell r="D35" t="str">
            <v>["erlangshen_sb4_wuqi02_01"]</v>
          </cell>
        </row>
        <row r="36">
          <cell r="A36">
            <v>11014</v>
          </cell>
          <cell r="B36" t="str">
            <v>三尖两刃刀</v>
          </cell>
          <cell r="C36" t="str">
            <v>["erlangshen_wuqi02_01"]</v>
          </cell>
          <cell r="D36" t="str">
            <v>["erlangshen_sb5_wuqi03_01"]</v>
          </cell>
        </row>
        <row r="37">
          <cell r="A37">
            <v>11015</v>
          </cell>
          <cell r="B37" t="str">
            <v>三尖两刃刀</v>
          </cell>
          <cell r="C37" t="str">
            <v>["erlangshen_wuqi02_01"]</v>
          </cell>
          <cell r="D37" t="str">
            <v>["erlangshen_sb5_wuqi03_01"]</v>
          </cell>
        </row>
        <row r="38">
          <cell r="A38">
            <v>11016</v>
          </cell>
          <cell r="B38" t="str">
            <v>三尖两刃刀</v>
          </cell>
          <cell r="C38" t="str">
            <v>["erlangshen_wuqi02_01"]</v>
          </cell>
          <cell r="D38" t="str">
            <v>["erlangshen_sb5_wuqi03_01"]</v>
          </cell>
        </row>
        <row r="39">
          <cell r="A39">
            <v>11080</v>
          </cell>
          <cell r="B39" t="str">
            <v>玲珑天晶塔</v>
          </cell>
          <cell r="C39" t="str">
            <v>["tuotatianwang_wuqi01_01"]</v>
          </cell>
          <cell r="D39" t="str">
            <v>[]</v>
          </cell>
        </row>
        <row r="40">
          <cell r="A40">
            <v>11081</v>
          </cell>
          <cell r="B40" t="str">
            <v>玲珑天晶塔</v>
          </cell>
          <cell r="C40" t="str">
            <v>["tuotatianwang_wuqi02_01"]</v>
          </cell>
          <cell r="D40" t="str">
            <v>["tuotatianwang_sb2_wuqi01_01"]</v>
          </cell>
        </row>
        <row r="41">
          <cell r="A41">
            <v>11082</v>
          </cell>
          <cell r="B41" t="str">
            <v>玲珑天晶塔</v>
          </cell>
          <cell r="C41" t="str">
            <v>["tuotatianwang_wuqi02_01"]</v>
          </cell>
          <cell r="D41" t="str">
            <v>["tuotatianwang_sb3_wuqi02_01"]</v>
          </cell>
        </row>
        <row r="42">
          <cell r="A42">
            <v>11083</v>
          </cell>
          <cell r="B42" t="str">
            <v>玲珑天晶塔</v>
          </cell>
          <cell r="C42" t="str">
            <v>["tuotatianwang_wuqi02_01"]</v>
          </cell>
          <cell r="D42" t="str">
            <v>["tuotatianwang_sb4_wuqi02_01"]</v>
          </cell>
        </row>
        <row r="43">
          <cell r="A43">
            <v>11084</v>
          </cell>
          <cell r="B43" t="str">
            <v>玲珑天晶塔</v>
          </cell>
          <cell r="C43" t="str">
            <v>["tuotatianwang_wuqi02_01"]</v>
          </cell>
          <cell r="D43" t="str">
            <v>["tuotatianwang_sb5_wuqi03_01"]</v>
          </cell>
        </row>
        <row r="44">
          <cell r="A44">
            <v>11085</v>
          </cell>
          <cell r="B44" t="str">
            <v>玲珑天晶塔</v>
          </cell>
          <cell r="C44" t="str">
            <v>["tuotatianwang_wuqi02_01"]</v>
          </cell>
          <cell r="D44" t="str">
            <v>["tuotatianwang_sb5_wuqi03_01"]</v>
          </cell>
        </row>
        <row r="45">
          <cell r="A45">
            <v>11086</v>
          </cell>
          <cell r="B45" t="str">
            <v>玲珑天晶塔</v>
          </cell>
          <cell r="C45" t="str">
            <v>["tuotatianwang_wuqi02_01"]</v>
          </cell>
          <cell r="D45" t="str">
            <v>["tuotatianwang_sb5_wuqi03_01"]</v>
          </cell>
        </row>
        <row r="46">
          <cell r="A46">
            <v>11130</v>
          </cell>
          <cell r="B46" t="str">
            <v>明王摧城</v>
          </cell>
          <cell r="C46" t="str">
            <v>["hulidaxian_wuqi01_01","hulidaxian_wuqi01_02"]</v>
          </cell>
          <cell r="D46" t="str">
            <v>[]</v>
          </cell>
        </row>
        <row r="47">
          <cell r="A47">
            <v>11131</v>
          </cell>
          <cell r="B47" t="str">
            <v>明王摧城</v>
          </cell>
          <cell r="C47" t="str">
            <v>["hulidaxian_wuqi02_01","hulidaxian_wuqi02_02"]</v>
          </cell>
          <cell r="D47" t="str">
            <v>["hulidaxian_sb2_wuqi01_01","hulidaxian_sb2_wuqi01_02"]</v>
          </cell>
        </row>
        <row r="48">
          <cell r="A48">
            <v>11132</v>
          </cell>
          <cell r="B48" t="str">
            <v>明王摧城</v>
          </cell>
          <cell r="C48" t="str">
            <v>["hulidaxian_wuqi02_01","hulidaxian_wuqi02_02"]</v>
          </cell>
          <cell r="D48" t="str">
            <v>["hulidaxian_sb3_wuqi02_01","hulidaxian_sb3_wuqi02_02"]</v>
          </cell>
        </row>
        <row r="49">
          <cell r="A49">
            <v>11133</v>
          </cell>
          <cell r="B49" t="str">
            <v>明王摧城</v>
          </cell>
          <cell r="C49" t="str">
            <v>["hulidaxian_wuqi02_01","hulidaxian_wuqi02_02"]</v>
          </cell>
          <cell r="D49" t="str">
            <v>["hulidaxian_sb4_wuqi02_01","hulidaxian_sb4_wuqi02_02"]</v>
          </cell>
        </row>
        <row r="50">
          <cell r="A50">
            <v>11134</v>
          </cell>
          <cell r="B50" t="str">
            <v>明王摧城</v>
          </cell>
          <cell r="C50" t="str">
            <v>["hulidaxian_wuqi02_01","hulidaxian_wuqi02_02"]</v>
          </cell>
          <cell r="D50" t="str">
            <v>["hulidaxian_sb5_wuqi03_01","hulidaxian_sb5_wuqi03_02"]</v>
          </cell>
        </row>
        <row r="51">
          <cell r="A51">
            <v>11135</v>
          </cell>
          <cell r="B51" t="str">
            <v>明王摧城</v>
          </cell>
          <cell r="C51" t="str">
            <v>["hulidaxian_wuqi02_01","hulidaxian_wuqi02_02"]</v>
          </cell>
          <cell r="D51" t="str">
            <v>["hulidaxian_sb5_wuqi03_01","hulidaxian_sb5_wuqi03_02"]</v>
          </cell>
        </row>
        <row r="52">
          <cell r="A52">
            <v>11136</v>
          </cell>
          <cell r="B52" t="str">
            <v>明王摧城</v>
          </cell>
          <cell r="C52" t="str">
            <v>["hulidaxian_wuqi02_01","hulidaxian_wuqi02_02"]</v>
          </cell>
          <cell r="D52" t="str">
            <v>["hulidaxian_sb5_wuqi03_01","hulidaxian_sb5_wuqi03_02"]</v>
          </cell>
        </row>
        <row r="53">
          <cell r="A53">
            <v>11200</v>
          </cell>
          <cell r="B53" t="str">
            <v>上宝沁金钯</v>
          </cell>
          <cell r="C53" t="str">
            <v>["zhubajie_wuqi01_01"]</v>
          </cell>
          <cell r="D53" t="str">
            <v>[]</v>
          </cell>
        </row>
        <row r="54">
          <cell r="A54">
            <v>11201</v>
          </cell>
          <cell r="B54" t="str">
            <v>上宝沁金钯</v>
          </cell>
          <cell r="C54" t="str">
            <v>["zhubajie_wuqi02_01"]</v>
          </cell>
          <cell r="D54" t="str">
            <v>["zhubajie_sb2_wuqi01_01"]</v>
          </cell>
        </row>
        <row r="55">
          <cell r="A55">
            <v>11202</v>
          </cell>
          <cell r="B55" t="str">
            <v>上宝沁金钯</v>
          </cell>
          <cell r="C55" t="str">
            <v>["zhubajie_wuqi02_01"]</v>
          </cell>
          <cell r="D55" t="str">
            <v>["zhubajie_sb3_wuqi02_01"]</v>
          </cell>
        </row>
        <row r="56">
          <cell r="A56">
            <v>11203</v>
          </cell>
          <cell r="B56" t="str">
            <v>上宝沁金钯</v>
          </cell>
          <cell r="C56" t="str">
            <v>["zhubajie_wuqi02_01"]</v>
          </cell>
          <cell r="D56" t="str">
            <v>["zhubajie_sb4_wuqi02_01"]</v>
          </cell>
        </row>
        <row r="57">
          <cell r="A57">
            <v>11204</v>
          </cell>
          <cell r="B57" t="str">
            <v>上宝沁金钯</v>
          </cell>
          <cell r="C57" t="str">
            <v>["zhubajie_wuqi02_01"]</v>
          </cell>
          <cell r="D57" t="str">
            <v>["zhubajie_sb5_wuqi03_01"]</v>
          </cell>
        </row>
        <row r="58">
          <cell r="A58">
            <v>11205</v>
          </cell>
          <cell r="B58" t="str">
            <v>上宝沁金钯</v>
          </cell>
          <cell r="C58" t="str">
            <v>["zhubajie_wuqi02_01"]</v>
          </cell>
          <cell r="D58" t="str">
            <v>["zhubajie_sb5_wuqi03_01"]</v>
          </cell>
        </row>
        <row r="59">
          <cell r="A59">
            <v>11206</v>
          </cell>
          <cell r="B59" t="str">
            <v>上宝沁金钯</v>
          </cell>
          <cell r="C59" t="str">
            <v>["zhubajie_wuqi02_01"]</v>
          </cell>
          <cell r="D59" t="str">
            <v>["zhubajie_sb5_wuqi03_01"]</v>
          </cell>
        </row>
        <row r="60">
          <cell r="A60">
            <v>11270</v>
          </cell>
          <cell r="B60" t="str">
            <v>昆仑神木珠</v>
          </cell>
          <cell r="C60" t="str">
            <v>["milefo_wuqi01_01","milefo_wuqi01_02","milefo_wuqi01_03"]</v>
          </cell>
          <cell r="D60" t="str">
            <v>[]</v>
          </cell>
        </row>
        <row r="61">
          <cell r="A61">
            <v>11271</v>
          </cell>
          <cell r="B61" t="str">
            <v>昆仑神木珠</v>
          </cell>
          <cell r="C61" t="str">
            <v>["milefo_wuqi02_01","milefo_wuqi02_02","milefo_wuqi02_03"]</v>
          </cell>
          <cell r="D61" t="str">
            <v>["milefo_sb2_wuqi01_01","milefo_sb2_wuqi01_01","milefo_sb2_wuqi01_01"]</v>
          </cell>
        </row>
        <row r="62">
          <cell r="A62">
            <v>11272</v>
          </cell>
          <cell r="B62" t="str">
            <v>昆仑神木珠</v>
          </cell>
          <cell r="C62" t="str">
            <v>["milefo_wuqi02_01","milefo_wuqi02_02","milefo_wuqi02_03"]</v>
          </cell>
          <cell r="D62" t="str">
            <v>["milefo_sb3_wuqi02_01","milefo_sb3_wuqi02_01","milefo_sb3_wuqi02_01"]</v>
          </cell>
        </row>
        <row r="63">
          <cell r="A63">
            <v>11273</v>
          </cell>
          <cell r="B63" t="str">
            <v>昆仑神木珠</v>
          </cell>
          <cell r="C63" t="str">
            <v>["milefo_wuqi02_01","milefo_wuqi02_02","milefo_wuqi02_03"]</v>
          </cell>
          <cell r="D63" t="str">
            <v>["milefo_sb4_wuqi02_01","milefo_sb4_wuqi02_01","milefo_sb4_wuqi02_01"]</v>
          </cell>
        </row>
        <row r="64">
          <cell r="A64">
            <v>11274</v>
          </cell>
          <cell r="B64" t="str">
            <v>昆仑神木珠</v>
          </cell>
          <cell r="C64" t="str">
            <v>["milefo_wuqi02_01","milefo_wuqi02_02","milefo_wuqi02_03"]</v>
          </cell>
          <cell r="D64" t="str">
            <v>["milefo_sb5_wuqi03_01","milefo_sb5_wuqi03_01","milefo_sb5_wuqi03_01"]</v>
          </cell>
        </row>
        <row r="65">
          <cell r="A65">
            <v>11275</v>
          </cell>
          <cell r="B65" t="str">
            <v>昆仑神木珠</v>
          </cell>
          <cell r="C65" t="str">
            <v>["milefo_wuqi02_01","milefo_wuqi02_02","milefo_wuqi02_03"]</v>
          </cell>
          <cell r="D65" t="str">
            <v>["milefo_sb5_wuqi03_01","milefo_sb5_wuqi03_01","milefo_sb5_wuqi03_01"]</v>
          </cell>
        </row>
        <row r="66">
          <cell r="A66">
            <v>11276</v>
          </cell>
          <cell r="B66" t="str">
            <v>昆仑神木珠</v>
          </cell>
          <cell r="C66" t="str">
            <v>["milefo_wuqi02_01","milefo_wuqi02_02","milefo_wuqi02_03"]</v>
          </cell>
          <cell r="D66" t="str">
            <v>["milefo_sb5_wuqi03_01","milefo_sb5_wuqi03_01","milefo_sb5_wuqi03_01"]</v>
          </cell>
        </row>
        <row r="67">
          <cell r="A67">
            <v>12120</v>
          </cell>
          <cell r="B67" t="str">
            <v>浮沉三世</v>
          </cell>
          <cell r="C67" t="str">
            <v>["jinchanzi_wuqi01_01","jinchanzi_wuqi01_02","jinchanzi_wuqi01_03","jinchanzi_wuqi01_04","jinchanzi_wuqi01_05","jinchanzi_wuqi01_06"]</v>
          </cell>
          <cell r="D67" t="str">
            <v>[]</v>
          </cell>
        </row>
        <row r="68">
          <cell r="A68">
            <v>12121</v>
          </cell>
          <cell r="B68" t="str">
            <v>浮沉三世</v>
          </cell>
          <cell r="C68" t="str">
            <v>["jinchanzi_wuqi02_01","jinchanzi_wuqi02_02","jinchanzi_wuqi02_03","jinchanzi_wuqi02_04","jinchanzi_wuqi02_05","jinchanzi_wuqi02_06"]</v>
          </cell>
          <cell r="D68" t="str">
            <v>["jinchanzi_sb2_wuqi01_01","jinchanzi_sb2_wuqi01_01","jinchanzi_sb2_wuqi01_01","jinchanzi_sb2_wuqi01_01","jinchanzi_sb2_wuqi01_01","jinchanzi_sb2_wuqi01_01"]</v>
          </cell>
        </row>
        <row r="69">
          <cell r="A69">
            <v>12122</v>
          </cell>
          <cell r="B69" t="str">
            <v>浮沉三世</v>
          </cell>
          <cell r="C69" t="str">
            <v>["jinchanzi_wuqi02_01","jinchanzi_wuqi02_02","jinchanzi_wuqi02_03","jinchanzi_wuqi02_04","jinchanzi_wuqi02_05","jinchanzi_wuqi02_06"]</v>
          </cell>
          <cell r="D69" t="str">
            <v>["jinchanzi_sb3_wuqi02_01","jinchanzi_sb3_wuqi02_01","jinchanzi_sb3_wuqi02_01","jinchanzi_sb3_wuqi02_01","jinchanzi_sb3_wuqi02_01","jinchanzi_sb3_wuqi02_01"]</v>
          </cell>
        </row>
        <row r="70">
          <cell r="A70">
            <v>12123</v>
          </cell>
          <cell r="B70" t="str">
            <v>浮沉三世</v>
          </cell>
          <cell r="C70" t="str">
            <v>["jinchanzi_wuqi02_01","jinchanzi_wuqi02_02","jinchanzi_wuqi02_03","jinchanzi_wuqi02_04","jinchanzi_wuqi02_05","jinchanzi_wuqi02_06"]</v>
          </cell>
          <cell r="D70" t="str">
            <v>["jinchanzi_sb4_wuqi02_01","jinchanzi_sb4_wuqi02_01","jinchanzi_sb4_wuqi02_01","jinchanzi_sb4_wuqi02_01","jinchanzi_sb4_wuqi02_01","jinchanzi_sb4_wuqi02_01"]</v>
          </cell>
        </row>
        <row r="71">
          <cell r="A71">
            <v>12124</v>
          </cell>
          <cell r="B71" t="str">
            <v>浮沉三世</v>
          </cell>
          <cell r="C71" t="str">
            <v>["jinchanzi_wuqi02_01","jinchanzi_wuqi02_02","jinchanzi_wuqi02_03","jinchanzi_wuqi02_04","jinchanzi_wuqi02_05","jinchanzi_wuqi02_06"]</v>
          </cell>
          <cell r="D71" t="str">
            <v>["jinchanzi_sb5_wuqi03_01","jinchanzi_sb5_wuqi03_01","jinchanzi_sb5_wuqi03_01","jinchanzi_sb5_wuqi03_01","jinchanzi_sb5_wuqi03_01","jinchanzi_sb5_wuqi03_01"]</v>
          </cell>
        </row>
        <row r="72">
          <cell r="A72">
            <v>12125</v>
          </cell>
          <cell r="B72" t="str">
            <v>浮沉三世</v>
          </cell>
          <cell r="C72" t="str">
            <v>["jinchanzi_wuqi02_01","jinchanzi_wuqi02_02","jinchanzi_wuqi02_03","jinchanzi_wuqi02_04","jinchanzi_wuqi02_05","jinchanzi_wuqi02_06"]</v>
          </cell>
          <cell r="D72" t="str">
            <v>["jinchanzi_sb5_wuqi03_01","jinchanzi_sb5_wuqi03_01","jinchanzi_sb5_wuqi03_01","jinchanzi_sb5_wuqi03_01","jinchanzi_sb5_wuqi03_01","jinchanzi_sb5_wuqi03_01"]</v>
          </cell>
        </row>
        <row r="73">
          <cell r="A73">
            <v>12126</v>
          </cell>
          <cell r="B73" t="str">
            <v>浮沉三世</v>
          </cell>
          <cell r="C73" t="str">
            <v>["jinchanzi_wuqi02_01","jinchanzi_wuqi02_02","jinchanzi_wuqi02_03","jinchanzi_wuqi02_04","jinchanzi_wuqi02_05","jinchanzi_wuqi02_06"]</v>
          </cell>
          <cell r="D73" t="str">
            <v>["jinchanzi_sb5_wuqi03_01","jinchanzi_sb5_wuqi03_01","jinchanzi_sb5_wuqi03_01","jinchanzi_sb5_wuqi03_01","jinchanzi_sb5_wuqi03_01","jinchanzi_sb5_wuqi03_01"]</v>
          </cell>
        </row>
        <row r="74">
          <cell r="A74">
            <v>12190</v>
          </cell>
          <cell r="B74" t="str">
            <v>斩鬼流岩</v>
          </cell>
          <cell r="C74" t="str">
            <v>["heiwuchang_wuqi01_01"]</v>
          </cell>
          <cell r="D74" t="str">
            <v>[]</v>
          </cell>
        </row>
        <row r="75">
          <cell r="A75">
            <v>12191</v>
          </cell>
          <cell r="B75" t="str">
            <v>斩鬼流岩</v>
          </cell>
          <cell r="C75" t="str">
            <v>["heiwuchang_wuqi02_01"]</v>
          </cell>
          <cell r="D75" t="str">
            <v>["heiwuchang_sb2_wuqi01_01"]</v>
          </cell>
        </row>
        <row r="76">
          <cell r="A76">
            <v>12192</v>
          </cell>
          <cell r="B76" t="str">
            <v>斩鬼流岩</v>
          </cell>
          <cell r="C76" t="str">
            <v>["heiwuchang_wuqi02_01"]</v>
          </cell>
          <cell r="D76" t="str">
            <v>["heiwuchang_sb3_wuqi02_01"]</v>
          </cell>
        </row>
        <row r="77">
          <cell r="A77">
            <v>12193</v>
          </cell>
          <cell r="B77" t="str">
            <v>斩鬼流岩</v>
          </cell>
          <cell r="C77" t="str">
            <v>["heiwuchang_wuqi02_01"]</v>
          </cell>
          <cell r="D77" t="str">
            <v>["heiwuchang_sb4_wuqi02_01"]</v>
          </cell>
        </row>
        <row r="78">
          <cell r="A78">
            <v>12194</v>
          </cell>
          <cell r="B78" t="str">
            <v>斩鬼流岩</v>
          </cell>
          <cell r="C78" t="str">
            <v>["heiwuchang_wuqi02_01"]</v>
          </cell>
          <cell r="D78" t="str">
            <v>["heiwuchang_sb5_wuqi03_01"]</v>
          </cell>
        </row>
        <row r="79">
          <cell r="A79">
            <v>12195</v>
          </cell>
          <cell r="B79" t="str">
            <v>斩鬼流岩</v>
          </cell>
          <cell r="C79" t="str">
            <v>["heiwuchang_wuqi02_01"]</v>
          </cell>
          <cell r="D79" t="str">
            <v>["heiwuchang_sb5_wuqi03_01"]</v>
          </cell>
        </row>
        <row r="80">
          <cell r="A80">
            <v>12196</v>
          </cell>
          <cell r="B80" t="str">
            <v>斩鬼流岩</v>
          </cell>
          <cell r="C80" t="str">
            <v>["heiwuchang_wuqi02_01"]</v>
          </cell>
          <cell r="D80" t="str">
            <v>["heiwuchang_sb5_wuqi03_01"]</v>
          </cell>
        </row>
        <row r="81">
          <cell r="A81">
            <v>11120</v>
          </cell>
          <cell r="B81" t="str">
            <v>修罗开山斧</v>
          </cell>
          <cell r="C81" t="str">
            <v>["niumowang_wuqi01_01"]</v>
          </cell>
          <cell r="D81" t="str">
            <v>[]</v>
          </cell>
        </row>
        <row r="82">
          <cell r="A82">
            <v>11121</v>
          </cell>
          <cell r="B82" t="str">
            <v>修罗开山斧</v>
          </cell>
          <cell r="C82" t="str">
            <v>["niumowang_wuqi02_01"]</v>
          </cell>
          <cell r="D82" t="str">
            <v>["niumowang_sb2_wuqi01_01"]</v>
          </cell>
        </row>
        <row r="83">
          <cell r="A83">
            <v>11122</v>
          </cell>
          <cell r="B83" t="str">
            <v>修罗开山斧</v>
          </cell>
          <cell r="C83" t="str">
            <v>["niumowang_wuqi02_01"]</v>
          </cell>
          <cell r="D83" t="str">
            <v>["niumowang_sb3_wuqi02_01"]</v>
          </cell>
        </row>
        <row r="84">
          <cell r="A84">
            <v>11123</v>
          </cell>
          <cell r="B84" t="str">
            <v>修罗开山斧</v>
          </cell>
          <cell r="C84" t="str">
            <v>["niumowang_wuqi02_01"]</v>
          </cell>
          <cell r="D84" t="str">
            <v>["niumowang_sb4_wuqi02_01"]</v>
          </cell>
        </row>
        <row r="85">
          <cell r="A85">
            <v>11124</v>
          </cell>
          <cell r="B85" t="str">
            <v>修罗开山斧</v>
          </cell>
          <cell r="C85" t="str">
            <v>["niumowang_wuqi02_01"]</v>
          </cell>
          <cell r="D85" t="str">
            <v>["niumowang_sb5_wuqi03_01"]</v>
          </cell>
        </row>
        <row r="86">
          <cell r="A86">
            <v>11125</v>
          </cell>
          <cell r="B86" t="str">
            <v>修罗开山斧</v>
          </cell>
          <cell r="C86" t="str">
            <v>["niumowang_wuqi02_01"]</v>
          </cell>
          <cell r="D86" t="str">
            <v>["niumowang_sb5_wuqi03_01"]</v>
          </cell>
        </row>
        <row r="87">
          <cell r="A87">
            <v>11126</v>
          </cell>
          <cell r="B87" t="str">
            <v>修罗开山斧</v>
          </cell>
          <cell r="C87" t="str">
            <v>["niumowang_wuqi02_01"]</v>
          </cell>
          <cell r="D87" t="str">
            <v>["niumowang_sb5_wuqi03_01"]</v>
          </cell>
        </row>
        <row r="88">
          <cell r="A88">
            <v>11190</v>
          </cell>
          <cell r="B88" t="str">
            <v>如意金箍棒</v>
          </cell>
          <cell r="C88" t="str">
            <v>["sunwukong_wuqi01_01"]</v>
          </cell>
          <cell r="D88" t="str">
            <v>[]</v>
          </cell>
        </row>
        <row r="89">
          <cell r="A89">
            <v>11191</v>
          </cell>
          <cell r="B89" t="str">
            <v>如意金箍棒</v>
          </cell>
          <cell r="C89" t="str">
            <v>["sunwukong_wuqi02_01"]</v>
          </cell>
          <cell r="D89" t="str">
            <v>["sunwukong_sb2_wuqi01_01"]</v>
          </cell>
        </row>
        <row r="90">
          <cell r="A90">
            <v>11192</v>
          </cell>
          <cell r="B90" t="str">
            <v>如意金箍棒</v>
          </cell>
          <cell r="C90" t="str">
            <v>["sunwukong_wuqi02_01"]</v>
          </cell>
          <cell r="D90" t="str">
            <v>["sunwukong_sb3_wuqi02_01"]</v>
          </cell>
        </row>
        <row r="91">
          <cell r="A91">
            <v>11193</v>
          </cell>
          <cell r="B91" t="str">
            <v>如意金箍棒</v>
          </cell>
          <cell r="C91" t="str">
            <v>["sunwukong_wuqi02_01"]</v>
          </cell>
          <cell r="D91" t="str">
            <v>["sunwukong_sb4_wuqi02_01"]</v>
          </cell>
        </row>
        <row r="92">
          <cell r="A92">
            <v>11194</v>
          </cell>
          <cell r="B92" t="str">
            <v>如意金箍棒</v>
          </cell>
          <cell r="C92" t="str">
            <v>["sunwukong_wuqi02_01"]</v>
          </cell>
          <cell r="D92" t="str">
            <v>["sunwukong_sb5_wuqi03_01"]</v>
          </cell>
        </row>
        <row r="93">
          <cell r="A93">
            <v>11195</v>
          </cell>
          <cell r="B93" t="str">
            <v>如意金箍棒</v>
          </cell>
          <cell r="C93" t="str">
            <v>["sunwukong_wuqi02_01"]</v>
          </cell>
          <cell r="D93" t="str">
            <v>["sunwukong_sb5_wuqi03_01"]</v>
          </cell>
        </row>
        <row r="94">
          <cell r="A94">
            <v>11196</v>
          </cell>
          <cell r="B94" t="str">
            <v>如意金箍棒</v>
          </cell>
          <cell r="C94" t="str">
            <v>["sunwukong_wuqi02_01"]</v>
          </cell>
          <cell r="D94" t="str">
            <v>["sunwukong_sb5_wuqi03_01"]</v>
          </cell>
        </row>
        <row r="95">
          <cell r="A95">
            <v>11050</v>
          </cell>
          <cell r="B95" t="str">
            <v>如意鸾凤簪</v>
          </cell>
          <cell r="C95" t="str">
            <v>["wangmuniangniang_wuqi01_01"]</v>
          </cell>
          <cell r="D95" t="str">
            <v>[]</v>
          </cell>
        </row>
        <row r="96">
          <cell r="A96">
            <v>11051</v>
          </cell>
          <cell r="B96" t="str">
            <v>如意鸾凤簪</v>
          </cell>
          <cell r="C96" t="str">
            <v>["wangmuniangniang_wuqi02_01"]</v>
          </cell>
          <cell r="D96" t="str">
            <v>["wangmuniangniang_sb2_wuqi01_01"]</v>
          </cell>
        </row>
        <row r="97">
          <cell r="A97">
            <v>11052</v>
          </cell>
          <cell r="B97" t="str">
            <v>如意鸾凤簪</v>
          </cell>
          <cell r="C97" t="str">
            <v>["wangmuniangniang_wuqi02_01"]</v>
          </cell>
          <cell r="D97" t="str">
            <v>["wangmuniangniang_sb3_wuqi02_01"]</v>
          </cell>
        </row>
        <row r="98">
          <cell r="A98">
            <v>11053</v>
          </cell>
          <cell r="B98" t="str">
            <v>如意鸾凤簪</v>
          </cell>
          <cell r="C98" t="str">
            <v>["wangmuniangniang_wuqi02_01"]</v>
          </cell>
          <cell r="D98" t="str">
            <v>["wangmuniangniang_sb4_wuqi02_01"]</v>
          </cell>
        </row>
        <row r="99">
          <cell r="A99">
            <v>11054</v>
          </cell>
          <cell r="B99" t="str">
            <v>如意鸾凤簪</v>
          </cell>
          <cell r="C99" t="str">
            <v>["wangmuniangniang_wuqi02_01"]</v>
          </cell>
          <cell r="D99" t="str">
            <v>["wangmuniangniang_sb5_wuqi03_01"]</v>
          </cell>
        </row>
        <row r="100">
          <cell r="A100">
            <v>11055</v>
          </cell>
          <cell r="B100" t="str">
            <v>如意鸾凤簪</v>
          </cell>
          <cell r="C100" t="str">
            <v>["wangmuniangniang_wuqi02_01"]</v>
          </cell>
          <cell r="D100" t="str">
            <v>["wangmuniangniang_sb5_wuqi03_01"]</v>
          </cell>
        </row>
        <row r="101">
          <cell r="A101">
            <v>11056</v>
          </cell>
          <cell r="B101" t="str">
            <v>如意鸾凤簪</v>
          </cell>
          <cell r="C101" t="str">
            <v>["wangmuniangniang_wuqi02_01"]</v>
          </cell>
          <cell r="D101" t="str">
            <v>["wangmuniangniang_sb5_wuqi03_01"]</v>
          </cell>
        </row>
        <row r="102">
          <cell r="A102">
            <v>12180</v>
          </cell>
          <cell r="B102" t="str">
            <v>绝魂领悟</v>
          </cell>
          <cell r="C102" t="str">
            <v>["baiwuchang_wuqi01_01"]</v>
          </cell>
          <cell r="D102" t="str">
            <v>[]</v>
          </cell>
        </row>
        <row r="103">
          <cell r="A103">
            <v>12181</v>
          </cell>
          <cell r="B103" t="str">
            <v>绝魂领悟</v>
          </cell>
          <cell r="C103" t="str">
            <v>["baiwuchang_wuqi02_01"]</v>
          </cell>
          <cell r="D103" t="str">
            <v>["baiwuchang_sb2_wuqi01_01"]</v>
          </cell>
        </row>
        <row r="104">
          <cell r="A104">
            <v>12182</v>
          </cell>
          <cell r="B104" t="str">
            <v>绝魂领悟</v>
          </cell>
          <cell r="C104" t="str">
            <v>["baiwuchang_wuqi02_01"]</v>
          </cell>
          <cell r="D104" t="str">
            <v>["baiwuchang_sb3_wuqi02_01"]</v>
          </cell>
        </row>
        <row r="105">
          <cell r="A105">
            <v>12183</v>
          </cell>
          <cell r="B105" t="str">
            <v>绝魂领悟</v>
          </cell>
          <cell r="C105" t="str">
            <v>["baiwuchang_wuqi02_01"]</v>
          </cell>
          <cell r="D105" t="str">
            <v>["baiwuchang_sb4_wuqi02_01"]</v>
          </cell>
        </row>
        <row r="106">
          <cell r="A106">
            <v>12184</v>
          </cell>
          <cell r="B106" t="str">
            <v>绝魂领悟</v>
          </cell>
          <cell r="C106" t="str">
            <v>["baiwuchang_wuqi02_01"]</v>
          </cell>
          <cell r="D106" t="str">
            <v>["baiwuchang_sb5_wuqi03_01"]</v>
          </cell>
        </row>
        <row r="107">
          <cell r="A107">
            <v>12185</v>
          </cell>
          <cell r="B107" t="str">
            <v>绝魂领悟</v>
          </cell>
          <cell r="C107" t="str">
            <v>["baiwuchang_wuqi02_01"]</v>
          </cell>
          <cell r="D107" t="str">
            <v>["baiwuchang_sb5_wuqi03_01"]</v>
          </cell>
        </row>
        <row r="108">
          <cell r="A108">
            <v>12186</v>
          </cell>
          <cell r="B108" t="str">
            <v>绝魂领悟</v>
          </cell>
          <cell r="C108" t="str">
            <v>["baiwuchang_wuqi02_01"]</v>
          </cell>
          <cell r="D108" t="str">
            <v>["baiwuchang_sb5_wuqi03_01"]</v>
          </cell>
        </row>
        <row r="109">
          <cell r="A109">
            <v>11240</v>
          </cell>
          <cell r="B109" t="str">
            <v>降妖宝杖</v>
          </cell>
          <cell r="C109" t="str">
            <v>["shaheshang_wuqi01_01"]</v>
          </cell>
          <cell r="D109" t="str">
            <v>[]</v>
          </cell>
        </row>
        <row r="110">
          <cell r="A110">
            <v>11241</v>
          </cell>
          <cell r="B110" t="str">
            <v>降妖宝杖</v>
          </cell>
          <cell r="C110" t="str">
            <v>["shaheshang_wuqi02_01"]</v>
          </cell>
          <cell r="D110" t="str">
            <v>["shaheshang_sb2_wuqi01_01"]</v>
          </cell>
        </row>
        <row r="111">
          <cell r="A111">
            <v>11242</v>
          </cell>
          <cell r="B111" t="str">
            <v>降妖宝杖</v>
          </cell>
          <cell r="C111" t="str">
            <v>["shaheshang_wuqi02_01"]</v>
          </cell>
          <cell r="D111" t="str">
            <v>["shaheshang_sb3_wuqi02_01"]</v>
          </cell>
        </row>
        <row r="112">
          <cell r="A112">
            <v>11243</v>
          </cell>
          <cell r="B112" t="str">
            <v>降妖宝杖</v>
          </cell>
          <cell r="C112" t="str">
            <v>["shaheshang_wuqi02_01"]</v>
          </cell>
          <cell r="D112" t="str">
            <v>["shaheshang_sb4_wuqi02_01"]</v>
          </cell>
        </row>
        <row r="113">
          <cell r="A113">
            <v>11244</v>
          </cell>
          <cell r="B113" t="str">
            <v>降妖宝杖</v>
          </cell>
          <cell r="C113" t="str">
            <v>["shaheshang_wuqi02_01"]</v>
          </cell>
          <cell r="D113" t="str">
            <v>["shaheshang_sb5_wuqi03_01"]</v>
          </cell>
        </row>
        <row r="114">
          <cell r="A114">
            <v>11245</v>
          </cell>
          <cell r="B114" t="str">
            <v>降妖宝杖</v>
          </cell>
          <cell r="C114" t="str">
            <v>["shaheshang_wuqi02_01"]</v>
          </cell>
          <cell r="D114" t="str">
            <v>["shaheshang_sb5_wuqi03_01"]</v>
          </cell>
        </row>
        <row r="115">
          <cell r="A115">
            <v>11246</v>
          </cell>
          <cell r="B115" t="str">
            <v>降妖宝杖</v>
          </cell>
          <cell r="C115" t="str">
            <v>["shaheshang_wuqi02_01"]</v>
          </cell>
          <cell r="D115" t="str">
            <v>["shaheshang_sb5_wuqi03_01"]</v>
          </cell>
        </row>
        <row r="116">
          <cell r="A116">
            <v>11260</v>
          </cell>
          <cell r="B116" t="str">
            <v>天慧法杖</v>
          </cell>
          <cell r="C116" t="str">
            <v>["wenshupusa_wuqi01_01"]</v>
          </cell>
          <cell r="D116" t="str">
            <v>[]</v>
          </cell>
        </row>
        <row r="117">
          <cell r="A117">
            <v>11261</v>
          </cell>
          <cell r="B117" t="str">
            <v>天慧法杖</v>
          </cell>
          <cell r="C117" t="str">
            <v>["wenshupusa_wuqi02_01"]</v>
          </cell>
          <cell r="D117" t="str">
            <v>["wenshupusa_sb2_wuqi01_01"]</v>
          </cell>
        </row>
        <row r="118">
          <cell r="A118">
            <v>11262</v>
          </cell>
          <cell r="B118" t="str">
            <v>天慧法杖</v>
          </cell>
          <cell r="C118" t="str">
            <v>["wenshupusa_wuqi02_01"]</v>
          </cell>
          <cell r="D118" t="str">
            <v>["wenshupusa_sb3_wuqi02_01"]</v>
          </cell>
        </row>
        <row r="119">
          <cell r="A119">
            <v>11263</v>
          </cell>
          <cell r="B119" t="str">
            <v>天慧法杖</v>
          </cell>
          <cell r="C119" t="str">
            <v>["wenshupusa_wuqi02_01"]</v>
          </cell>
          <cell r="D119" t="str">
            <v>["wenshupusa_sb4_wuqi02_01"]</v>
          </cell>
        </row>
        <row r="120">
          <cell r="A120">
            <v>11264</v>
          </cell>
          <cell r="B120" t="str">
            <v>天慧法杖</v>
          </cell>
          <cell r="C120" t="str">
            <v>["wenshupusa_wuqi02_01"]</v>
          </cell>
          <cell r="D120" t="str">
            <v>["wenshupusa_sb5_wuqi03_01"]</v>
          </cell>
        </row>
        <row r="121">
          <cell r="A121">
            <v>11265</v>
          </cell>
          <cell r="B121" t="str">
            <v>天慧法杖</v>
          </cell>
          <cell r="C121" t="str">
            <v>["wenshupusa_wuqi02_01"]</v>
          </cell>
          <cell r="D121" t="str">
            <v>["wenshupusa_sb5_wuqi03_01"]</v>
          </cell>
        </row>
        <row r="122">
          <cell r="A122">
            <v>11266</v>
          </cell>
          <cell r="B122" t="str">
            <v>天慧法杖</v>
          </cell>
          <cell r="C122" t="str">
            <v>["wenshupusa_wuqi02_01"]</v>
          </cell>
          <cell r="D122" t="str">
            <v>["wenshupusa_sb5_wuqi03_01"]</v>
          </cell>
        </row>
        <row r="123">
          <cell r="A123">
            <v>12130</v>
          </cell>
          <cell r="B123" t="str">
            <v>深海碎霜</v>
          </cell>
          <cell r="C123" t="str">
            <v>["longdi_wuqi01_01"]</v>
          </cell>
          <cell r="D123" t="str">
            <v>[]</v>
          </cell>
        </row>
        <row r="124">
          <cell r="A124">
            <v>12131</v>
          </cell>
          <cell r="B124" t="str">
            <v>深海碎霜</v>
          </cell>
          <cell r="C124" t="str">
            <v>["longdi_wuqi02_01"]</v>
          </cell>
          <cell r="D124" t="str">
            <v>["longdi_sb2_wuqi01_01"]</v>
          </cell>
        </row>
        <row r="125">
          <cell r="A125">
            <v>12132</v>
          </cell>
          <cell r="B125" t="str">
            <v>深海碎霜</v>
          </cell>
          <cell r="C125" t="str">
            <v>["longdi_wuqi02_01"]</v>
          </cell>
          <cell r="D125" t="str">
            <v>["longdi_sb3_wuqi02_01"]</v>
          </cell>
        </row>
        <row r="126">
          <cell r="A126">
            <v>12133</v>
          </cell>
          <cell r="B126" t="str">
            <v>深海碎霜</v>
          </cell>
          <cell r="C126" t="str">
            <v>["longdi_wuqi02_01"]</v>
          </cell>
          <cell r="D126" t="str">
            <v>["longdi_sb4_wuqi02_01"]</v>
          </cell>
        </row>
        <row r="127">
          <cell r="A127">
            <v>12134</v>
          </cell>
          <cell r="B127" t="str">
            <v>深海碎霜</v>
          </cell>
          <cell r="C127" t="str">
            <v>["longdi_wuqi02_01"]</v>
          </cell>
          <cell r="D127" t="str">
            <v>["longdi_sb5_wuqi03_01"]</v>
          </cell>
        </row>
        <row r="128">
          <cell r="A128">
            <v>12135</v>
          </cell>
          <cell r="B128" t="str">
            <v>深海碎霜</v>
          </cell>
          <cell r="C128" t="str">
            <v>["longdi_wuqi02_01"]</v>
          </cell>
          <cell r="D128" t="str">
            <v>["longdi_sb5_wuqi03_01"]</v>
          </cell>
        </row>
        <row r="129">
          <cell r="A129">
            <v>12136</v>
          </cell>
          <cell r="B129" t="str">
            <v>深海碎霜</v>
          </cell>
          <cell r="C129" t="str">
            <v>["longdi_wuqi02_01"]</v>
          </cell>
          <cell r="D129" t="str">
            <v>["longdi_sb5_wuqi03_01"]</v>
          </cell>
        </row>
        <row r="130">
          <cell r="A130">
            <v>12140</v>
          </cell>
          <cell r="B130" t="str">
            <v>焚焰溯流</v>
          </cell>
          <cell r="C130" t="str">
            <v>["babutianlong_wuqi01_01"]</v>
          </cell>
          <cell r="D130" t="str">
            <v>[]</v>
          </cell>
        </row>
        <row r="131">
          <cell r="A131">
            <v>12141</v>
          </cell>
          <cell r="B131" t="str">
            <v>焚焰溯流</v>
          </cell>
          <cell r="C131" t="str">
            <v>["babutianlong_wuqi03_01"]</v>
          </cell>
          <cell r="D131" t="str">
            <v>["babutianlong_sb2_wuqi01_01"]</v>
          </cell>
        </row>
        <row r="132">
          <cell r="A132">
            <v>12142</v>
          </cell>
          <cell r="B132" t="str">
            <v>焚焰溯流</v>
          </cell>
          <cell r="C132" t="str">
            <v>["babutianlong_wuqi03_01"]</v>
          </cell>
          <cell r="D132" t="str">
            <v>["babutianlong_sb3_wuqi02_01"]</v>
          </cell>
        </row>
        <row r="133">
          <cell r="A133">
            <v>12143</v>
          </cell>
          <cell r="B133" t="str">
            <v>焚焰溯流</v>
          </cell>
          <cell r="C133" t="str">
            <v>["babutianlong_wuqi03_01"]</v>
          </cell>
          <cell r="D133" t="str">
            <v>["babutianlong_sb4_wuqi02_01"]</v>
          </cell>
        </row>
        <row r="134">
          <cell r="A134">
            <v>12144</v>
          </cell>
          <cell r="B134" t="str">
            <v>焚焰溯流</v>
          </cell>
          <cell r="C134" t="str">
            <v>["babutianlong_wuqi03_01"]</v>
          </cell>
          <cell r="D134" t="str">
            <v>["babutianlong_sb5_wuqi03_01"]</v>
          </cell>
        </row>
        <row r="135">
          <cell r="A135">
            <v>12145</v>
          </cell>
          <cell r="B135" t="str">
            <v>焚焰溯流</v>
          </cell>
          <cell r="C135" t="str">
            <v>["babutianlong_wuqi03_01"]</v>
          </cell>
          <cell r="D135" t="str">
            <v>["babutianlong_sb5_wuqi03_01"]</v>
          </cell>
        </row>
        <row r="136">
          <cell r="A136">
            <v>12146</v>
          </cell>
          <cell r="B136" t="str">
            <v>焚焰溯流</v>
          </cell>
          <cell r="C136" t="str">
            <v>["babutianlong_wuqi03_01"]</v>
          </cell>
          <cell r="D136" t="str">
            <v>["babutianlong_sb5_wuqi03_01"]</v>
          </cell>
        </row>
        <row r="137">
          <cell r="A137">
            <v>11030</v>
          </cell>
          <cell r="B137" t="str">
            <v>追风紫罗带</v>
          </cell>
          <cell r="C137" t="str">
            <v>["change_wuqi01_01","change_wuqi01_02"]</v>
          </cell>
          <cell r="D137" t="str">
            <v>[]</v>
          </cell>
        </row>
        <row r="138">
          <cell r="A138">
            <v>11031</v>
          </cell>
          <cell r="B138" t="str">
            <v>追风紫罗带</v>
          </cell>
          <cell r="C138" t="str">
            <v>["change_wuqi02_01","change_wuqi02_02"]</v>
          </cell>
          <cell r="D138" t="str">
            <v>["change_sb2_wuqi01_01","change_sb2_wuqi01_01"]</v>
          </cell>
        </row>
        <row r="139">
          <cell r="A139">
            <v>11032</v>
          </cell>
          <cell r="B139" t="str">
            <v>追风紫罗带</v>
          </cell>
          <cell r="C139" t="str">
            <v>["change_wuqi02_01","change_wuqi02_02"]</v>
          </cell>
          <cell r="D139" t="str">
            <v>["change_sb3_wuqi02_01","change_sb3_wuqi02_01"]</v>
          </cell>
        </row>
        <row r="140">
          <cell r="A140">
            <v>11033</v>
          </cell>
          <cell r="B140" t="str">
            <v>追风紫罗带</v>
          </cell>
          <cell r="C140" t="str">
            <v>["change_wuqi02_01","change_wuqi02_02"]</v>
          </cell>
          <cell r="D140" t="str">
            <v>["change_sb4_wuqi02_01","change_sb4_wuqi02_01"]</v>
          </cell>
        </row>
        <row r="141">
          <cell r="A141">
            <v>11034</v>
          </cell>
          <cell r="B141" t="str">
            <v>追风紫罗带</v>
          </cell>
          <cell r="C141" t="str">
            <v>["change_wuqi02_01","change_wuqi02_02"]</v>
          </cell>
          <cell r="D141" t="str">
            <v>["change_sb5_wuqi03_01","change_sb5_wuqi03_01"]</v>
          </cell>
        </row>
        <row r="142">
          <cell r="A142">
            <v>11035</v>
          </cell>
          <cell r="B142" t="str">
            <v>追风紫罗带</v>
          </cell>
          <cell r="C142" t="str">
            <v>["change_wuqi02_01","change_wuqi02_02"]</v>
          </cell>
          <cell r="D142" t="str">
            <v>["change_sb5_wuqi03_01","change_sb5_wuqi03_01"]</v>
          </cell>
        </row>
        <row r="143">
          <cell r="A143">
            <v>11036</v>
          </cell>
          <cell r="B143" t="str">
            <v>追风紫罗带</v>
          </cell>
          <cell r="C143" t="str">
            <v>["change_wuqi02_01","change_wuqi02_02"]</v>
          </cell>
          <cell r="D143" t="str">
            <v>["change_sb5_wuqi03_01","change_sb5_wuqi03_01"]</v>
          </cell>
        </row>
        <row r="144">
          <cell r="A144">
            <v>11090</v>
          </cell>
          <cell r="B144" t="str">
            <v>碧海定沁丹</v>
          </cell>
          <cell r="C144" t="str">
            <v>["jiutianxuannv_wuqi01_01","jiutianxuannv_wuqi01_02"]</v>
          </cell>
          <cell r="D144" t="str">
            <v>[]</v>
          </cell>
        </row>
        <row r="145">
          <cell r="A145">
            <v>11091</v>
          </cell>
          <cell r="B145" t="str">
            <v>碧海定沁丹</v>
          </cell>
          <cell r="C145" t="str">
            <v>["jiutianxuannv_wuqi02_01","jiutianxuannv_wuqi02_02"]</v>
          </cell>
          <cell r="D145" t="str">
            <v>["jiutianxuannv_sb2_wuqi01_01","jiutianxuannv_sb2_wuqi01_01"]</v>
          </cell>
        </row>
        <row r="146">
          <cell r="A146">
            <v>11092</v>
          </cell>
          <cell r="B146" t="str">
            <v>碧海定沁丹</v>
          </cell>
          <cell r="C146" t="str">
            <v>["jiutianxuannv_wuqi02_01","jiutianxuannv_wuqi02_02"]</v>
          </cell>
          <cell r="D146" t="str">
            <v>["jiutianxuannv_sb3_wuqi02_01","jiutianxuannv_sb3_wuqi02_01"]</v>
          </cell>
        </row>
        <row r="147">
          <cell r="A147">
            <v>11093</v>
          </cell>
          <cell r="B147" t="str">
            <v>碧海定沁丹</v>
          </cell>
          <cell r="C147" t="str">
            <v>["jiutianxuannv_wuqi02_01","jiutianxuannv_wuqi02_02"]</v>
          </cell>
          <cell r="D147" t="str">
            <v>["jiutianxuannv_sb4_wuqi02_01","jiutianxuannv_sb4_wuqi02_01"]</v>
          </cell>
        </row>
        <row r="148">
          <cell r="A148">
            <v>11094</v>
          </cell>
          <cell r="B148" t="str">
            <v>碧海定沁丹</v>
          </cell>
          <cell r="C148" t="str">
            <v>["jiutianxuannv_wuqi02_01","jiutianxuannv_wuqi02_02"]</v>
          </cell>
          <cell r="D148" t="str">
            <v>["jiutianxuannv_sb5_wuqi03_01","jiutianxuannv_sb5_wuqi03_01"]</v>
          </cell>
        </row>
        <row r="149">
          <cell r="A149">
            <v>11095</v>
          </cell>
          <cell r="B149" t="str">
            <v>碧海定沁丹</v>
          </cell>
          <cell r="C149" t="str">
            <v>["jiutianxuannv_wuqi02_01","jiutianxuannv_wuqi02_02"]</v>
          </cell>
          <cell r="D149" t="str">
            <v>["jiutianxuannv_sb5_wuqi03_01","jiutianxuannv_sb5_wuqi03_01"]</v>
          </cell>
        </row>
        <row r="150">
          <cell r="A150">
            <v>11096</v>
          </cell>
          <cell r="B150" t="str">
            <v>碧海定沁丹</v>
          </cell>
          <cell r="C150" t="str">
            <v>["jiutianxuannv_wuqi02_01","jiutianxuannv_wuqi02_02"]</v>
          </cell>
          <cell r="D150" t="str">
            <v>["jiutianxuannv_sb5_wuqi03_01","jiutianxuannv_sb5_wuqi03_01"]</v>
          </cell>
        </row>
        <row r="151">
          <cell r="A151">
            <v>11110</v>
          </cell>
          <cell r="B151" t="str">
            <v>沉星芭蕉扇</v>
          </cell>
          <cell r="C151" t="str">
            <v>["tieshangongzhu_wuqi01_01"]</v>
          </cell>
          <cell r="D151" t="str">
            <v>[]</v>
          </cell>
        </row>
        <row r="152">
          <cell r="A152">
            <v>11111</v>
          </cell>
          <cell r="B152" t="str">
            <v>沉星芭蕉扇</v>
          </cell>
          <cell r="C152" t="str">
            <v>["tieshangongzhu_wuqi02_01"]</v>
          </cell>
          <cell r="D152" t="str">
            <v>["tieshangongzhu_sb2_wuqi01_01"]</v>
          </cell>
        </row>
        <row r="153">
          <cell r="A153">
            <v>11112</v>
          </cell>
          <cell r="B153" t="str">
            <v>沉星芭蕉扇</v>
          </cell>
          <cell r="C153" t="str">
            <v>["tieshangongzhu_wuqi02_01"]</v>
          </cell>
          <cell r="D153" t="str">
            <v>["tieshangongzhu_sb3_wuqi02_01"]</v>
          </cell>
        </row>
        <row r="154">
          <cell r="A154">
            <v>11113</v>
          </cell>
          <cell r="B154" t="str">
            <v>沉星芭蕉扇</v>
          </cell>
          <cell r="C154" t="str">
            <v>["tieshangongzhu_wuqi02_01"]</v>
          </cell>
          <cell r="D154" t="str">
            <v>["tieshangongzhu_sb4_wuqi02_01"]</v>
          </cell>
        </row>
        <row r="155">
          <cell r="A155">
            <v>11114</v>
          </cell>
          <cell r="B155" t="str">
            <v>沉星芭蕉扇</v>
          </cell>
          <cell r="C155" t="str">
            <v>["tieshangongzhu_wuqi02_01"]</v>
          </cell>
          <cell r="D155" t="str">
            <v>["tieshangongzhu_sb5_wuqi03_01"]</v>
          </cell>
        </row>
        <row r="156">
          <cell r="A156">
            <v>11115</v>
          </cell>
          <cell r="B156" t="str">
            <v>沉星芭蕉扇</v>
          </cell>
          <cell r="C156" t="str">
            <v>["tieshangongzhu_wuqi02_01"]</v>
          </cell>
          <cell r="D156" t="str">
            <v>["tieshangongzhu_sb5_wuqi03_01"]</v>
          </cell>
        </row>
        <row r="157">
          <cell r="A157">
            <v>11116</v>
          </cell>
          <cell r="B157" t="str">
            <v>沉星芭蕉扇</v>
          </cell>
          <cell r="C157" t="str">
            <v>["tieshangongzhu_wuqi02_01"]</v>
          </cell>
          <cell r="D157" t="str">
            <v>["tieshangongzhu_sb5_wuqi03_01"]</v>
          </cell>
        </row>
        <row r="158">
          <cell r="A158">
            <v>11160</v>
          </cell>
          <cell r="B158" t="str">
            <v>白骨幡</v>
          </cell>
          <cell r="C158" t="str">
            <v>["baigufuren_wuqi01_01"]</v>
          </cell>
          <cell r="D158" t="str">
            <v>[]</v>
          </cell>
        </row>
        <row r="159">
          <cell r="A159">
            <v>11161</v>
          </cell>
          <cell r="B159" t="str">
            <v>白骨幡</v>
          </cell>
          <cell r="C159" t="str">
            <v>["baigufuren_wuqi02_01"]</v>
          </cell>
          <cell r="D159" t="str">
            <v>["baigufuren_sb2_wuqi01_01"]</v>
          </cell>
        </row>
        <row r="160">
          <cell r="A160">
            <v>11162</v>
          </cell>
          <cell r="B160" t="str">
            <v>白骨幡</v>
          </cell>
          <cell r="C160" t="str">
            <v>["baigufuren_wuqi02_01"]</v>
          </cell>
          <cell r="D160" t="str">
            <v>["baigufuren_sb3_wuqi02_01"]</v>
          </cell>
        </row>
        <row r="161">
          <cell r="A161">
            <v>11163</v>
          </cell>
          <cell r="B161" t="str">
            <v>白骨幡</v>
          </cell>
          <cell r="C161" t="str">
            <v>["baigufuren_wuqi02_01"]</v>
          </cell>
          <cell r="D161" t="str">
            <v>["baigufuren_sb4_wuqi02_01"]</v>
          </cell>
        </row>
        <row r="162">
          <cell r="A162">
            <v>11164</v>
          </cell>
          <cell r="B162" t="str">
            <v>白骨幡</v>
          </cell>
          <cell r="C162" t="str">
            <v>["baigufuren_wuqi02_01"]</v>
          </cell>
          <cell r="D162" t="str">
            <v>["baigufuren_sb4_wuqi02_01"]</v>
          </cell>
        </row>
        <row r="163">
          <cell r="A163">
            <v>11165</v>
          </cell>
          <cell r="B163" t="str">
            <v>白骨幡</v>
          </cell>
          <cell r="C163" t="str">
            <v>["baigufuren_wuqi02_01"]</v>
          </cell>
          <cell r="D163" t="str">
            <v>["baigufuren_sb4_wuqi02_01"]</v>
          </cell>
        </row>
        <row r="164">
          <cell r="A164">
            <v>11166</v>
          </cell>
          <cell r="B164" t="str">
            <v>白骨幡</v>
          </cell>
          <cell r="C164" t="str">
            <v>["baigufuren_wuqi02_01"]</v>
          </cell>
          <cell r="D164" t="str">
            <v>["baigufuren_sb4_wuqi02_01"]</v>
          </cell>
        </row>
        <row r="165">
          <cell r="A165">
            <v>11210</v>
          </cell>
          <cell r="B165" t="str">
            <v>紫青玄铁剑</v>
          </cell>
          <cell r="C165" t="str">
            <v>["zixiaxianzi_wuqi01_01","zixiaxianzi_wuqi01_02","zixiaxianzi_yueguangbaohe_show"]</v>
          </cell>
          <cell r="D165" t="str">
            <v>[]</v>
          </cell>
        </row>
        <row r="166">
          <cell r="A166">
            <v>11211</v>
          </cell>
          <cell r="B166" t="str">
            <v>紫青玄铁剑</v>
          </cell>
          <cell r="C166" t="str">
            <v>["zixiaxianzi_wuqi02_01","zixiaxianzi_wuqi02_02","zixiaxianzi_yueguangbaohe_show"]</v>
          </cell>
          <cell r="D166" t="str">
            <v>["zixiaxianzi_sb2_wuqi01_01"]</v>
          </cell>
        </row>
        <row r="167">
          <cell r="A167">
            <v>11212</v>
          </cell>
          <cell r="B167" t="str">
            <v>紫青玄铁剑</v>
          </cell>
          <cell r="C167" t="str">
            <v>["zixiaxianzi_wuqi02_01","zixiaxianzi_wuqi02_02","zixiaxianzi_yueguangbaohe_show"]</v>
          </cell>
          <cell r="D167" t="str">
            <v>["zixiaxianzi_sb3_wuqi02_01"]</v>
          </cell>
        </row>
        <row r="168">
          <cell r="A168">
            <v>11213</v>
          </cell>
          <cell r="B168" t="str">
            <v>紫青玄铁剑</v>
          </cell>
          <cell r="C168" t="str">
            <v>["zixiaxianzi_wuqi02_01","zixiaxianzi_wuqi02_02","zixiaxianzi_yueguangbaohe_show"]</v>
          </cell>
          <cell r="D168" t="str">
            <v>["zixiaxianzi_sb4_wuqi02_01"]</v>
          </cell>
        </row>
        <row r="169">
          <cell r="A169">
            <v>11214</v>
          </cell>
          <cell r="B169" t="str">
            <v>紫青玄铁剑</v>
          </cell>
          <cell r="C169" t="str">
            <v>["zixiaxianzi_wuqi02_01","zixiaxianzi_wuqi02_02","zixiaxianzi_yueguangbaohe_show"]</v>
          </cell>
          <cell r="D169" t="str">
            <v>["zixiaxianzi_sb5_wuqi03_01"]</v>
          </cell>
        </row>
        <row r="170">
          <cell r="A170">
            <v>11215</v>
          </cell>
          <cell r="B170" t="str">
            <v>紫青玄铁剑</v>
          </cell>
          <cell r="C170" t="str">
            <v>["zixiaxianzi_wuqi02_01","zixiaxianzi_wuqi02_02","zixiaxianzi_yueguangbaohe_show"]</v>
          </cell>
          <cell r="D170" t="str">
            <v>["zixiaxianzi_sb5_wuqi03_01"]</v>
          </cell>
        </row>
        <row r="171">
          <cell r="A171">
            <v>11216</v>
          </cell>
          <cell r="B171" t="str">
            <v>紫青玄铁剑</v>
          </cell>
          <cell r="C171" t="str">
            <v>["zixiaxianzi_wuqi02_01","zixiaxianzi_wuqi02_02","zixiaxianzi_yueguangbaohe_show"]</v>
          </cell>
          <cell r="D171" t="str">
            <v>["zixiaxianzi_sb5_wuqi03_01"]</v>
          </cell>
        </row>
        <row r="172">
          <cell r="A172">
            <v>12150</v>
          </cell>
          <cell r="B172" t="str">
            <v>羊脂玉净瓶</v>
          </cell>
          <cell r="C172" t="str">
            <v>["guanshiyin_wuqi01_01"]</v>
          </cell>
          <cell r="D172" t="str">
            <v>[]</v>
          </cell>
        </row>
        <row r="173">
          <cell r="A173">
            <v>12151</v>
          </cell>
          <cell r="B173" t="str">
            <v>羊脂玉净瓶</v>
          </cell>
          <cell r="C173" t="str">
            <v>["guanshiyin_wuqi02_01"]</v>
          </cell>
          <cell r="D173" t="str">
            <v>["guanshiyin_sb2_wuqi01_01"]</v>
          </cell>
        </row>
        <row r="174">
          <cell r="A174">
            <v>12152</v>
          </cell>
          <cell r="B174" t="str">
            <v>羊脂玉净瓶</v>
          </cell>
          <cell r="C174" t="str">
            <v>["guanshiyin_wuqi02_01"]</v>
          </cell>
          <cell r="D174" t="str">
            <v>["guanshiyin_sb3_wuqi02_01"]</v>
          </cell>
        </row>
        <row r="175">
          <cell r="A175">
            <v>12153</v>
          </cell>
          <cell r="B175" t="str">
            <v>羊脂玉净瓶</v>
          </cell>
          <cell r="C175" t="str">
            <v>["guanshiyin_wuqi02_01"]</v>
          </cell>
          <cell r="D175" t="str">
            <v>["guanshiyin_sb4_wuqi02_01"]</v>
          </cell>
        </row>
        <row r="176">
          <cell r="A176">
            <v>12154</v>
          </cell>
          <cell r="B176" t="str">
            <v>羊脂玉净瓶</v>
          </cell>
          <cell r="C176" t="str">
            <v>["guanshiyin_wuqi02_01"]</v>
          </cell>
          <cell r="D176" t="str">
            <v>["guanshiyin_sb4_wuqi02_01"]</v>
          </cell>
        </row>
        <row r="177">
          <cell r="A177">
            <v>12155</v>
          </cell>
          <cell r="B177" t="str">
            <v>羊脂玉净瓶</v>
          </cell>
          <cell r="C177" t="str">
            <v>["guanshiyin_wuqi02_01"]</v>
          </cell>
          <cell r="D177" t="str">
            <v>["guanshiyin_sb4_wuqi02_01"]</v>
          </cell>
        </row>
        <row r="178">
          <cell r="A178">
            <v>12156</v>
          </cell>
          <cell r="B178" t="str">
            <v>羊脂玉净瓶</v>
          </cell>
          <cell r="C178" t="str">
            <v>["guanshiyin_wuqi02_01"]</v>
          </cell>
          <cell r="D178" t="str">
            <v>["guanshiyin_sb4_wuqi02_01"]</v>
          </cell>
        </row>
        <row r="179">
          <cell r="A179">
            <v>11140</v>
          </cell>
          <cell r="B179" t="str">
            <v>龙凤双环</v>
          </cell>
          <cell r="C179" t="str">
            <v>["lulidaxian_wuqi01_01","lulidaxian_wuqi01_02"]</v>
          </cell>
          <cell r="D179" t="str">
            <v>[]</v>
          </cell>
        </row>
        <row r="180">
          <cell r="A180">
            <v>11141</v>
          </cell>
          <cell r="B180" t="str">
            <v>龙凤双环</v>
          </cell>
          <cell r="C180" t="str">
            <v>["lulidaxian_wuqi02_01","lulidaxian_wuqi02_02"]</v>
          </cell>
          <cell r="D180" t="str">
            <v>["lulidaxian_sb2_wuqi01_01","lulidaxian_sb2_wuqi01_01"]</v>
          </cell>
        </row>
        <row r="181">
          <cell r="A181">
            <v>11142</v>
          </cell>
          <cell r="B181" t="str">
            <v>龙凤双环</v>
          </cell>
          <cell r="C181" t="str">
            <v>["lulidaxian_wuqi02_01","lulidaxian_wuqi02_02"]</v>
          </cell>
          <cell r="D181" t="str">
            <v>["lulidaxian_sb3_wuqi02_01","lulidaxian_sb3_wuqi02_01"]</v>
          </cell>
        </row>
        <row r="182">
          <cell r="A182">
            <v>11143</v>
          </cell>
          <cell r="B182" t="str">
            <v>龙凤双环</v>
          </cell>
          <cell r="C182" t="str">
            <v>["lulidaxian_wuqi02_01","lulidaxian_wuqi02_02"]</v>
          </cell>
          <cell r="D182" t="str">
            <v>["lulidaxian_sb4_wuqi02_01","lulidaxian_sb4_wuqi02_01"]</v>
          </cell>
        </row>
        <row r="183">
          <cell r="A183">
            <v>11144</v>
          </cell>
          <cell r="B183" t="str">
            <v>龙凤双环</v>
          </cell>
          <cell r="C183" t="str">
            <v>["lulidaxian_wuqi02_01","lulidaxian_wuqi02_02"]</v>
          </cell>
          <cell r="D183" t="str">
            <v>["lulidaxian_sb4_wuqi02_01","lulidaxian_sb4_wuqi02_01"]</v>
          </cell>
        </row>
        <row r="184">
          <cell r="A184">
            <v>11145</v>
          </cell>
          <cell r="B184" t="str">
            <v>龙凤双环</v>
          </cell>
          <cell r="C184" t="str">
            <v>["lulidaxian_wuqi02_01","lulidaxian_wuqi02_02"]</v>
          </cell>
          <cell r="D184" t="str">
            <v>["lulidaxian_sb4_wuqi02_01","lulidaxian_sb4_wuqi02_01"]</v>
          </cell>
        </row>
        <row r="185">
          <cell r="A185">
            <v>11146</v>
          </cell>
          <cell r="B185" t="str">
            <v>龙凤双环</v>
          </cell>
          <cell r="C185" t="str">
            <v>["lulidaxian_wuqi02_01","lulidaxian_wuqi02_02"]</v>
          </cell>
          <cell r="D185" t="str">
            <v>["lulidaxian_sb4_wuqi02_01","lulidaxian_sb4_wuqi02_01"]</v>
          </cell>
        </row>
        <row r="186">
          <cell r="A186">
            <v>11100</v>
          </cell>
          <cell r="B186" t="str">
            <v>真火子母枪</v>
          </cell>
          <cell r="C186" t="str">
            <v>["honghaier_wuqi01_01"]</v>
          </cell>
          <cell r="D186" t="str">
            <v>[]</v>
          </cell>
        </row>
        <row r="187">
          <cell r="A187">
            <v>11101</v>
          </cell>
          <cell r="B187" t="str">
            <v>真火子母枪</v>
          </cell>
          <cell r="C187" t="str">
            <v>["honghaier_wuqi02_01"]</v>
          </cell>
          <cell r="D187" t="str">
            <v>["honghaier_sb2_wuqi01_01"]</v>
          </cell>
        </row>
        <row r="188">
          <cell r="A188">
            <v>11102</v>
          </cell>
          <cell r="B188" t="str">
            <v>真火子母枪</v>
          </cell>
          <cell r="C188" t="str">
            <v>["honghaier_wuqi02_01"]</v>
          </cell>
          <cell r="D188" t="str">
            <v>["honghaier_sb3_wuqi02_01"]</v>
          </cell>
        </row>
        <row r="189">
          <cell r="A189">
            <v>11103</v>
          </cell>
          <cell r="B189" t="str">
            <v>真火子母枪</v>
          </cell>
          <cell r="C189" t="str">
            <v>["honghaier_wuqi02_01"]</v>
          </cell>
          <cell r="D189" t="str">
            <v>["honghaier_sb4_wuqi02_01"]</v>
          </cell>
        </row>
        <row r="190">
          <cell r="A190">
            <v>11104</v>
          </cell>
          <cell r="B190" t="str">
            <v>真火子母枪</v>
          </cell>
          <cell r="C190" t="str">
            <v>["honghaier_wuqi02_01"]</v>
          </cell>
          <cell r="D190" t="str">
            <v>["honghaier_sb4_wuqi02_01"]</v>
          </cell>
        </row>
        <row r="191">
          <cell r="A191">
            <v>11105</v>
          </cell>
          <cell r="B191" t="str">
            <v>真火子母枪</v>
          </cell>
          <cell r="C191" t="str">
            <v>["honghaier_wuqi02_01"]</v>
          </cell>
          <cell r="D191" t="str">
            <v>["honghaier_sb4_wuqi02_01"]</v>
          </cell>
        </row>
        <row r="192">
          <cell r="A192">
            <v>11106</v>
          </cell>
          <cell r="B192" t="str">
            <v>真火子母枪</v>
          </cell>
          <cell r="C192" t="str">
            <v>["honghaier_wuqi02_01"]</v>
          </cell>
          <cell r="D192" t="str">
            <v>["honghaier_sb4_wuqi02_01"]</v>
          </cell>
        </row>
        <row r="193">
          <cell r="A193">
            <v>11040</v>
          </cell>
          <cell r="B193" t="str">
            <v>渊微凡尘</v>
          </cell>
          <cell r="C193" t="str">
            <v>["yuhuangdadi_wuqi01_01"]</v>
          </cell>
          <cell r="D193" t="str">
            <v>[]</v>
          </cell>
        </row>
        <row r="194">
          <cell r="A194">
            <v>11041</v>
          </cell>
          <cell r="B194" t="str">
            <v>渊微凡尘</v>
          </cell>
          <cell r="C194" t="str">
            <v>["yuhuangdadi_wuqi02_01"]</v>
          </cell>
          <cell r="D194" t="str">
            <v>["yuhuangdadi_sb2_wuqi01_01"]</v>
          </cell>
        </row>
        <row r="195">
          <cell r="A195">
            <v>11042</v>
          </cell>
          <cell r="B195" t="str">
            <v>渊微凡尘</v>
          </cell>
          <cell r="C195" t="str">
            <v>["yuhuangdadi_wuqi02_01"]</v>
          </cell>
          <cell r="D195" t="str">
            <v>["yuhuangdadi_sb3_wuqi02_01"]</v>
          </cell>
        </row>
        <row r="196">
          <cell r="A196">
            <v>11043</v>
          </cell>
          <cell r="B196" t="str">
            <v>渊微凡尘</v>
          </cell>
          <cell r="C196" t="str">
            <v>["yuhuangdadi_wuqi02_01"]</v>
          </cell>
          <cell r="D196" t="str">
            <v>["yuhuangdadi_sb4_wuqi02_01"]</v>
          </cell>
        </row>
        <row r="197">
          <cell r="A197">
            <v>11044</v>
          </cell>
          <cell r="B197" t="str">
            <v>渊微凡尘</v>
          </cell>
          <cell r="C197" t="str">
            <v>["yuhuangdadi_wuqi02_01"]</v>
          </cell>
          <cell r="D197" t="str">
            <v>["yuhuangdadi_sb4_wuqi02_01"]</v>
          </cell>
        </row>
        <row r="198">
          <cell r="A198">
            <v>11045</v>
          </cell>
          <cell r="B198" t="str">
            <v>渊微凡尘</v>
          </cell>
          <cell r="C198" t="str">
            <v>["yuhuangdadi_wuqi02_01"]</v>
          </cell>
          <cell r="D198" t="str">
            <v>["yuhuangdadi_sb4_wuqi02_01"]</v>
          </cell>
        </row>
        <row r="199">
          <cell r="A199">
            <v>11046</v>
          </cell>
          <cell r="B199" t="str">
            <v>渊微凡尘</v>
          </cell>
          <cell r="C199" t="str">
            <v>["yuhuangdadi_wuqi02_01"]</v>
          </cell>
          <cell r="D199" t="str">
            <v>["yuhuangdadi_sb4_wuqi02_01"]</v>
          </cell>
        </row>
        <row r="200">
          <cell r="A200">
            <v>11350</v>
          </cell>
          <cell r="B200" t="str">
            <v>海王戟</v>
          </cell>
          <cell r="C200" t="str">
            <v>["donghailongwang_wuqi01_01"]</v>
          </cell>
          <cell r="D200" t="str">
            <v>[]</v>
          </cell>
        </row>
        <row r="201">
          <cell r="A201">
            <v>11351</v>
          </cell>
          <cell r="B201" t="str">
            <v>海王戟</v>
          </cell>
          <cell r="C201" t="str">
            <v>["donghailongwang_wuqi02_01"]</v>
          </cell>
          <cell r="D201" t="str">
            <v>["donghailongwang_sb2_wuqi01_01"]</v>
          </cell>
        </row>
        <row r="202">
          <cell r="A202">
            <v>11352</v>
          </cell>
          <cell r="B202" t="str">
            <v>海王戟</v>
          </cell>
          <cell r="C202" t="str">
            <v>["donghailongwang_wuqi02_01"]</v>
          </cell>
          <cell r="D202" t="str">
            <v>["donghailongwang_sb3_wuqi02_01"]</v>
          </cell>
        </row>
        <row r="203">
          <cell r="A203">
            <v>11353</v>
          </cell>
          <cell r="B203" t="str">
            <v>海王戟</v>
          </cell>
          <cell r="C203" t="str">
            <v>["donghailongwang_wuqi02_01"]</v>
          </cell>
          <cell r="D203" t="str">
            <v>["donghailongwang_sb4_wuqi02_01"]</v>
          </cell>
        </row>
        <row r="204">
          <cell r="A204">
            <v>11354</v>
          </cell>
          <cell r="B204" t="str">
            <v>海王戟</v>
          </cell>
          <cell r="C204" t="str">
            <v>["donghailongwang_wuqi02_01"]</v>
          </cell>
          <cell r="D204" t="str">
            <v>["donghailongwang_sb4_wuqi02_01"]</v>
          </cell>
        </row>
        <row r="205">
          <cell r="A205">
            <v>11355</v>
          </cell>
          <cell r="B205" t="str">
            <v>海王戟</v>
          </cell>
          <cell r="C205" t="str">
            <v>["donghailongwang_wuqi02_01"]</v>
          </cell>
          <cell r="D205" t="str">
            <v>["donghailongwang_sb4_wuqi02_01"]</v>
          </cell>
        </row>
        <row r="206">
          <cell r="A206">
            <v>11356</v>
          </cell>
          <cell r="B206" t="str">
            <v>海王戟</v>
          </cell>
          <cell r="C206" t="str">
            <v>["donghailongwang_wuqi02_01"]</v>
          </cell>
          <cell r="D206" t="str">
            <v>["donghailongwang_sb4_wuqi02_01"]</v>
          </cell>
        </row>
        <row r="207">
          <cell r="A207">
            <v>11320</v>
          </cell>
          <cell r="B207" t="str">
            <v>混世蛇矛</v>
          </cell>
          <cell r="C207" t="str">
            <v>["hunshimowang_wuqi01_01"]</v>
          </cell>
          <cell r="D207" t="str">
            <v>[]</v>
          </cell>
        </row>
        <row r="208">
          <cell r="A208">
            <v>11321</v>
          </cell>
          <cell r="B208" t="str">
            <v>混世蛇矛</v>
          </cell>
          <cell r="C208" t="str">
            <v>["hunshimowang_wuqi02_01"]</v>
          </cell>
          <cell r="D208" t="str">
            <v>["hunshimowang_sb2_wuqi01_01"]</v>
          </cell>
        </row>
        <row r="209">
          <cell r="A209">
            <v>11322</v>
          </cell>
          <cell r="B209" t="str">
            <v>混世蛇矛</v>
          </cell>
          <cell r="C209" t="str">
            <v>["hunshimowang_wuqi02_01"]</v>
          </cell>
          <cell r="D209" t="str">
            <v>["hunshimowang_sb3_wuqi02_01"]</v>
          </cell>
        </row>
        <row r="210">
          <cell r="A210">
            <v>11323</v>
          </cell>
          <cell r="B210" t="str">
            <v>混世蛇矛</v>
          </cell>
          <cell r="C210" t="str">
            <v>["hunshimowang_wuqi02_01"]</v>
          </cell>
          <cell r="D210" t="str">
            <v>["hunshimowang_sb4_wuqi02_01"]</v>
          </cell>
        </row>
        <row r="211">
          <cell r="A211">
            <v>11324</v>
          </cell>
          <cell r="B211" t="str">
            <v>混世蛇矛</v>
          </cell>
          <cell r="C211" t="str">
            <v>["hunshimowang_wuqi02_01"]</v>
          </cell>
          <cell r="D211" t="str">
            <v>["hunshimowang_sb4_wuqi02_01"]</v>
          </cell>
        </row>
        <row r="212">
          <cell r="A212">
            <v>11325</v>
          </cell>
          <cell r="B212" t="str">
            <v>混世蛇矛</v>
          </cell>
          <cell r="C212" t="str">
            <v>["hunshimowang_wuqi02_01"]</v>
          </cell>
          <cell r="D212" t="str">
            <v>["hunshimowang_sb4_wuqi02_01"]</v>
          </cell>
        </row>
        <row r="213">
          <cell r="A213">
            <v>11326</v>
          </cell>
          <cell r="B213" t="str">
            <v>混世蛇矛</v>
          </cell>
          <cell r="C213" t="str">
            <v>["hunshimowang_wuqi02_01"]</v>
          </cell>
          <cell r="D213" t="str">
            <v>["hunshimowang_sb4_wuqi02_01"]</v>
          </cell>
        </row>
        <row r="214">
          <cell r="A214">
            <v>11250</v>
          </cell>
          <cell r="B214" t="str">
            <v>流星拳</v>
          </cell>
          <cell r="C214" t="str">
            <v>["jiaye_wuqi01_01","jiaye_wuqi01_02"]</v>
          </cell>
          <cell r="D214" t="str">
            <v>[]</v>
          </cell>
        </row>
        <row r="215">
          <cell r="A215">
            <v>11251</v>
          </cell>
          <cell r="B215" t="str">
            <v>流星拳</v>
          </cell>
          <cell r="C215" t="str">
            <v>["jiaye_wuqi02_01","jiaye_wuqi02_02"]</v>
          </cell>
          <cell r="D215" t="str">
            <v>["jiaye_sb2_wuqi01_01","jiaye_sb2_wuqi01_01"]</v>
          </cell>
        </row>
        <row r="216">
          <cell r="A216">
            <v>11252</v>
          </cell>
          <cell r="B216" t="str">
            <v>流星拳</v>
          </cell>
          <cell r="C216" t="str">
            <v>["jiaye_wuqi02_01","jiaye_wuqi02_02"]</v>
          </cell>
          <cell r="D216" t="str">
            <v>["jiaye_sb3_wuqi02_01","jiaye_sb3_wuqi02_01"]</v>
          </cell>
        </row>
        <row r="217">
          <cell r="A217">
            <v>11253</v>
          </cell>
          <cell r="B217" t="str">
            <v>流星拳</v>
          </cell>
          <cell r="C217" t="str">
            <v>["jiaye_wuqi02_01","jiaye_wuqi02_02"]</v>
          </cell>
          <cell r="D217" t="str">
            <v>["jiaye_sb4_wuqi02_01","jiaye_sb4_wuqi02_01"]</v>
          </cell>
        </row>
        <row r="218">
          <cell r="A218">
            <v>11254</v>
          </cell>
          <cell r="B218" t="str">
            <v>流星拳</v>
          </cell>
          <cell r="C218" t="str">
            <v>["jiaye_wuqi02_01","jiaye_wuqi02_02"]</v>
          </cell>
          <cell r="D218" t="str">
            <v>["jiaye_sb4_wuqi02_01","jiaye_sb4_wuqi02_01"]</v>
          </cell>
        </row>
        <row r="219">
          <cell r="A219">
            <v>11255</v>
          </cell>
          <cell r="B219" t="str">
            <v>流星拳</v>
          </cell>
          <cell r="C219" t="str">
            <v>["jiaye_wuqi02_01","jiaye_wuqi02_02"]</v>
          </cell>
          <cell r="D219" t="str">
            <v>["jiaye_sb4_wuqi02_01","jiaye_sb4_wuqi02_01"]</v>
          </cell>
        </row>
        <row r="220">
          <cell r="A220">
            <v>11256</v>
          </cell>
          <cell r="B220" t="str">
            <v>流星拳</v>
          </cell>
          <cell r="C220" t="str">
            <v>["jiaye_wuqi02_01","jiaye_wuqi02_02"]</v>
          </cell>
          <cell r="D220" t="str">
            <v>["jiaye_sb4_wuqi02_01","jiaye_sb4_wuqi02_01"]</v>
          </cell>
        </row>
        <row r="221">
          <cell r="A221">
            <v>12020</v>
          </cell>
          <cell r="B221" t="str">
            <v>人参糖葫芦</v>
          </cell>
          <cell r="C221" t="str">
            <v>["renshenwa_wuqi01_01"]</v>
          </cell>
          <cell r="D221" t="str">
            <v>[]</v>
          </cell>
        </row>
        <row r="222">
          <cell r="A222">
            <v>12021</v>
          </cell>
          <cell r="B222" t="str">
            <v>人参糖葫芦</v>
          </cell>
          <cell r="C222" t="str">
            <v>["renshenwa_wuqi02_01"]</v>
          </cell>
          <cell r="D222" t="str">
            <v>["renshenwa_sb2_wuqi01_01"]</v>
          </cell>
        </row>
        <row r="223">
          <cell r="A223">
            <v>12022</v>
          </cell>
          <cell r="B223" t="str">
            <v>人参糖葫芦</v>
          </cell>
          <cell r="C223" t="str">
            <v>["renshenwa_wuqi02_01"]</v>
          </cell>
          <cell r="D223" t="str">
            <v>["renshenwa_sb3_wuqi02_01"]</v>
          </cell>
        </row>
        <row r="224">
          <cell r="A224">
            <v>12023</v>
          </cell>
          <cell r="B224" t="str">
            <v>人参糖葫芦</v>
          </cell>
          <cell r="C224" t="str">
            <v>["renshenwa_wuqi02_01"]</v>
          </cell>
          <cell r="D224" t="str">
            <v>["renshenwa_sb4_wuqi02_01"]</v>
          </cell>
        </row>
        <row r="225">
          <cell r="A225">
            <v>12024</v>
          </cell>
          <cell r="B225" t="str">
            <v>人参糖葫芦</v>
          </cell>
          <cell r="C225" t="str">
            <v>["renshenwa_wuqi02_01"]</v>
          </cell>
          <cell r="D225" t="str">
            <v>["renshenwa_sb4_wuqi02_01"]</v>
          </cell>
        </row>
        <row r="226">
          <cell r="A226">
            <v>12025</v>
          </cell>
          <cell r="B226" t="str">
            <v>人参糖葫芦</v>
          </cell>
          <cell r="C226" t="str">
            <v>["renshenwa_wuqi02_01"]</v>
          </cell>
          <cell r="D226" t="str">
            <v>["renshenwa_sb4_wuqi02_01"]</v>
          </cell>
        </row>
        <row r="227">
          <cell r="A227">
            <v>12026</v>
          </cell>
          <cell r="B227" t="str">
            <v>人参糖葫芦</v>
          </cell>
          <cell r="C227" t="str">
            <v>["renshenwa_wuqi02_01"]</v>
          </cell>
          <cell r="D227" t="str">
            <v>["renshenwa_sb4_wuqi02_01"]</v>
          </cell>
        </row>
        <row r="228">
          <cell r="A228">
            <v>11230</v>
          </cell>
          <cell r="B228" t="str">
            <v>逆流白龙吟</v>
          </cell>
          <cell r="C228" t="str">
            <v>["xiaobailong_wuqi01_01"]</v>
          </cell>
          <cell r="D228" t="str">
            <v>[]</v>
          </cell>
        </row>
        <row r="229">
          <cell r="A229">
            <v>11231</v>
          </cell>
          <cell r="B229" t="str">
            <v>逆流白龙吟</v>
          </cell>
          <cell r="C229" t="str">
            <v>["xiaobailong_wuqi02_01"]</v>
          </cell>
          <cell r="D229" t="str">
            <v>["xiaobailong_sb2_wuqi01_01"]</v>
          </cell>
        </row>
        <row r="230">
          <cell r="A230">
            <v>11232</v>
          </cell>
          <cell r="B230" t="str">
            <v>逆流白龙吟</v>
          </cell>
          <cell r="C230" t="str">
            <v>["xiaobailong_wuqi02_01"]</v>
          </cell>
          <cell r="D230" t="str">
            <v>["xiaobailong_sb3_wuqi02_01"]</v>
          </cell>
        </row>
        <row r="231">
          <cell r="A231">
            <v>11233</v>
          </cell>
          <cell r="B231" t="str">
            <v>逆流白龙吟</v>
          </cell>
          <cell r="C231" t="str">
            <v>["xiaobailong_wuqi02_01"]</v>
          </cell>
          <cell r="D231" t="str">
            <v>["xiaobailong_sb4_wuqi02_01"]</v>
          </cell>
        </row>
        <row r="232">
          <cell r="A232">
            <v>11234</v>
          </cell>
          <cell r="B232" t="str">
            <v>逆流白龙吟</v>
          </cell>
          <cell r="C232" t="str">
            <v>["xiaobailong_wuqi02_01"]</v>
          </cell>
          <cell r="D232" t="str">
            <v>["xiaobailong_sb4_wuqi02_01"]</v>
          </cell>
        </row>
        <row r="233">
          <cell r="A233">
            <v>11235</v>
          </cell>
          <cell r="B233" t="str">
            <v>逆流白龙吟</v>
          </cell>
          <cell r="C233" t="str">
            <v>["xiaobailong_wuqi02_01"]</v>
          </cell>
          <cell r="D233" t="str">
            <v>["xiaobailong_sb4_wuqi02_01"]</v>
          </cell>
        </row>
        <row r="234">
          <cell r="A234">
            <v>11236</v>
          </cell>
          <cell r="B234" t="str">
            <v>逆流白龙吟</v>
          </cell>
          <cell r="C234" t="str">
            <v>["xiaobailong_wuqi02_01"]</v>
          </cell>
          <cell r="D234" t="str">
            <v>["xiaobailong_sb4_wuqi02_01"]</v>
          </cell>
        </row>
        <row r="235">
          <cell r="A235">
            <v>11170</v>
          </cell>
          <cell r="B235" t="str">
            <v>猕猴斩魄刀</v>
          </cell>
          <cell r="C235" t="str">
            <v>["liuermihou_wuqi01_01"]</v>
          </cell>
          <cell r="D235" t="str">
            <v>[]</v>
          </cell>
        </row>
        <row r="236">
          <cell r="A236">
            <v>11171</v>
          </cell>
          <cell r="B236" t="str">
            <v>猕猴斩魄刀</v>
          </cell>
          <cell r="C236" t="str">
            <v>["liuermihou_wuqi02_01"]</v>
          </cell>
          <cell r="D236" t="str">
            <v>["liuermihou_sb2_wuqi01_01"]</v>
          </cell>
        </row>
        <row r="237">
          <cell r="A237">
            <v>11172</v>
          </cell>
          <cell r="B237" t="str">
            <v>猕猴斩魄刀</v>
          </cell>
          <cell r="C237" t="str">
            <v>["liuermihou_wuqi02_01"]</v>
          </cell>
          <cell r="D237" t="str">
            <v>["liuermihou_sb3_wuqi02_01"]</v>
          </cell>
        </row>
        <row r="238">
          <cell r="A238">
            <v>11173</v>
          </cell>
          <cell r="B238" t="str">
            <v>猕猴斩魄刀</v>
          </cell>
          <cell r="C238" t="str">
            <v>["liuermihou_wuqi02_01"]</v>
          </cell>
          <cell r="D238" t="str">
            <v>["liuermihou_sb4_wuqi02_01"]</v>
          </cell>
        </row>
        <row r="239">
          <cell r="A239">
            <v>11174</v>
          </cell>
          <cell r="B239" t="str">
            <v>猕猴斩魄刀</v>
          </cell>
          <cell r="C239" t="str">
            <v>["liuermihou_wuqi02_01"]</v>
          </cell>
          <cell r="D239" t="str">
            <v>["liuermihou_sb4_wuqi02_01"]</v>
          </cell>
        </row>
        <row r="240">
          <cell r="A240">
            <v>11175</v>
          </cell>
          <cell r="B240" t="str">
            <v>猕猴斩魄刀</v>
          </cell>
          <cell r="C240" t="str">
            <v>["liuermihou_wuqi02_01"]</v>
          </cell>
          <cell r="D240" t="str">
            <v>["liuermihou_sb4_wuqi02_01"]</v>
          </cell>
        </row>
        <row r="241">
          <cell r="A241">
            <v>11176</v>
          </cell>
          <cell r="B241" t="str">
            <v>猕猴斩魄刀</v>
          </cell>
          <cell r="C241" t="str">
            <v>["liuermihou_wuqi02_01"]</v>
          </cell>
          <cell r="D241" t="str">
            <v>["liuermihou_sb4_wuqi02_01"]</v>
          </cell>
        </row>
        <row r="242">
          <cell r="A242">
            <v>12010</v>
          </cell>
          <cell r="B242" t="str">
            <v>判官笔</v>
          </cell>
          <cell r="C242" t="str">
            <v>["yanluowang_wuqi01_01"]</v>
          </cell>
          <cell r="D242" t="str">
            <v>[]</v>
          </cell>
        </row>
        <row r="243">
          <cell r="A243">
            <v>12011</v>
          </cell>
          <cell r="B243" t="str">
            <v>判官笔</v>
          </cell>
          <cell r="C243" t="str">
            <v>["yanluowang_wuqi02_01"]</v>
          </cell>
          <cell r="D243" t="str">
            <v>["yanluowang_sb2_wuqi01_01"]</v>
          </cell>
        </row>
        <row r="244">
          <cell r="A244">
            <v>12012</v>
          </cell>
          <cell r="B244" t="str">
            <v>判官笔</v>
          </cell>
          <cell r="C244" t="str">
            <v>["yanluowang_wuqi02_01"]</v>
          </cell>
          <cell r="D244" t="str">
            <v>["yanluowang_sb3_wuqi02_01"]</v>
          </cell>
        </row>
        <row r="245">
          <cell r="A245">
            <v>12013</v>
          </cell>
          <cell r="B245" t="str">
            <v>判官笔</v>
          </cell>
          <cell r="C245" t="str">
            <v>["yanluowang_wuqi02_01"]</v>
          </cell>
          <cell r="D245" t="str">
            <v>["yanluowang_sb4_wuqi02_01"]</v>
          </cell>
        </row>
        <row r="246">
          <cell r="A246">
            <v>12014</v>
          </cell>
          <cell r="B246" t="str">
            <v>判官笔</v>
          </cell>
          <cell r="C246" t="str">
            <v>["yanluowang_wuqi02_01"]</v>
          </cell>
          <cell r="D246" t="str">
            <v>["yanluowang_sb4_wuqi02_01"]</v>
          </cell>
        </row>
        <row r="247">
          <cell r="A247">
            <v>12015</v>
          </cell>
          <cell r="B247" t="str">
            <v>判官笔</v>
          </cell>
          <cell r="C247" t="str">
            <v>["yanluowang_wuqi02_01"]</v>
          </cell>
          <cell r="D247" t="str">
            <v>["yanluowang_sb4_wuqi02_01"]</v>
          </cell>
        </row>
        <row r="248">
          <cell r="A248">
            <v>12016</v>
          </cell>
          <cell r="B248" t="str">
            <v>判官笔</v>
          </cell>
          <cell r="C248" t="str">
            <v>["yanluowang_wuqi02_01"]</v>
          </cell>
          <cell r="D248" t="str">
            <v>["yanluowang_sb4_wuqi02_01"]</v>
          </cell>
        </row>
        <row r="249">
          <cell r="A249">
            <v>11310</v>
          </cell>
          <cell r="B249" t="str">
            <v>琴瑟琵琶</v>
          </cell>
          <cell r="C249" t="str">
            <v>["xiezijing_wuqi01_01"]</v>
          </cell>
          <cell r="D249" t="str">
            <v>[]</v>
          </cell>
        </row>
        <row r="250">
          <cell r="A250">
            <v>11311</v>
          </cell>
          <cell r="B250" t="str">
            <v>琴瑟琵琶</v>
          </cell>
          <cell r="C250" t="str">
            <v>["xiezijing_wuqi02_01"]</v>
          </cell>
          <cell r="D250" t="str">
            <v>["xiezijing_sb2_wuqi01_01"]</v>
          </cell>
        </row>
        <row r="251">
          <cell r="A251">
            <v>11312</v>
          </cell>
          <cell r="B251" t="str">
            <v>琴瑟琵琶</v>
          </cell>
          <cell r="C251" t="str">
            <v>["xiezijing_wuqi02_01"]</v>
          </cell>
          <cell r="D251" t="str">
            <v>["xiezijing_sb3_wuqi02_01"]</v>
          </cell>
        </row>
        <row r="252">
          <cell r="A252">
            <v>11313</v>
          </cell>
          <cell r="B252" t="str">
            <v>琴瑟琵琶</v>
          </cell>
          <cell r="C252" t="str">
            <v>["xiezijing_wuqi02_01"]</v>
          </cell>
          <cell r="D252" t="str">
            <v>["xiezijing_sb4_wuqi02_01"]</v>
          </cell>
        </row>
        <row r="253">
          <cell r="A253">
            <v>11314</v>
          </cell>
          <cell r="B253" t="str">
            <v>琴瑟琵琶</v>
          </cell>
          <cell r="C253" t="str">
            <v>["xiezijing_wuqi02_01"]</v>
          </cell>
          <cell r="D253" t="str">
            <v>["xiezijing_sb4_wuqi02_01"]</v>
          </cell>
        </row>
        <row r="254">
          <cell r="A254">
            <v>11315</v>
          </cell>
          <cell r="B254" t="str">
            <v>琴瑟琵琶</v>
          </cell>
          <cell r="C254" t="str">
            <v>["xiezijing_wuqi02_01"]</v>
          </cell>
          <cell r="D254" t="str">
            <v>["xiezijing_sb4_wuqi02_01"]</v>
          </cell>
        </row>
        <row r="255">
          <cell r="A255">
            <v>11316</v>
          </cell>
          <cell r="B255" t="str">
            <v>琴瑟琵琶</v>
          </cell>
          <cell r="C255" t="str">
            <v>["xiezijing_wuqi02_01"]</v>
          </cell>
          <cell r="D255" t="str">
            <v>["xiezijing_sb4_wuqi02_01"]</v>
          </cell>
        </row>
        <row r="256">
          <cell r="A256">
            <v>11370</v>
          </cell>
          <cell r="B256" t="str">
            <v>肚脐蛛网</v>
          </cell>
          <cell r="C256" t="str">
            <v>["zhizhujing_wuqi01_01"]</v>
          </cell>
          <cell r="D256" t="str">
            <v>[]</v>
          </cell>
        </row>
        <row r="257">
          <cell r="A257">
            <v>11371</v>
          </cell>
          <cell r="B257" t="str">
            <v>肚脐蛛网</v>
          </cell>
          <cell r="C257" t="str">
            <v>["zhizhujing_wuqi02_01"]</v>
          </cell>
          <cell r="D257" t="str">
            <v>["zhizhujing_sb2_wuqi01_01"]</v>
          </cell>
        </row>
        <row r="258">
          <cell r="A258">
            <v>11372</v>
          </cell>
          <cell r="B258" t="str">
            <v>肚脐蛛网</v>
          </cell>
          <cell r="C258" t="str">
            <v>["zhizhujing_wuqi02_01"]</v>
          </cell>
          <cell r="D258" t="str">
            <v>["zhizhujing_sb3_wuqi02_01"]</v>
          </cell>
        </row>
        <row r="259">
          <cell r="A259">
            <v>11373</v>
          </cell>
          <cell r="B259" t="str">
            <v>肚脐蛛网</v>
          </cell>
          <cell r="C259" t="str">
            <v>["zhizhujing_wuqi02_01"]</v>
          </cell>
          <cell r="D259" t="str">
            <v>["zhizhujing_sb4_wuqi02_01"]</v>
          </cell>
        </row>
        <row r="260">
          <cell r="A260">
            <v>11374</v>
          </cell>
          <cell r="B260" t="str">
            <v>肚脐蛛网</v>
          </cell>
          <cell r="C260" t="str">
            <v>["zhizhujing_wuqi02_01"]</v>
          </cell>
          <cell r="D260" t="str">
            <v>["zhizhujing_sb4_wuqi02_01"]</v>
          </cell>
        </row>
        <row r="261">
          <cell r="A261">
            <v>11375</v>
          </cell>
          <cell r="B261" t="str">
            <v>肚脐蛛网</v>
          </cell>
          <cell r="C261" t="str">
            <v>["zhizhujing_wuqi02_01"]</v>
          </cell>
          <cell r="D261" t="str">
            <v>["zhizhujing_sb4_wuqi02_01"]</v>
          </cell>
        </row>
        <row r="262">
          <cell r="A262">
            <v>11376</v>
          </cell>
          <cell r="B262" t="str">
            <v>肚脐蛛网</v>
          </cell>
          <cell r="C262" t="str">
            <v>["zhizhujing_wuqi02_01"]</v>
          </cell>
          <cell r="D262" t="str">
            <v>["zhizhujing_sb4_wuqi02_01"]</v>
          </cell>
        </row>
        <row r="263">
          <cell r="A263">
            <v>12160</v>
          </cell>
          <cell r="B263" t="str">
            <v>相思醉</v>
          </cell>
          <cell r="C263" t="str">
            <v>["nverguoguowang_wuqi01_01","nverguoguowang_wuqi01_02"]</v>
          </cell>
          <cell r="D263" t="str">
            <v>[]</v>
          </cell>
        </row>
        <row r="264">
          <cell r="A264">
            <v>12161</v>
          </cell>
          <cell r="B264" t="str">
            <v>相思醉</v>
          </cell>
          <cell r="C264" t="str">
            <v>["nverguoguowang_wuqi02_01","nverguoguowang_wuqi02_02"]</v>
          </cell>
          <cell r="D264" t="str">
            <v>["nverguoguowang_sb2_wuqi01_01","nverguoguowang_sb2_wuqi01_01"]</v>
          </cell>
        </row>
        <row r="265">
          <cell r="A265">
            <v>12162</v>
          </cell>
          <cell r="B265" t="str">
            <v>相思醉</v>
          </cell>
          <cell r="C265" t="str">
            <v>["nverguoguowang_wuqi02_01","nverguoguowang_wuqi02_02"]</v>
          </cell>
          <cell r="D265" t="str">
            <v>["nverguoguowang_sb3_wuqi02_01","nverguoguowang_sb3_wuqi02_01"]</v>
          </cell>
        </row>
        <row r="266">
          <cell r="A266">
            <v>12163</v>
          </cell>
          <cell r="B266" t="str">
            <v>相思醉</v>
          </cell>
          <cell r="C266" t="str">
            <v>["nverguoguowang_wuqi02_01","nverguoguowang_wuqi02_02"]</v>
          </cell>
          <cell r="D266" t="str">
            <v>["nverguoguowang_sb4_wuqi02_01","nverguoguowang_sb4_wuqi02_01"]</v>
          </cell>
        </row>
        <row r="267">
          <cell r="A267">
            <v>12164</v>
          </cell>
          <cell r="B267" t="str">
            <v>相思醉</v>
          </cell>
          <cell r="C267" t="str">
            <v>["nverguoguowang_wuqi02_01","nverguoguowang_wuqi02_02"]</v>
          </cell>
          <cell r="D267" t="str">
            <v>["nverguoguowang_sb4_wuqi02_01","nverguoguowang_sb4_wuqi02_01"]</v>
          </cell>
        </row>
        <row r="268">
          <cell r="A268">
            <v>12165</v>
          </cell>
          <cell r="B268" t="str">
            <v>相思醉</v>
          </cell>
          <cell r="C268" t="str">
            <v>["nverguoguowang_wuqi02_01","nverguoguowang_wuqi02_02"]</v>
          </cell>
          <cell r="D268" t="str">
            <v>["nverguoguowang_sb4_wuqi02_01","nverguoguowang_sb4_wuqi02_01"]</v>
          </cell>
        </row>
        <row r="269">
          <cell r="A269">
            <v>12166</v>
          </cell>
          <cell r="B269" t="str">
            <v>相思醉</v>
          </cell>
          <cell r="C269" t="str">
            <v>["nverguoguowang_wuqi02_01","nverguoguowang_wuqi02_02"]</v>
          </cell>
          <cell r="D269" t="str">
            <v>["nverguoguowang_sb4_wuqi02_01","nverguoguowang_sb4_wuqi02_01"]</v>
          </cell>
        </row>
        <row r="270">
          <cell r="A270">
            <v>11060</v>
          </cell>
          <cell r="B270" t="str">
            <v>太白金剑</v>
          </cell>
          <cell r="C270" t="str">
            <v>["taibaijinxing_wuqi01_01"]</v>
          </cell>
          <cell r="D270" t="str">
            <v>[]</v>
          </cell>
        </row>
        <row r="271">
          <cell r="A271">
            <v>11061</v>
          </cell>
          <cell r="B271" t="str">
            <v>太白金剑</v>
          </cell>
          <cell r="C271" t="str">
            <v>["taibaijinxing_wuqi02_01"]</v>
          </cell>
          <cell r="D271" t="str">
            <v>["taibaijinxing_sb2_wuqi01_01"]</v>
          </cell>
        </row>
        <row r="272">
          <cell r="A272">
            <v>11062</v>
          </cell>
          <cell r="B272" t="str">
            <v>太白金剑</v>
          </cell>
          <cell r="C272" t="str">
            <v>["taibaijinxing_wuqi02_01"]</v>
          </cell>
          <cell r="D272" t="str">
            <v>["taibaijinxing_sb3_wuqi02_01"]</v>
          </cell>
        </row>
        <row r="273">
          <cell r="A273">
            <v>11063</v>
          </cell>
          <cell r="B273" t="str">
            <v>太白金剑</v>
          </cell>
          <cell r="C273" t="str">
            <v>["taibaijinxing_wuqi02_01"]</v>
          </cell>
          <cell r="D273" t="str">
            <v>["taibaijinxing_sb4_wuqi02_01"]</v>
          </cell>
        </row>
        <row r="274">
          <cell r="A274">
            <v>11064</v>
          </cell>
          <cell r="B274" t="str">
            <v>太白金剑</v>
          </cell>
          <cell r="C274" t="str">
            <v>["taibaijinxing_wuqi02_01"]</v>
          </cell>
          <cell r="D274" t="str">
            <v>["taibaijinxing_sb4_wuqi02_01"]</v>
          </cell>
        </row>
        <row r="275">
          <cell r="A275">
            <v>11065</v>
          </cell>
          <cell r="B275" t="str">
            <v>太白金剑</v>
          </cell>
          <cell r="C275" t="str">
            <v>["taibaijinxing_wuqi02_01"]</v>
          </cell>
          <cell r="D275" t="str">
            <v>["taibaijinxing_sb4_wuqi02_01"]</v>
          </cell>
        </row>
        <row r="276">
          <cell r="A276">
            <v>11066</v>
          </cell>
          <cell r="B276" t="str">
            <v>太白金剑</v>
          </cell>
          <cell r="C276" t="str">
            <v>["taibaijinxing_wuqi02_01"]</v>
          </cell>
          <cell r="D276" t="str">
            <v>["taibaijinxing_sb4_wuqi02_01"]</v>
          </cell>
        </row>
        <row r="277">
          <cell r="A277">
            <v>11150</v>
          </cell>
          <cell r="B277" t="str">
            <v>羊角画戟</v>
          </cell>
          <cell r="C277" t="str">
            <v>["yanglidaxian_wuqi01_01"]</v>
          </cell>
          <cell r="D277" t="str">
            <v>[]</v>
          </cell>
        </row>
        <row r="278">
          <cell r="A278">
            <v>11151</v>
          </cell>
          <cell r="B278" t="str">
            <v>羊角画戟</v>
          </cell>
          <cell r="C278" t="str">
            <v>["yanglidaxian_wuqi02_01"]</v>
          </cell>
          <cell r="D278" t="str">
            <v>["yanglidaxian_sb2_wuqi01_01"]</v>
          </cell>
        </row>
        <row r="279">
          <cell r="A279">
            <v>11152</v>
          </cell>
          <cell r="B279" t="str">
            <v>羊角画戟</v>
          </cell>
          <cell r="C279" t="str">
            <v>["yanglidaxian_wuqi02_01"]</v>
          </cell>
          <cell r="D279" t="str">
            <v>["yanglidaxian_sb3_wuqi02_01"]</v>
          </cell>
        </row>
        <row r="280">
          <cell r="A280">
            <v>11153</v>
          </cell>
          <cell r="B280" t="str">
            <v>羊角画戟</v>
          </cell>
          <cell r="C280" t="str">
            <v>["yanglidaxian_wuqi02_01"]</v>
          </cell>
          <cell r="D280" t="str">
            <v>["yanglidaxian_sb4_wuqi02_01"]</v>
          </cell>
        </row>
        <row r="281">
          <cell r="A281">
            <v>11154</v>
          </cell>
          <cell r="B281" t="str">
            <v>羊角画戟</v>
          </cell>
          <cell r="C281" t="str">
            <v>["yanglidaxian_wuqi02_01"]</v>
          </cell>
          <cell r="D281" t="str">
            <v>["yanglidaxian_sb4_wuqi02_01"]</v>
          </cell>
        </row>
        <row r="282">
          <cell r="A282">
            <v>11155</v>
          </cell>
          <cell r="B282" t="str">
            <v>羊角画戟</v>
          </cell>
          <cell r="C282" t="str">
            <v>["yanglidaxian_wuqi02_01"]</v>
          </cell>
          <cell r="D282" t="str">
            <v>["yanglidaxian_sb4_wuqi02_01"]</v>
          </cell>
        </row>
        <row r="283">
          <cell r="A283">
            <v>11156</v>
          </cell>
          <cell r="B283" t="str">
            <v>羊角画戟</v>
          </cell>
          <cell r="C283" t="str">
            <v>["yanglidaxian_wuqi02_01"]</v>
          </cell>
          <cell r="D283" t="str">
            <v>["yanglidaxian_sb4_wuqi02_01"]</v>
          </cell>
        </row>
        <row r="284">
          <cell r="A284">
            <v>12080</v>
          </cell>
          <cell r="B284" t="str">
            <v>凝神花</v>
          </cell>
          <cell r="C284" t="str">
            <v>["caidiexiantong_wuqi01_01"]</v>
          </cell>
          <cell r="D284" t="str">
            <v>[]</v>
          </cell>
        </row>
        <row r="285">
          <cell r="A285">
            <v>12081</v>
          </cell>
          <cell r="B285" t="str">
            <v>凝神花</v>
          </cell>
          <cell r="C285" t="str">
            <v>["caidiexiantong_wuqi02_01"]</v>
          </cell>
          <cell r="D285" t="str">
            <v>["caidiexiantong_sb2_wuqi01_01"]</v>
          </cell>
        </row>
        <row r="286">
          <cell r="A286">
            <v>12082</v>
          </cell>
          <cell r="B286" t="str">
            <v>凝神花</v>
          </cell>
          <cell r="C286" t="str">
            <v>["caidiexiantong_wuqi02_01"]</v>
          </cell>
          <cell r="D286" t="str">
            <v>["caidiexiantong_sb3_wuqi02_01"]</v>
          </cell>
        </row>
        <row r="287">
          <cell r="A287">
            <v>12083</v>
          </cell>
          <cell r="B287" t="str">
            <v>凝神花</v>
          </cell>
          <cell r="C287" t="str">
            <v>["caidiexiantong_wuqi02_01"]</v>
          </cell>
          <cell r="D287" t="str">
            <v>["caidiexiantong_sb4_wuqi02_01"]</v>
          </cell>
        </row>
        <row r="288">
          <cell r="A288">
            <v>12084</v>
          </cell>
          <cell r="B288" t="str">
            <v>凝神花</v>
          </cell>
          <cell r="C288" t="str">
            <v>["caidiexiantong_wuqi02_01"]</v>
          </cell>
          <cell r="D288" t="str">
            <v>["caidiexiantong_sb4_wuqi02_01"]</v>
          </cell>
        </row>
        <row r="289">
          <cell r="A289">
            <v>12085</v>
          </cell>
          <cell r="B289" t="str">
            <v>凝神花</v>
          </cell>
          <cell r="C289" t="str">
            <v>["caidiexiantong_wuqi02_01"]</v>
          </cell>
          <cell r="D289" t="str">
            <v>["caidiexiantong_sb4_wuqi02_01"]</v>
          </cell>
        </row>
        <row r="290">
          <cell r="A290">
            <v>12086</v>
          </cell>
          <cell r="B290" t="str">
            <v>凝神花</v>
          </cell>
          <cell r="C290" t="str">
            <v>["caidiexiantong_wuqi02_01"]</v>
          </cell>
          <cell r="D290" t="str">
            <v>["caidiexiantong_sb4_wuqi02_01"]</v>
          </cell>
        </row>
        <row r="291">
          <cell r="A291">
            <v>11220</v>
          </cell>
          <cell r="B291" t="str">
            <v>九环锡杖</v>
          </cell>
          <cell r="C291" t="str">
            <v>["tangsanzang_wuqi01_01"]</v>
          </cell>
          <cell r="D291" t="str">
            <v>[]</v>
          </cell>
        </row>
        <row r="292">
          <cell r="A292">
            <v>11221</v>
          </cell>
          <cell r="B292" t="str">
            <v>九环锡杖</v>
          </cell>
          <cell r="C292" t="str">
            <v>["tangsanzang_wuqi02_01"]</v>
          </cell>
          <cell r="D292" t="str">
            <v>["tangsanzang_sb2_wuqi01_01"]</v>
          </cell>
        </row>
        <row r="293">
          <cell r="A293">
            <v>11222</v>
          </cell>
          <cell r="B293" t="str">
            <v>九环锡杖</v>
          </cell>
          <cell r="C293" t="str">
            <v>["tangsanzang_wuqi02_01"]</v>
          </cell>
          <cell r="D293" t="str">
            <v>["tangsanzang_sb3_wuqi02_01"]</v>
          </cell>
        </row>
        <row r="294">
          <cell r="A294">
            <v>11223</v>
          </cell>
          <cell r="B294" t="str">
            <v>九环锡杖</v>
          </cell>
          <cell r="C294" t="str">
            <v>["tangsanzang_wuqi02_01"]</v>
          </cell>
          <cell r="D294" t="str">
            <v>["tangsanzang_sb4_wuqi02_01"]</v>
          </cell>
        </row>
        <row r="295">
          <cell r="A295">
            <v>11224</v>
          </cell>
          <cell r="B295" t="str">
            <v>九环锡杖</v>
          </cell>
          <cell r="C295" t="str">
            <v>["tangsanzang_wuqi02_01"]</v>
          </cell>
          <cell r="D295" t="str">
            <v>["tangsanzang_sb4_wuqi02_01"]</v>
          </cell>
        </row>
        <row r="296">
          <cell r="A296">
            <v>11225</v>
          </cell>
          <cell r="B296" t="str">
            <v>九环锡杖</v>
          </cell>
          <cell r="C296" t="str">
            <v>["tangsanzang_wuqi02_01"]</v>
          </cell>
          <cell r="D296" t="str">
            <v>["tangsanzang_sb4_wuqi02_01"]</v>
          </cell>
        </row>
        <row r="297">
          <cell r="A297">
            <v>11226</v>
          </cell>
          <cell r="B297" t="str">
            <v>九环锡杖</v>
          </cell>
          <cell r="C297" t="str">
            <v>["tangsanzang_wuqi02_01"]</v>
          </cell>
          <cell r="D297" t="str">
            <v>["tangsanzang_sb4_wuqi02_01"]</v>
          </cell>
        </row>
        <row r="298">
          <cell r="A298">
            <v>12070</v>
          </cell>
          <cell r="B298" t="str">
            <v>吊莲仙灯</v>
          </cell>
          <cell r="C298" t="str">
            <v>["yinhunxianzi_wuqi01_01"]</v>
          </cell>
          <cell r="D298" t="str">
            <v>[]</v>
          </cell>
        </row>
        <row r="299">
          <cell r="A299">
            <v>12071</v>
          </cell>
          <cell r="B299" t="str">
            <v>吊莲仙灯</v>
          </cell>
          <cell r="C299" t="str">
            <v>["yinhunxianzi_wuqi02_01"]</v>
          </cell>
          <cell r="D299" t="str">
            <v>["yinhunxianzi_sb2_wuqi01_01","yinhunxianzi_Bone044_sb2_wuqi01_01"]</v>
          </cell>
        </row>
        <row r="300">
          <cell r="A300">
            <v>12072</v>
          </cell>
          <cell r="B300" t="str">
            <v>吊莲仙灯</v>
          </cell>
          <cell r="C300" t="str">
            <v>["yinhunxianzi_wuqi02_01"]</v>
          </cell>
          <cell r="D300" t="str">
            <v>["yinhunxianzi_sb3_wuqi02_01","yinhunxianzi_Bone044_sb3_wuqi02_01"]</v>
          </cell>
        </row>
        <row r="301">
          <cell r="A301">
            <v>12073</v>
          </cell>
          <cell r="B301" t="str">
            <v>吊莲仙灯</v>
          </cell>
          <cell r="C301" t="str">
            <v>["yinhunxianzi_wuqi02_01"]</v>
          </cell>
          <cell r="D301" t="str">
            <v>["yinhunxianzi_sb4_wuqi02_01","yinhunxianzi_Bone044_sb4_wuqi02_01"]</v>
          </cell>
        </row>
        <row r="302">
          <cell r="A302">
            <v>12074</v>
          </cell>
          <cell r="B302" t="str">
            <v>吊莲仙灯</v>
          </cell>
          <cell r="C302" t="str">
            <v>["yinhunxianzi_wuqi02_01"]</v>
          </cell>
          <cell r="D302" t="str">
            <v>["yinhunxianzi_sb4_wuqi02_01","yinhunxianzi_Bone044_sb4_wuqi02_01"]</v>
          </cell>
        </row>
        <row r="303">
          <cell r="A303">
            <v>12075</v>
          </cell>
          <cell r="B303" t="str">
            <v>吊莲仙灯</v>
          </cell>
          <cell r="C303" t="str">
            <v>["yinhunxianzi_wuqi02_01"]</v>
          </cell>
          <cell r="D303" t="str">
            <v>["yinhunxianzi_sb4_wuqi02_01","yinhunxianzi_Bone044_sb4_wuqi02_01"]</v>
          </cell>
        </row>
        <row r="304">
          <cell r="A304">
            <v>12076</v>
          </cell>
          <cell r="B304" t="str">
            <v>吊莲仙灯</v>
          </cell>
          <cell r="C304" t="str">
            <v>["yinhunxianzi_wuqi02_01"]</v>
          </cell>
          <cell r="D304" t="str">
            <v>["yinhunxianzi_sb4_wuqi02_01","yinhunxianzi_Bone044_sb4_wuqi02_01"]</v>
          </cell>
        </row>
        <row r="305">
          <cell r="A305">
            <v>11070</v>
          </cell>
          <cell r="B305" t="str">
            <v>落樱神斧</v>
          </cell>
          <cell r="C305" t="str">
            <v>["chijiaodaxian_wuqi01_01","chijiaodaxian_wuqi01_02"]</v>
          </cell>
          <cell r="D305" t="str">
            <v>[]</v>
          </cell>
        </row>
        <row r="306">
          <cell r="A306">
            <v>11071</v>
          </cell>
          <cell r="B306" t="str">
            <v>落樱神斧</v>
          </cell>
          <cell r="C306" t="str">
            <v>["chijiaodaxian_wuqi02_01","chijiaodaxian_wuqi02_02"]</v>
          </cell>
          <cell r="D306" t="str">
            <v>["chijiaodaxian_sb2_wuqi01_01","chijiaodaxian_sb2_wuqi01_01"]</v>
          </cell>
        </row>
        <row r="307">
          <cell r="A307">
            <v>11072</v>
          </cell>
          <cell r="B307" t="str">
            <v>落樱神斧</v>
          </cell>
          <cell r="C307" t="str">
            <v>["chijiaodaxian_wuqi02_01","chijiaodaxian_wuqi02_02"]</v>
          </cell>
          <cell r="D307" t="str">
            <v>["chijiaodaxian_sb3_wuqi02_01","chijiaodaxian_sb3_wuqi02_01"]</v>
          </cell>
        </row>
        <row r="308">
          <cell r="A308">
            <v>11073</v>
          </cell>
          <cell r="B308" t="str">
            <v>落樱神斧</v>
          </cell>
          <cell r="C308" t="str">
            <v>["chijiaodaxian_wuqi02_01","chijiaodaxian_wuqi02_02"]</v>
          </cell>
          <cell r="D308" t="str">
            <v>["chijiaodaxian_sb4_wuqi02_01","chijiaodaxian_sb4_wuqi02_01"]</v>
          </cell>
        </row>
        <row r="309">
          <cell r="A309">
            <v>11074</v>
          </cell>
          <cell r="B309" t="str">
            <v>落樱神斧</v>
          </cell>
          <cell r="C309" t="str">
            <v>["chijiaodaxian_wuqi02_01","chijiaodaxian_wuqi02_02"]</v>
          </cell>
          <cell r="D309" t="str">
            <v>["chijiaodaxian_sb4_wuqi02_01","chijiaodaxian_sb4_wuqi02_01"]</v>
          </cell>
        </row>
        <row r="310">
          <cell r="A310">
            <v>11075</v>
          </cell>
          <cell r="B310" t="str">
            <v>落樱神斧</v>
          </cell>
          <cell r="C310" t="str">
            <v>["chijiaodaxian_wuqi02_01","chijiaodaxian_wuqi02_02"]</v>
          </cell>
          <cell r="D310" t="str">
            <v>["chijiaodaxian_sb4_wuqi02_01","chijiaodaxian_sb4_wuqi02_01"]</v>
          </cell>
        </row>
        <row r="311">
          <cell r="A311">
            <v>11076</v>
          </cell>
          <cell r="B311" t="str">
            <v>落樱神斧</v>
          </cell>
          <cell r="C311" t="str">
            <v>["chijiaodaxian_wuqi02_01","chijiaodaxian_wuqi02_02"]</v>
          </cell>
          <cell r="D311" t="str">
            <v>["chijiaodaxian_sb4_wuqi02_01","chijiaodaxian_sb4_wuqi02_01"]</v>
          </cell>
        </row>
        <row r="312">
          <cell r="A312">
            <v>100000</v>
          </cell>
          <cell r="B312" t="str">
            <v>暴走孙悟空</v>
          </cell>
          <cell r="C312" t="str">
            <v>["baozousunwukong_wuqi01_01"]</v>
          </cell>
          <cell r="D312" t="str">
            <v>["baozousunwukong_sb2_wuqi01_01"]</v>
          </cell>
        </row>
      </sheetData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CF130"/>
  <sheetViews>
    <sheetView tabSelected="1" zoomScale="95" zoomScaleNormal="95" workbookViewId="0">
      <pane xSplit="2" ySplit="3" topLeftCell="J4" activePane="bottomRight" state="frozen"/>
      <selection pane="topRight" activeCell="C1" sqref="C1"/>
      <selection pane="bottomLeft" activeCell="A4" sqref="A4"/>
      <selection pane="bottomRight" activeCell="B22" sqref="B22"/>
    </sheetView>
  </sheetViews>
  <sheetFormatPr defaultRowHeight="16.5"/>
  <cols>
    <col min="1" max="1" width="21.375" style="3" bestFit="1" customWidth="1"/>
    <col min="2" max="2" width="15.5" style="3" customWidth="1"/>
    <col min="3" max="3" width="37" style="13" customWidth="1"/>
    <col min="4" max="6" width="12" style="3" customWidth="1"/>
    <col min="7" max="7" width="16.375" style="3" customWidth="1"/>
    <col min="8" max="8" width="36.625" style="3" bestFit="1" customWidth="1"/>
    <col min="9" max="9" width="13.375" style="3" customWidth="1"/>
    <col min="10" max="10" width="23.5" style="3" customWidth="1"/>
    <col min="11" max="11" width="13.375" style="3" customWidth="1"/>
    <col min="12" max="12" width="82.375" style="14" customWidth="1"/>
    <col min="13" max="13" width="21.125" style="3" customWidth="1"/>
    <col min="14" max="14" width="25.375" style="3" customWidth="1"/>
    <col min="15" max="15" width="20.75" style="3" customWidth="1"/>
    <col min="16" max="16" width="25.625" style="3" customWidth="1"/>
    <col min="17" max="17" width="18.75" style="3" bestFit="1" customWidth="1"/>
    <col min="18" max="26" width="12" style="3" customWidth="1"/>
    <col min="27" max="28" width="12" style="102" customWidth="1"/>
    <col min="29" max="32" width="12" style="112" customWidth="1"/>
    <col min="33" max="39" width="12" style="3" customWidth="1"/>
    <col min="40" max="41" width="14" style="102" customWidth="1"/>
    <col min="42" max="49" width="14" style="3" customWidth="1"/>
    <col min="50" max="50" width="32" style="114" bestFit="1" customWidth="1"/>
    <col min="51" max="51" width="12" style="3" customWidth="1"/>
    <col min="52" max="52" width="70.875" style="15" bestFit="1" customWidth="1"/>
    <col min="53" max="53" width="14.375" style="3" customWidth="1"/>
    <col min="54" max="54" width="12" style="3" customWidth="1"/>
    <col min="55" max="55" width="39.5" style="93" customWidth="1"/>
    <col min="56" max="56" width="47.875" style="3" bestFit="1" customWidth="1"/>
    <col min="57" max="57" width="24" style="93" bestFit="1" customWidth="1"/>
    <col min="58" max="58" width="20.25" style="3" customWidth="1"/>
    <col min="59" max="60" width="20.25" style="102" customWidth="1"/>
    <col min="61" max="61" width="20.25" style="3" customWidth="1"/>
    <col min="62" max="62" width="15.5" style="3" customWidth="1"/>
    <col min="63" max="63" width="18.75" style="3" customWidth="1"/>
    <col min="64" max="64" width="14.125" style="3" customWidth="1"/>
    <col min="65" max="65" width="16.25" style="3" customWidth="1"/>
    <col min="66" max="66" width="22.375" style="23" customWidth="1"/>
    <col min="67" max="67" width="22.375" style="31" customWidth="1"/>
    <col min="68" max="68" width="17" style="3" bestFit="1" customWidth="1"/>
    <col min="69" max="70" width="50.625" style="3" bestFit="1" customWidth="1"/>
    <col min="71" max="72" width="12" style="3"/>
    <col min="73" max="73" width="23" style="3" bestFit="1" customWidth="1"/>
    <col min="74" max="74" width="8" style="3" bestFit="1" customWidth="1"/>
    <col min="75" max="75" width="5.25" style="3" bestFit="1" customWidth="1"/>
    <col min="76" max="16384" width="9" style="3"/>
  </cols>
  <sheetData>
    <row r="1" spans="1:84" ht="161.25" customHeight="1">
      <c r="A1" s="1" t="s">
        <v>761</v>
      </c>
      <c r="B1" s="1" t="s">
        <v>762</v>
      </c>
      <c r="C1" s="1" t="s">
        <v>1</v>
      </c>
      <c r="D1" s="1" t="s">
        <v>769</v>
      </c>
      <c r="E1" s="1" t="s">
        <v>770</v>
      </c>
      <c r="F1" s="1" t="s">
        <v>1130</v>
      </c>
      <c r="G1" s="1" t="s">
        <v>1129</v>
      </c>
      <c r="H1" s="1" t="s">
        <v>1016</v>
      </c>
      <c r="I1" s="5" t="s">
        <v>227</v>
      </c>
      <c r="J1" s="1" t="s">
        <v>768</v>
      </c>
      <c r="K1" s="5" t="s">
        <v>228</v>
      </c>
      <c r="L1" s="1" t="s">
        <v>767</v>
      </c>
      <c r="M1" s="1" t="s">
        <v>766</v>
      </c>
      <c r="N1" s="4" t="s">
        <v>763</v>
      </c>
      <c r="O1" s="4" t="s">
        <v>764</v>
      </c>
      <c r="P1" s="4" t="s">
        <v>765</v>
      </c>
      <c r="Q1" s="4" t="s">
        <v>1140</v>
      </c>
      <c r="R1" s="4" t="s">
        <v>745</v>
      </c>
      <c r="S1" s="4" t="s">
        <v>229</v>
      </c>
      <c r="T1" s="4" t="s">
        <v>2</v>
      </c>
      <c r="U1" s="6" t="s">
        <v>1134</v>
      </c>
      <c r="V1" s="6" t="s">
        <v>230</v>
      </c>
      <c r="W1" s="7" t="s">
        <v>746</v>
      </c>
      <c r="X1" s="7" t="s">
        <v>747</v>
      </c>
      <c r="Y1" s="7" t="s">
        <v>231</v>
      </c>
      <c r="Z1" s="7" t="s">
        <v>208</v>
      </c>
      <c r="AA1" s="104" t="s">
        <v>749</v>
      </c>
      <c r="AB1" s="104" t="s">
        <v>750</v>
      </c>
      <c r="AC1" s="108" t="s">
        <v>748</v>
      </c>
      <c r="AD1" s="108" t="s">
        <v>751</v>
      </c>
      <c r="AE1" s="108" t="s">
        <v>1001</v>
      </c>
      <c r="AF1" s="108" t="s">
        <v>1002</v>
      </c>
      <c r="AG1" s="7" t="s">
        <v>232</v>
      </c>
      <c r="AH1" s="7" t="s">
        <v>233</v>
      </c>
      <c r="AI1" s="7" t="s">
        <v>234</v>
      </c>
      <c r="AJ1" s="7" t="s">
        <v>752</v>
      </c>
      <c r="AK1" s="7" t="s">
        <v>235</v>
      </c>
      <c r="AL1" s="7" t="s">
        <v>236</v>
      </c>
      <c r="AM1" s="7" t="s">
        <v>848</v>
      </c>
      <c r="AN1" s="103" t="s">
        <v>679</v>
      </c>
      <c r="AO1" s="103" t="s">
        <v>754</v>
      </c>
      <c r="AP1" s="6" t="s">
        <v>753</v>
      </c>
      <c r="AQ1" s="6" t="s">
        <v>680</v>
      </c>
      <c r="AR1" s="6" t="s">
        <v>1126</v>
      </c>
      <c r="AS1" s="6" t="s">
        <v>22</v>
      </c>
      <c r="AT1" s="6" t="s">
        <v>755</v>
      </c>
      <c r="AU1" s="6" t="s">
        <v>756</v>
      </c>
      <c r="AV1" s="6" t="s">
        <v>757</v>
      </c>
      <c r="AW1" s="6" t="s">
        <v>23</v>
      </c>
      <c r="AX1" s="113" t="s">
        <v>1034</v>
      </c>
      <c r="AY1" s="8" t="s">
        <v>237</v>
      </c>
      <c r="AZ1" s="106" t="s">
        <v>238</v>
      </c>
      <c r="BA1" s="9" t="s">
        <v>758</v>
      </c>
      <c r="BB1" s="8" t="s">
        <v>239</v>
      </c>
      <c r="BC1" s="91" t="s">
        <v>681</v>
      </c>
      <c r="BD1" s="10" t="s">
        <v>726</v>
      </c>
      <c r="BE1" s="91" t="s">
        <v>1035</v>
      </c>
      <c r="BF1" s="10" t="s">
        <v>759</v>
      </c>
      <c r="BG1" s="95" t="s">
        <v>240</v>
      </c>
      <c r="BH1" s="95" t="s">
        <v>241</v>
      </c>
      <c r="BI1" s="10" t="s">
        <v>242</v>
      </c>
      <c r="BJ1" s="10" t="s">
        <v>760</v>
      </c>
      <c r="BK1" s="24" t="s">
        <v>243</v>
      </c>
      <c r="BL1" s="24" t="s">
        <v>244</v>
      </c>
      <c r="BM1" s="24" t="s">
        <v>245</v>
      </c>
      <c r="BN1" s="25" t="s">
        <v>459</v>
      </c>
      <c r="BO1" s="29" t="s">
        <v>458</v>
      </c>
      <c r="BP1" s="24" t="s">
        <v>856</v>
      </c>
      <c r="BQ1" s="1" t="s">
        <v>775</v>
      </c>
      <c r="BR1" s="1" t="s">
        <v>774</v>
      </c>
      <c r="BT1" s="3" t="s">
        <v>744</v>
      </c>
      <c r="BU1" s="3" t="s">
        <v>742</v>
      </c>
      <c r="BV1" s="3" t="s">
        <v>743</v>
      </c>
    </row>
    <row r="2" spans="1:84" s="12" customFormat="1" ht="18" customHeight="1">
      <c r="A2" s="2" t="s">
        <v>3</v>
      </c>
      <c r="B2" s="2" t="s">
        <v>246</v>
      </c>
      <c r="C2" s="2" t="s">
        <v>454</v>
      </c>
      <c r="D2" s="2" t="s">
        <v>4</v>
      </c>
      <c r="E2" s="2" t="s">
        <v>5</v>
      </c>
      <c r="F2" s="2" t="s">
        <v>247</v>
      </c>
      <c r="G2" s="2" t="s">
        <v>248</v>
      </c>
      <c r="H2" s="2" t="s">
        <v>485</v>
      </c>
      <c r="I2" s="2" t="s">
        <v>249</v>
      </c>
      <c r="J2" s="2" t="s">
        <v>7</v>
      </c>
      <c r="K2" s="2" t="s">
        <v>250</v>
      </c>
      <c r="L2" s="2" t="s">
        <v>8</v>
      </c>
      <c r="M2" s="2" t="s">
        <v>251</v>
      </c>
      <c r="N2" s="2" t="s">
        <v>9</v>
      </c>
      <c r="O2" s="2" t="s">
        <v>329</v>
      </c>
      <c r="P2" s="2" t="s">
        <v>252</v>
      </c>
      <c r="Q2" s="2" t="s">
        <v>1138</v>
      </c>
      <c r="R2" s="2" t="s">
        <v>10</v>
      </c>
      <c r="S2" s="2" t="s">
        <v>253</v>
      </c>
      <c r="T2" s="2" t="s">
        <v>11</v>
      </c>
      <c r="U2" s="11" t="s">
        <v>254</v>
      </c>
      <c r="V2" s="11" t="s">
        <v>255</v>
      </c>
      <c r="W2" s="2" t="s">
        <v>778</v>
      </c>
      <c r="X2" s="2" t="s">
        <v>6</v>
      </c>
      <c r="Y2" s="11" t="s">
        <v>12</v>
      </c>
      <c r="Z2" s="11" t="s">
        <v>777</v>
      </c>
      <c r="AA2" s="96" t="s">
        <v>15</v>
      </c>
      <c r="AB2" s="96" t="s">
        <v>257</v>
      </c>
      <c r="AC2" s="109" t="s">
        <v>14</v>
      </c>
      <c r="AD2" s="109" t="s">
        <v>13</v>
      </c>
      <c r="AE2" s="109" t="s">
        <v>258</v>
      </c>
      <c r="AF2" s="109" t="s">
        <v>259</v>
      </c>
      <c r="AG2" s="11" t="s">
        <v>16</v>
      </c>
      <c r="AH2" s="11" t="s">
        <v>17</v>
      </c>
      <c r="AI2" s="11" t="s">
        <v>24</v>
      </c>
      <c r="AJ2" s="11" t="s">
        <v>25</v>
      </c>
      <c r="AK2" s="11" t="s">
        <v>260</v>
      </c>
      <c r="AL2" s="11" t="s">
        <v>261</v>
      </c>
      <c r="AM2" s="11" t="s">
        <v>849</v>
      </c>
      <c r="AN2" s="96" t="s">
        <v>263</v>
      </c>
      <c r="AO2" s="96" t="s">
        <v>264</v>
      </c>
      <c r="AP2" s="11" t="s">
        <v>262</v>
      </c>
      <c r="AQ2" s="11" t="s">
        <v>265</v>
      </c>
      <c r="AR2" s="11" t="s">
        <v>266</v>
      </c>
      <c r="AS2" s="11" t="s">
        <v>267</v>
      </c>
      <c r="AT2" s="11" t="s">
        <v>268</v>
      </c>
      <c r="AU2" s="11" t="s">
        <v>269</v>
      </c>
      <c r="AV2" s="11" t="s">
        <v>270</v>
      </c>
      <c r="AW2" s="11" t="s">
        <v>271</v>
      </c>
      <c r="AX2" s="109" t="s">
        <v>272</v>
      </c>
      <c r="AY2" s="11" t="s">
        <v>273</v>
      </c>
      <c r="AZ2" s="32" t="s">
        <v>274</v>
      </c>
      <c r="BA2" s="11" t="s">
        <v>275</v>
      </c>
      <c r="BB2" s="11" t="s">
        <v>276</v>
      </c>
      <c r="BC2" s="32" t="s">
        <v>277</v>
      </c>
      <c r="BD2" s="11" t="s">
        <v>278</v>
      </c>
      <c r="BE2" s="32" t="s">
        <v>279</v>
      </c>
      <c r="BF2" s="11" t="s">
        <v>281</v>
      </c>
      <c r="BG2" s="96" t="s">
        <v>280</v>
      </c>
      <c r="BH2" s="96" t="s">
        <v>282</v>
      </c>
      <c r="BI2" s="11" t="s">
        <v>283</v>
      </c>
      <c r="BJ2" s="11" t="s">
        <v>284</v>
      </c>
      <c r="BK2" s="26" t="s">
        <v>105</v>
      </c>
      <c r="BL2" s="27" t="s">
        <v>285</v>
      </c>
      <c r="BM2" s="27" t="s">
        <v>286</v>
      </c>
      <c r="BN2" s="28" t="s">
        <v>456</v>
      </c>
      <c r="BO2" s="30" t="s">
        <v>457</v>
      </c>
      <c r="BP2" s="27" t="s">
        <v>857</v>
      </c>
      <c r="BQ2" s="2" t="s">
        <v>771</v>
      </c>
      <c r="BR2" s="2" t="s">
        <v>772</v>
      </c>
    </row>
    <row r="3" spans="1:84" s="12" customFormat="1">
      <c r="A3" s="2" t="s">
        <v>18</v>
      </c>
      <c r="B3" s="2" t="s">
        <v>18</v>
      </c>
      <c r="C3" s="2" t="s">
        <v>18</v>
      </c>
      <c r="D3" s="2" t="s">
        <v>19</v>
      </c>
      <c r="E3" s="2" t="s">
        <v>19</v>
      </c>
      <c r="F3" s="2" t="s">
        <v>19</v>
      </c>
      <c r="G3" s="2" t="s">
        <v>18</v>
      </c>
      <c r="H3" s="2" t="s">
        <v>18</v>
      </c>
      <c r="I3" s="2" t="s">
        <v>19</v>
      </c>
      <c r="J3" s="2" t="s">
        <v>18</v>
      </c>
      <c r="K3" s="2" t="s">
        <v>19</v>
      </c>
      <c r="L3" s="2" t="s">
        <v>18</v>
      </c>
      <c r="M3" s="2" t="s">
        <v>18</v>
      </c>
      <c r="N3" s="2" t="s">
        <v>18</v>
      </c>
      <c r="O3" s="2" t="s">
        <v>18</v>
      </c>
      <c r="P3" s="2" t="s">
        <v>18</v>
      </c>
      <c r="Q3" s="2" t="s">
        <v>1139</v>
      </c>
      <c r="R3" s="2" t="s">
        <v>18</v>
      </c>
      <c r="S3" s="2" t="s">
        <v>18</v>
      </c>
      <c r="T3" s="2" t="s">
        <v>18</v>
      </c>
      <c r="U3" s="11" t="s">
        <v>19</v>
      </c>
      <c r="V3" s="11" t="s">
        <v>19</v>
      </c>
      <c r="W3" s="2" t="s">
        <v>19</v>
      </c>
      <c r="X3" s="2" t="s">
        <v>19</v>
      </c>
      <c r="Y3" s="11" t="s">
        <v>20</v>
      </c>
      <c r="Z3" s="11" t="s">
        <v>20</v>
      </c>
      <c r="AA3" s="96" t="s">
        <v>19</v>
      </c>
      <c r="AB3" s="96" t="s">
        <v>19</v>
      </c>
      <c r="AC3" s="109" t="s">
        <v>19</v>
      </c>
      <c r="AD3" s="109" t="s">
        <v>19</v>
      </c>
      <c r="AE3" s="109" t="s">
        <v>19</v>
      </c>
      <c r="AF3" s="109" t="s">
        <v>19</v>
      </c>
      <c r="AG3" s="11" t="s">
        <v>331</v>
      </c>
      <c r="AH3" s="11" t="s">
        <v>20</v>
      </c>
      <c r="AI3" s="11" t="s">
        <v>20</v>
      </c>
      <c r="AJ3" s="11" t="s">
        <v>20</v>
      </c>
      <c r="AK3" s="11" t="s">
        <v>20</v>
      </c>
      <c r="AL3" s="11" t="s">
        <v>20</v>
      </c>
      <c r="AM3" s="11" t="s">
        <v>847</v>
      </c>
      <c r="AN3" s="96" t="s">
        <v>332</v>
      </c>
      <c r="AO3" s="96" t="s">
        <v>333</v>
      </c>
      <c r="AP3" s="11" t="s">
        <v>332</v>
      </c>
      <c r="AQ3" s="11" t="s">
        <v>332</v>
      </c>
      <c r="AR3" s="11" t="s">
        <v>332</v>
      </c>
      <c r="AS3" s="11" t="s">
        <v>332</v>
      </c>
      <c r="AT3" s="11" t="s">
        <v>332</v>
      </c>
      <c r="AU3" s="11" t="s">
        <v>20</v>
      </c>
      <c r="AV3" s="11" t="s">
        <v>20</v>
      </c>
      <c r="AW3" s="11" t="s">
        <v>20</v>
      </c>
      <c r="AX3" s="109" t="s">
        <v>18</v>
      </c>
      <c r="AY3" s="11" t="s">
        <v>19</v>
      </c>
      <c r="AZ3" s="32" t="s">
        <v>18</v>
      </c>
      <c r="BA3" s="11" t="s">
        <v>18</v>
      </c>
      <c r="BB3" s="11" t="s">
        <v>19</v>
      </c>
      <c r="BC3" s="32" t="s">
        <v>18</v>
      </c>
      <c r="BD3" s="11" t="s">
        <v>18</v>
      </c>
      <c r="BE3" s="32" t="s">
        <v>18</v>
      </c>
      <c r="BF3" s="11" t="s">
        <v>19</v>
      </c>
      <c r="BG3" s="96" t="s">
        <v>19</v>
      </c>
      <c r="BH3" s="96" t="s">
        <v>19</v>
      </c>
      <c r="BI3" s="11" t="s">
        <v>18</v>
      </c>
      <c r="BJ3" s="11" t="s">
        <v>18</v>
      </c>
      <c r="BK3" s="27" t="s">
        <v>19</v>
      </c>
      <c r="BL3" s="27" t="s">
        <v>19</v>
      </c>
      <c r="BM3" s="27" t="s">
        <v>20</v>
      </c>
      <c r="BN3" s="28" t="s">
        <v>455</v>
      </c>
      <c r="BO3" s="30" t="s">
        <v>455</v>
      </c>
      <c r="BP3" s="27" t="s">
        <v>455</v>
      </c>
      <c r="BQ3" s="2" t="s">
        <v>773</v>
      </c>
      <c r="BR3" s="2" t="s">
        <v>773</v>
      </c>
    </row>
    <row r="4" spans="1:84" s="62" customFormat="1">
      <c r="A4" s="33" t="s">
        <v>287</v>
      </c>
      <c r="B4" s="33" t="s">
        <v>288</v>
      </c>
      <c r="C4" s="33" t="s">
        <v>493</v>
      </c>
      <c r="D4" s="33">
        <v>1</v>
      </c>
      <c r="E4" s="33">
        <v>6</v>
      </c>
      <c r="F4" s="33">
        <v>5</v>
      </c>
      <c r="G4" s="33">
        <v>2</v>
      </c>
      <c r="H4" s="33" t="s">
        <v>1121</v>
      </c>
      <c r="I4" s="33">
        <v>150</v>
      </c>
      <c r="J4" s="33" t="s">
        <v>289</v>
      </c>
      <c r="K4" s="33">
        <v>10</v>
      </c>
      <c r="L4" s="33" t="s">
        <v>21</v>
      </c>
      <c r="M4" s="33" t="s">
        <v>779</v>
      </c>
      <c r="N4" s="33" t="s">
        <v>290</v>
      </c>
      <c r="O4" s="33" t="s">
        <v>80</v>
      </c>
      <c r="P4" s="33" t="s">
        <v>356</v>
      </c>
      <c r="Q4" s="33">
        <v>1</v>
      </c>
      <c r="R4" s="33" t="s">
        <v>21</v>
      </c>
      <c r="S4" s="33" t="s">
        <v>21</v>
      </c>
      <c r="T4" s="33" t="s">
        <v>21</v>
      </c>
      <c r="U4" s="33">
        <v>4</v>
      </c>
      <c r="V4" s="33">
        <v>13</v>
      </c>
      <c r="W4" s="33">
        <f>VLOOKUP(F4,Sheet3!$B$33:$E$37,3,0)</f>
        <v>12</v>
      </c>
      <c r="X4" s="33">
        <f>VLOOKUP(F4,Sheet3!$B$33:$E$37,2,0)</f>
        <v>15</v>
      </c>
      <c r="Y4" s="33">
        <f>VLOOKUP(F4,Sheet3!$B$33:$E$37,4,0)</f>
        <v>8</v>
      </c>
      <c r="Z4" s="33">
        <v>0.8</v>
      </c>
      <c r="AA4" s="97">
        <v>0</v>
      </c>
      <c r="AB4" s="97">
        <v>0</v>
      </c>
      <c r="AC4" s="35">
        <v>7500</v>
      </c>
      <c r="AD4" s="35">
        <v>300</v>
      </c>
      <c r="AE4" s="35">
        <v>150</v>
      </c>
      <c r="AF4" s="35">
        <v>150</v>
      </c>
      <c r="AG4" s="33">
        <v>1</v>
      </c>
      <c r="AH4" s="33">
        <v>0</v>
      </c>
      <c r="AI4" s="33">
        <v>0</v>
      </c>
      <c r="AJ4" s="33">
        <v>0</v>
      </c>
      <c r="AK4" s="33">
        <v>0</v>
      </c>
      <c r="AL4" s="33">
        <v>0</v>
      </c>
      <c r="AM4" s="33">
        <v>1</v>
      </c>
      <c r="AN4" s="97">
        <v>0</v>
      </c>
      <c r="AO4" s="97">
        <v>0</v>
      </c>
      <c r="AP4" s="35">
        <v>625</v>
      </c>
      <c r="AQ4" s="35">
        <v>25</v>
      </c>
      <c r="AR4" s="35">
        <v>13</v>
      </c>
      <c r="AS4" s="35">
        <v>13</v>
      </c>
      <c r="AT4" s="33">
        <v>0</v>
      </c>
      <c r="AU4" s="33">
        <v>0</v>
      </c>
      <c r="AV4" s="33">
        <v>0</v>
      </c>
      <c r="AW4" s="33">
        <v>0</v>
      </c>
      <c r="AX4" s="35" t="s">
        <v>1094</v>
      </c>
      <c r="AY4" s="33">
        <v>10</v>
      </c>
      <c r="AZ4" s="34" t="s">
        <v>922</v>
      </c>
      <c r="BA4" s="33" t="s">
        <v>223</v>
      </c>
      <c r="BB4" s="33">
        <v>50</v>
      </c>
      <c r="BC4" s="107" t="s">
        <v>21</v>
      </c>
      <c r="BD4" s="61" t="s">
        <v>1036</v>
      </c>
      <c r="BE4" s="34" t="s">
        <v>1037</v>
      </c>
      <c r="BF4" s="33" t="s">
        <v>81</v>
      </c>
      <c r="BG4" s="97" t="s">
        <v>81</v>
      </c>
      <c r="BH4" s="97" t="s">
        <v>81</v>
      </c>
      <c r="BI4" s="33" t="s">
        <v>21</v>
      </c>
      <c r="BJ4" s="33" t="s">
        <v>21</v>
      </c>
      <c r="BK4" s="33">
        <v>0</v>
      </c>
      <c r="BL4" s="33">
        <f>VLOOKUP(F4,Sheet3!$B$33:$F$37,5,0)</f>
        <v>1000</v>
      </c>
      <c r="BM4" s="33">
        <v>0</v>
      </c>
      <c r="BN4" s="67">
        <v>100</v>
      </c>
      <c r="BO4" s="90">
        <v>1001</v>
      </c>
      <c r="BP4" s="68">
        <v>1001</v>
      </c>
      <c r="BQ4" s="33" t="s">
        <v>811</v>
      </c>
      <c r="BR4" s="33" t="s">
        <v>811</v>
      </c>
      <c r="BS4" s="68" t="e">
        <f>INT(MID(VLOOKUP($BO4,[1]Sheet1!$A:$C,3,0),9,5))</f>
        <v>#VALUE!</v>
      </c>
      <c r="BT4" s="68" t="str">
        <f>LEFT($P4,FIND("_",$P4)-1)</f>
        <v>nvzhujue</v>
      </c>
      <c r="BU4" s="68" t="e">
        <f>MID(VLOOKUP($BS4,[2]Sheet1!$A:$C,3,0),3,IF(ISERROR(FIND(",",VLOOKUP($BS4,[2]Sheet1!$A:$C,3,0))),LEN(VLOOKUP($BS4,[2]Sheet1!$A:$C,3,0))-4,FIND(",",VLOOKUP($BS4,[2]Sheet1!$A:$C,3,0))-4))</f>
        <v>#VALUE!</v>
      </c>
      <c r="BV4" s="68" t="str">
        <f>IF(ISERROR(MID(VLOOKUP($BS4,[2]Sheet1!$A:$D,4,0),3,IF(ISERROR(FIND(",",VLOOKUP($BS4,[2]Sheet1!$A:$D,4,0))),LEN(VLOOKUP($BS4,[2]Sheet1!$A:$D,4,0))-4,FIND(",",VLOOKUP($BS4,[2]Sheet1!$A:$D,4,0))-4))),"[]",MID(VLOOKUP($BS4,[2]Sheet1!$A:$D,4,0),3,IF(ISERROR(FIND(",",VLOOKUP($BS4,[2]Sheet1!$A:$D,4,0))),LEN(VLOOKUP($BS4,[2]Sheet1!$A:$D,4,0))-4,FIND(",",VLOOKUP($BS4,[2]Sheet1!$A:$D,4,0))-4)))</f>
        <v>[]</v>
      </c>
      <c r="BW4" s="68" t="str">
        <f>$G4&amp;"-"&amp;$V4</f>
        <v>2-13</v>
      </c>
    </row>
    <row r="5" spans="1:84" s="62" customFormat="1">
      <c r="A5" s="33" t="s">
        <v>291</v>
      </c>
      <c r="B5" s="33" t="s">
        <v>292</v>
      </c>
      <c r="C5" s="33" t="s">
        <v>494</v>
      </c>
      <c r="D5" s="33">
        <v>1</v>
      </c>
      <c r="E5" s="33">
        <v>6</v>
      </c>
      <c r="F5" s="33">
        <v>5</v>
      </c>
      <c r="G5" s="33">
        <v>2</v>
      </c>
      <c r="H5" s="33" t="s">
        <v>1120</v>
      </c>
      <c r="I5" s="33">
        <v>150</v>
      </c>
      <c r="J5" s="33" t="s">
        <v>83</v>
      </c>
      <c r="K5" s="33">
        <v>10</v>
      </c>
      <c r="L5" s="33" t="s">
        <v>21</v>
      </c>
      <c r="M5" s="33" t="s">
        <v>779</v>
      </c>
      <c r="N5" s="33" t="s">
        <v>293</v>
      </c>
      <c r="O5" s="33" t="s">
        <v>80</v>
      </c>
      <c r="P5" s="33" t="s">
        <v>357</v>
      </c>
      <c r="Q5" s="33">
        <v>0.9</v>
      </c>
      <c r="R5" s="33" t="s">
        <v>21</v>
      </c>
      <c r="S5" s="33" t="s">
        <v>21</v>
      </c>
      <c r="T5" s="33" t="s">
        <v>21</v>
      </c>
      <c r="U5" s="33">
        <v>4</v>
      </c>
      <c r="V5" s="33">
        <v>13</v>
      </c>
      <c r="W5" s="33">
        <f>VLOOKUP(F5,Sheet3!$B$33:$E$37,3,0)</f>
        <v>12</v>
      </c>
      <c r="X5" s="33">
        <f>VLOOKUP(F5,Sheet3!$B$33:$E$37,2,0)</f>
        <v>15</v>
      </c>
      <c r="Y5" s="33">
        <f>VLOOKUP(F5,Sheet3!$B$33:$E$37,4,0)</f>
        <v>8</v>
      </c>
      <c r="Z5" s="33">
        <v>0.8</v>
      </c>
      <c r="AA5" s="97">
        <v>0</v>
      </c>
      <c r="AB5" s="97">
        <v>0</v>
      </c>
      <c r="AC5" s="35">
        <v>7500</v>
      </c>
      <c r="AD5" s="35">
        <v>300</v>
      </c>
      <c r="AE5" s="35">
        <v>150</v>
      </c>
      <c r="AF5" s="35">
        <v>150</v>
      </c>
      <c r="AG5" s="33">
        <v>1</v>
      </c>
      <c r="AH5" s="33">
        <v>0</v>
      </c>
      <c r="AI5" s="33">
        <v>0</v>
      </c>
      <c r="AJ5" s="33">
        <v>0</v>
      </c>
      <c r="AK5" s="33">
        <v>0</v>
      </c>
      <c r="AL5" s="33">
        <v>0</v>
      </c>
      <c r="AM5" s="33">
        <v>1</v>
      </c>
      <c r="AN5" s="97">
        <v>0</v>
      </c>
      <c r="AO5" s="97">
        <v>0</v>
      </c>
      <c r="AP5" s="35">
        <v>625</v>
      </c>
      <c r="AQ5" s="35">
        <v>25</v>
      </c>
      <c r="AR5" s="35">
        <v>13</v>
      </c>
      <c r="AS5" s="35">
        <v>13</v>
      </c>
      <c r="AT5" s="33">
        <v>0</v>
      </c>
      <c r="AU5" s="33">
        <v>0</v>
      </c>
      <c r="AV5" s="33">
        <v>0</v>
      </c>
      <c r="AW5" s="33">
        <v>0</v>
      </c>
      <c r="AX5" s="35" t="s">
        <v>1094</v>
      </c>
      <c r="AY5" s="33">
        <v>10</v>
      </c>
      <c r="AZ5" s="34" t="s">
        <v>922</v>
      </c>
      <c r="BA5" s="33" t="s">
        <v>223</v>
      </c>
      <c r="BB5" s="33">
        <v>50</v>
      </c>
      <c r="BC5" s="107" t="s">
        <v>21</v>
      </c>
      <c r="BD5" s="61" t="s">
        <v>1036</v>
      </c>
      <c r="BE5" s="34" t="s">
        <v>1037</v>
      </c>
      <c r="BF5" s="33" t="s">
        <v>81</v>
      </c>
      <c r="BG5" s="97">
        <v>0</v>
      </c>
      <c r="BH5" s="97" t="s">
        <v>81</v>
      </c>
      <c r="BI5" s="33" t="s">
        <v>21</v>
      </c>
      <c r="BJ5" s="33" t="s">
        <v>21</v>
      </c>
      <c r="BK5" s="33">
        <v>0</v>
      </c>
      <c r="BL5" s="33">
        <f>VLOOKUP(F5,Sheet3!$B$33:$F$37,5,0)</f>
        <v>1000</v>
      </c>
      <c r="BM5" s="33">
        <v>0</v>
      </c>
      <c r="BN5" s="67">
        <v>100</v>
      </c>
      <c r="BO5" s="90">
        <v>1002</v>
      </c>
      <c r="BP5" s="68">
        <v>1002</v>
      </c>
      <c r="BQ5" s="33" t="s">
        <v>807</v>
      </c>
      <c r="BR5" s="33" t="s">
        <v>807</v>
      </c>
      <c r="BS5" s="68" t="e">
        <f>INT(MID(VLOOKUP($BO5,[1]Sheet1!$A:$C,3,0),9,5))</f>
        <v>#VALUE!</v>
      </c>
      <c r="BT5" s="68" t="str">
        <f t="shared" ref="BT5:BT70" si="0">LEFT($P5,FIND("_",$P5)-1)</f>
        <v>nanzhujue</v>
      </c>
      <c r="BU5" s="68" t="e">
        <f>MID(VLOOKUP($BS5,[2]Sheet1!$A:$C,3,0),3,IF(ISERROR(FIND(",",VLOOKUP($BS5,[2]Sheet1!$A:$C,3,0))),LEN(VLOOKUP($BS5,[2]Sheet1!$A:$C,3,0))-4,FIND(",",VLOOKUP($BS5,[2]Sheet1!$A:$C,3,0))-4))</f>
        <v>#VALUE!</v>
      </c>
      <c r="BV5" s="68" t="str">
        <f>IF(ISERROR(MID(VLOOKUP($BS5,[2]Sheet1!$A:$D,4,0),3,IF(ISERROR(FIND(",",VLOOKUP($BS5,[2]Sheet1!$A:$D,4,0))),LEN(VLOOKUP($BS5,[2]Sheet1!$A:$D,4,0))-4,FIND(",",VLOOKUP($BS5,[2]Sheet1!$A:$D,4,0))-4))),"[]",MID(VLOOKUP($BS5,[2]Sheet1!$A:$D,4,0),3,IF(ISERROR(FIND(",",VLOOKUP($BS5,[2]Sheet1!$A:$D,4,0))),LEN(VLOOKUP($BS5,[2]Sheet1!$A:$D,4,0))-4,FIND(",",VLOOKUP($BS5,[2]Sheet1!$A:$D,4,0))-4)))</f>
        <v>[]</v>
      </c>
      <c r="BW5" s="68" t="str">
        <f t="shared" ref="BW5:BW68" si="1">$G5&amp;"-"&amp;$V5</f>
        <v>2-13</v>
      </c>
    </row>
    <row r="6" spans="1:84" s="63" customFormat="1">
      <c r="A6" s="33">
        <v>1102</v>
      </c>
      <c r="B6" s="33" t="s">
        <v>33</v>
      </c>
      <c r="C6" s="33" t="s">
        <v>496</v>
      </c>
      <c r="D6" s="33">
        <v>1</v>
      </c>
      <c r="E6" s="33">
        <v>1</v>
      </c>
      <c r="F6" s="33">
        <v>3</v>
      </c>
      <c r="G6" s="33">
        <v>3</v>
      </c>
      <c r="H6" s="33" t="s">
        <v>1122</v>
      </c>
      <c r="I6" s="33">
        <v>150</v>
      </c>
      <c r="J6" s="33" t="s">
        <v>106</v>
      </c>
      <c r="K6" s="33">
        <v>10</v>
      </c>
      <c r="L6" s="33" t="s">
        <v>85</v>
      </c>
      <c r="M6" s="33" t="s">
        <v>779</v>
      </c>
      <c r="N6" s="33" t="s">
        <v>107</v>
      </c>
      <c r="O6" s="33" t="s">
        <v>40</v>
      </c>
      <c r="P6" s="33" t="s">
        <v>359</v>
      </c>
      <c r="Q6" s="33">
        <v>1</v>
      </c>
      <c r="R6" s="33" t="s">
        <v>21</v>
      </c>
      <c r="S6" s="33" t="s">
        <v>21</v>
      </c>
      <c r="T6" s="33" t="s">
        <v>21</v>
      </c>
      <c r="U6" s="33">
        <v>5</v>
      </c>
      <c r="V6" s="33">
        <v>16</v>
      </c>
      <c r="W6" s="33">
        <f>VLOOKUP(F6,Sheet3!$B$33:$E$37,3,0)</f>
        <v>5</v>
      </c>
      <c r="X6" s="33">
        <f>VLOOKUP(F6,Sheet3!$B$33:$E$37,2,0)</f>
        <v>15</v>
      </c>
      <c r="Y6" s="33">
        <f>VLOOKUP(F6,Sheet3!$B$33:$E$37,4,0)</f>
        <v>8</v>
      </c>
      <c r="Z6" s="33">
        <v>1.25</v>
      </c>
      <c r="AA6" s="97">
        <v>0</v>
      </c>
      <c r="AB6" s="97">
        <v>0</v>
      </c>
      <c r="AC6" s="35">
        <v>12500</v>
      </c>
      <c r="AD6" s="35">
        <v>500</v>
      </c>
      <c r="AE6" s="35">
        <v>250</v>
      </c>
      <c r="AF6" s="35">
        <v>250</v>
      </c>
      <c r="AG6" s="33">
        <v>1</v>
      </c>
      <c r="AH6" s="33">
        <v>0</v>
      </c>
      <c r="AI6" s="33">
        <v>0</v>
      </c>
      <c r="AJ6" s="33">
        <v>0</v>
      </c>
      <c r="AK6" s="33">
        <v>0</v>
      </c>
      <c r="AL6" s="33">
        <v>0</v>
      </c>
      <c r="AM6" s="33">
        <v>1</v>
      </c>
      <c r="AN6" s="97">
        <v>0</v>
      </c>
      <c r="AO6" s="97">
        <v>0</v>
      </c>
      <c r="AP6" s="35">
        <v>750</v>
      </c>
      <c r="AQ6" s="35">
        <v>30</v>
      </c>
      <c r="AR6" s="35">
        <v>15</v>
      </c>
      <c r="AS6" s="35">
        <v>15</v>
      </c>
      <c r="AT6" s="33">
        <v>0</v>
      </c>
      <c r="AU6" s="33">
        <v>0</v>
      </c>
      <c r="AV6" s="33">
        <v>0</v>
      </c>
      <c r="AW6" s="33">
        <v>0</v>
      </c>
      <c r="AX6" s="35" t="s">
        <v>1095</v>
      </c>
      <c r="AY6" s="33">
        <v>10</v>
      </c>
      <c r="AZ6" s="34" t="s">
        <v>881</v>
      </c>
      <c r="BA6" s="33" t="s">
        <v>221</v>
      </c>
      <c r="BB6" s="33">
        <v>50</v>
      </c>
      <c r="BC6" s="107" t="s">
        <v>1040</v>
      </c>
      <c r="BD6" s="35" t="s">
        <v>21</v>
      </c>
      <c r="BE6" s="94" t="s">
        <v>1003</v>
      </c>
      <c r="BF6" s="33">
        <v>2000</v>
      </c>
      <c r="BG6" s="97">
        <v>20000</v>
      </c>
      <c r="BH6" s="97">
        <v>4000</v>
      </c>
      <c r="BI6" s="33">
        <v>10002</v>
      </c>
      <c r="BJ6" s="33" t="s">
        <v>21</v>
      </c>
      <c r="BK6" s="33">
        <v>0</v>
      </c>
      <c r="BL6" s="33">
        <f>VLOOKUP(F6,Sheet3!$B$33:$F$37,5,0)</f>
        <v>50000</v>
      </c>
      <c r="BM6" s="33">
        <v>1.5</v>
      </c>
      <c r="BN6" s="76">
        <v>101</v>
      </c>
      <c r="BO6" s="90">
        <f t="shared" ref="BO6:BO46" si="2">A6</f>
        <v>1102</v>
      </c>
      <c r="BP6" s="68">
        <v>1102</v>
      </c>
      <c r="BQ6" s="33" t="s">
        <v>808</v>
      </c>
      <c r="BR6" s="33" t="s">
        <v>317</v>
      </c>
      <c r="BS6" s="77" t="e">
        <f>INT(MID(VLOOKUP($BO6,[1]Sheet1!$A:$C,3,0),9,5))</f>
        <v>#VALUE!</v>
      </c>
      <c r="BT6" s="77" t="str">
        <f t="shared" si="0"/>
        <v>nezha</v>
      </c>
      <c r="BU6" s="77" t="e">
        <f>MID(VLOOKUP($BS6,[2]Sheet1!$A:$C,3,0),3,IF(ISERROR(FIND(",",VLOOKUP($BS6,[2]Sheet1!$A:$C,3,0))),LEN(VLOOKUP($BS6,[2]Sheet1!$A:$C,3,0))-4,FIND(",",VLOOKUP($BS6,[2]Sheet1!$A:$C,3,0))-4))</f>
        <v>#VALUE!</v>
      </c>
      <c r="BV6" s="77" t="str">
        <f>IF(ISERROR(MID(VLOOKUP($BS6,[2]Sheet1!$A:$D,4,0),3,IF(ISERROR(FIND(",",VLOOKUP($BS6,[2]Sheet1!$A:$D,4,0))),LEN(VLOOKUP($BS6,[2]Sheet1!$A:$D,4,0))-4,FIND(",",VLOOKUP($BS6,[2]Sheet1!$A:$D,4,0))-4))),"[]",MID(VLOOKUP($BS6,[2]Sheet1!$A:$D,4,0),3,IF(ISERROR(FIND(",",VLOOKUP($BS6,[2]Sheet1!$A:$D,4,0))),LEN(VLOOKUP($BS6,[2]Sheet1!$A:$D,4,0))-4,FIND(",",VLOOKUP($BS6,[2]Sheet1!$A:$D,4,0))-4)))</f>
        <v>[]</v>
      </c>
      <c r="BW6" s="77" t="str">
        <f t="shared" si="1"/>
        <v>3-16</v>
      </c>
    </row>
    <row r="7" spans="1:84" s="62" customFormat="1">
      <c r="A7" s="33">
        <v>1211</v>
      </c>
      <c r="B7" s="33" t="s">
        <v>321</v>
      </c>
      <c r="C7" s="33" t="s">
        <v>495</v>
      </c>
      <c r="D7" s="33">
        <v>1</v>
      </c>
      <c r="E7" s="33">
        <v>3</v>
      </c>
      <c r="F7" s="33">
        <v>3</v>
      </c>
      <c r="G7" s="33">
        <v>3</v>
      </c>
      <c r="H7" s="33" t="s">
        <v>1122</v>
      </c>
      <c r="I7" s="33">
        <v>150</v>
      </c>
      <c r="J7" s="33" t="s">
        <v>342</v>
      </c>
      <c r="K7" s="33">
        <v>10</v>
      </c>
      <c r="L7" s="33" t="s">
        <v>343</v>
      </c>
      <c r="M7" s="33" t="s">
        <v>779</v>
      </c>
      <c r="N7" s="33" t="s">
        <v>322</v>
      </c>
      <c r="O7" s="33" t="s">
        <v>40</v>
      </c>
      <c r="P7" s="33" t="s">
        <v>371</v>
      </c>
      <c r="Q7" s="33">
        <v>1</v>
      </c>
      <c r="R7" s="33" t="s">
        <v>21</v>
      </c>
      <c r="S7" s="33" t="s">
        <v>21</v>
      </c>
      <c r="T7" s="33" t="s">
        <v>21</v>
      </c>
      <c r="U7" s="33">
        <v>6</v>
      </c>
      <c r="V7" s="33">
        <v>20</v>
      </c>
      <c r="W7" s="33">
        <f>VLOOKUP(F7,Sheet3!$B$33:$E$37,3,0)</f>
        <v>5</v>
      </c>
      <c r="X7" s="33">
        <f>VLOOKUP(F7,Sheet3!$B$33:$E$37,2,0)</f>
        <v>15</v>
      </c>
      <c r="Y7" s="33">
        <f>VLOOKUP(F7,Sheet3!$B$33:$E$37,4,0)</f>
        <v>8</v>
      </c>
      <c r="Z7" s="33">
        <v>1.25</v>
      </c>
      <c r="AA7" s="97">
        <v>0</v>
      </c>
      <c r="AB7" s="97">
        <v>0</v>
      </c>
      <c r="AC7" s="35">
        <v>20000</v>
      </c>
      <c r="AD7" s="35">
        <v>800</v>
      </c>
      <c r="AE7" s="35">
        <v>400</v>
      </c>
      <c r="AF7" s="35">
        <v>400</v>
      </c>
      <c r="AG7" s="33">
        <v>1</v>
      </c>
      <c r="AH7" s="33">
        <v>0</v>
      </c>
      <c r="AI7" s="33">
        <v>0</v>
      </c>
      <c r="AJ7" s="33">
        <v>0</v>
      </c>
      <c r="AK7" s="33">
        <v>0</v>
      </c>
      <c r="AL7" s="33">
        <v>0</v>
      </c>
      <c r="AM7" s="33">
        <v>1</v>
      </c>
      <c r="AN7" s="97">
        <v>0</v>
      </c>
      <c r="AO7" s="97">
        <v>0</v>
      </c>
      <c r="AP7" s="35">
        <v>1500</v>
      </c>
      <c r="AQ7" s="35">
        <v>60</v>
      </c>
      <c r="AR7" s="35">
        <v>30</v>
      </c>
      <c r="AS7" s="35">
        <v>30</v>
      </c>
      <c r="AT7" s="33">
        <v>0</v>
      </c>
      <c r="AU7" s="33">
        <v>0</v>
      </c>
      <c r="AV7" s="33">
        <v>0</v>
      </c>
      <c r="AW7" s="33">
        <v>0</v>
      </c>
      <c r="AX7" s="35" t="s">
        <v>1096</v>
      </c>
      <c r="AY7" s="33">
        <v>10</v>
      </c>
      <c r="AZ7" s="34" t="s">
        <v>882</v>
      </c>
      <c r="BA7" s="33" t="s">
        <v>222</v>
      </c>
      <c r="BB7" s="33">
        <v>50</v>
      </c>
      <c r="BC7" s="107" t="s">
        <v>1041</v>
      </c>
      <c r="BD7" s="35" t="s">
        <v>21</v>
      </c>
      <c r="BE7" s="94" t="s">
        <v>1003</v>
      </c>
      <c r="BF7" s="33">
        <v>3000</v>
      </c>
      <c r="BG7" s="97">
        <v>20000</v>
      </c>
      <c r="BH7" s="97">
        <v>4000</v>
      </c>
      <c r="BI7" s="33">
        <v>10111</v>
      </c>
      <c r="BJ7" s="33" t="s">
        <v>21</v>
      </c>
      <c r="BK7" s="33">
        <v>0</v>
      </c>
      <c r="BL7" s="33">
        <f>VLOOKUP(F7,Sheet3!$B$33:$F$37,5,0)</f>
        <v>50000</v>
      </c>
      <c r="BM7" s="33">
        <v>1.5</v>
      </c>
      <c r="BN7" s="67">
        <v>102</v>
      </c>
      <c r="BO7" s="90">
        <f t="shared" si="2"/>
        <v>1211</v>
      </c>
      <c r="BP7" s="68">
        <v>1211</v>
      </c>
      <c r="BQ7" s="33" t="s">
        <v>789</v>
      </c>
      <c r="BR7" s="33" t="s">
        <v>21</v>
      </c>
      <c r="BS7" s="68" t="e">
        <f>INT(MID(VLOOKUP($BO7,[1]Sheet1!$A:$C,3,0),9,5))</f>
        <v>#VALUE!</v>
      </c>
      <c r="BT7" s="68" t="str">
        <f t="shared" si="0"/>
        <v>douzhanshengfo</v>
      </c>
      <c r="BU7" s="68" t="e">
        <f>MID(VLOOKUP($BS7,[2]Sheet1!$A:$C,3,0),3,IF(ISERROR(FIND(",",VLOOKUP($BS7,[2]Sheet1!$A:$C,3,0))),LEN(VLOOKUP($BS7,[2]Sheet1!$A:$C,3,0))-4,FIND(",",VLOOKUP($BS7,[2]Sheet1!$A:$C,3,0))-4))</f>
        <v>#VALUE!</v>
      </c>
      <c r="BV7" s="68" t="str">
        <f>IF(ISERROR(MID(VLOOKUP($BS7,[2]Sheet1!$A:$D,4,0),3,IF(ISERROR(FIND(",",VLOOKUP($BS7,[2]Sheet1!$A:$D,4,0))),LEN(VLOOKUP($BS7,[2]Sheet1!$A:$D,4,0))-4,FIND(",",VLOOKUP($BS7,[2]Sheet1!$A:$D,4,0))-4))),"[]",MID(VLOOKUP($BS7,[2]Sheet1!$A:$D,4,0),3,IF(ISERROR(FIND(",",VLOOKUP($BS7,[2]Sheet1!$A:$D,4,0))),LEN(VLOOKUP($BS7,[2]Sheet1!$A:$D,4,0))-4,FIND(",",VLOOKUP($BS7,[2]Sheet1!$A:$D,4,0))-4)))</f>
        <v>[]</v>
      </c>
      <c r="BW7" s="68" t="str">
        <f t="shared" si="1"/>
        <v>3-20</v>
      </c>
    </row>
    <row r="8" spans="1:84" s="63" customFormat="1">
      <c r="A8" s="33">
        <v>1101</v>
      </c>
      <c r="B8" s="33" t="s">
        <v>41</v>
      </c>
      <c r="C8" s="33" t="s">
        <v>1110</v>
      </c>
      <c r="D8" s="33">
        <v>1</v>
      </c>
      <c r="E8" s="33">
        <v>1</v>
      </c>
      <c r="F8" s="33">
        <v>3</v>
      </c>
      <c r="G8" s="33">
        <v>3</v>
      </c>
      <c r="H8" s="33" t="s">
        <v>1122</v>
      </c>
      <c r="I8" s="33">
        <v>150</v>
      </c>
      <c r="J8" s="33" t="s">
        <v>173</v>
      </c>
      <c r="K8" s="33">
        <v>10</v>
      </c>
      <c r="L8" s="33" t="s">
        <v>294</v>
      </c>
      <c r="M8" s="33" t="s">
        <v>779</v>
      </c>
      <c r="N8" s="33" t="s">
        <v>42</v>
      </c>
      <c r="O8" s="33" t="s">
        <v>40</v>
      </c>
      <c r="P8" s="33" t="s">
        <v>358</v>
      </c>
      <c r="Q8" s="33">
        <v>1</v>
      </c>
      <c r="R8" s="33" t="s">
        <v>21</v>
      </c>
      <c r="S8" s="33" t="s">
        <v>21</v>
      </c>
      <c r="T8" s="33" t="s">
        <v>21</v>
      </c>
      <c r="U8" s="33">
        <v>6</v>
      </c>
      <c r="V8" s="33">
        <v>20</v>
      </c>
      <c r="W8" s="33">
        <f>VLOOKUP(F8,Sheet3!$B$33:$E$37,3,0)</f>
        <v>5</v>
      </c>
      <c r="X8" s="33">
        <f>VLOOKUP(F8,Sheet3!$B$33:$E$37,2,0)</f>
        <v>15</v>
      </c>
      <c r="Y8" s="33">
        <f>VLOOKUP(F8,Sheet3!$B$33:$E$37,4,0)</f>
        <v>8</v>
      </c>
      <c r="Z8" s="33">
        <v>1</v>
      </c>
      <c r="AA8" s="97">
        <v>0</v>
      </c>
      <c r="AB8" s="97">
        <v>0</v>
      </c>
      <c r="AC8" s="35">
        <v>20000</v>
      </c>
      <c r="AD8" s="35">
        <v>800</v>
      </c>
      <c r="AE8" s="35">
        <v>400</v>
      </c>
      <c r="AF8" s="35">
        <v>400</v>
      </c>
      <c r="AG8" s="33">
        <v>1</v>
      </c>
      <c r="AH8" s="33">
        <v>0</v>
      </c>
      <c r="AI8" s="33">
        <v>0</v>
      </c>
      <c r="AJ8" s="33">
        <v>0</v>
      </c>
      <c r="AK8" s="33">
        <v>0</v>
      </c>
      <c r="AL8" s="33">
        <v>0</v>
      </c>
      <c r="AM8" s="33">
        <v>1</v>
      </c>
      <c r="AN8" s="97">
        <v>0</v>
      </c>
      <c r="AO8" s="97">
        <v>0</v>
      </c>
      <c r="AP8" s="35">
        <v>1500</v>
      </c>
      <c r="AQ8" s="35">
        <v>60</v>
      </c>
      <c r="AR8" s="35">
        <v>30</v>
      </c>
      <c r="AS8" s="35">
        <v>30</v>
      </c>
      <c r="AT8" s="33">
        <v>0</v>
      </c>
      <c r="AU8" s="33">
        <v>0</v>
      </c>
      <c r="AV8" s="33">
        <v>0</v>
      </c>
      <c r="AW8" s="33">
        <v>0</v>
      </c>
      <c r="AX8" s="35" t="s">
        <v>1096</v>
      </c>
      <c r="AY8" s="33">
        <v>10</v>
      </c>
      <c r="AZ8" s="34" t="s">
        <v>883</v>
      </c>
      <c r="BA8" s="33" t="s">
        <v>221</v>
      </c>
      <c r="BB8" s="33">
        <v>50</v>
      </c>
      <c r="BC8" s="107" t="s">
        <v>1042</v>
      </c>
      <c r="BD8" s="35" t="s">
        <v>21</v>
      </c>
      <c r="BE8" s="94" t="s">
        <v>1003</v>
      </c>
      <c r="BF8" s="33">
        <v>3000</v>
      </c>
      <c r="BG8" s="97">
        <v>20000</v>
      </c>
      <c r="BH8" s="97">
        <v>4000</v>
      </c>
      <c r="BI8" s="33">
        <v>10001</v>
      </c>
      <c r="BJ8" s="33" t="s">
        <v>21</v>
      </c>
      <c r="BK8" s="33">
        <v>0</v>
      </c>
      <c r="BL8" s="33">
        <f>VLOOKUP(F8,Sheet3!$B$33:$F$37,5,0)</f>
        <v>50000</v>
      </c>
      <c r="BM8" s="33">
        <v>1.5</v>
      </c>
      <c r="BN8" s="76">
        <v>102</v>
      </c>
      <c r="BO8" s="90">
        <f t="shared" si="2"/>
        <v>1101</v>
      </c>
      <c r="BP8" s="68">
        <v>1101</v>
      </c>
      <c r="BQ8" s="33" t="s">
        <v>790</v>
      </c>
      <c r="BR8" s="33" t="s">
        <v>21</v>
      </c>
      <c r="BS8" s="77" t="e">
        <f>INT(MID(VLOOKUP($BO8,[1]Sheet1!$A:$C,3,0),9,5))</f>
        <v>#VALUE!</v>
      </c>
      <c r="BT8" s="77" t="str">
        <f t="shared" si="0"/>
        <v>erlangshen</v>
      </c>
      <c r="BU8" s="77" t="e">
        <f>MID(VLOOKUP($BS8,[2]Sheet1!$A:$C,3,0),3,IF(ISERROR(FIND(",",VLOOKUP($BS8,[2]Sheet1!$A:$C,3,0))),LEN(VLOOKUP($BS8,[2]Sheet1!$A:$C,3,0))-4,FIND(",",VLOOKUP($BS8,[2]Sheet1!$A:$C,3,0))-4))</f>
        <v>#VALUE!</v>
      </c>
      <c r="BV8" s="77" t="str">
        <f>IF(ISERROR(MID(VLOOKUP($BS8,[2]Sheet1!$A:$D,4,0),3,IF(ISERROR(FIND(",",VLOOKUP($BS8,[2]Sheet1!$A:$D,4,0))),LEN(VLOOKUP($BS8,[2]Sheet1!$A:$D,4,0))-4,FIND(",",VLOOKUP($BS8,[2]Sheet1!$A:$D,4,0))-4))),"[]",MID(VLOOKUP($BS8,[2]Sheet1!$A:$D,4,0),3,IF(ISERROR(FIND(",",VLOOKUP($BS8,[2]Sheet1!$A:$D,4,0))),LEN(VLOOKUP($BS8,[2]Sheet1!$A:$D,4,0))-4,FIND(",",VLOOKUP($BS8,[2]Sheet1!$A:$D,4,0))-4)))</f>
        <v>[]</v>
      </c>
      <c r="BW8" s="77" t="str">
        <f t="shared" si="1"/>
        <v>3-20</v>
      </c>
    </row>
    <row r="9" spans="1:84" s="62" customFormat="1" ht="16.5" customHeight="1">
      <c r="A9" s="36">
        <v>1108</v>
      </c>
      <c r="B9" s="36" t="s">
        <v>593</v>
      </c>
      <c r="C9" s="33" t="s">
        <v>1111</v>
      </c>
      <c r="D9" s="33">
        <v>1</v>
      </c>
      <c r="E9" s="33">
        <v>1</v>
      </c>
      <c r="F9" s="33">
        <v>4</v>
      </c>
      <c r="G9" s="33">
        <v>4</v>
      </c>
      <c r="H9" s="33" t="s">
        <v>1123</v>
      </c>
      <c r="I9" s="33">
        <v>150</v>
      </c>
      <c r="J9" s="33" t="s">
        <v>594</v>
      </c>
      <c r="K9" s="33">
        <v>10</v>
      </c>
      <c r="L9" s="33" t="s">
        <v>87</v>
      </c>
      <c r="M9" s="33" t="s">
        <v>779</v>
      </c>
      <c r="N9" s="33" t="s">
        <v>595</v>
      </c>
      <c r="O9" s="33" t="s">
        <v>40</v>
      </c>
      <c r="P9" s="33" t="s">
        <v>596</v>
      </c>
      <c r="Q9" s="33">
        <v>1</v>
      </c>
      <c r="R9" s="33" t="s">
        <v>21</v>
      </c>
      <c r="S9" s="33" t="s">
        <v>21</v>
      </c>
      <c r="T9" s="33" t="s">
        <v>21</v>
      </c>
      <c r="U9" s="33">
        <v>5</v>
      </c>
      <c r="V9" s="33">
        <v>16</v>
      </c>
      <c r="W9" s="33">
        <f>VLOOKUP(F9,Sheet3!$B$33:$E$37,3,0)</f>
        <v>3</v>
      </c>
      <c r="X9" s="33">
        <f>VLOOKUP(F9,Sheet3!$B$33:$E$37,2,0)</f>
        <v>15</v>
      </c>
      <c r="Y9" s="33">
        <f>VLOOKUP(F9,Sheet3!$B$33:$E$37,4,0)</f>
        <v>8</v>
      </c>
      <c r="Z9" s="33">
        <v>1</v>
      </c>
      <c r="AA9" s="97">
        <v>0</v>
      </c>
      <c r="AB9" s="97">
        <v>0</v>
      </c>
      <c r="AC9" s="35">
        <v>12500</v>
      </c>
      <c r="AD9" s="35">
        <v>500</v>
      </c>
      <c r="AE9" s="35">
        <v>250</v>
      </c>
      <c r="AF9" s="35">
        <v>250</v>
      </c>
      <c r="AG9" s="33">
        <v>1</v>
      </c>
      <c r="AH9" s="33">
        <v>0</v>
      </c>
      <c r="AI9" s="33">
        <v>0</v>
      </c>
      <c r="AJ9" s="33">
        <v>0</v>
      </c>
      <c r="AK9" s="33">
        <v>0</v>
      </c>
      <c r="AL9" s="33">
        <v>0</v>
      </c>
      <c r="AM9" s="33">
        <v>1</v>
      </c>
      <c r="AN9" s="97">
        <v>0</v>
      </c>
      <c r="AO9" s="97">
        <v>0</v>
      </c>
      <c r="AP9" s="35">
        <v>750</v>
      </c>
      <c r="AQ9" s="35">
        <v>30</v>
      </c>
      <c r="AR9" s="35">
        <v>15</v>
      </c>
      <c r="AS9" s="35">
        <v>15</v>
      </c>
      <c r="AT9" s="33">
        <v>0</v>
      </c>
      <c r="AU9" s="33">
        <v>0</v>
      </c>
      <c r="AV9" s="33">
        <v>0</v>
      </c>
      <c r="AW9" s="33">
        <v>0</v>
      </c>
      <c r="AX9" s="35" t="s">
        <v>1097</v>
      </c>
      <c r="AY9" s="33">
        <v>10</v>
      </c>
      <c r="AZ9" s="34" t="s">
        <v>884</v>
      </c>
      <c r="BA9" s="33" t="s">
        <v>222</v>
      </c>
      <c r="BB9" s="33">
        <v>50</v>
      </c>
      <c r="BC9" s="107" t="s">
        <v>1043</v>
      </c>
      <c r="BD9" s="35" t="s">
        <v>21</v>
      </c>
      <c r="BE9" s="94" t="s">
        <v>1017</v>
      </c>
      <c r="BF9" s="33">
        <v>2000</v>
      </c>
      <c r="BG9" s="97">
        <v>20000</v>
      </c>
      <c r="BH9" s="97">
        <v>4000</v>
      </c>
      <c r="BI9" s="33">
        <v>10008</v>
      </c>
      <c r="BJ9" s="33" t="s">
        <v>21</v>
      </c>
      <c r="BK9" s="33">
        <v>0</v>
      </c>
      <c r="BL9" s="33">
        <f>VLOOKUP(F9,Sheet3!$B$33:$F$37,5,0)</f>
        <v>100000</v>
      </c>
      <c r="BM9" s="33">
        <v>10</v>
      </c>
      <c r="BN9" s="67">
        <v>101</v>
      </c>
      <c r="BO9" s="90">
        <f t="shared" si="2"/>
        <v>1108</v>
      </c>
      <c r="BP9" s="68">
        <v>1108</v>
      </c>
      <c r="BQ9" s="36" t="s">
        <v>820</v>
      </c>
      <c r="BR9" s="36" t="s">
        <v>21</v>
      </c>
      <c r="BS9" s="68" t="e">
        <f>INT(MID(VLOOKUP($BO9,[1]Sheet1!$A:$C,3,0),9,5))</f>
        <v>#VALUE!</v>
      </c>
      <c r="BT9" s="68" t="str">
        <f t="shared" si="0"/>
        <v>tuotatianwang</v>
      </c>
      <c r="BU9" s="68" t="e">
        <f>MID(VLOOKUP($BS9,[2]Sheet1!$A:$C,3,0),3,IF(ISERROR(FIND(",",VLOOKUP($BS9,[2]Sheet1!$A:$C,3,0))),LEN(VLOOKUP($BS9,[2]Sheet1!$A:$C,3,0))-4,FIND(",",VLOOKUP($BS9,[2]Sheet1!$A:$C,3,0))-4))</f>
        <v>#VALUE!</v>
      </c>
      <c r="BV9" s="68" t="str">
        <f>IF(ISERROR(MID(VLOOKUP($BS9,[2]Sheet1!$A:$D,4,0),3,IF(ISERROR(FIND(",",VLOOKUP($BS9,[2]Sheet1!$A:$D,4,0))),LEN(VLOOKUP($BS9,[2]Sheet1!$A:$D,4,0))-4,FIND(",",VLOOKUP($BS9,[2]Sheet1!$A:$D,4,0))-4))),"[]",MID(VLOOKUP($BS9,[2]Sheet1!$A:$D,4,0),3,IF(ISERROR(FIND(",",VLOOKUP($BS9,[2]Sheet1!$A:$D,4,0))),LEN(VLOOKUP($BS9,[2]Sheet1!$A:$D,4,0))-4,FIND(",",VLOOKUP($BS9,[2]Sheet1!$A:$D,4,0))-4)))</f>
        <v>[]</v>
      </c>
      <c r="BW9" s="68" t="str">
        <f t="shared" si="1"/>
        <v>4-16</v>
      </c>
      <c r="BX9" s="62">
        <v>20</v>
      </c>
      <c r="BY9" s="62">
        <v>3000</v>
      </c>
      <c r="BZ9" s="62">
        <v>6</v>
      </c>
      <c r="CA9" s="62">
        <v>102</v>
      </c>
      <c r="CC9" s="62">
        <v>1</v>
      </c>
      <c r="CD9" s="62" t="s">
        <v>1127</v>
      </c>
      <c r="CE9" s="62">
        <v>3000</v>
      </c>
      <c r="CF9" s="62">
        <v>1</v>
      </c>
    </row>
    <row r="10" spans="1:84" s="62" customFormat="1" ht="16.5" customHeight="1">
      <c r="A10" s="33">
        <v>1113</v>
      </c>
      <c r="B10" s="33" t="s">
        <v>29</v>
      </c>
      <c r="C10" s="33" t="s">
        <v>1112</v>
      </c>
      <c r="D10" s="33">
        <v>1</v>
      </c>
      <c r="E10" s="33">
        <v>2</v>
      </c>
      <c r="F10" s="33">
        <v>4</v>
      </c>
      <c r="G10" s="33">
        <v>4</v>
      </c>
      <c r="H10" s="33" t="s">
        <v>1123</v>
      </c>
      <c r="I10" s="33">
        <v>150</v>
      </c>
      <c r="J10" s="33" t="s">
        <v>52</v>
      </c>
      <c r="K10" s="33">
        <v>10</v>
      </c>
      <c r="L10" s="33" t="s">
        <v>53</v>
      </c>
      <c r="M10" s="33" t="s">
        <v>779</v>
      </c>
      <c r="N10" s="33" t="s">
        <v>54</v>
      </c>
      <c r="O10" s="33" t="s">
        <v>40</v>
      </c>
      <c r="P10" s="33" t="s">
        <v>365</v>
      </c>
      <c r="Q10" s="33">
        <v>1</v>
      </c>
      <c r="R10" s="33" t="s">
        <v>21</v>
      </c>
      <c r="S10" s="33" t="s">
        <v>21</v>
      </c>
      <c r="T10" s="33" t="s">
        <v>21</v>
      </c>
      <c r="U10" s="33">
        <v>5</v>
      </c>
      <c r="V10" s="33">
        <v>16</v>
      </c>
      <c r="W10" s="33">
        <f>VLOOKUP(F10,Sheet3!$B$33:$E$37,3,0)</f>
        <v>3</v>
      </c>
      <c r="X10" s="33">
        <f>VLOOKUP(F10,Sheet3!$B$33:$E$37,2,0)</f>
        <v>15</v>
      </c>
      <c r="Y10" s="33">
        <f>VLOOKUP(F10,Sheet3!$B$33:$E$37,4,0)</f>
        <v>8</v>
      </c>
      <c r="Z10" s="33">
        <v>1</v>
      </c>
      <c r="AA10" s="97">
        <v>0</v>
      </c>
      <c r="AB10" s="97">
        <v>0</v>
      </c>
      <c r="AC10" s="35">
        <v>12500</v>
      </c>
      <c r="AD10" s="35">
        <v>500</v>
      </c>
      <c r="AE10" s="35">
        <v>250</v>
      </c>
      <c r="AF10" s="35">
        <v>250</v>
      </c>
      <c r="AG10" s="33">
        <v>1</v>
      </c>
      <c r="AH10" s="33">
        <v>0</v>
      </c>
      <c r="AI10" s="33">
        <v>0</v>
      </c>
      <c r="AJ10" s="33">
        <v>0</v>
      </c>
      <c r="AK10" s="33">
        <v>0</v>
      </c>
      <c r="AL10" s="33">
        <v>0</v>
      </c>
      <c r="AM10" s="33">
        <v>1</v>
      </c>
      <c r="AN10" s="97">
        <v>0</v>
      </c>
      <c r="AO10" s="97">
        <v>0</v>
      </c>
      <c r="AP10" s="35">
        <v>750</v>
      </c>
      <c r="AQ10" s="35">
        <v>30</v>
      </c>
      <c r="AR10" s="35">
        <v>15</v>
      </c>
      <c r="AS10" s="35">
        <v>15</v>
      </c>
      <c r="AT10" s="33">
        <v>0</v>
      </c>
      <c r="AU10" s="33">
        <v>0</v>
      </c>
      <c r="AV10" s="33">
        <v>0</v>
      </c>
      <c r="AW10" s="33">
        <v>0</v>
      </c>
      <c r="AX10" s="35" t="s">
        <v>1097</v>
      </c>
      <c r="AY10" s="33">
        <v>10</v>
      </c>
      <c r="AZ10" s="34" t="s">
        <v>885</v>
      </c>
      <c r="BA10" s="33" t="s">
        <v>222</v>
      </c>
      <c r="BB10" s="33">
        <v>50</v>
      </c>
      <c r="BC10" s="107" t="s">
        <v>871</v>
      </c>
      <c r="BD10" s="35" t="s">
        <v>21</v>
      </c>
      <c r="BE10" s="94" t="s">
        <v>1017</v>
      </c>
      <c r="BF10" s="33">
        <v>2000</v>
      </c>
      <c r="BG10" s="97">
        <v>20000</v>
      </c>
      <c r="BH10" s="97">
        <v>4000</v>
      </c>
      <c r="BI10" s="33">
        <v>10013</v>
      </c>
      <c r="BJ10" s="33" t="s">
        <v>21</v>
      </c>
      <c r="BK10" s="33">
        <v>0</v>
      </c>
      <c r="BL10" s="33">
        <f>VLOOKUP(F10,Sheet3!$B$33:$F$37,5,0)</f>
        <v>100000</v>
      </c>
      <c r="BM10" s="33">
        <v>10</v>
      </c>
      <c r="BN10" s="67">
        <v>101</v>
      </c>
      <c r="BO10" s="90">
        <f t="shared" si="2"/>
        <v>1113</v>
      </c>
      <c r="BP10" s="68">
        <v>1113</v>
      </c>
      <c r="BQ10" s="33" t="s">
        <v>796</v>
      </c>
      <c r="BR10" s="33" t="s">
        <v>21</v>
      </c>
      <c r="BS10" s="68" t="e">
        <f>INT(MID(VLOOKUP($BO10,[1]Sheet1!$A:$C,3,0),9,5))</f>
        <v>#VALUE!</v>
      </c>
      <c r="BT10" s="68" t="str">
        <f t="shared" si="0"/>
        <v>hulidaxian</v>
      </c>
      <c r="BU10" s="68" t="e">
        <f>MID(VLOOKUP($BS10,[2]Sheet1!$A:$C,3,0),3,IF(ISERROR(FIND(",",VLOOKUP($BS10,[2]Sheet1!$A:$C,3,0))),LEN(VLOOKUP($BS10,[2]Sheet1!$A:$C,3,0))-4,FIND(",",VLOOKUP($BS10,[2]Sheet1!$A:$C,3,0))-4))</f>
        <v>#VALUE!</v>
      </c>
      <c r="BV10" s="68" t="str">
        <f>IF(ISERROR(MID(VLOOKUP($BS10,[2]Sheet1!$A:$D,4,0),3,IF(ISERROR(FIND(",",VLOOKUP($BS10,[2]Sheet1!$A:$D,4,0))),LEN(VLOOKUP($BS10,[2]Sheet1!$A:$D,4,0))-4,FIND(",",VLOOKUP($BS10,[2]Sheet1!$A:$D,4,0))-4))),"[]",MID(VLOOKUP($BS10,[2]Sheet1!$A:$D,4,0),3,IF(ISERROR(FIND(",",VLOOKUP($BS10,[2]Sheet1!$A:$D,4,0))),LEN(VLOOKUP($BS10,[2]Sheet1!$A:$D,4,0))-4,FIND(",",VLOOKUP($BS10,[2]Sheet1!$A:$D,4,0))-4)))</f>
        <v>[]</v>
      </c>
      <c r="BW10" s="68" t="str">
        <f t="shared" si="1"/>
        <v>4-16</v>
      </c>
      <c r="BX10" s="62">
        <v>16</v>
      </c>
      <c r="BY10" s="62">
        <v>2000</v>
      </c>
      <c r="BZ10" s="62">
        <v>5</v>
      </c>
      <c r="CA10" s="62">
        <v>101</v>
      </c>
      <c r="CC10" s="62">
        <v>2</v>
      </c>
      <c r="CD10" s="62" t="s">
        <v>1131</v>
      </c>
      <c r="CE10" s="62">
        <v>6000</v>
      </c>
      <c r="CF10" s="62">
        <v>1</v>
      </c>
    </row>
    <row r="11" spans="1:84" s="62" customFormat="1">
      <c r="A11" s="33">
        <v>1120</v>
      </c>
      <c r="B11" s="33" t="s">
        <v>34</v>
      </c>
      <c r="C11" s="33" t="s">
        <v>502</v>
      </c>
      <c r="D11" s="33">
        <v>1</v>
      </c>
      <c r="E11" s="33">
        <v>2</v>
      </c>
      <c r="F11" s="33">
        <v>4</v>
      </c>
      <c r="G11" s="33">
        <v>4</v>
      </c>
      <c r="H11" s="33" t="s">
        <v>1123</v>
      </c>
      <c r="I11" s="33">
        <v>150</v>
      </c>
      <c r="J11" s="33" t="s">
        <v>135</v>
      </c>
      <c r="K11" s="33">
        <v>10</v>
      </c>
      <c r="L11" s="33" t="s">
        <v>86</v>
      </c>
      <c r="M11" s="33" t="s">
        <v>779</v>
      </c>
      <c r="N11" s="33" t="s">
        <v>136</v>
      </c>
      <c r="O11" s="33" t="s">
        <v>40</v>
      </c>
      <c r="P11" s="33" t="s">
        <v>368</v>
      </c>
      <c r="Q11" s="33">
        <v>1</v>
      </c>
      <c r="R11" s="33" t="s">
        <v>21</v>
      </c>
      <c r="S11" s="33" t="s">
        <v>21</v>
      </c>
      <c r="T11" s="33" t="s">
        <v>21</v>
      </c>
      <c r="U11" s="33">
        <v>5</v>
      </c>
      <c r="V11" s="33">
        <v>16</v>
      </c>
      <c r="W11" s="33">
        <f>VLOOKUP(F11,Sheet3!$B$33:$E$37,3,0)</f>
        <v>3</v>
      </c>
      <c r="X11" s="33">
        <f>VLOOKUP(F11,Sheet3!$B$33:$E$37,2,0)</f>
        <v>15</v>
      </c>
      <c r="Y11" s="33">
        <f>VLOOKUP(F11,Sheet3!$B$33:$E$37,4,0)</f>
        <v>8</v>
      </c>
      <c r="Z11" s="33">
        <v>1</v>
      </c>
      <c r="AA11" s="97">
        <v>0</v>
      </c>
      <c r="AB11" s="97">
        <v>0</v>
      </c>
      <c r="AC11" s="35">
        <v>12500</v>
      </c>
      <c r="AD11" s="35">
        <v>500</v>
      </c>
      <c r="AE11" s="35">
        <v>250</v>
      </c>
      <c r="AF11" s="35">
        <v>250</v>
      </c>
      <c r="AG11" s="33">
        <v>1</v>
      </c>
      <c r="AH11" s="33">
        <v>0</v>
      </c>
      <c r="AI11" s="33">
        <v>0</v>
      </c>
      <c r="AJ11" s="33">
        <v>0</v>
      </c>
      <c r="AK11" s="33">
        <v>0</v>
      </c>
      <c r="AL11" s="33">
        <v>0</v>
      </c>
      <c r="AM11" s="33">
        <v>1</v>
      </c>
      <c r="AN11" s="97">
        <v>0</v>
      </c>
      <c r="AO11" s="97">
        <v>0</v>
      </c>
      <c r="AP11" s="35">
        <v>750</v>
      </c>
      <c r="AQ11" s="35">
        <v>30</v>
      </c>
      <c r="AR11" s="35">
        <v>15</v>
      </c>
      <c r="AS11" s="35">
        <v>15</v>
      </c>
      <c r="AT11" s="33">
        <v>0</v>
      </c>
      <c r="AU11" s="33">
        <v>0</v>
      </c>
      <c r="AV11" s="33">
        <v>0</v>
      </c>
      <c r="AW11" s="33">
        <v>0</v>
      </c>
      <c r="AX11" s="35" t="s">
        <v>1097</v>
      </c>
      <c r="AY11" s="33">
        <v>10</v>
      </c>
      <c r="AZ11" s="34" t="s">
        <v>886</v>
      </c>
      <c r="BA11" s="33" t="s">
        <v>221</v>
      </c>
      <c r="BB11" s="33">
        <v>50</v>
      </c>
      <c r="BC11" s="107" t="s">
        <v>872</v>
      </c>
      <c r="BD11" s="35" t="s">
        <v>21</v>
      </c>
      <c r="BE11" s="94" t="s">
        <v>1017</v>
      </c>
      <c r="BF11" s="33">
        <v>2000</v>
      </c>
      <c r="BG11" s="97">
        <v>20000</v>
      </c>
      <c r="BH11" s="97">
        <v>4000</v>
      </c>
      <c r="BI11" s="33">
        <v>10020</v>
      </c>
      <c r="BJ11" s="33" t="s">
        <v>21</v>
      </c>
      <c r="BK11" s="33">
        <v>0</v>
      </c>
      <c r="BL11" s="33">
        <f>VLOOKUP(F11,Sheet3!$B$33:$F$37,5,0)</f>
        <v>100000</v>
      </c>
      <c r="BM11" s="33">
        <v>10</v>
      </c>
      <c r="BN11" s="67">
        <v>101</v>
      </c>
      <c r="BO11" s="90">
        <f t="shared" si="2"/>
        <v>1120</v>
      </c>
      <c r="BP11" s="68">
        <v>1120</v>
      </c>
      <c r="BQ11" s="33" t="s">
        <v>829</v>
      </c>
      <c r="BR11" s="33" t="s">
        <v>21</v>
      </c>
      <c r="BS11" s="68" t="e">
        <f>INT(MID(VLOOKUP($BO11,[1]Sheet1!$A:$C,3,0),9,5))</f>
        <v>#VALUE!</v>
      </c>
      <c r="BT11" s="68" t="str">
        <f t="shared" si="0"/>
        <v>zhubajie</v>
      </c>
      <c r="BU11" s="68" t="e">
        <f>MID(VLOOKUP($BS11,[2]Sheet1!$A:$C,3,0),3,IF(ISERROR(FIND(",",VLOOKUP($BS11,[2]Sheet1!$A:$C,3,0))),LEN(VLOOKUP($BS11,[2]Sheet1!$A:$C,3,0))-4,FIND(",",VLOOKUP($BS11,[2]Sheet1!$A:$C,3,0))-4))</f>
        <v>#VALUE!</v>
      </c>
      <c r="BV11" s="68" t="str">
        <f>IF(ISERROR(MID(VLOOKUP($BS11,[2]Sheet1!$A:$D,4,0),3,IF(ISERROR(FIND(",",VLOOKUP($BS11,[2]Sheet1!$A:$D,4,0))),LEN(VLOOKUP($BS11,[2]Sheet1!$A:$D,4,0))-4,FIND(",",VLOOKUP($BS11,[2]Sheet1!$A:$D,4,0))-4))),"[]",MID(VLOOKUP($BS11,[2]Sheet1!$A:$D,4,0),3,IF(ISERROR(FIND(",",VLOOKUP($BS11,[2]Sheet1!$A:$D,4,0))),LEN(VLOOKUP($BS11,[2]Sheet1!$A:$D,4,0))-4,FIND(",",VLOOKUP($BS11,[2]Sheet1!$A:$D,4,0))-4)))</f>
        <v>[]</v>
      </c>
      <c r="BW11" s="68" t="str">
        <f t="shared" si="1"/>
        <v>4-16</v>
      </c>
      <c r="BX11" s="62">
        <v>13</v>
      </c>
      <c r="BY11" s="62">
        <v>1400</v>
      </c>
      <c r="BZ11" s="62">
        <v>4</v>
      </c>
      <c r="CA11" s="62">
        <v>100</v>
      </c>
      <c r="CC11" s="62">
        <v>3</v>
      </c>
      <c r="CD11" s="62" t="s">
        <v>1132</v>
      </c>
      <c r="CE11" s="62">
        <v>10000</v>
      </c>
      <c r="CF11" s="62">
        <v>1.5</v>
      </c>
    </row>
    <row r="12" spans="1:84" s="62" customFormat="1">
      <c r="A12" s="36">
        <v>1127</v>
      </c>
      <c r="B12" s="36" t="s">
        <v>151</v>
      </c>
      <c r="C12" s="33" t="s">
        <v>504</v>
      </c>
      <c r="D12" s="33">
        <v>1</v>
      </c>
      <c r="E12" s="33">
        <v>3</v>
      </c>
      <c r="F12" s="33">
        <v>4</v>
      </c>
      <c r="G12" s="33">
        <v>4</v>
      </c>
      <c r="H12" s="33" t="s">
        <v>1123</v>
      </c>
      <c r="I12" s="33">
        <v>150</v>
      </c>
      <c r="J12" s="33" t="s">
        <v>152</v>
      </c>
      <c r="K12" s="33">
        <v>10</v>
      </c>
      <c r="L12" s="33" t="s">
        <v>153</v>
      </c>
      <c r="M12" s="33" t="s">
        <v>779</v>
      </c>
      <c r="N12" s="33" t="s">
        <v>154</v>
      </c>
      <c r="O12" s="33" t="s">
        <v>40</v>
      </c>
      <c r="P12" s="33" t="s">
        <v>481</v>
      </c>
      <c r="Q12" s="33">
        <v>1</v>
      </c>
      <c r="R12" s="33" t="s">
        <v>21</v>
      </c>
      <c r="S12" s="33" t="s">
        <v>21</v>
      </c>
      <c r="T12" s="33" t="s">
        <v>21</v>
      </c>
      <c r="U12" s="33">
        <v>5</v>
      </c>
      <c r="V12" s="33">
        <v>16</v>
      </c>
      <c r="W12" s="33">
        <f>VLOOKUP(F12,Sheet3!$B$33:$E$37,3,0)</f>
        <v>3</v>
      </c>
      <c r="X12" s="33">
        <f>VLOOKUP(F12,Sheet3!$B$33:$E$37,2,0)</f>
        <v>15</v>
      </c>
      <c r="Y12" s="33">
        <f>VLOOKUP(F12,Sheet3!$B$33:$E$37,4,0)</f>
        <v>8</v>
      </c>
      <c r="Z12" s="33">
        <v>1</v>
      </c>
      <c r="AA12" s="97">
        <v>0</v>
      </c>
      <c r="AB12" s="97">
        <v>0</v>
      </c>
      <c r="AC12" s="35">
        <v>12500</v>
      </c>
      <c r="AD12" s="35">
        <v>500</v>
      </c>
      <c r="AE12" s="35">
        <v>250</v>
      </c>
      <c r="AF12" s="35">
        <v>250</v>
      </c>
      <c r="AG12" s="33">
        <v>1</v>
      </c>
      <c r="AH12" s="33">
        <v>0</v>
      </c>
      <c r="AI12" s="33">
        <v>0</v>
      </c>
      <c r="AJ12" s="33">
        <v>0</v>
      </c>
      <c r="AK12" s="33">
        <v>0</v>
      </c>
      <c r="AL12" s="33">
        <v>0</v>
      </c>
      <c r="AM12" s="33">
        <v>1</v>
      </c>
      <c r="AN12" s="97">
        <v>0</v>
      </c>
      <c r="AO12" s="97">
        <v>0</v>
      </c>
      <c r="AP12" s="35">
        <v>750</v>
      </c>
      <c r="AQ12" s="35">
        <v>30</v>
      </c>
      <c r="AR12" s="35">
        <v>15</v>
      </c>
      <c r="AS12" s="35">
        <v>15</v>
      </c>
      <c r="AT12" s="33">
        <v>0</v>
      </c>
      <c r="AU12" s="33">
        <v>0</v>
      </c>
      <c r="AV12" s="33">
        <v>0</v>
      </c>
      <c r="AW12" s="33">
        <v>0</v>
      </c>
      <c r="AX12" s="35" t="s">
        <v>1097</v>
      </c>
      <c r="AY12" s="33">
        <v>10</v>
      </c>
      <c r="AZ12" s="34" t="s">
        <v>887</v>
      </c>
      <c r="BA12" s="33" t="s">
        <v>222</v>
      </c>
      <c r="BB12" s="33">
        <v>50</v>
      </c>
      <c r="BC12" s="107" t="s">
        <v>1044</v>
      </c>
      <c r="BD12" s="35" t="s">
        <v>21</v>
      </c>
      <c r="BE12" s="94" t="s">
        <v>1017</v>
      </c>
      <c r="BF12" s="33">
        <v>2000</v>
      </c>
      <c r="BG12" s="97">
        <v>20000</v>
      </c>
      <c r="BH12" s="97">
        <v>4000</v>
      </c>
      <c r="BI12" s="33">
        <v>10027</v>
      </c>
      <c r="BJ12" s="33" t="s">
        <v>21</v>
      </c>
      <c r="BK12" s="33">
        <v>0</v>
      </c>
      <c r="BL12" s="33">
        <f>VLOOKUP(F12,Sheet3!$B$33:$F$37,5,0)</f>
        <v>100000</v>
      </c>
      <c r="BM12" s="33">
        <v>10</v>
      </c>
      <c r="BN12" s="67">
        <v>101</v>
      </c>
      <c r="BO12" s="90">
        <f t="shared" si="2"/>
        <v>1127</v>
      </c>
      <c r="BP12" s="68">
        <v>1127</v>
      </c>
      <c r="BQ12" s="36" t="s">
        <v>806</v>
      </c>
      <c r="BR12" s="36" t="s">
        <v>21</v>
      </c>
      <c r="BS12" s="68" t="e">
        <f>INT(MID(VLOOKUP($BO12,[1]Sheet1!$A:$C,3,0),9,5))</f>
        <v>#VALUE!</v>
      </c>
      <c r="BT12" s="68" t="str">
        <f t="shared" si="0"/>
        <v>milefo</v>
      </c>
      <c r="BU12" s="68" t="e">
        <f>MID(VLOOKUP($BS12,[2]Sheet1!$A:$C,3,0),3,IF(ISERROR(FIND(",",VLOOKUP($BS12,[2]Sheet1!$A:$C,3,0))),LEN(VLOOKUP($BS12,[2]Sheet1!$A:$C,3,0))-4,FIND(",",VLOOKUP($BS12,[2]Sheet1!$A:$C,3,0))-4))</f>
        <v>#VALUE!</v>
      </c>
      <c r="BV12" s="68" t="str">
        <f>IF(ISERROR(MID(VLOOKUP($BS12,[2]Sheet1!$A:$D,4,0),3,IF(ISERROR(FIND(",",VLOOKUP($BS12,[2]Sheet1!$A:$D,4,0))),LEN(VLOOKUP($BS12,[2]Sheet1!$A:$D,4,0))-4,FIND(",",VLOOKUP($BS12,[2]Sheet1!$A:$D,4,0))-4))),"[]",MID(VLOOKUP($BS12,[2]Sheet1!$A:$D,4,0),3,IF(ISERROR(FIND(",",VLOOKUP($BS12,[2]Sheet1!$A:$D,4,0))),LEN(VLOOKUP($BS12,[2]Sheet1!$A:$D,4,0))-4,FIND(",",VLOOKUP($BS12,[2]Sheet1!$A:$D,4,0))-4)))</f>
        <v>[]</v>
      </c>
      <c r="BW12" s="68" t="str">
        <f t="shared" si="1"/>
        <v>4-16</v>
      </c>
      <c r="BX12" s="62">
        <v>11</v>
      </c>
      <c r="BY12" s="62">
        <v>400</v>
      </c>
      <c r="BZ12" s="62">
        <v>3</v>
      </c>
      <c r="CA12" s="62">
        <v>100</v>
      </c>
      <c r="CC12" s="62">
        <v>4</v>
      </c>
      <c r="CD12" s="62" t="s">
        <v>1128</v>
      </c>
      <c r="CE12" s="62">
        <v>30000</v>
      </c>
      <c r="CF12" s="62">
        <v>10</v>
      </c>
    </row>
    <row r="13" spans="1:84" s="62" customFormat="1">
      <c r="A13" s="38">
        <v>1212</v>
      </c>
      <c r="B13" s="36" t="s">
        <v>225</v>
      </c>
      <c r="C13" s="39" t="s">
        <v>505</v>
      </c>
      <c r="D13" s="39">
        <v>1</v>
      </c>
      <c r="E13" s="39">
        <v>3</v>
      </c>
      <c r="F13" s="39">
        <v>4</v>
      </c>
      <c r="G13" s="39">
        <v>4</v>
      </c>
      <c r="H13" s="39" t="s">
        <v>1123</v>
      </c>
      <c r="I13" s="39">
        <v>150</v>
      </c>
      <c r="J13" s="39" t="s">
        <v>468</v>
      </c>
      <c r="K13" s="39">
        <v>10</v>
      </c>
      <c r="L13" s="39" t="s">
        <v>469</v>
      </c>
      <c r="M13" s="33" t="s">
        <v>779</v>
      </c>
      <c r="N13" s="40" t="s">
        <v>323</v>
      </c>
      <c r="O13" s="39" t="s">
        <v>40</v>
      </c>
      <c r="P13" s="39" t="s">
        <v>470</v>
      </c>
      <c r="Q13" s="39">
        <v>1</v>
      </c>
      <c r="R13" s="39" t="s">
        <v>21</v>
      </c>
      <c r="S13" s="39" t="s">
        <v>21</v>
      </c>
      <c r="T13" s="39" t="s">
        <v>21</v>
      </c>
      <c r="U13" s="39">
        <v>5</v>
      </c>
      <c r="V13" s="33">
        <v>16</v>
      </c>
      <c r="W13" s="33">
        <f>VLOOKUP(F13,Sheet3!$B$33:$E$37,3,0)</f>
        <v>3</v>
      </c>
      <c r="X13" s="33">
        <f>VLOOKUP(F13,Sheet3!$B$33:$E$37,2,0)</f>
        <v>15</v>
      </c>
      <c r="Y13" s="33">
        <f>VLOOKUP(F13,Sheet3!$B$33:$E$37,4,0)</f>
        <v>8</v>
      </c>
      <c r="Z13" s="39">
        <v>1</v>
      </c>
      <c r="AA13" s="97">
        <v>0</v>
      </c>
      <c r="AB13" s="97">
        <v>0</v>
      </c>
      <c r="AC13" s="35">
        <v>12500</v>
      </c>
      <c r="AD13" s="35">
        <v>500</v>
      </c>
      <c r="AE13" s="35">
        <v>250</v>
      </c>
      <c r="AF13" s="35">
        <v>250</v>
      </c>
      <c r="AG13" s="39">
        <v>1</v>
      </c>
      <c r="AH13" s="39">
        <v>0</v>
      </c>
      <c r="AI13" s="39">
        <v>0</v>
      </c>
      <c r="AJ13" s="39">
        <v>0</v>
      </c>
      <c r="AK13" s="39">
        <v>0</v>
      </c>
      <c r="AL13" s="39">
        <v>0</v>
      </c>
      <c r="AM13" s="33">
        <v>1</v>
      </c>
      <c r="AN13" s="97">
        <v>0</v>
      </c>
      <c r="AO13" s="97">
        <v>0</v>
      </c>
      <c r="AP13" s="35">
        <v>750</v>
      </c>
      <c r="AQ13" s="35">
        <v>30</v>
      </c>
      <c r="AR13" s="35">
        <v>15</v>
      </c>
      <c r="AS13" s="35">
        <v>15</v>
      </c>
      <c r="AT13" s="39">
        <v>0</v>
      </c>
      <c r="AU13" s="39">
        <v>0</v>
      </c>
      <c r="AV13" s="39">
        <v>0</v>
      </c>
      <c r="AW13" s="39">
        <v>0</v>
      </c>
      <c r="AX13" s="35" t="s">
        <v>1097</v>
      </c>
      <c r="AY13" s="39">
        <v>10</v>
      </c>
      <c r="AZ13" s="34" t="s">
        <v>888</v>
      </c>
      <c r="BA13" s="39" t="s">
        <v>222</v>
      </c>
      <c r="BB13" s="39">
        <v>50</v>
      </c>
      <c r="BC13" s="107" t="s">
        <v>1045</v>
      </c>
      <c r="BD13" s="35" t="s">
        <v>21</v>
      </c>
      <c r="BE13" s="94" t="s">
        <v>1017</v>
      </c>
      <c r="BF13" s="39">
        <v>2000</v>
      </c>
      <c r="BG13" s="97">
        <v>20000</v>
      </c>
      <c r="BH13" s="97">
        <v>4000</v>
      </c>
      <c r="BI13" s="33">
        <v>10112</v>
      </c>
      <c r="BJ13" s="39" t="s">
        <v>21</v>
      </c>
      <c r="BK13" s="39">
        <v>0</v>
      </c>
      <c r="BL13" s="33">
        <f>VLOOKUP(F13,Sheet3!$B$33:$F$37,5,0)</f>
        <v>100000</v>
      </c>
      <c r="BM13" s="39">
        <v>10</v>
      </c>
      <c r="BN13" s="67">
        <v>101</v>
      </c>
      <c r="BO13" s="90">
        <f t="shared" si="2"/>
        <v>1212</v>
      </c>
      <c r="BP13" s="68">
        <v>1212</v>
      </c>
      <c r="BQ13" s="38" t="s">
        <v>799</v>
      </c>
      <c r="BR13" s="36" t="s">
        <v>21</v>
      </c>
      <c r="BS13" s="68" t="e">
        <f>INT(MID(VLOOKUP($BO13,[1]Sheet1!$A:$C,3,0),9,5))</f>
        <v>#VALUE!</v>
      </c>
      <c r="BT13" s="68" t="str">
        <f t="shared" si="0"/>
        <v>jinchanzi</v>
      </c>
      <c r="BU13" s="68" t="e">
        <f>MID(VLOOKUP($BS13,[2]Sheet1!$A:$C,3,0),3,IF(ISERROR(FIND(",",VLOOKUP($BS13,[2]Sheet1!$A:$C,3,0))),LEN(VLOOKUP($BS13,[2]Sheet1!$A:$C,3,0))-4,FIND(",",VLOOKUP($BS13,[2]Sheet1!$A:$C,3,0))-4))</f>
        <v>#VALUE!</v>
      </c>
      <c r="BV13" s="68" t="str">
        <f>IF(ISERROR(MID(VLOOKUP($BS13,[2]Sheet1!$A:$D,4,0),3,IF(ISERROR(FIND(",",VLOOKUP($BS13,[2]Sheet1!$A:$D,4,0))),LEN(VLOOKUP($BS13,[2]Sheet1!$A:$D,4,0))-4,FIND(",",VLOOKUP($BS13,[2]Sheet1!$A:$D,4,0))-4))),"[]",MID(VLOOKUP($BS13,[2]Sheet1!$A:$D,4,0),3,IF(ISERROR(FIND(",",VLOOKUP($BS13,[2]Sheet1!$A:$D,4,0))),LEN(VLOOKUP($BS13,[2]Sheet1!$A:$D,4,0))-4,FIND(",",VLOOKUP($BS13,[2]Sheet1!$A:$D,4,0))-4)))</f>
        <v>[]</v>
      </c>
      <c r="BW13" s="68" t="str">
        <f t="shared" si="1"/>
        <v>4-16</v>
      </c>
      <c r="BX13" s="62">
        <v>6</v>
      </c>
      <c r="BY13" s="62">
        <v>40</v>
      </c>
      <c r="BZ13" s="62">
        <v>2</v>
      </c>
      <c r="CA13" s="62">
        <v>100</v>
      </c>
      <c r="CC13" s="62">
        <v>5</v>
      </c>
      <c r="CD13" s="62" t="s">
        <v>1133</v>
      </c>
      <c r="CE13" s="62">
        <v>1000</v>
      </c>
      <c r="CF13" s="62">
        <v>0</v>
      </c>
    </row>
    <row r="14" spans="1:84" s="62" customFormat="1">
      <c r="A14" s="42">
        <v>1219</v>
      </c>
      <c r="B14" s="37" t="s">
        <v>1155</v>
      </c>
      <c r="C14" s="42" t="s">
        <v>507</v>
      </c>
      <c r="D14" s="42">
        <v>1</v>
      </c>
      <c r="E14" s="42">
        <v>1</v>
      </c>
      <c r="F14" s="42">
        <v>4</v>
      </c>
      <c r="G14" s="42">
        <v>4</v>
      </c>
      <c r="H14" s="42" t="s">
        <v>1123</v>
      </c>
      <c r="I14" s="42">
        <v>150</v>
      </c>
      <c r="J14" s="42" t="s">
        <v>477</v>
      </c>
      <c r="K14" s="42">
        <v>10</v>
      </c>
      <c r="L14" s="42" t="s">
        <v>478</v>
      </c>
      <c r="M14" s="33" t="s">
        <v>779</v>
      </c>
      <c r="N14" s="42" t="s">
        <v>479</v>
      </c>
      <c r="O14" s="42" t="s">
        <v>40</v>
      </c>
      <c r="P14" s="42" t="s">
        <v>480</v>
      </c>
      <c r="Q14" s="42">
        <v>1</v>
      </c>
      <c r="R14" s="42" t="s">
        <v>21</v>
      </c>
      <c r="S14" s="42" t="s">
        <v>21</v>
      </c>
      <c r="T14" s="42" t="s">
        <v>21</v>
      </c>
      <c r="U14" s="42">
        <v>5</v>
      </c>
      <c r="V14" s="33">
        <v>16</v>
      </c>
      <c r="W14" s="33">
        <f>VLOOKUP(F14,Sheet3!$B$33:$E$37,3,0)</f>
        <v>3</v>
      </c>
      <c r="X14" s="33">
        <f>VLOOKUP(F14,Sheet3!$B$33:$E$37,2,0)</f>
        <v>15</v>
      </c>
      <c r="Y14" s="33">
        <f>VLOOKUP(F14,Sheet3!$B$33:$E$37,4,0)</f>
        <v>8</v>
      </c>
      <c r="Z14" s="42">
        <v>1</v>
      </c>
      <c r="AA14" s="98">
        <v>0</v>
      </c>
      <c r="AB14" s="98">
        <v>0</v>
      </c>
      <c r="AC14" s="35">
        <v>12500</v>
      </c>
      <c r="AD14" s="35">
        <v>500</v>
      </c>
      <c r="AE14" s="35">
        <v>250</v>
      </c>
      <c r="AF14" s="35">
        <v>250</v>
      </c>
      <c r="AG14" s="42">
        <v>1</v>
      </c>
      <c r="AH14" s="42">
        <v>0</v>
      </c>
      <c r="AI14" s="42">
        <v>0</v>
      </c>
      <c r="AJ14" s="42">
        <v>0</v>
      </c>
      <c r="AK14" s="42">
        <v>0</v>
      </c>
      <c r="AL14" s="42">
        <v>0</v>
      </c>
      <c r="AM14" s="33">
        <v>1</v>
      </c>
      <c r="AN14" s="98">
        <v>0</v>
      </c>
      <c r="AO14" s="98">
        <v>0</v>
      </c>
      <c r="AP14" s="35">
        <v>750</v>
      </c>
      <c r="AQ14" s="35">
        <v>30</v>
      </c>
      <c r="AR14" s="35">
        <v>15</v>
      </c>
      <c r="AS14" s="35">
        <v>15</v>
      </c>
      <c r="AT14" s="42">
        <v>0</v>
      </c>
      <c r="AU14" s="42">
        <v>0</v>
      </c>
      <c r="AV14" s="42">
        <v>0</v>
      </c>
      <c r="AW14" s="42">
        <v>0</v>
      </c>
      <c r="AX14" s="35" t="s">
        <v>1097</v>
      </c>
      <c r="AY14" s="42">
        <v>10</v>
      </c>
      <c r="AZ14" s="34" t="s">
        <v>889</v>
      </c>
      <c r="BA14" s="42" t="s">
        <v>222</v>
      </c>
      <c r="BB14" s="42">
        <v>50</v>
      </c>
      <c r="BC14" s="107" t="s">
        <v>1046</v>
      </c>
      <c r="BD14" s="35" t="s">
        <v>21</v>
      </c>
      <c r="BE14" s="94" t="s">
        <v>1017</v>
      </c>
      <c r="BF14" s="42">
        <v>2000</v>
      </c>
      <c r="BG14" s="98">
        <v>20000</v>
      </c>
      <c r="BH14" s="98">
        <v>4000</v>
      </c>
      <c r="BI14" s="33">
        <v>10119</v>
      </c>
      <c r="BJ14" s="42" t="s">
        <v>21</v>
      </c>
      <c r="BK14" s="42">
        <v>0</v>
      </c>
      <c r="BL14" s="33">
        <f>VLOOKUP(F14,Sheet3!$B$33:$F$37,5,0)</f>
        <v>100000</v>
      </c>
      <c r="BM14" s="42">
        <v>10</v>
      </c>
      <c r="BN14" s="75">
        <v>101</v>
      </c>
      <c r="BO14" s="90">
        <f t="shared" si="2"/>
        <v>1219</v>
      </c>
      <c r="BP14" s="68">
        <v>1219</v>
      </c>
      <c r="BQ14" s="42" t="s">
        <v>794</v>
      </c>
      <c r="BR14" s="37" t="s">
        <v>21</v>
      </c>
      <c r="BS14" s="68" t="e">
        <f>INT(MID(VLOOKUP($BO14,[1]Sheet1!$A:$C,3,0),9,5))</f>
        <v>#VALUE!</v>
      </c>
      <c r="BT14" s="68" t="str">
        <f t="shared" si="0"/>
        <v>heiwuchang</v>
      </c>
      <c r="BU14" s="68" t="e">
        <f>MID(VLOOKUP($BS14,[2]Sheet1!$A:$C,3,0),3,IF(ISERROR(FIND(",",VLOOKUP($BS14,[2]Sheet1!$A:$C,3,0))),LEN(VLOOKUP($BS14,[2]Sheet1!$A:$C,3,0))-4,FIND(",",VLOOKUP($BS14,[2]Sheet1!$A:$C,3,0))-4))</f>
        <v>#VALUE!</v>
      </c>
      <c r="BV14" s="68" t="str">
        <f>IF(ISERROR(MID(VLOOKUP($BS14,[2]Sheet1!$A:$D,4,0),3,IF(ISERROR(FIND(",",VLOOKUP($BS14,[2]Sheet1!$A:$D,4,0))),LEN(VLOOKUP($BS14,[2]Sheet1!$A:$D,4,0))-4,FIND(",",VLOOKUP($BS14,[2]Sheet1!$A:$D,4,0))-4))),"[]",MID(VLOOKUP($BS14,[2]Sheet1!$A:$D,4,0),3,IF(ISERROR(FIND(",",VLOOKUP($BS14,[2]Sheet1!$A:$D,4,0))),LEN(VLOOKUP($BS14,[2]Sheet1!$A:$D,4,0))-4,FIND(",",VLOOKUP($BS14,[2]Sheet1!$A:$D,4,0))-4)))</f>
        <v>[]</v>
      </c>
      <c r="BW14" s="68" t="str">
        <f t="shared" si="1"/>
        <v>4-16</v>
      </c>
      <c r="BX14" s="62">
        <v>2</v>
      </c>
      <c r="BY14" s="62">
        <v>20</v>
      </c>
      <c r="BZ14" s="62">
        <v>1</v>
      </c>
      <c r="CA14" s="62">
        <v>100</v>
      </c>
    </row>
    <row r="15" spans="1:84" s="62" customFormat="1">
      <c r="A15" s="33">
        <v>1112</v>
      </c>
      <c r="B15" s="33" t="s">
        <v>330</v>
      </c>
      <c r="C15" s="33" t="s">
        <v>499</v>
      </c>
      <c r="D15" s="33">
        <v>1</v>
      </c>
      <c r="E15" s="33">
        <v>2</v>
      </c>
      <c r="F15" s="33">
        <v>3</v>
      </c>
      <c r="G15" s="33">
        <v>3</v>
      </c>
      <c r="H15" s="33" t="s">
        <v>1122</v>
      </c>
      <c r="I15" s="33">
        <v>150</v>
      </c>
      <c r="J15" s="33" t="s">
        <v>46</v>
      </c>
      <c r="K15" s="33">
        <v>10</v>
      </c>
      <c r="L15" s="33" t="s">
        <v>47</v>
      </c>
      <c r="M15" s="33" t="s">
        <v>779</v>
      </c>
      <c r="N15" s="33" t="s">
        <v>48</v>
      </c>
      <c r="O15" s="33" t="s">
        <v>40</v>
      </c>
      <c r="P15" s="33" t="s">
        <v>364</v>
      </c>
      <c r="Q15" s="33">
        <v>1</v>
      </c>
      <c r="R15" s="33" t="s">
        <v>21</v>
      </c>
      <c r="S15" s="33" t="s">
        <v>21</v>
      </c>
      <c r="T15" s="33" t="s">
        <v>21</v>
      </c>
      <c r="U15" s="33">
        <v>5</v>
      </c>
      <c r="V15" s="33">
        <v>16</v>
      </c>
      <c r="W15" s="33">
        <f>VLOOKUP(F15,Sheet3!$B$33:$E$37,3,0)</f>
        <v>5</v>
      </c>
      <c r="X15" s="33">
        <f>VLOOKUP(F15,Sheet3!$B$33:$E$37,2,0)</f>
        <v>15</v>
      </c>
      <c r="Y15" s="33">
        <f>VLOOKUP(F15,Sheet3!$B$33:$E$37,4,0)</f>
        <v>8</v>
      </c>
      <c r="Z15" s="33">
        <v>1</v>
      </c>
      <c r="AA15" s="97">
        <v>0</v>
      </c>
      <c r="AB15" s="97">
        <v>0</v>
      </c>
      <c r="AC15" s="35">
        <v>12500</v>
      </c>
      <c r="AD15" s="35">
        <v>500</v>
      </c>
      <c r="AE15" s="35">
        <v>250</v>
      </c>
      <c r="AF15" s="35">
        <v>250</v>
      </c>
      <c r="AG15" s="33">
        <v>1</v>
      </c>
      <c r="AH15" s="33">
        <v>0</v>
      </c>
      <c r="AI15" s="33">
        <v>0</v>
      </c>
      <c r="AJ15" s="33">
        <v>0</v>
      </c>
      <c r="AK15" s="33">
        <v>0</v>
      </c>
      <c r="AL15" s="33">
        <v>0</v>
      </c>
      <c r="AM15" s="33">
        <v>1</v>
      </c>
      <c r="AN15" s="97">
        <v>0</v>
      </c>
      <c r="AO15" s="97">
        <v>0</v>
      </c>
      <c r="AP15" s="35">
        <v>750</v>
      </c>
      <c r="AQ15" s="35">
        <v>30</v>
      </c>
      <c r="AR15" s="35">
        <v>15</v>
      </c>
      <c r="AS15" s="35">
        <v>15</v>
      </c>
      <c r="AT15" s="33">
        <v>0</v>
      </c>
      <c r="AU15" s="33">
        <v>0</v>
      </c>
      <c r="AV15" s="33">
        <v>0</v>
      </c>
      <c r="AW15" s="33">
        <v>0</v>
      </c>
      <c r="AX15" s="35" t="s">
        <v>1095</v>
      </c>
      <c r="AY15" s="33">
        <v>10</v>
      </c>
      <c r="AZ15" s="34" t="s">
        <v>890</v>
      </c>
      <c r="BA15" s="33" t="s">
        <v>221</v>
      </c>
      <c r="BB15" s="33">
        <v>50</v>
      </c>
      <c r="BC15" s="107" t="s">
        <v>873</v>
      </c>
      <c r="BD15" s="35" t="s">
        <v>21</v>
      </c>
      <c r="BE15" s="94" t="s">
        <v>1003</v>
      </c>
      <c r="BF15" s="33">
        <v>2000</v>
      </c>
      <c r="BG15" s="97">
        <v>20000</v>
      </c>
      <c r="BH15" s="97">
        <v>4000</v>
      </c>
      <c r="BI15" s="33">
        <v>10012</v>
      </c>
      <c r="BJ15" s="33" t="s">
        <v>21</v>
      </c>
      <c r="BK15" s="33">
        <v>0</v>
      </c>
      <c r="BL15" s="33">
        <f>VLOOKUP(F15,Sheet3!$B$33:$F$37,5,0)</f>
        <v>50000</v>
      </c>
      <c r="BM15" s="33">
        <v>1.5</v>
      </c>
      <c r="BN15" s="67">
        <v>101</v>
      </c>
      <c r="BO15" s="90">
        <f t="shared" si="2"/>
        <v>1112</v>
      </c>
      <c r="BP15" s="68">
        <v>1112</v>
      </c>
      <c r="BQ15" s="33" t="s">
        <v>809</v>
      </c>
      <c r="BR15" s="33" t="s">
        <v>21</v>
      </c>
      <c r="BS15" s="68" t="e">
        <f>INT(MID(VLOOKUP($BO15,[1]Sheet1!$A:$C,3,0),9,5))</f>
        <v>#VALUE!</v>
      </c>
      <c r="BT15" s="68" t="str">
        <f t="shared" si="0"/>
        <v>niumowang</v>
      </c>
      <c r="BU15" s="68" t="e">
        <f>MID(VLOOKUP($BS15,[2]Sheet1!$A:$C,3,0),3,IF(ISERROR(FIND(",",VLOOKUP($BS15,[2]Sheet1!$A:$C,3,0))),LEN(VLOOKUP($BS15,[2]Sheet1!$A:$C,3,0))-4,FIND(",",VLOOKUP($BS15,[2]Sheet1!$A:$C,3,0))-4))</f>
        <v>#VALUE!</v>
      </c>
      <c r="BV15" s="68" t="str">
        <f>IF(ISERROR(MID(VLOOKUP($BS15,[2]Sheet1!$A:$D,4,0),3,IF(ISERROR(FIND(",",VLOOKUP($BS15,[2]Sheet1!$A:$D,4,0))),LEN(VLOOKUP($BS15,[2]Sheet1!$A:$D,4,0))-4,FIND(",",VLOOKUP($BS15,[2]Sheet1!$A:$D,4,0))-4))),"[]",MID(VLOOKUP($BS15,[2]Sheet1!$A:$D,4,0),3,IF(ISERROR(FIND(",",VLOOKUP($BS15,[2]Sheet1!$A:$D,4,0))),LEN(VLOOKUP($BS15,[2]Sheet1!$A:$D,4,0))-4,FIND(",",VLOOKUP($BS15,[2]Sheet1!$A:$D,4,0))-4)))</f>
        <v>[]</v>
      </c>
      <c r="BW15" s="68" t="str">
        <f t="shared" si="1"/>
        <v>3-16</v>
      </c>
    </row>
    <row r="16" spans="1:84" s="62" customFormat="1">
      <c r="A16" s="33">
        <v>1119</v>
      </c>
      <c r="B16" s="33" t="s">
        <v>318</v>
      </c>
      <c r="C16" s="33" t="s">
        <v>1113</v>
      </c>
      <c r="D16" s="33">
        <v>1</v>
      </c>
      <c r="E16" s="33">
        <v>2</v>
      </c>
      <c r="F16" s="33">
        <v>3</v>
      </c>
      <c r="G16" s="33">
        <v>3</v>
      </c>
      <c r="H16" s="33" t="s">
        <v>1122</v>
      </c>
      <c r="I16" s="33">
        <v>150</v>
      </c>
      <c r="J16" s="33" t="s">
        <v>133</v>
      </c>
      <c r="K16" s="33">
        <v>10</v>
      </c>
      <c r="L16" s="33" t="s">
        <v>328</v>
      </c>
      <c r="M16" s="33" t="s">
        <v>779</v>
      </c>
      <c r="N16" s="33" t="s">
        <v>134</v>
      </c>
      <c r="O16" s="33" t="s">
        <v>40</v>
      </c>
      <c r="P16" s="33" t="s">
        <v>367</v>
      </c>
      <c r="Q16" s="33">
        <v>1</v>
      </c>
      <c r="R16" s="33" t="s">
        <v>21</v>
      </c>
      <c r="S16" s="33" t="s">
        <v>21</v>
      </c>
      <c r="T16" s="33" t="s">
        <v>21</v>
      </c>
      <c r="U16" s="33">
        <v>6</v>
      </c>
      <c r="V16" s="33">
        <v>20</v>
      </c>
      <c r="W16" s="33">
        <f>VLOOKUP(F16,Sheet3!$B$33:$E$37,3,0)</f>
        <v>5</v>
      </c>
      <c r="X16" s="33">
        <f>VLOOKUP(F16,Sheet3!$B$33:$E$37,2,0)</f>
        <v>15</v>
      </c>
      <c r="Y16" s="33">
        <f>VLOOKUP(F16,Sheet3!$B$33:$E$37,4,0)</f>
        <v>8</v>
      </c>
      <c r="Z16" s="33">
        <v>1.25</v>
      </c>
      <c r="AA16" s="97">
        <v>0</v>
      </c>
      <c r="AB16" s="97">
        <v>0</v>
      </c>
      <c r="AC16" s="35">
        <v>20000</v>
      </c>
      <c r="AD16" s="35">
        <v>800</v>
      </c>
      <c r="AE16" s="35">
        <v>400</v>
      </c>
      <c r="AF16" s="35">
        <v>400</v>
      </c>
      <c r="AG16" s="33">
        <v>1</v>
      </c>
      <c r="AH16" s="33">
        <v>0</v>
      </c>
      <c r="AI16" s="33">
        <v>0</v>
      </c>
      <c r="AJ16" s="33">
        <v>0</v>
      </c>
      <c r="AK16" s="33">
        <v>0</v>
      </c>
      <c r="AL16" s="33">
        <v>0</v>
      </c>
      <c r="AM16" s="33">
        <v>1</v>
      </c>
      <c r="AN16" s="97">
        <v>0</v>
      </c>
      <c r="AO16" s="97">
        <v>0</v>
      </c>
      <c r="AP16" s="35">
        <v>1500</v>
      </c>
      <c r="AQ16" s="35">
        <v>60</v>
      </c>
      <c r="AR16" s="35">
        <v>30</v>
      </c>
      <c r="AS16" s="35">
        <v>30</v>
      </c>
      <c r="AT16" s="33">
        <v>0</v>
      </c>
      <c r="AU16" s="33">
        <v>0</v>
      </c>
      <c r="AV16" s="33">
        <v>0</v>
      </c>
      <c r="AW16" s="33">
        <v>0</v>
      </c>
      <c r="AX16" s="35" t="s">
        <v>1096</v>
      </c>
      <c r="AY16" s="33">
        <v>10</v>
      </c>
      <c r="AZ16" s="34" t="s">
        <v>891</v>
      </c>
      <c r="BA16" s="33" t="s">
        <v>221</v>
      </c>
      <c r="BB16" s="33">
        <v>50</v>
      </c>
      <c r="BC16" s="107" t="s">
        <v>874</v>
      </c>
      <c r="BD16" s="35" t="s">
        <v>21</v>
      </c>
      <c r="BE16" s="94" t="s">
        <v>1003</v>
      </c>
      <c r="BF16" s="33">
        <v>3000</v>
      </c>
      <c r="BG16" s="97">
        <v>20000</v>
      </c>
      <c r="BH16" s="97">
        <v>4000</v>
      </c>
      <c r="BI16" s="33">
        <v>10019</v>
      </c>
      <c r="BJ16" s="33" t="s">
        <v>21</v>
      </c>
      <c r="BK16" s="33">
        <v>0</v>
      </c>
      <c r="BL16" s="33">
        <f>VLOOKUP(F16,Sheet3!$B$33:$F$37,5,0)</f>
        <v>50000</v>
      </c>
      <c r="BM16" s="33">
        <v>1.5</v>
      </c>
      <c r="BN16" s="67">
        <v>102</v>
      </c>
      <c r="BO16" s="90">
        <f t="shared" si="2"/>
        <v>1119</v>
      </c>
      <c r="BP16" s="68">
        <v>1119</v>
      </c>
      <c r="BQ16" s="33" t="s">
        <v>815</v>
      </c>
      <c r="BR16" s="33" t="s">
        <v>21</v>
      </c>
      <c r="BS16" s="68" t="e">
        <f>INT(MID(VLOOKUP($BO16,[1]Sheet1!$A:$C,3,0),9,5))</f>
        <v>#VALUE!</v>
      </c>
      <c r="BT16" s="68" t="str">
        <f t="shared" si="0"/>
        <v>sunwukong</v>
      </c>
      <c r="BU16" s="68" t="e">
        <f>MID(VLOOKUP($BS16,[2]Sheet1!$A:$C,3,0),3,IF(ISERROR(FIND(",",VLOOKUP($BS16,[2]Sheet1!$A:$C,3,0))),LEN(VLOOKUP($BS16,[2]Sheet1!$A:$C,3,0))-4,FIND(",",VLOOKUP($BS16,[2]Sheet1!$A:$C,3,0))-4))</f>
        <v>#VALUE!</v>
      </c>
      <c r="BV16" s="68" t="str">
        <f>IF(ISERROR(MID(VLOOKUP($BS16,[2]Sheet1!$A:$D,4,0),3,IF(ISERROR(FIND(",",VLOOKUP($BS16,[2]Sheet1!$A:$D,4,0))),LEN(VLOOKUP($BS16,[2]Sheet1!$A:$D,4,0))-4,FIND(",",VLOOKUP($BS16,[2]Sheet1!$A:$D,4,0))-4))),"[]",MID(VLOOKUP($BS16,[2]Sheet1!$A:$D,4,0),3,IF(ISERROR(FIND(",",VLOOKUP($BS16,[2]Sheet1!$A:$D,4,0))),LEN(VLOOKUP($BS16,[2]Sheet1!$A:$D,4,0))-4,FIND(",",VLOOKUP($BS16,[2]Sheet1!$A:$D,4,0))-4)))</f>
        <v>[]</v>
      </c>
      <c r="BW16" s="68" t="str">
        <f t="shared" si="1"/>
        <v>3-20</v>
      </c>
    </row>
    <row r="17" spans="1:75" s="62" customFormat="1">
      <c r="A17" s="33">
        <v>1105</v>
      </c>
      <c r="B17" s="33" t="s">
        <v>111</v>
      </c>
      <c r="C17" s="33" t="s">
        <v>1115</v>
      </c>
      <c r="D17" s="33">
        <v>1</v>
      </c>
      <c r="E17" s="33">
        <v>1</v>
      </c>
      <c r="F17" s="33">
        <v>2</v>
      </c>
      <c r="G17" s="33">
        <v>2</v>
      </c>
      <c r="H17" s="33" t="s">
        <v>1124</v>
      </c>
      <c r="I17" s="33">
        <v>150</v>
      </c>
      <c r="J17" s="33" t="s">
        <v>175</v>
      </c>
      <c r="K17" s="33">
        <v>10</v>
      </c>
      <c r="L17" s="33" t="s">
        <v>112</v>
      </c>
      <c r="M17" s="33" t="s">
        <v>779</v>
      </c>
      <c r="N17" s="33" t="s">
        <v>113</v>
      </c>
      <c r="O17" s="33" t="s">
        <v>40</v>
      </c>
      <c r="P17" s="33" t="s">
        <v>361</v>
      </c>
      <c r="Q17" s="33">
        <v>1</v>
      </c>
      <c r="R17" s="33" t="s">
        <v>21</v>
      </c>
      <c r="S17" s="33" t="s">
        <v>21</v>
      </c>
      <c r="T17" s="33" t="s">
        <v>21</v>
      </c>
      <c r="U17" s="33">
        <v>6</v>
      </c>
      <c r="V17" s="33">
        <v>20</v>
      </c>
      <c r="W17" s="33">
        <f>VLOOKUP(F17,Sheet3!$B$33:$E$37,3,0)</f>
        <v>9</v>
      </c>
      <c r="X17" s="33">
        <f>VLOOKUP(F17,Sheet3!$B$33:$E$37,2,0)</f>
        <v>15</v>
      </c>
      <c r="Y17" s="33">
        <f>VLOOKUP(F17,Sheet3!$B$33:$E$37,4,0)</f>
        <v>8</v>
      </c>
      <c r="Z17" s="33">
        <v>0.8</v>
      </c>
      <c r="AA17" s="97">
        <v>0</v>
      </c>
      <c r="AB17" s="97">
        <v>0</v>
      </c>
      <c r="AC17" s="35">
        <v>20000</v>
      </c>
      <c r="AD17" s="35">
        <v>800</v>
      </c>
      <c r="AE17" s="35">
        <v>400</v>
      </c>
      <c r="AF17" s="35">
        <v>400</v>
      </c>
      <c r="AG17" s="33">
        <v>1</v>
      </c>
      <c r="AH17" s="33">
        <v>0</v>
      </c>
      <c r="AI17" s="33">
        <v>0</v>
      </c>
      <c r="AJ17" s="33">
        <v>0</v>
      </c>
      <c r="AK17" s="33">
        <v>0</v>
      </c>
      <c r="AL17" s="33">
        <v>0</v>
      </c>
      <c r="AM17" s="33">
        <v>1</v>
      </c>
      <c r="AN17" s="97">
        <v>0</v>
      </c>
      <c r="AO17" s="97">
        <v>0</v>
      </c>
      <c r="AP17" s="35">
        <v>1500</v>
      </c>
      <c r="AQ17" s="35">
        <v>60</v>
      </c>
      <c r="AR17" s="35">
        <v>30</v>
      </c>
      <c r="AS17" s="35">
        <v>30</v>
      </c>
      <c r="AT17" s="33">
        <v>0</v>
      </c>
      <c r="AU17" s="33">
        <v>0</v>
      </c>
      <c r="AV17" s="33">
        <v>0</v>
      </c>
      <c r="AW17" s="33">
        <v>0</v>
      </c>
      <c r="AX17" s="35" t="s">
        <v>1098</v>
      </c>
      <c r="AY17" s="33">
        <v>10</v>
      </c>
      <c r="AZ17" s="34" t="s">
        <v>892</v>
      </c>
      <c r="BA17" s="33" t="s">
        <v>222</v>
      </c>
      <c r="BB17" s="33">
        <v>50</v>
      </c>
      <c r="BC17" s="107" t="s">
        <v>1047</v>
      </c>
      <c r="BD17" s="35" t="s">
        <v>21</v>
      </c>
      <c r="BE17" s="94" t="s">
        <v>1003</v>
      </c>
      <c r="BF17" s="33">
        <v>3000</v>
      </c>
      <c r="BG17" s="97">
        <v>20000</v>
      </c>
      <c r="BH17" s="97">
        <v>4000</v>
      </c>
      <c r="BI17" s="33">
        <v>10005</v>
      </c>
      <c r="BJ17" s="33" t="s">
        <v>21</v>
      </c>
      <c r="BK17" s="33">
        <v>0</v>
      </c>
      <c r="BL17" s="33">
        <f>VLOOKUP(F17,Sheet3!$B$33:$F$37,5,0)</f>
        <v>10000</v>
      </c>
      <c r="BM17" s="33">
        <v>1</v>
      </c>
      <c r="BN17" s="67">
        <v>102</v>
      </c>
      <c r="BO17" s="90">
        <f t="shared" si="2"/>
        <v>1105</v>
      </c>
      <c r="BP17" s="68">
        <v>1105</v>
      </c>
      <c r="BQ17" s="33" t="s">
        <v>821</v>
      </c>
      <c r="BR17" s="33" t="s">
        <v>21</v>
      </c>
      <c r="BS17" s="68" t="e">
        <f>INT(MID(VLOOKUP($BO17,[1]Sheet1!$A:$C,3,0),9,5))</f>
        <v>#VALUE!</v>
      </c>
      <c r="BT17" s="68" t="str">
        <f t="shared" si="0"/>
        <v>wangmuniangniang</v>
      </c>
      <c r="BU17" s="68" t="e">
        <f>MID(VLOOKUP($BS17,[2]Sheet1!$A:$C,3,0),3,IF(ISERROR(FIND(",",VLOOKUP($BS17,[2]Sheet1!$A:$C,3,0))),LEN(VLOOKUP($BS17,[2]Sheet1!$A:$C,3,0))-4,FIND(",",VLOOKUP($BS17,[2]Sheet1!$A:$C,3,0))-4))</f>
        <v>#VALUE!</v>
      </c>
      <c r="BV17" s="68" t="str">
        <f>IF(ISERROR(MID(VLOOKUP($BS17,[2]Sheet1!$A:$D,4,0),3,IF(ISERROR(FIND(",",VLOOKUP($BS17,[2]Sheet1!$A:$D,4,0))),LEN(VLOOKUP($BS17,[2]Sheet1!$A:$D,4,0))-4,FIND(",",VLOOKUP($BS17,[2]Sheet1!$A:$D,4,0))-4))),"[]",MID(VLOOKUP($BS17,[2]Sheet1!$A:$D,4,0),3,IF(ISERROR(FIND(",",VLOOKUP($BS17,[2]Sheet1!$A:$D,4,0))),LEN(VLOOKUP($BS17,[2]Sheet1!$A:$D,4,0))-4,FIND(",",VLOOKUP($BS17,[2]Sheet1!$A:$D,4,0))-4)))</f>
        <v>[]</v>
      </c>
      <c r="BW17" s="68" t="str">
        <f t="shared" si="1"/>
        <v>2-20</v>
      </c>
    </row>
    <row r="18" spans="1:75" s="62" customFormat="1">
      <c r="A18" s="42">
        <v>1218</v>
      </c>
      <c r="B18" s="37" t="s">
        <v>1156</v>
      </c>
      <c r="C18" s="42" t="s">
        <v>1114</v>
      </c>
      <c r="D18" s="42">
        <v>1</v>
      </c>
      <c r="E18" s="42">
        <v>1</v>
      </c>
      <c r="F18" s="42">
        <v>2</v>
      </c>
      <c r="G18" s="42">
        <v>2</v>
      </c>
      <c r="H18" s="42" t="s">
        <v>1124</v>
      </c>
      <c r="I18" s="42">
        <v>150</v>
      </c>
      <c r="J18" s="42" t="s">
        <v>472</v>
      </c>
      <c r="K18" s="42">
        <v>10</v>
      </c>
      <c r="L18" s="42" t="s">
        <v>473</v>
      </c>
      <c r="M18" s="33" t="s">
        <v>779</v>
      </c>
      <c r="N18" s="42" t="s">
        <v>474</v>
      </c>
      <c r="O18" s="42" t="s">
        <v>40</v>
      </c>
      <c r="P18" s="42" t="s">
        <v>475</v>
      </c>
      <c r="Q18" s="42">
        <v>1</v>
      </c>
      <c r="R18" s="42" t="s">
        <v>21</v>
      </c>
      <c r="S18" s="42" t="s">
        <v>21</v>
      </c>
      <c r="T18" s="42" t="s">
        <v>21</v>
      </c>
      <c r="U18" s="42">
        <v>5</v>
      </c>
      <c r="V18" s="33">
        <v>16</v>
      </c>
      <c r="W18" s="33">
        <f>VLOOKUP(F18,Sheet3!$B$33:$E$37,3,0)</f>
        <v>9</v>
      </c>
      <c r="X18" s="33">
        <f>VLOOKUP(F18,Sheet3!$B$33:$E$37,2,0)</f>
        <v>15</v>
      </c>
      <c r="Y18" s="33">
        <f>VLOOKUP(F18,Sheet3!$B$33:$E$37,4,0)</f>
        <v>8</v>
      </c>
      <c r="Z18" s="42">
        <v>0.8</v>
      </c>
      <c r="AA18" s="98">
        <v>0</v>
      </c>
      <c r="AB18" s="98">
        <v>0</v>
      </c>
      <c r="AC18" s="35">
        <v>12500</v>
      </c>
      <c r="AD18" s="35">
        <v>500</v>
      </c>
      <c r="AE18" s="35">
        <v>250</v>
      </c>
      <c r="AF18" s="35">
        <v>250</v>
      </c>
      <c r="AG18" s="42">
        <v>1</v>
      </c>
      <c r="AH18" s="42">
        <v>0</v>
      </c>
      <c r="AI18" s="42">
        <v>0</v>
      </c>
      <c r="AJ18" s="42">
        <v>0</v>
      </c>
      <c r="AK18" s="42">
        <v>0</v>
      </c>
      <c r="AL18" s="42">
        <v>0</v>
      </c>
      <c r="AM18" s="33">
        <v>1</v>
      </c>
      <c r="AN18" s="98">
        <v>0</v>
      </c>
      <c r="AO18" s="98">
        <v>0</v>
      </c>
      <c r="AP18" s="35">
        <v>750</v>
      </c>
      <c r="AQ18" s="35">
        <v>30</v>
      </c>
      <c r="AR18" s="35">
        <v>15</v>
      </c>
      <c r="AS18" s="35">
        <v>15</v>
      </c>
      <c r="AT18" s="42">
        <v>0</v>
      </c>
      <c r="AU18" s="42">
        <v>0</v>
      </c>
      <c r="AV18" s="42">
        <v>0</v>
      </c>
      <c r="AW18" s="42">
        <v>0</v>
      </c>
      <c r="AX18" s="35" t="s">
        <v>1099</v>
      </c>
      <c r="AY18" s="42">
        <v>10</v>
      </c>
      <c r="AZ18" s="34" t="s">
        <v>893</v>
      </c>
      <c r="BA18" s="42" t="s">
        <v>222</v>
      </c>
      <c r="BB18" s="42">
        <v>50</v>
      </c>
      <c r="BC18" s="107" t="s">
        <v>1048</v>
      </c>
      <c r="BD18" s="35" t="s">
        <v>21</v>
      </c>
      <c r="BE18" s="94" t="s">
        <v>1003</v>
      </c>
      <c r="BF18" s="42">
        <v>2000</v>
      </c>
      <c r="BG18" s="98">
        <v>20000</v>
      </c>
      <c r="BH18" s="98">
        <v>4000</v>
      </c>
      <c r="BI18" s="33">
        <v>10118</v>
      </c>
      <c r="BJ18" s="42" t="s">
        <v>21</v>
      </c>
      <c r="BK18" s="42">
        <v>0</v>
      </c>
      <c r="BL18" s="33">
        <f>VLOOKUP(F18,Sheet3!$B$33:$F$37,5,0)</f>
        <v>10000</v>
      </c>
      <c r="BM18" s="42">
        <v>1</v>
      </c>
      <c r="BN18" s="75">
        <v>101</v>
      </c>
      <c r="BO18" s="90">
        <f t="shared" si="2"/>
        <v>1218</v>
      </c>
      <c r="BP18" s="68">
        <v>1218</v>
      </c>
      <c r="BQ18" s="42" t="s">
        <v>786</v>
      </c>
      <c r="BR18" s="37" t="s">
        <v>21</v>
      </c>
      <c r="BS18" s="68" t="e">
        <f>INT(MID(VLOOKUP($BO18,[1]Sheet1!$A:$C,3,0),9,5))</f>
        <v>#VALUE!</v>
      </c>
      <c r="BT18" s="68" t="str">
        <f t="shared" si="0"/>
        <v>baiwuchang</v>
      </c>
      <c r="BU18" s="68" t="e">
        <f>MID(VLOOKUP($BS18,[2]Sheet1!$A:$C,3,0),3,IF(ISERROR(FIND(",",VLOOKUP($BS18,[2]Sheet1!$A:$C,3,0))),LEN(VLOOKUP($BS18,[2]Sheet1!$A:$C,3,0))-4,FIND(",",VLOOKUP($BS18,[2]Sheet1!$A:$C,3,0))-4))</f>
        <v>#VALUE!</v>
      </c>
      <c r="BV18" s="68" t="str">
        <f>IF(ISERROR(MID(VLOOKUP($BS18,[2]Sheet1!$A:$D,4,0),3,IF(ISERROR(FIND(",",VLOOKUP($BS18,[2]Sheet1!$A:$D,4,0))),LEN(VLOOKUP($BS18,[2]Sheet1!$A:$D,4,0))-4,FIND(",",VLOOKUP($BS18,[2]Sheet1!$A:$D,4,0))-4))),"[]",MID(VLOOKUP($BS18,[2]Sheet1!$A:$D,4,0),3,IF(ISERROR(FIND(",",VLOOKUP($BS18,[2]Sheet1!$A:$D,4,0))),LEN(VLOOKUP($BS18,[2]Sheet1!$A:$D,4,0))-4,FIND(",",VLOOKUP($BS18,[2]Sheet1!$A:$D,4,0))-4)))</f>
        <v>[]</v>
      </c>
      <c r="BW18" s="68" t="str">
        <f t="shared" si="1"/>
        <v>2-16</v>
      </c>
    </row>
    <row r="19" spans="1:75" s="62" customFormat="1">
      <c r="A19" s="33">
        <v>1124</v>
      </c>
      <c r="B19" s="33" t="s">
        <v>447</v>
      </c>
      <c r="C19" s="33" t="s">
        <v>517</v>
      </c>
      <c r="D19" s="33">
        <v>1</v>
      </c>
      <c r="E19" s="33">
        <v>2</v>
      </c>
      <c r="F19" s="33">
        <v>2</v>
      </c>
      <c r="G19" s="33">
        <v>2</v>
      </c>
      <c r="H19" s="33" t="s">
        <v>1124</v>
      </c>
      <c r="I19" s="33">
        <v>150</v>
      </c>
      <c r="J19" s="33" t="s">
        <v>141</v>
      </c>
      <c r="K19" s="33">
        <v>10</v>
      </c>
      <c r="L19" s="33" t="s">
        <v>90</v>
      </c>
      <c r="M19" s="33" t="s">
        <v>779</v>
      </c>
      <c r="N19" s="33" t="s">
        <v>142</v>
      </c>
      <c r="O19" s="33" t="s">
        <v>40</v>
      </c>
      <c r="P19" s="33" t="s">
        <v>380</v>
      </c>
      <c r="Q19" s="33">
        <v>1</v>
      </c>
      <c r="R19" s="33" t="s">
        <v>21</v>
      </c>
      <c r="S19" s="33" t="s">
        <v>21</v>
      </c>
      <c r="T19" s="33" t="s">
        <v>21</v>
      </c>
      <c r="U19" s="33">
        <v>6</v>
      </c>
      <c r="V19" s="33">
        <v>20</v>
      </c>
      <c r="W19" s="33">
        <f>VLOOKUP(F19,Sheet3!$B$33:$E$37,3,0)</f>
        <v>9</v>
      </c>
      <c r="X19" s="33">
        <f>VLOOKUP(F19,Sheet3!$B$33:$E$37,2,0)</f>
        <v>15</v>
      </c>
      <c r="Y19" s="33">
        <f>VLOOKUP(F19,Sheet3!$B$33:$E$37,4,0)</f>
        <v>8</v>
      </c>
      <c r="Z19" s="33">
        <v>0.8</v>
      </c>
      <c r="AA19" s="97">
        <v>0</v>
      </c>
      <c r="AB19" s="97">
        <v>0</v>
      </c>
      <c r="AC19" s="35">
        <v>20000</v>
      </c>
      <c r="AD19" s="35">
        <v>800</v>
      </c>
      <c r="AE19" s="35">
        <v>400</v>
      </c>
      <c r="AF19" s="35">
        <v>400</v>
      </c>
      <c r="AG19" s="33">
        <v>1</v>
      </c>
      <c r="AH19" s="33">
        <v>0</v>
      </c>
      <c r="AI19" s="33">
        <v>0</v>
      </c>
      <c r="AJ19" s="33">
        <v>0</v>
      </c>
      <c r="AK19" s="33">
        <v>0</v>
      </c>
      <c r="AL19" s="33">
        <v>0</v>
      </c>
      <c r="AM19" s="33">
        <v>1</v>
      </c>
      <c r="AN19" s="97">
        <v>0</v>
      </c>
      <c r="AO19" s="97">
        <v>0</v>
      </c>
      <c r="AP19" s="35">
        <v>1500</v>
      </c>
      <c r="AQ19" s="35">
        <v>60</v>
      </c>
      <c r="AR19" s="35">
        <v>30</v>
      </c>
      <c r="AS19" s="35">
        <v>30</v>
      </c>
      <c r="AT19" s="33">
        <v>0</v>
      </c>
      <c r="AU19" s="33">
        <v>0</v>
      </c>
      <c r="AV19" s="33">
        <v>0</v>
      </c>
      <c r="AW19" s="33">
        <v>0</v>
      </c>
      <c r="AX19" s="35" t="s">
        <v>1098</v>
      </c>
      <c r="AY19" s="33">
        <v>10</v>
      </c>
      <c r="AZ19" s="34" t="s">
        <v>894</v>
      </c>
      <c r="BA19" s="33" t="s">
        <v>222</v>
      </c>
      <c r="BB19" s="33">
        <v>50</v>
      </c>
      <c r="BC19" s="107" t="s">
        <v>875</v>
      </c>
      <c r="BD19" s="35" t="s">
        <v>21</v>
      </c>
      <c r="BE19" s="94" t="s">
        <v>1003</v>
      </c>
      <c r="BF19" s="33">
        <v>3000</v>
      </c>
      <c r="BG19" s="97">
        <v>20000</v>
      </c>
      <c r="BH19" s="97">
        <v>4000</v>
      </c>
      <c r="BI19" s="33">
        <v>10024</v>
      </c>
      <c r="BJ19" s="33" t="s">
        <v>21</v>
      </c>
      <c r="BK19" s="33">
        <v>0</v>
      </c>
      <c r="BL19" s="33">
        <f>VLOOKUP(F19,Sheet3!$B$33:$F$37,5,0)</f>
        <v>10000</v>
      </c>
      <c r="BM19" s="33">
        <v>1</v>
      </c>
      <c r="BN19" s="67">
        <v>102</v>
      </c>
      <c r="BO19" s="90">
        <f t="shared" si="2"/>
        <v>1124</v>
      </c>
      <c r="BP19" s="68">
        <v>1124</v>
      </c>
      <c r="BQ19" s="33" t="s">
        <v>814</v>
      </c>
      <c r="BR19" s="33" t="s">
        <v>21</v>
      </c>
      <c r="BS19" s="68" t="e">
        <f>INT(MID(VLOOKUP($BO19,[1]Sheet1!$A:$C,3,0),9,5))</f>
        <v>#VALUE!</v>
      </c>
      <c r="BT19" s="68" t="str">
        <f t="shared" si="0"/>
        <v>shaheshang</v>
      </c>
      <c r="BU19" s="68" t="e">
        <f>MID(VLOOKUP($BS19,[2]Sheet1!$A:$C,3,0),3,IF(ISERROR(FIND(",",VLOOKUP($BS19,[2]Sheet1!$A:$C,3,0))),LEN(VLOOKUP($BS19,[2]Sheet1!$A:$C,3,0))-4,FIND(",",VLOOKUP($BS19,[2]Sheet1!$A:$C,3,0))-4))</f>
        <v>#VALUE!</v>
      </c>
      <c r="BV19" s="68" t="str">
        <f>IF(ISERROR(MID(VLOOKUP($BS19,[2]Sheet1!$A:$D,4,0),3,IF(ISERROR(FIND(",",VLOOKUP($BS19,[2]Sheet1!$A:$D,4,0))),LEN(VLOOKUP($BS19,[2]Sheet1!$A:$D,4,0))-4,FIND(",",VLOOKUP($BS19,[2]Sheet1!$A:$D,4,0))-4))),"[]",MID(VLOOKUP($BS19,[2]Sheet1!$A:$D,4,0),3,IF(ISERROR(FIND(",",VLOOKUP($BS19,[2]Sheet1!$A:$D,4,0))),LEN(VLOOKUP($BS19,[2]Sheet1!$A:$D,4,0))-4,FIND(",",VLOOKUP($BS19,[2]Sheet1!$A:$D,4,0))-4)))</f>
        <v>[]</v>
      </c>
      <c r="BW19" s="68" t="str">
        <f t="shared" si="1"/>
        <v>2-20</v>
      </c>
    </row>
    <row r="20" spans="1:75" s="64" customFormat="1">
      <c r="A20" s="36">
        <v>1126</v>
      </c>
      <c r="B20" s="36" t="s">
        <v>147</v>
      </c>
      <c r="C20" s="33" t="s">
        <v>538</v>
      </c>
      <c r="D20" s="33">
        <v>1</v>
      </c>
      <c r="E20" s="33">
        <v>3</v>
      </c>
      <c r="F20" s="33">
        <v>1</v>
      </c>
      <c r="G20" s="33">
        <v>1</v>
      </c>
      <c r="H20" s="33" t="s">
        <v>1125</v>
      </c>
      <c r="I20" s="33">
        <v>150</v>
      </c>
      <c r="J20" s="33" t="s">
        <v>148</v>
      </c>
      <c r="K20" s="33">
        <v>10</v>
      </c>
      <c r="L20" s="33" t="s">
        <v>149</v>
      </c>
      <c r="M20" s="33" t="s">
        <v>779</v>
      </c>
      <c r="N20" s="33" t="s">
        <v>150</v>
      </c>
      <c r="O20" s="33" t="s">
        <v>40</v>
      </c>
      <c r="P20" s="33" t="s">
        <v>486</v>
      </c>
      <c r="Q20" s="33">
        <v>1</v>
      </c>
      <c r="R20" s="33" t="s">
        <v>21</v>
      </c>
      <c r="S20" s="33" t="s">
        <v>21</v>
      </c>
      <c r="T20" s="33" t="s">
        <v>21</v>
      </c>
      <c r="U20" s="33">
        <v>4</v>
      </c>
      <c r="V20" s="33">
        <v>13</v>
      </c>
      <c r="W20" s="33">
        <f>VLOOKUP(F20,Sheet3!$B$33:$E$37,3,0)</f>
        <v>9</v>
      </c>
      <c r="X20" s="33">
        <f>VLOOKUP(F20,Sheet3!$B$33:$E$37,2,0)</f>
        <v>15</v>
      </c>
      <c r="Y20" s="33">
        <f>VLOOKUP(F20,Sheet3!$B$33:$E$37,4,0)</f>
        <v>8</v>
      </c>
      <c r="Z20" s="33">
        <v>1</v>
      </c>
      <c r="AA20" s="97">
        <v>0</v>
      </c>
      <c r="AB20" s="97">
        <v>0</v>
      </c>
      <c r="AC20" s="35">
        <v>7500</v>
      </c>
      <c r="AD20" s="35">
        <v>300</v>
      </c>
      <c r="AE20" s="35">
        <v>150</v>
      </c>
      <c r="AF20" s="35">
        <v>150</v>
      </c>
      <c r="AG20" s="33">
        <v>1</v>
      </c>
      <c r="AH20" s="33">
        <v>0</v>
      </c>
      <c r="AI20" s="33">
        <v>0</v>
      </c>
      <c r="AJ20" s="33">
        <v>0</v>
      </c>
      <c r="AK20" s="33">
        <v>0</v>
      </c>
      <c r="AL20" s="33">
        <v>0</v>
      </c>
      <c r="AM20" s="33">
        <v>1</v>
      </c>
      <c r="AN20" s="97">
        <v>0</v>
      </c>
      <c r="AO20" s="97">
        <v>0</v>
      </c>
      <c r="AP20" s="35">
        <v>625</v>
      </c>
      <c r="AQ20" s="35">
        <v>25</v>
      </c>
      <c r="AR20" s="35">
        <v>13</v>
      </c>
      <c r="AS20" s="35">
        <v>13</v>
      </c>
      <c r="AT20" s="33">
        <v>0</v>
      </c>
      <c r="AU20" s="33">
        <v>0</v>
      </c>
      <c r="AV20" s="33">
        <v>0</v>
      </c>
      <c r="AW20" s="33">
        <v>0</v>
      </c>
      <c r="AX20" s="35" t="s">
        <v>1100</v>
      </c>
      <c r="AY20" s="33">
        <v>10</v>
      </c>
      <c r="AZ20" s="34" t="s">
        <v>895</v>
      </c>
      <c r="BA20" s="33" t="s">
        <v>222</v>
      </c>
      <c r="BB20" s="33">
        <v>50</v>
      </c>
      <c r="BC20" s="107" t="s">
        <v>1049</v>
      </c>
      <c r="BD20" s="35" t="s">
        <v>21</v>
      </c>
      <c r="BE20" s="94" t="s">
        <v>1017</v>
      </c>
      <c r="BF20" s="33">
        <v>1400</v>
      </c>
      <c r="BG20" s="97">
        <v>20000</v>
      </c>
      <c r="BH20" s="97">
        <v>4000</v>
      </c>
      <c r="BI20" s="33">
        <v>10026</v>
      </c>
      <c r="BJ20" s="33" t="s">
        <v>21</v>
      </c>
      <c r="BK20" s="33">
        <v>0</v>
      </c>
      <c r="BL20" s="33">
        <f>VLOOKUP(F20,Sheet3!$B$33:$F$37,5,0)</f>
        <v>3000</v>
      </c>
      <c r="BM20" s="33">
        <v>1</v>
      </c>
      <c r="BN20" s="67">
        <v>100</v>
      </c>
      <c r="BO20" s="90">
        <f t="shared" si="2"/>
        <v>1126</v>
      </c>
      <c r="BP20" s="68">
        <v>1126</v>
      </c>
      <c r="BQ20" s="36" t="s">
        <v>822</v>
      </c>
      <c r="BR20" s="36" t="s">
        <v>21</v>
      </c>
      <c r="BS20" s="78" t="e">
        <f>INT(MID(VLOOKUP($BO20,[1]Sheet1!$A:$C,3,0),9,5))</f>
        <v>#VALUE!</v>
      </c>
      <c r="BT20" s="78" t="str">
        <f t="shared" si="0"/>
        <v>wenshupusa</v>
      </c>
      <c r="BU20" s="78" t="e">
        <f>MID(VLOOKUP($BS20,[2]Sheet1!$A:$C,3,0),3,IF(ISERROR(FIND(",",VLOOKUP($BS20,[2]Sheet1!$A:$C,3,0))),LEN(VLOOKUP($BS20,[2]Sheet1!$A:$C,3,0))-4,FIND(",",VLOOKUP($BS20,[2]Sheet1!$A:$C,3,0))-4))</f>
        <v>#VALUE!</v>
      </c>
      <c r="BV20" s="78" t="str">
        <f>IF(ISERROR(MID(VLOOKUP($BS20,[2]Sheet1!$A:$D,4,0),3,IF(ISERROR(FIND(",",VLOOKUP($BS20,[2]Sheet1!$A:$D,4,0))),LEN(VLOOKUP($BS20,[2]Sheet1!$A:$D,4,0))-4,FIND(",",VLOOKUP($BS20,[2]Sheet1!$A:$D,4,0))-4))),"[]",MID(VLOOKUP($BS20,[2]Sheet1!$A:$D,4,0),3,IF(ISERROR(FIND(",",VLOOKUP($BS20,[2]Sheet1!$A:$D,4,0))),LEN(VLOOKUP($BS20,[2]Sheet1!$A:$D,4,0))-4,FIND(",",VLOOKUP($BS20,[2]Sheet1!$A:$D,4,0))-4)))</f>
        <v>[]</v>
      </c>
      <c r="BW20" s="78" t="str">
        <f t="shared" si="1"/>
        <v>1-13</v>
      </c>
    </row>
    <row r="21" spans="1:75" s="64" customFormat="1">
      <c r="A21" s="36">
        <v>1213</v>
      </c>
      <c r="B21" s="36" t="s">
        <v>226</v>
      </c>
      <c r="C21" s="33" t="s">
        <v>506</v>
      </c>
      <c r="D21" s="33">
        <v>1</v>
      </c>
      <c r="E21" s="33">
        <v>3</v>
      </c>
      <c r="F21" s="33">
        <v>2</v>
      </c>
      <c r="G21" s="33">
        <v>2</v>
      </c>
      <c r="H21" s="33" t="s">
        <v>1124</v>
      </c>
      <c r="I21" s="33">
        <v>150</v>
      </c>
      <c r="J21" s="33" t="s">
        <v>490</v>
      </c>
      <c r="K21" s="33">
        <v>10</v>
      </c>
      <c r="L21" s="33" t="s">
        <v>491</v>
      </c>
      <c r="M21" s="33" t="s">
        <v>779</v>
      </c>
      <c r="N21" s="41" t="s">
        <v>324</v>
      </c>
      <c r="O21" s="33" t="s">
        <v>40</v>
      </c>
      <c r="P21" s="33" t="s">
        <v>492</v>
      </c>
      <c r="Q21" s="33">
        <v>1</v>
      </c>
      <c r="R21" s="33" t="s">
        <v>21</v>
      </c>
      <c r="S21" s="33" t="s">
        <v>21</v>
      </c>
      <c r="T21" s="33" t="s">
        <v>21</v>
      </c>
      <c r="U21" s="33">
        <v>5</v>
      </c>
      <c r="V21" s="33">
        <v>16</v>
      </c>
      <c r="W21" s="33">
        <f>VLOOKUP(F21,Sheet3!$B$33:$E$37,3,0)</f>
        <v>9</v>
      </c>
      <c r="X21" s="33">
        <f>VLOOKUP(F21,Sheet3!$B$33:$E$37,2,0)</f>
        <v>15</v>
      </c>
      <c r="Y21" s="33">
        <f>VLOOKUP(F21,Sheet3!$B$33:$E$37,4,0)</f>
        <v>8</v>
      </c>
      <c r="Z21" s="33">
        <v>0.8</v>
      </c>
      <c r="AA21" s="97">
        <v>0</v>
      </c>
      <c r="AB21" s="97">
        <v>0</v>
      </c>
      <c r="AC21" s="35">
        <v>12500</v>
      </c>
      <c r="AD21" s="35">
        <v>500</v>
      </c>
      <c r="AE21" s="35">
        <v>250</v>
      </c>
      <c r="AF21" s="35">
        <v>250</v>
      </c>
      <c r="AG21" s="33">
        <v>1</v>
      </c>
      <c r="AH21" s="33">
        <v>0</v>
      </c>
      <c r="AI21" s="33">
        <v>0</v>
      </c>
      <c r="AJ21" s="33">
        <v>0</v>
      </c>
      <c r="AK21" s="33">
        <v>0</v>
      </c>
      <c r="AL21" s="33">
        <v>0</v>
      </c>
      <c r="AM21" s="33">
        <v>1</v>
      </c>
      <c r="AN21" s="97">
        <v>0</v>
      </c>
      <c r="AO21" s="97">
        <v>0</v>
      </c>
      <c r="AP21" s="35">
        <v>750</v>
      </c>
      <c r="AQ21" s="35">
        <v>30</v>
      </c>
      <c r="AR21" s="35">
        <v>15</v>
      </c>
      <c r="AS21" s="35">
        <v>15</v>
      </c>
      <c r="AT21" s="33">
        <v>0</v>
      </c>
      <c r="AU21" s="33">
        <v>0</v>
      </c>
      <c r="AV21" s="33">
        <v>0</v>
      </c>
      <c r="AW21" s="33">
        <v>0</v>
      </c>
      <c r="AX21" s="35" t="s">
        <v>1099</v>
      </c>
      <c r="AY21" s="33">
        <v>10</v>
      </c>
      <c r="AZ21" s="34" t="s">
        <v>896</v>
      </c>
      <c r="BA21" s="33" t="s">
        <v>222</v>
      </c>
      <c r="BB21" s="33">
        <v>50</v>
      </c>
      <c r="BC21" s="107" t="s">
        <v>1050</v>
      </c>
      <c r="BD21" s="35" t="s">
        <v>21</v>
      </c>
      <c r="BE21" s="94" t="s">
        <v>1003</v>
      </c>
      <c r="BF21" s="33">
        <v>2000</v>
      </c>
      <c r="BG21" s="97">
        <v>20000</v>
      </c>
      <c r="BH21" s="97">
        <v>4000</v>
      </c>
      <c r="BI21" s="33">
        <v>10113</v>
      </c>
      <c r="BJ21" s="33" t="s">
        <v>21</v>
      </c>
      <c r="BK21" s="33">
        <v>0</v>
      </c>
      <c r="BL21" s="33">
        <f>VLOOKUP(F21,Sheet3!$B$33:$F$37,5,0)</f>
        <v>10000</v>
      </c>
      <c r="BM21" s="33">
        <v>1</v>
      </c>
      <c r="BN21" s="75">
        <v>101</v>
      </c>
      <c r="BO21" s="90">
        <f t="shared" si="2"/>
        <v>1213</v>
      </c>
      <c r="BP21" s="68">
        <v>1213</v>
      </c>
      <c r="BQ21" s="36" t="s">
        <v>804</v>
      </c>
      <c r="BR21" s="36" t="s">
        <v>21</v>
      </c>
      <c r="BS21" s="78" t="e">
        <f>INT(MID(VLOOKUP($BO21,[1]Sheet1!$A:$C,3,0),9,5))</f>
        <v>#VALUE!</v>
      </c>
      <c r="BT21" s="78" t="str">
        <f t="shared" si="0"/>
        <v>longdi</v>
      </c>
      <c r="BU21" s="78" t="e">
        <f>MID(VLOOKUP($BS21,[2]Sheet1!$A:$C,3,0),3,IF(ISERROR(FIND(",",VLOOKUP($BS21,[2]Sheet1!$A:$C,3,0))),LEN(VLOOKUP($BS21,[2]Sheet1!$A:$C,3,0))-4,FIND(",",VLOOKUP($BS21,[2]Sheet1!$A:$C,3,0))-4))</f>
        <v>#VALUE!</v>
      </c>
      <c r="BV21" s="78" t="str">
        <f>IF(ISERROR(MID(VLOOKUP($BS21,[2]Sheet1!$A:$D,4,0),3,IF(ISERROR(FIND(",",VLOOKUP($BS21,[2]Sheet1!$A:$D,4,0))),LEN(VLOOKUP($BS21,[2]Sheet1!$A:$D,4,0))-4,FIND(",",VLOOKUP($BS21,[2]Sheet1!$A:$D,4,0))-4))),"[]",MID(VLOOKUP($BS21,[2]Sheet1!$A:$D,4,0),3,IF(ISERROR(FIND(",",VLOOKUP($BS21,[2]Sheet1!$A:$D,4,0))),LEN(VLOOKUP($BS21,[2]Sheet1!$A:$D,4,0))-4,FIND(",",VLOOKUP($BS21,[2]Sheet1!$A:$D,4,0))-4)))</f>
        <v>[]</v>
      </c>
      <c r="BW21" s="78" t="str">
        <f t="shared" si="1"/>
        <v>2-16</v>
      </c>
    </row>
    <row r="22" spans="1:75" s="63" customFormat="1">
      <c r="A22" s="36">
        <v>1214</v>
      </c>
      <c r="B22" s="36" t="s">
        <v>1154</v>
      </c>
      <c r="C22" s="33" t="s">
        <v>539</v>
      </c>
      <c r="D22" s="33">
        <v>1</v>
      </c>
      <c r="E22" s="33">
        <v>3</v>
      </c>
      <c r="F22" s="33">
        <v>3</v>
      </c>
      <c r="G22" s="33">
        <v>3</v>
      </c>
      <c r="H22" s="33" t="s">
        <v>1122</v>
      </c>
      <c r="I22" s="33">
        <v>150</v>
      </c>
      <c r="J22" s="33" t="s">
        <v>487</v>
      </c>
      <c r="K22" s="33">
        <v>10</v>
      </c>
      <c r="L22" s="33" t="s">
        <v>488</v>
      </c>
      <c r="M22" s="33" t="s">
        <v>779</v>
      </c>
      <c r="N22" s="41" t="s">
        <v>325</v>
      </c>
      <c r="O22" s="33" t="s">
        <v>40</v>
      </c>
      <c r="P22" s="33" t="s">
        <v>489</v>
      </c>
      <c r="Q22" s="33">
        <v>1</v>
      </c>
      <c r="R22" s="33" t="s">
        <v>21</v>
      </c>
      <c r="S22" s="33" t="s">
        <v>21</v>
      </c>
      <c r="T22" s="33" t="s">
        <v>21</v>
      </c>
      <c r="U22" s="33">
        <v>5</v>
      </c>
      <c r="V22" s="33">
        <v>16</v>
      </c>
      <c r="W22" s="33">
        <f>VLOOKUP(F22,Sheet3!$B$33:$E$37,3,0)</f>
        <v>5</v>
      </c>
      <c r="X22" s="33">
        <f>VLOOKUP(F22,Sheet3!$B$33:$E$37,2,0)</f>
        <v>15</v>
      </c>
      <c r="Y22" s="33">
        <f>VLOOKUP(F22,Sheet3!$B$33:$E$37,4,0)</f>
        <v>8</v>
      </c>
      <c r="Z22" s="33">
        <v>1</v>
      </c>
      <c r="AA22" s="97">
        <v>0</v>
      </c>
      <c r="AB22" s="97">
        <v>0</v>
      </c>
      <c r="AC22" s="35">
        <v>12500</v>
      </c>
      <c r="AD22" s="35">
        <v>500</v>
      </c>
      <c r="AE22" s="35">
        <v>250</v>
      </c>
      <c r="AF22" s="35">
        <v>250</v>
      </c>
      <c r="AG22" s="33">
        <v>1</v>
      </c>
      <c r="AH22" s="33">
        <v>0</v>
      </c>
      <c r="AI22" s="33">
        <v>0</v>
      </c>
      <c r="AJ22" s="33">
        <v>0</v>
      </c>
      <c r="AK22" s="33">
        <v>0</v>
      </c>
      <c r="AL22" s="33">
        <v>0</v>
      </c>
      <c r="AM22" s="33">
        <v>1</v>
      </c>
      <c r="AN22" s="97">
        <v>0</v>
      </c>
      <c r="AO22" s="97">
        <v>0</v>
      </c>
      <c r="AP22" s="35">
        <v>750</v>
      </c>
      <c r="AQ22" s="35">
        <v>30</v>
      </c>
      <c r="AR22" s="35">
        <v>15</v>
      </c>
      <c r="AS22" s="35">
        <v>15</v>
      </c>
      <c r="AT22" s="33">
        <v>0</v>
      </c>
      <c r="AU22" s="33">
        <v>0</v>
      </c>
      <c r="AV22" s="33">
        <v>0</v>
      </c>
      <c r="AW22" s="33">
        <v>0</v>
      </c>
      <c r="AX22" s="35" t="s">
        <v>1095</v>
      </c>
      <c r="AY22" s="33">
        <v>10</v>
      </c>
      <c r="AZ22" s="34" t="s">
        <v>897</v>
      </c>
      <c r="BA22" s="33" t="s">
        <v>222</v>
      </c>
      <c r="BB22" s="33">
        <v>50</v>
      </c>
      <c r="BC22" s="107" t="s">
        <v>1051</v>
      </c>
      <c r="BD22" s="35" t="s">
        <v>21</v>
      </c>
      <c r="BE22" s="94" t="s">
        <v>1003</v>
      </c>
      <c r="BF22" s="33">
        <v>2000</v>
      </c>
      <c r="BG22" s="97">
        <v>20000</v>
      </c>
      <c r="BH22" s="97">
        <v>4000</v>
      </c>
      <c r="BI22" s="33">
        <v>10114</v>
      </c>
      <c r="BJ22" s="33" t="s">
        <v>21</v>
      </c>
      <c r="BK22" s="33">
        <v>0</v>
      </c>
      <c r="BL22" s="33">
        <f>VLOOKUP(F22,Sheet3!$B$33:$F$37,5,0)</f>
        <v>50000</v>
      </c>
      <c r="BM22" s="33">
        <v>1.5</v>
      </c>
      <c r="BN22" s="67">
        <v>101</v>
      </c>
      <c r="BO22" s="90">
        <f t="shared" si="2"/>
        <v>1214</v>
      </c>
      <c r="BP22" s="68">
        <v>1214</v>
      </c>
      <c r="BQ22" s="36" t="s">
        <v>818</v>
      </c>
      <c r="BR22" s="36" t="s">
        <v>21</v>
      </c>
      <c r="BS22" s="77" t="e">
        <f>INT(MID(VLOOKUP($BO22,[1]Sheet1!$A:$C,3,0),9,5))</f>
        <v>#VALUE!</v>
      </c>
      <c r="BT22" s="77" t="str">
        <f t="shared" si="0"/>
        <v>babutianlong</v>
      </c>
      <c r="BU22" s="77" t="e">
        <f>MID(VLOOKUP($BS22,[2]Sheet1!$A:$C,3,0),3,IF(ISERROR(FIND(",",VLOOKUP($BS22,[2]Sheet1!$A:$C,3,0))),LEN(VLOOKUP($BS22,[2]Sheet1!$A:$C,3,0))-4,FIND(",",VLOOKUP($BS22,[2]Sheet1!$A:$C,3,0))-4))</f>
        <v>#VALUE!</v>
      </c>
      <c r="BV22" s="77" t="str">
        <f>IF(ISERROR(MID(VLOOKUP($BS22,[2]Sheet1!$A:$D,4,0),3,IF(ISERROR(FIND(",",VLOOKUP($BS22,[2]Sheet1!$A:$D,4,0))),LEN(VLOOKUP($BS22,[2]Sheet1!$A:$D,4,0))-4,FIND(",",VLOOKUP($BS22,[2]Sheet1!$A:$D,4,0))-4))),"[]",MID(VLOOKUP($BS22,[2]Sheet1!$A:$D,4,0),3,IF(ISERROR(FIND(",",VLOOKUP($BS22,[2]Sheet1!$A:$D,4,0))),LEN(VLOOKUP($BS22,[2]Sheet1!$A:$D,4,0))-4,FIND(",",VLOOKUP($BS22,[2]Sheet1!$A:$D,4,0))-4)))</f>
        <v>[]</v>
      </c>
      <c r="BW22" s="77" t="str">
        <f t="shared" si="1"/>
        <v>3-16</v>
      </c>
    </row>
    <row r="23" spans="1:75" s="63" customFormat="1">
      <c r="A23" s="33">
        <v>1103</v>
      </c>
      <c r="B23" s="33" t="s">
        <v>108</v>
      </c>
      <c r="C23" s="33" t="s">
        <v>497</v>
      </c>
      <c r="D23" s="33">
        <v>1</v>
      </c>
      <c r="E23" s="33">
        <v>1</v>
      </c>
      <c r="F23" s="33">
        <v>1</v>
      </c>
      <c r="G23" s="33">
        <v>1</v>
      </c>
      <c r="H23" s="33" t="s">
        <v>1125</v>
      </c>
      <c r="I23" s="33">
        <v>150</v>
      </c>
      <c r="J23" s="33" t="s">
        <v>109</v>
      </c>
      <c r="K23" s="33">
        <v>10</v>
      </c>
      <c r="L23" s="33" t="s">
        <v>96</v>
      </c>
      <c r="M23" s="33" t="s">
        <v>779</v>
      </c>
      <c r="N23" s="33" t="s">
        <v>110</v>
      </c>
      <c r="O23" s="33" t="s">
        <v>40</v>
      </c>
      <c r="P23" s="33" t="s">
        <v>360</v>
      </c>
      <c r="Q23" s="33">
        <v>1</v>
      </c>
      <c r="R23" s="33" t="s">
        <v>21</v>
      </c>
      <c r="S23" s="33" t="s">
        <v>21</v>
      </c>
      <c r="T23" s="33" t="s">
        <v>21</v>
      </c>
      <c r="U23" s="33">
        <v>5</v>
      </c>
      <c r="V23" s="33">
        <v>16</v>
      </c>
      <c r="W23" s="33">
        <f>VLOOKUP(F23,Sheet3!$B$33:$E$37,3,0)</f>
        <v>9</v>
      </c>
      <c r="X23" s="33">
        <f>VLOOKUP(F23,Sheet3!$B$33:$E$37,2,0)</f>
        <v>15</v>
      </c>
      <c r="Y23" s="33">
        <f>VLOOKUP(F23,Sheet3!$B$33:$E$37,4,0)</f>
        <v>8</v>
      </c>
      <c r="Z23" s="33">
        <v>1</v>
      </c>
      <c r="AA23" s="97">
        <v>0</v>
      </c>
      <c r="AB23" s="97">
        <v>0</v>
      </c>
      <c r="AC23" s="35">
        <v>12500</v>
      </c>
      <c r="AD23" s="35">
        <v>500</v>
      </c>
      <c r="AE23" s="35">
        <v>250</v>
      </c>
      <c r="AF23" s="35">
        <v>250</v>
      </c>
      <c r="AG23" s="33">
        <v>1</v>
      </c>
      <c r="AH23" s="33">
        <v>0</v>
      </c>
      <c r="AI23" s="33">
        <v>0</v>
      </c>
      <c r="AJ23" s="33">
        <v>0</v>
      </c>
      <c r="AK23" s="33">
        <v>0</v>
      </c>
      <c r="AL23" s="33">
        <v>0</v>
      </c>
      <c r="AM23" s="33">
        <v>1</v>
      </c>
      <c r="AN23" s="97">
        <v>0</v>
      </c>
      <c r="AO23" s="97">
        <v>0</v>
      </c>
      <c r="AP23" s="35">
        <v>750</v>
      </c>
      <c r="AQ23" s="35">
        <v>30</v>
      </c>
      <c r="AR23" s="35">
        <v>15</v>
      </c>
      <c r="AS23" s="35">
        <v>15</v>
      </c>
      <c r="AT23" s="33">
        <v>0</v>
      </c>
      <c r="AU23" s="33">
        <v>0</v>
      </c>
      <c r="AV23" s="33">
        <v>0</v>
      </c>
      <c r="AW23" s="33">
        <v>0</v>
      </c>
      <c r="AX23" s="35" t="s">
        <v>1101</v>
      </c>
      <c r="AY23" s="33">
        <v>10</v>
      </c>
      <c r="AZ23" s="34" t="s">
        <v>898</v>
      </c>
      <c r="BA23" s="33" t="s">
        <v>221</v>
      </c>
      <c r="BB23" s="33">
        <v>50</v>
      </c>
      <c r="BC23" s="107" t="s">
        <v>1052</v>
      </c>
      <c r="BD23" s="35" t="s">
        <v>21</v>
      </c>
      <c r="BE23" s="94" t="s">
        <v>1017</v>
      </c>
      <c r="BF23" s="33">
        <v>2000</v>
      </c>
      <c r="BG23" s="97">
        <v>20000</v>
      </c>
      <c r="BH23" s="97">
        <v>4000</v>
      </c>
      <c r="BI23" s="33">
        <v>10003</v>
      </c>
      <c r="BJ23" s="33" t="s">
        <v>21</v>
      </c>
      <c r="BK23" s="33">
        <v>0</v>
      </c>
      <c r="BL23" s="33">
        <f>VLOOKUP(F23,Sheet3!$B$33:$F$37,5,0)</f>
        <v>3000</v>
      </c>
      <c r="BM23" s="33">
        <v>1</v>
      </c>
      <c r="BN23" s="67">
        <v>101</v>
      </c>
      <c r="BO23" s="90">
        <f t="shared" si="2"/>
        <v>1103</v>
      </c>
      <c r="BP23" s="68">
        <v>1103</v>
      </c>
      <c r="BQ23" s="33" t="s">
        <v>787</v>
      </c>
      <c r="BR23" s="33" t="s">
        <v>21</v>
      </c>
      <c r="BS23" s="77" t="e">
        <f>INT(MID(VLOOKUP($BO23,[1]Sheet1!$A:$C,3,0),9,5))</f>
        <v>#VALUE!</v>
      </c>
      <c r="BT23" s="77" t="str">
        <f t="shared" si="0"/>
        <v>change</v>
      </c>
      <c r="BU23" s="77" t="e">
        <f>MID(VLOOKUP($BS23,[2]Sheet1!$A:$C,3,0),3,IF(ISERROR(FIND(",",VLOOKUP($BS23,[2]Sheet1!$A:$C,3,0))),LEN(VLOOKUP($BS23,[2]Sheet1!$A:$C,3,0))-4,FIND(",",VLOOKUP($BS23,[2]Sheet1!$A:$C,3,0))-4))</f>
        <v>#VALUE!</v>
      </c>
      <c r="BV23" s="77" t="str">
        <f>IF(ISERROR(MID(VLOOKUP($BS23,[2]Sheet1!$A:$D,4,0),3,IF(ISERROR(FIND(",",VLOOKUP($BS23,[2]Sheet1!$A:$D,4,0))),LEN(VLOOKUP($BS23,[2]Sheet1!$A:$D,4,0))-4,FIND(",",VLOOKUP($BS23,[2]Sheet1!$A:$D,4,0))-4))),"[]",MID(VLOOKUP($BS23,[2]Sheet1!$A:$D,4,0),3,IF(ISERROR(FIND(",",VLOOKUP($BS23,[2]Sheet1!$A:$D,4,0))),LEN(VLOOKUP($BS23,[2]Sheet1!$A:$D,4,0))-4,FIND(",",VLOOKUP($BS23,[2]Sheet1!$A:$D,4,0))-4)))</f>
        <v>[]</v>
      </c>
      <c r="BW23" s="77" t="str">
        <f t="shared" si="1"/>
        <v>1-16</v>
      </c>
    </row>
    <row r="24" spans="1:75" s="63" customFormat="1" ht="18" customHeight="1">
      <c r="A24" s="37">
        <v>1109</v>
      </c>
      <c r="B24" s="37" t="s">
        <v>122</v>
      </c>
      <c r="C24" s="37" t="s">
        <v>498</v>
      </c>
      <c r="D24" s="37">
        <v>1</v>
      </c>
      <c r="E24" s="37">
        <v>1</v>
      </c>
      <c r="F24" s="37">
        <v>1</v>
      </c>
      <c r="G24" s="37">
        <v>1</v>
      </c>
      <c r="H24" s="37" t="s">
        <v>1125</v>
      </c>
      <c r="I24" s="37">
        <v>150</v>
      </c>
      <c r="J24" s="37" t="s">
        <v>123</v>
      </c>
      <c r="K24" s="37">
        <v>10</v>
      </c>
      <c r="L24" s="37" t="s">
        <v>124</v>
      </c>
      <c r="M24" s="33" t="s">
        <v>779</v>
      </c>
      <c r="N24" s="37" t="s">
        <v>125</v>
      </c>
      <c r="O24" s="37" t="s">
        <v>40</v>
      </c>
      <c r="P24" s="37" t="s">
        <v>429</v>
      </c>
      <c r="Q24" s="37">
        <v>1</v>
      </c>
      <c r="R24" s="37" t="s">
        <v>21</v>
      </c>
      <c r="S24" s="37" t="s">
        <v>21</v>
      </c>
      <c r="T24" s="37" t="s">
        <v>21</v>
      </c>
      <c r="U24" s="37">
        <v>4</v>
      </c>
      <c r="V24" s="33">
        <v>13</v>
      </c>
      <c r="W24" s="33">
        <f>VLOOKUP(F24,Sheet3!$B$33:$E$37,3,0)</f>
        <v>9</v>
      </c>
      <c r="X24" s="33">
        <f>VLOOKUP(F24,Sheet3!$B$33:$E$37,2,0)</f>
        <v>15</v>
      </c>
      <c r="Y24" s="33">
        <f>VLOOKUP(F24,Sheet3!$B$33:$E$37,4,0)</f>
        <v>8</v>
      </c>
      <c r="Z24" s="37">
        <v>1</v>
      </c>
      <c r="AA24" s="98">
        <v>0</v>
      </c>
      <c r="AB24" s="98">
        <v>0</v>
      </c>
      <c r="AC24" s="35">
        <v>7500</v>
      </c>
      <c r="AD24" s="35">
        <v>300</v>
      </c>
      <c r="AE24" s="35">
        <v>150</v>
      </c>
      <c r="AF24" s="35">
        <v>150</v>
      </c>
      <c r="AG24" s="37">
        <v>1</v>
      </c>
      <c r="AH24" s="37">
        <v>0</v>
      </c>
      <c r="AI24" s="37">
        <v>0</v>
      </c>
      <c r="AJ24" s="37">
        <v>0</v>
      </c>
      <c r="AK24" s="37">
        <v>0</v>
      </c>
      <c r="AL24" s="37">
        <v>0</v>
      </c>
      <c r="AM24" s="33">
        <v>1</v>
      </c>
      <c r="AN24" s="98">
        <v>0</v>
      </c>
      <c r="AO24" s="98">
        <v>0</v>
      </c>
      <c r="AP24" s="35">
        <v>625</v>
      </c>
      <c r="AQ24" s="35">
        <v>25</v>
      </c>
      <c r="AR24" s="35">
        <v>13</v>
      </c>
      <c r="AS24" s="35">
        <v>13</v>
      </c>
      <c r="AT24" s="37">
        <v>0</v>
      </c>
      <c r="AU24" s="37">
        <v>0</v>
      </c>
      <c r="AV24" s="37">
        <v>0</v>
      </c>
      <c r="AW24" s="37">
        <v>0</v>
      </c>
      <c r="AX24" s="35" t="s">
        <v>1100</v>
      </c>
      <c r="AY24" s="37">
        <v>10</v>
      </c>
      <c r="AZ24" s="34" t="s">
        <v>899</v>
      </c>
      <c r="BA24" s="37" t="s">
        <v>222</v>
      </c>
      <c r="BB24" s="37">
        <v>50</v>
      </c>
      <c r="BC24" s="107" t="s">
        <v>1053</v>
      </c>
      <c r="BD24" s="35" t="s">
        <v>21</v>
      </c>
      <c r="BE24" s="94" t="s">
        <v>1017</v>
      </c>
      <c r="BF24" s="37">
        <v>1400</v>
      </c>
      <c r="BG24" s="98">
        <v>20000</v>
      </c>
      <c r="BH24" s="98">
        <v>4000</v>
      </c>
      <c r="BI24" s="33">
        <v>10009</v>
      </c>
      <c r="BJ24" s="37" t="s">
        <v>21</v>
      </c>
      <c r="BK24" s="37">
        <v>0</v>
      </c>
      <c r="BL24" s="33">
        <f>VLOOKUP(F24,Sheet3!$B$33:$F$37,5,0)</f>
        <v>3000</v>
      </c>
      <c r="BM24" s="33">
        <v>1</v>
      </c>
      <c r="BN24" s="67">
        <v>100</v>
      </c>
      <c r="BO24" s="90">
        <f t="shared" si="2"/>
        <v>1109</v>
      </c>
      <c r="BP24" s="68">
        <v>1109</v>
      </c>
      <c r="BQ24" s="37" t="s">
        <v>801</v>
      </c>
      <c r="BR24" s="37" t="s">
        <v>21</v>
      </c>
      <c r="BS24" s="77" t="e">
        <f>INT(MID(VLOOKUP($BO24,[1]Sheet1!$A:$C,3,0),9,5))</f>
        <v>#VALUE!</v>
      </c>
      <c r="BT24" s="77" t="str">
        <f t="shared" si="0"/>
        <v>jiutianxuannv</v>
      </c>
      <c r="BU24" s="77" t="e">
        <f>MID(VLOOKUP($BS24,[2]Sheet1!$A:$C,3,0),3,IF(ISERROR(FIND(",",VLOOKUP($BS24,[2]Sheet1!$A:$C,3,0))),LEN(VLOOKUP($BS24,[2]Sheet1!$A:$C,3,0))-4,FIND(",",VLOOKUP($BS24,[2]Sheet1!$A:$C,3,0))-4))</f>
        <v>#VALUE!</v>
      </c>
      <c r="BV24" s="77" t="str">
        <f>IF(ISERROR(MID(VLOOKUP($BS24,[2]Sheet1!$A:$D,4,0),3,IF(ISERROR(FIND(",",VLOOKUP($BS24,[2]Sheet1!$A:$D,4,0))),LEN(VLOOKUP($BS24,[2]Sheet1!$A:$D,4,0))-4,FIND(",",VLOOKUP($BS24,[2]Sheet1!$A:$D,4,0))-4))),"[]",MID(VLOOKUP($BS24,[2]Sheet1!$A:$D,4,0),3,IF(ISERROR(FIND(",",VLOOKUP($BS24,[2]Sheet1!$A:$D,4,0))),LEN(VLOOKUP($BS24,[2]Sheet1!$A:$D,4,0))-4,FIND(",",VLOOKUP($BS24,[2]Sheet1!$A:$D,4,0))-4)))</f>
        <v>[]</v>
      </c>
      <c r="BW24" s="77" t="str">
        <f t="shared" si="1"/>
        <v>1-13</v>
      </c>
    </row>
    <row r="25" spans="1:75" s="65" customFormat="1">
      <c r="A25" s="33">
        <v>1111</v>
      </c>
      <c r="B25" s="33" t="s">
        <v>31</v>
      </c>
      <c r="C25" s="33" t="s">
        <v>500</v>
      </c>
      <c r="D25" s="33">
        <v>1</v>
      </c>
      <c r="E25" s="33">
        <v>2</v>
      </c>
      <c r="F25" s="33">
        <v>2</v>
      </c>
      <c r="G25" s="33">
        <v>2</v>
      </c>
      <c r="H25" s="33" t="s">
        <v>1124</v>
      </c>
      <c r="I25" s="33">
        <v>150</v>
      </c>
      <c r="J25" s="33" t="s">
        <v>55</v>
      </c>
      <c r="K25" s="33">
        <v>10</v>
      </c>
      <c r="L25" s="33" t="s">
        <v>56</v>
      </c>
      <c r="M25" s="33" t="s">
        <v>779</v>
      </c>
      <c r="N25" s="33" t="s">
        <v>57</v>
      </c>
      <c r="O25" s="33" t="s">
        <v>40</v>
      </c>
      <c r="P25" s="33" t="s">
        <v>363</v>
      </c>
      <c r="Q25" s="33">
        <v>1</v>
      </c>
      <c r="R25" s="33" t="s">
        <v>21</v>
      </c>
      <c r="S25" s="33" t="s">
        <v>21</v>
      </c>
      <c r="T25" s="33" t="s">
        <v>21</v>
      </c>
      <c r="U25" s="33">
        <v>5</v>
      </c>
      <c r="V25" s="33">
        <v>16</v>
      </c>
      <c r="W25" s="33">
        <f>VLOOKUP(F25,Sheet3!$B$33:$E$37,3,0)</f>
        <v>9</v>
      </c>
      <c r="X25" s="33">
        <f>VLOOKUP(F25,Sheet3!$B$33:$E$37,2,0)</f>
        <v>15</v>
      </c>
      <c r="Y25" s="33">
        <f>VLOOKUP(F25,Sheet3!$B$33:$E$37,4,0)</f>
        <v>8</v>
      </c>
      <c r="Z25" s="33">
        <v>0.8</v>
      </c>
      <c r="AA25" s="97">
        <v>0</v>
      </c>
      <c r="AB25" s="97">
        <v>0</v>
      </c>
      <c r="AC25" s="35">
        <v>12500</v>
      </c>
      <c r="AD25" s="35">
        <v>500</v>
      </c>
      <c r="AE25" s="35">
        <v>250</v>
      </c>
      <c r="AF25" s="35">
        <v>250</v>
      </c>
      <c r="AG25" s="33">
        <v>1</v>
      </c>
      <c r="AH25" s="33">
        <v>0</v>
      </c>
      <c r="AI25" s="33">
        <v>0</v>
      </c>
      <c r="AJ25" s="33">
        <v>0</v>
      </c>
      <c r="AK25" s="33">
        <v>0</v>
      </c>
      <c r="AL25" s="33">
        <v>0</v>
      </c>
      <c r="AM25" s="33">
        <v>1</v>
      </c>
      <c r="AN25" s="97">
        <v>0</v>
      </c>
      <c r="AO25" s="97">
        <v>0</v>
      </c>
      <c r="AP25" s="35">
        <v>750</v>
      </c>
      <c r="AQ25" s="35">
        <v>30</v>
      </c>
      <c r="AR25" s="35">
        <v>15</v>
      </c>
      <c r="AS25" s="35">
        <v>15</v>
      </c>
      <c r="AT25" s="33">
        <v>0</v>
      </c>
      <c r="AU25" s="33">
        <v>0</v>
      </c>
      <c r="AV25" s="33">
        <v>0</v>
      </c>
      <c r="AW25" s="33">
        <v>0</v>
      </c>
      <c r="AX25" s="35" t="s">
        <v>1099</v>
      </c>
      <c r="AY25" s="33">
        <v>10</v>
      </c>
      <c r="AZ25" s="34" t="s">
        <v>900</v>
      </c>
      <c r="BA25" s="33" t="s">
        <v>221</v>
      </c>
      <c r="BB25" s="33">
        <v>50</v>
      </c>
      <c r="BC25" s="107" t="s">
        <v>876</v>
      </c>
      <c r="BD25" s="35" t="s">
        <v>21</v>
      </c>
      <c r="BE25" s="94" t="s">
        <v>1003</v>
      </c>
      <c r="BF25" s="33">
        <v>2000</v>
      </c>
      <c r="BG25" s="97">
        <v>20000</v>
      </c>
      <c r="BH25" s="97">
        <v>4000</v>
      </c>
      <c r="BI25" s="33">
        <v>10011</v>
      </c>
      <c r="BJ25" s="33" t="s">
        <v>21</v>
      </c>
      <c r="BK25" s="33">
        <v>0</v>
      </c>
      <c r="BL25" s="33">
        <f>VLOOKUP(F25,Sheet3!$B$33:$F$37,5,0)</f>
        <v>10000</v>
      </c>
      <c r="BM25" s="33">
        <v>1</v>
      </c>
      <c r="BN25" s="67">
        <v>101</v>
      </c>
      <c r="BO25" s="90">
        <f t="shared" si="2"/>
        <v>1111</v>
      </c>
      <c r="BP25" s="68">
        <v>1111</v>
      </c>
      <c r="BQ25" s="33" t="s">
        <v>819</v>
      </c>
      <c r="BR25" s="33" t="s">
        <v>21</v>
      </c>
      <c r="BS25" s="79" t="e">
        <f>INT(MID(VLOOKUP($BO25,[1]Sheet1!$A:$C,3,0),9,5))</f>
        <v>#VALUE!</v>
      </c>
      <c r="BT25" s="79" t="str">
        <f t="shared" si="0"/>
        <v>tieshangongzhu</v>
      </c>
      <c r="BU25" s="79" t="e">
        <f>MID(VLOOKUP($BS25,[2]Sheet1!$A:$C,3,0),3,IF(ISERROR(FIND(",",VLOOKUP($BS25,[2]Sheet1!$A:$C,3,0))),LEN(VLOOKUP($BS25,[2]Sheet1!$A:$C,3,0))-4,FIND(",",VLOOKUP($BS25,[2]Sheet1!$A:$C,3,0))-4))</f>
        <v>#VALUE!</v>
      </c>
      <c r="BV25" s="79" t="str">
        <f>IF(ISERROR(MID(VLOOKUP($BS25,[2]Sheet1!$A:$D,4,0),3,IF(ISERROR(FIND(",",VLOOKUP($BS25,[2]Sheet1!$A:$D,4,0))),LEN(VLOOKUP($BS25,[2]Sheet1!$A:$D,4,0))-4,FIND(",",VLOOKUP($BS25,[2]Sheet1!$A:$D,4,0))-4))),"[]",MID(VLOOKUP($BS25,[2]Sheet1!$A:$D,4,0),3,IF(ISERROR(FIND(",",VLOOKUP($BS25,[2]Sheet1!$A:$D,4,0))),LEN(VLOOKUP($BS25,[2]Sheet1!$A:$D,4,0))-4,FIND(",",VLOOKUP($BS25,[2]Sheet1!$A:$D,4,0))-4)))</f>
        <v>[]</v>
      </c>
      <c r="BW25" s="79" t="str">
        <f t="shared" si="1"/>
        <v>2-16</v>
      </c>
    </row>
    <row r="26" spans="1:75" s="63" customFormat="1" ht="18" customHeight="1">
      <c r="A26" s="33">
        <v>1116</v>
      </c>
      <c r="B26" s="33" t="s">
        <v>27</v>
      </c>
      <c r="C26" s="33" t="s">
        <v>513</v>
      </c>
      <c r="D26" s="33">
        <v>1</v>
      </c>
      <c r="E26" s="33">
        <v>2</v>
      </c>
      <c r="F26" s="33">
        <v>1</v>
      </c>
      <c r="G26" s="33">
        <v>1</v>
      </c>
      <c r="H26" s="33" t="s">
        <v>1125</v>
      </c>
      <c r="I26" s="33">
        <v>150</v>
      </c>
      <c r="J26" s="33" t="s">
        <v>103</v>
      </c>
      <c r="K26" s="33">
        <v>10</v>
      </c>
      <c r="L26" s="33" t="s">
        <v>92</v>
      </c>
      <c r="M26" s="33" t="s">
        <v>779</v>
      </c>
      <c r="N26" s="33" t="s">
        <v>104</v>
      </c>
      <c r="O26" s="33" t="s">
        <v>40</v>
      </c>
      <c r="P26" s="33" t="s">
        <v>376</v>
      </c>
      <c r="Q26" s="33">
        <v>1</v>
      </c>
      <c r="R26" s="33" t="s">
        <v>21</v>
      </c>
      <c r="S26" s="33" t="s">
        <v>21</v>
      </c>
      <c r="T26" s="33" t="s">
        <v>21</v>
      </c>
      <c r="U26" s="33">
        <v>4</v>
      </c>
      <c r="V26" s="33">
        <v>13</v>
      </c>
      <c r="W26" s="33">
        <f>VLOOKUP(F26,Sheet3!$B$33:$E$37,3,0)</f>
        <v>9</v>
      </c>
      <c r="X26" s="33">
        <f>VLOOKUP(F26,Sheet3!$B$33:$E$37,2,0)</f>
        <v>15</v>
      </c>
      <c r="Y26" s="33">
        <f>VLOOKUP(F26,Sheet3!$B$33:$E$37,4,0)</f>
        <v>8</v>
      </c>
      <c r="Z26" s="33">
        <v>1</v>
      </c>
      <c r="AA26" s="97">
        <v>0</v>
      </c>
      <c r="AB26" s="97">
        <v>0</v>
      </c>
      <c r="AC26" s="35">
        <v>7500</v>
      </c>
      <c r="AD26" s="35">
        <v>300</v>
      </c>
      <c r="AE26" s="35">
        <v>150</v>
      </c>
      <c r="AF26" s="35">
        <v>150</v>
      </c>
      <c r="AG26" s="33">
        <v>1</v>
      </c>
      <c r="AH26" s="33">
        <v>0</v>
      </c>
      <c r="AI26" s="33">
        <v>0</v>
      </c>
      <c r="AJ26" s="33">
        <v>0</v>
      </c>
      <c r="AK26" s="33">
        <v>0</v>
      </c>
      <c r="AL26" s="33">
        <v>0</v>
      </c>
      <c r="AM26" s="33">
        <v>1</v>
      </c>
      <c r="AN26" s="97">
        <v>0</v>
      </c>
      <c r="AO26" s="97">
        <v>0</v>
      </c>
      <c r="AP26" s="35">
        <v>625</v>
      </c>
      <c r="AQ26" s="35">
        <v>25</v>
      </c>
      <c r="AR26" s="35">
        <v>13</v>
      </c>
      <c r="AS26" s="35">
        <v>13</v>
      </c>
      <c r="AT26" s="33">
        <v>0</v>
      </c>
      <c r="AU26" s="33">
        <v>0</v>
      </c>
      <c r="AV26" s="33">
        <v>0</v>
      </c>
      <c r="AW26" s="33">
        <v>0</v>
      </c>
      <c r="AX26" s="35" t="s">
        <v>1100</v>
      </c>
      <c r="AY26" s="33">
        <v>10</v>
      </c>
      <c r="AZ26" s="34" t="s">
        <v>901</v>
      </c>
      <c r="BA26" s="33" t="s">
        <v>222</v>
      </c>
      <c r="BB26" s="33">
        <v>50</v>
      </c>
      <c r="BC26" s="107" t="s">
        <v>1038</v>
      </c>
      <c r="BD26" s="35" t="s">
        <v>21</v>
      </c>
      <c r="BE26" s="94" t="s">
        <v>1017</v>
      </c>
      <c r="BF26" s="33">
        <v>1400</v>
      </c>
      <c r="BG26" s="97">
        <v>20000</v>
      </c>
      <c r="BH26" s="97">
        <v>4000</v>
      </c>
      <c r="BI26" s="33">
        <v>10016</v>
      </c>
      <c r="BJ26" s="33" t="s">
        <v>21</v>
      </c>
      <c r="BK26" s="33">
        <v>0</v>
      </c>
      <c r="BL26" s="33">
        <f>VLOOKUP(F26,Sheet3!$B$33:$F$37,5,0)</f>
        <v>3000</v>
      </c>
      <c r="BM26" s="33">
        <v>1</v>
      </c>
      <c r="BN26" s="67">
        <v>100</v>
      </c>
      <c r="BO26" s="90">
        <f t="shared" si="2"/>
        <v>1116</v>
      </c>
      <c r="BP26" s="68">
        <v>1116</v>
      </c>
      <c r="BQ26" s="33" t="s">
        <v>784</v>
      </c>
      <c r="BR26" s="33" t="s">
        <v>21</v>
      </c>
      <c r="BS26" s="77" t="e">
        <f>INT(MID(VLOOKUP($BO26,[1]Sheet1!$A:$C,3,0),9,5))</f>
        <v>#VALUE!</v>
      </c>
      <c r="BT26" s="77" t="str">
        <f t="shared" si="0"/>
        <v>baigufuren</v>
      </c>
      <c r="BU26" s="77" t="e">
        <f>MID(VLOOKUP($BS26,[2]Sheet1!$A:$C,3,0),3,IF(ISERROR(FIND(",",VLOOKUP($BS26,[2]Sheet1!$A:$C,3,0))),LEN(VLOOKUP($BS26,[2]Sheet1!$A:$C,3,0))-4,FIND(",",VLOOKUP($BS26,[2]Sheet1!$A:$C,3,0))-4))</f>
        <v>#VALUE!</v>
      </c>
      <c r="BV26" s="77" t="str">
        <f>IF(ISERROR(MID(VLOOKUP($BS26,[2]Sheet1!$A:$D,4,0),3,IF(ISERROR(FIND(",",VLOOKUP($BS26,[2]Sheet1!$A:$D,4,0))),LEN(VLOOKUP($BS26,[2]Sheet1!$A:$D,4,0))-4,FIND(",",VLOOKUP($BS26,[2]Sheet1!$A:$D,4,0))-4))),"[]",MID(VLOOKUP($BS26,[2]Sheet1!$A:$D,4,0),3,IF(ISERROR(FIND(",",VLOOKUP($BS26,[2]Sheet1!$A:$D,4,0))),LEN(VLOOKUP($BS26,[2]Sheet1!$A:$D,4,0))-4,FIND(",",VLOOKUP($BS26,[2]Sheet1!$A:$D,4,0))-4)))</f>
        <v>[]</v>
      </c>
      <c r="BW26" s="77" t="str">
        <f t="shared" si="1"/>
        <v>1-13</v>
      </c>
    </row>
    <row r="27" spans="1:75" s="63" customFormat="1" ht="18" customHeight="1">
      <c r="A27" s="33">
        <v>1121</v>
      </c>
      <c r="B27" s="33" t="s">
        <v>28</v>
      </c>
      <c r="C27" s="33" t="s">
        <v>503</v>
      </c>
      <c r="D27" s="33">
        <v>1</v>
      </c>
      <c r="E27" s="33">
        <v>3</v>
      </c>
      <c r="F27" s="33">
        <v>2</v>
      </c>
      <c r="G27" s="33">
        <v>2</v>
      </c>
      <c r="H27" s="33" t="s">
        <v>1124</v>
      </c>
      <c r="I27" s="33">
        <v>150</v>
      </c>
      <c r="J27" s="33" t="s">
        <v>137</v>
      </c>
      <c r="K27" s="33">
        <v>10</v>
      </c>
      <c r="L27" s="33" t="s">
        <v>88</v>
      </c>
      <c r="M27" s="33" t="s">
        <v>779</v>
      </c>
      <c r="N27" s="33" t="s">
        <v>138</v>
      </c>
      <c r="O27" s="33" t="s">
        <v>40</v>
      </c>
      <c r="P27" s="33" t="s">
        <v>854</v>
      </c>
      <c r="Q27" s="33">
        <v>1.1000000000000001</v>
      </c>
      <c r="R27" s="33" t="s">
        <v>21</v>
      </c>
      <c r="S27" s="33" t="s">
        <v>21</v>
      </c>
      <c r="T27" s="33" t="s">
        <v>21</v>
      </c>
      <c r="U27" s="33">
        <v>6</v>
      </c>
      <c r="V27" s="33">
        <v>20</v>
      </c>
      <c r="W27" s="33">
        <f>VLOOKUP(F27,Sheet3!$B$33:$E$37,3,0)</f>
        <v>9</v>
      </c>
      <c r="X27" s="33">
        <f>VLOOKUP(F27,Sheet3!$B$33:$E$37,2,0)</f>
        <v>15</v>
      </c>
      <c r="Y27" s="33">
        <f>VLOOKUP(F27,Sheet3!$B$33:$E$37,4,0)</f>
        <v>8</v>
      </c>
      <c r="Z27" s="33">
        <v>0.8</v>
      </c>
      <c r="AA27" s="97">
        <v>0</v>
      </c>
      <c r="AB27" s="97">
        <v>0</v>
      </c>
      <c r="AC27" s="35">
        <v>20000</v>
      </c>
      <c r="AD27" s="35">
        <v>800</v>
      </c>
      <c r="AE27" s="35">
        <v>400</v>
      </c>
      <c r="AF27" s="35">
        <v>400</v>
      </c>
      <c r="AG27" s="33">
        <v>1</v>
      </c>
      <c r="AH27" s="33">
        <v>0</v>
      </c>
      <c r="AI27" s="33">
        <v>0</v>
      </c>
      <c r="AJ27" s="33">
        <v>0</v>
      </c>
      <c r="AK27" s="33">
        <v>0</v>
      </c>
      <c r="AL27" s="33">
        <v>0</v>
      </c>
      <c r="AM27" s="33">
        <v>1</v>
      </c>
      <c r="AN27" s="97">
        <v>0</v>
      </c>
      <c r="AO27" s="97">
        <v>0</v>
      </c>
      <c r="AP27" s="35">
        <v>1500</v>
      </c>
      <c r="AQ27" s="35">
        <v>60</v>
      </c>
      <c r="AR27" s="35">
        <v>30</v>
      </c>
      <c r="AS27" s="35">
        <v>30</v>
      </c>
      <c r="AT27" s="33">
        <v>0</v>
      </c>
      <c r="AU27" s="33">
        <v>0</v>
      </c>
      <c r="AV27" s="33">
        <v>0</v>
      </c>
      <c r="AW27" s="33">
        <v>0</v>
      </c>
      <c r="AX27" s="35" t="s">
        <v>1098</v>
      </c>
      <c r="AY27" s="33">
        <v>10</v>
      </c>
      <c r="AZ27" s="34" t="s">
        <v>902</v>
      </c>
      <c r="BA27" s="33" t="s">
        <v>221</v>
      </c>
      <c r="BB27" s="33">
        <v>50</v>
      </c>
      <c r="BC27" s="107" t="s">
        <v>1054</v>
      </c>
      <c r="BD27" s="35" t="s">
        <v>21</v>
      </c>
      <c r="BE27" s="94" t="s">
        <v>1003</v>
      </c>
      <c r="BF27" s="33">
        <v>3000</v>
      </c>
      <c r="BG27" s="97">
        <v>20000</v>
      </c>
      <c r="BH27" s="97">
        <v>4000</v>
      </c>
      <c r="BI27" s="33">
        <v>10021</v>
      </c>
      <c r="BJ27" s="33" t="s">
        <v>21</v>
      </c>
      <c r="BK27" s="33">
        <v>0</v>
      </c>
      <c r="BL27" s="33">
        <f>VLOOKUP(F27,Sheet3!$B$33:$F$37,5,0)</f>
        <v>10000</v>
      </c>
      <c r="BM27" s="33">
        <v>1</v>
      </c>
      <c r="BN27" s="67">
        <v>102</v>
      </c>
      <c r="BO27" s="90">
        <f t="shared" si="2"/>
        <v>1121</v>
      </c>
      <c r="BP27" s="68">
        <v>1121</v>
      </c>
      <c r="BQ27" s="33" t="s">
        <v>830</v>
      </c>
      <c r="BR27" s="33" t="s">
        <v>21</v>
      </c>
      <c r="BS27" s="77" t="e">
        <f>INT(MID(VLOOKUP($BO27,[1]Sheet1!$A:$C,3,0),9,5))</f>
        <v>#VALUE!</v>
      </c>
      <c r="BT27" s="77" t="str">
        <f t="shared" si="0"/>
        <v>zixiaxianzi</v>
      </c>
      <c r="BU27" s="77" t="e">
        <f>MID(VLOOKUP($BS27,[2]Sheet1!$A:$C,3,0),3,IF(ISERROR(FIND(",",VLOOKUP($BS27,[2]Sheet1!$A:$C,3,0))),LEN(VLOOKUP($BS27,[2]Sheet1!$A:$C,3,0))-4,FIND(",",VLOOKUP($BS27,[2]Sheet1!$A:$C,3,0))-4))</f>
        <v>#VALUE!</v>
      </c>
      <c r="BV27" s="77" t="str">
        <f>IF(ISERROR(MID(VLOOKUP($BS27,[2]Sheet1!$A:$D,4,0),3,IF(ISERROR(FIND(",",VLOOKUP($BS27,[2]Sheet1!$A:$D,4,0))),LEN(VLOOKUP($BS27,[2]Sheet1!$A:$D,4,0))-4,FIND(",",VLOOKUP($BS27,[2]Sheet1!$A:$D,4,0))-4))),"[]",MID(VLOOKUP($BS27,[2]Sheet1!$A:$D,4,0),3,IF(ISERROR(FIND(",",VLOOKUP($BS27,[2]Sheet1!$A:$D,4,0))),LEN(VLOOKUP($BS27,[2]Sheet1!$A:$D,4,0))-4,FIND(",",VLOOKUP($BS27,[2]Sheet1!$A:$D,4,0))-4)))</f>
        <v>[]</v>
      </c>
      <c r="BW27" s="77" t="str">
        <f t="shared" si="1"/>
        <v>2-20</v>
      </c>
    </row>
    <row r="28" spans="1:75" s="62" customFormat="1">
      <c r="A28" s="37">
        <v>1215</v>
      </c>
      <c r="B28" s="75" t="s">
        <v>852</v>
      </c>
      <c r="C28" s="37" t="s">
        <v>1116</v>
      </c>
      <c r="D28" s="37">
        <v>1</v>
      </c>
      <c r="E28" s="37">
        <v>3</v>
      </c>
      <c r="F28" s="37">
        <v>1</v>
      </c>
      <c r="G28" s="37">
        <v>1</v>
      </c>
      <c r="H28" s="37" t="s">
        <v>1125</v>
      </c>
      <c r="I28" s="37">
        <v>150</v>
      </c>
      <c r="J28" s="37" t="s">
        <v>858</v>
      </c>
      <c r="K28" s="37">
        <v>10</v>
      </c>
      <c r="L28" s="37" t="s">
        <v>859</v>
      </c>
      <c r="M28" s="33" t="s">
        <v>779</v>
      </c>
      <c r="N28" s="37" t="s">
        <v>853</v>
      </c>
      <c r="O28" s="37" t="s">
        <v>40</v>
      </c>
      <c r="P28" s="75" t="s">
        <v>860</v>
      </c>
      <c r="Q28" s="75">
        <v>1</v>
      </c>
      <c r="R28" s="37" t="s">
        <v>21</v>
      </c>
      <c r="S28" s="37" t="s">
        <v>21</v>
      </c>
      <c r="T28" s="37" t="s">
        <v>21</v>
      </c>
      <c r="U28" s="37">
        <v>5</v>
      </c>
      <c r="V28" s="33">
        <v>16</v>
      </c>
      <c r="W28" s="33">
        <f>VLOOKUP(F28,Sheet3!$B$33:$E$37,3,0)</f>
        <v>9</v>
      </c>
      <c r="X28" s="33">
        <f>VLOOKUP(F28,Sheet3!$B$33:$E$37,2,0)</f>
        <v>15</v>
      </c>
      <c r="Y28" s="33">
        <f>VLOOKUP(F28,Sheet3!$B$33:$E$37,4,0)</f>
        <v>8</v>
      </c>
      <c r="Z28" s="37">
        <v>1</v>
      </c>
      <c r="AA28" s="98">
        <v>0</v>
      </c>
      <c r="AB28" s="98">
        <v>0</v>
      </c>
      <c r="AC28" s="35">
        <v>12500</v>
      </c>
      <c r="AD28" s="35">
        <v>500</v>
      </c>
      <c r="AE28" s="35">
        <v>250</v>
      </c>
      <c r="AF28" s="35">
        <v>250</v>
      </c>
      <c r="AG28" s="37">
        <v>1</v>
      </c>
      <c r="AH28" s="37">
        <v>0</v>
      </c>
      <c r="AI28" s="37">
        <v>0</v>
      </c>
      <c r="AJ28" s="37">
        <v>0</v>
      </c>
      <c r="AK28" s="37">
        <v>0</v>
      </c>
      <c r="AL28" s="37">
        <v>0</v>
      </c>
      <c r="AM28" s="33">
        <v>1</v>
      </c>
      <c r="AN28" s="98">
        <v>0</v>
      </c>
      <c r="AO28" s="98">
        <v>0</v>
      </c>
      <c r="AP28" s="35">
        <v>750</v>
      </c>
      <c r="AQ28" s="35">
        <v>30</v>
      </c>
      <c r="AR28" s="35">
        <v>15</v>
      </c>
      <c r="AS28" s="35">
        <v>15</v>
      </c>
      <c r="AT28" s="37">
        <v>0</v>
      </c>
      <c r="AU28" s="37">
        <v>0</v>
      </c>
      <c r="AV28" s="37">
        <v>0</v>
      </c>
      <c r="AW28" s="37">
        <v>0</v>
      </c>
      <c r="AX28" s="35" t="s">
        <v>1101</v>
      </c>
      <c r="AY28" s="37">
        <v>10</v>
      </c>
      <c r="AZ28" s="34" t="s">
        <v>903</v>
      </c>
      <c r="BA28" s="37" t="s">
        <v>222</v>
      </c>
      <c r="BB28" s="37">
        <v>50</v>
      </c>
      <c r="BC28" s="107" t="s">
        <v>1055</v>
      </c>
      <c r="BD28" s="35" t="s">
        <v>21</v>
      </c>
      <c r="BE28" s="94" t="s">
        <v>1017</v>
      </c>
      <c r="BF28" s="37">
        <v>2000</v>
      </c>
      <c r="BG28" s="98">
        <v>20000</v>
      </c>
      <c r="BH28" s="98">
        <v>4000</v>
      </c>
      <c r="BI28" s="33">
        <v>10115</v>
      </c>
      <c r="BJ28" s="37" t="s">
        <v>21</v>
      </c>
      <c r="BK28" s="37">
        <v>0</v>
      </c>
      <c r="BL28" s="33">
        <f>VLOOKUP(F28,Sheet3!$B$33:$F$37,5,0)</f>
        <v>3000</v>
      </c>
      <c r="BM28" s="33">
        <v>1</v>
      </c>
      <c r="BN28" s="67">
        <v>101</v>
      </c>
      <c r="BO28" s="90">
        <f t="shared" si="2"/>
        <v>1215</v>
      </c>
      <c r="BP28" s="68">
        <v>1215</v>
      </c>
      <c r="BQ28" s="37" t="s">
        <v>791</v>
      </c>
      <c r="BR28" s="75" t="s">
        <v>21</v>
      </c>
      <c r="BS28" s="68" t="e">
        <f>INT(MID(VLOOKUP($BO28,[1]Sheet1!$A:$C,3,0),9,5))</f>
        <v>#VALUE!</v>
      </c>
      <c r="BT28" s="68" t="str">
        <f t="shared" si="0"/>
        <v>guanshiyin</v>
      </c>
      <c r="BU28" s="68" t="e">
        <f>MID(VLOOKUP($BS28,[2]Sheet1!$A:$C,3,0),3,IF(ISERROR(FIND(",",VLOOKUP($BS28,[2]Sheet1!$A:$C,3,0))),LEN(VLOOKUP($BS28,[2]Sheet1!$A:$C,3,0))-4,FIND(",",VLOOKUP($BS28,[2]Sheet1!$A:$C,3,0))-4))</f>
        <v>#VALUE!</v>
      </c>
      <c r="BV28" s="68" t="str">
        <f>IF(ISERROR(MID(VLOOKUP($BS28,[2]Sheet1!$A:$D,4,0),3,IF(ISERROR(FIND(",",VLOOKUP($BS28,[2]Sheet1!$A:$D,4,0))),LEN(VLOOKUP($BS28,[2]Sheet1!$A:$D,4,0))-4,FIND(",",VLOOKUP($BS28,[2]Sheet1!$A:$D,4,0))-4))),"[]",MID(VLOOKUP($BS28,[2]Sheet1!$A:$D,4,0),3,IF(ISERROR(FIND(",",VLOOKUP($BS28,[2]Sheet1!$A:$D,4,0))),LEN(VLOOKUP($BS28,[2]Sheet1!$A:$D,4,0))-4,FIND(",",VLOOKUP($BS28,[2]Sheet1!$A:$D,4,0))-4)))</f>
        <v>[]</v>
      </c>
      <c r="BW28" s="68" t="str">
        <f t="shared" si="1"/>
        <v>1-16</v>
      </c>
    </row>
    <row r="29" spans="1:75" s="62" customFormat="1">
      <c r="A29" s="33">
        <v>1114</v>
      </c>
      <c r="B29" s="33" t="s">
        <v>870</v>
      </c>
      <c r="C29" s="33" t="s">
        <v>511</v>
      </c>
      <c r="D29" s="33">
        <v>1</v>
      </c>
      <c r="E29" s="33">
        <v>2</v>
      </c>
      <c r="F29" s="33">
        <v>3</v>
      </c>
      <c r="G29" s="33">
        <v>3</v>
      </c>
      <c r="H29" s="33" t="s">
        <v>1122</v>
      </c>
      <c r="I29" s="33">
        <v>150</v>
      </c>
      <c r="J29" s="33" t="s">
        <v>126</v>
      </c>
      <c r="K29" s="33">
        <v>10</v>
      </c>
      <c r="L29" s="33" t="s">
        <v>95</v>
      </c>
      <c r="M29" s="33" t="s">
        <v>779</v>
      </c>
      <c r="N29" s="33" t="s">
        <v>84</v>
      </c>
      <c r="O29" s="33" t="s">
        <v>40</v>
      </c>
      <c r="P29" s="33" t="s">
        <v>374</v>
      </c>
      <c r="Q29" s="33">
        <v>1</v>
      </c>
      <c r="R29" s="33" t="s">
        <v>21</v>
      </c>
      <c r="S29" s="33" t="s">
        <v>21</v>
      </c>
      <c r="T29" s="33" t="s">
        <v>21</v>
      </c>
      <c r="U29" s="33">
        <v>4</v>
      </c>
      <c r="V29" s="33">
        <v>13</v>
      </c>
      <c r="W29" s="33">
        <f>VLOOKUP(F29,Sheet3!$B$33:$E$37,3,0)</f>
        <v>5</v>
      </c>
      <c r="X29" s="33">
        <f>VLOOKUP(F29,Sheet3!$B$33:$E$37,2,0)</f>
        <v>15</v>
      </c>
      <c r="Y29" s="33">
        <f>VLOOKUP(F29,Sheet3!$B$33:$E$37,4,0)</f>
        <v>8</v>
      </c>
      <c r="Z29" s="33">
        <v>1.25</v>
      </c>
      <c r="AA29" s="97">
        <v>0</v>
      </c>
      <c r="AB29" s="97">
        <v>0</v>
      </c>
      <c r="AC29" s="35">
        <v>7500</v>
      </c>
      <c r="AD29" s="35">
        <v>300</v>
      </c>
      <c r="AE29" s="35">
        <v>150</v>
      </c>
      <c r="AF29" s="35">
        <v>150</v>
      </c>
      <c r="AG29" s="33">
        <v>1</v>
      </c>
      <c r="AH29" s="33">
        <v>0</v>
      </c>
      <c r="AI29" s="33">
        <v>0</v>
      </c>
      <c r="AJ29" s="33">
        <v>0</v>
      </c>
      <c r="AK29" s="33">
        <v>0</v>
      </c>
      <c r="AL29" s="33">
        <v>0</v>
      </c>
      <c r="AM29" s="33">
        <v>1</v>
      </c>
      <c r="AN29" s="97">
        <v>0</v>
      </c>
      <c r="AO29" s="97">
        <v>0</v>
      </c>
      <c r="AP29" s="35">
        <v>625</v>
      </c>
      <c r="AQ29" s="35">
        <v>25</v>
      </c>
      <c r="AR29" s="35">
        <v>13</v>
      </c>
      <c r="AS29" s="35">
        <v>13</v>
      </c>
      <c r="AT29" s="33">
        <v>0</v>
      </c>
      <c r="AU29" s="33">
        <v>0</v>
      </c>
      <c r="AV29" s="33">
        <v>0</v>
      </c>
      <c r="AW29" s="33">
        <v>0</v>
      </c>
      <c r="AX29" s="35" t="s">
        <v>1102</v>
      </c>
      <c r="AY29" s="33">
        <v>10</v>
      </c>
      <c r="AZ29" s="34" t="s">
        <v>904</v>
      </c>
      <c r="BA29" s="33" t="s">
        <v>222</v>
      </c>
      <c r="BB29" s="33">
        <v>50</v>
      </c>
      <c r="BC29" s="107" t="s">
        <v>877</v>
      </c>
      <c r="BD29" s="35" t="s">
        <v>21</v>
      </c>
      <c r="BE29" s="94" t="s">
        <v>1003</v>
      </c>
      <c r="BF29" s="33">
        <v>1400</v>
      </c>
      <c r="BG29" s="97">
        <v>20000</v>
      </c>
      <c r="BH29" s="97">
        <v>4000</v>
      </c>
      <c r="BI29" s="33">
        <v>10014</v>
      </c>
      <c r="BJ29" s="33" t="s">
        <v>21</v>
      </c>
      <c r="BK29" s="33">
        <v>0</v>
      </c>
      <c r="BL29" s="33">
        <f>VLOOKUP(F29,Sheet3!$B$33:$F$37,5,0)</f>
        <v>50000</v>
      </c>
      <c r="BM29" s="33">
        <v>1.5</v>
      </c>
      <c r="BN29" s="67">
        <v>100</v>
      </c>
      <c r="BO29" s="90">
        <f t="shared" si="2"/>
        <v>1114</v>
      </c>
      <c r="BP29" s="68">
        <v>1114</v>
      </c>
      <c r="BQ29" s="33" t="s">
        <v>805</v>
      </c>
      <c r="BR29" s="33" t="s">
        <v>21</v>
      </c>
      <c r="BS29" s="68" t="e">
        <f>INT(MID(VLOOKUP($BO29,[1]Sheet1!$A:$C,3,0),9,5))</f>
        <v>#VALUE!</v>
      </c>
      <c r="BT29" s="68" t="str">
        <f t="shared" si="0"/>
        <v>lulidaxian</v>
      </c>
      <c r="BU29" s="68" t="e">
        <f>MID(VLOOKUP($BS29,[2]Sheet1!$A:$C,3,0),3,IF(ISERROR(FIND(",",VLOOKUP($BS29,[2]Sheet1!$A:$C,3,0))),LEN(VLOOKUP($BS29,[2]Sheet1!$A:$C,3,0))-4,FIND(",",VLOOKUP($BS29,[2]Sheet1!$A:$C,3,0))-4))</f>
        <v>#VALUE!</v>
      </c>
      <c r="BV29" s="68" t="str">
        <f>IF(ISERROR(MID(VLOOKUP($BS29,[2]Sheet1!$A:$D,4,0),3,IF(ISERROR(FIND(",",VLOOKUP($BS29,[2]Sheet1!$A:$D,4,0))),LEN(VLOOKUP($BS29,[2]Sheet1!$A:$D,4,0))-4,FIND(",",VLOOKUP($BS29,[2]Sheet1!$A:$D,4,0))-4))),"[]",MID(VLOOKUP($BS29,[2]Sheet1!$A:$D,4,0),3,IF(ISERROR(FIND(",",VLOOKUP($BS29,[2]Sheet1!$A:$D,4,0))),LEN(VLOOKUP($BS29,[2]Sheet1!$A:$D,4,0))-4,FIND(",",VLOOKUP($BS29,[2]Sheet1!$A:$D,4,0))-4)))</f>
        <v>[]</v>
      </c>
      <c r="BW29" s="68" t="str">
        <f t="shared" si="1"/>
        <v>3-13</v>
      </c>
    </row>
    <row r="30" spans="1:75" s="66" customFormat="1">
      <c r="A30" s="33">
        <v>1110</v>
      </c>
      <c r="B30" s="33" t="s">
        <v>32</v>
      </c>
      <c r="C30" s="33" t="s">
        <v>1117</v>
      </c>
      <c r="D30" s="33">
        <v>1</v>
      </c>
      <c r="E30" s="33">
        <v>3</v>
      </c>
      <c r="F30" s="33">
        <v>3</v>
      </c>
      <c r="G30" s="33">
        <v>3</v>
      </c>
      <c r="H30" s="33" t="s">
        <v>1122</v>
      </c>
      <c r="I30" s="33">
        <v>150</v>
      </c>
      <c r="J30" s="33" t="s">
        <v>43</v>
      </c>
      <c r="K30" s="33">
        <v>10</v>
      </c>
      <c r="L30" s="33" t="s">
        <v>44</v>
      </c>
      <c r="M30" s="33" t="s">
        <v>779</v>
      </c>
      <c r="N30" s="33" t="s">
        <v>45</v>
      </c>
      <c r="O30" s="33" t="s">
        <v>40</v>
      </c>
      <c r="P30" s="33" t="s">
        <v>373</v>
      </c>
      <c r="Q30" s="33">
        <v>1</v>
      </c>
      <c r="R30" s="33" t="s">
        <v>21</v>
      </c>
      <c r="S30" s="33" t="s">
        <v>21</v>
      </c>
      <c r="T30" s="33" t="s">
        <v>21</v>
      </c>
      <c r="U30" s="33">
        <v>4</v>
      </c>
      <c r="V30" s="33">
        <v>13</v>
      </c>
      <c r="W30" s="33">
        <f>VLOOKUP(F30,Sheet3!$B$33:$E$37,3,0)</f>
        <v>5</v>
      </c>
      <c r="X30" s="33">
        <f>VLOOKUP(F30,Sheet3!$B$33:$E$37,2,0)</f>
        <v>15</v>
      </c>
      <c r="Y30" s="33">
        <f>VLOOKUP(F30,Sheet3!$B$33:$E$37,4,0)</f>
        <v>8</v>
      </c>
      <c r="Z30" s="33">
        <v>1.25</v>
      </c>
      <c r="AA30" s="97">
        <v>0</v>
      </c>
      <c r="AB30" s="97">
        <v>0</v>
      </c>
      <c r="AC30" s="35">
        <v>7500</v>
      </c>
      <c r="AD30" s="35">
        <v>300</v>
      </c>
      <c r="AE30" s="35">
        <v>150</v>
      </c>
      <c r="AF30" s="35">
        <v>150</v>
      </c>
      <c r="AG30" s="33">
        <v>1</v>
      </c>
      <c r="AH30" s="33">
        <v>0</v>
      </c>
      <c r="AI30" s="33">
        <v>0</v>
      </c>
      <c r="AJ30" s="33">
        <v>0</v>
      </c>
      <c r="AK30" s="33">
        <v>0</v>
      </c>
      <c r="AL30" s="33">
        <v>0</v>
      </c>
      <c r="AM30" s="33">
        <v>1</v>
      </c>
      <c r="AN30" s="97">
        <v>0</v>
      </c>
      <c r="AO30" s="97">
        <v>0</v>
      </c>
      <c r="AP30" s="35">
        <v>625</v>
      </c>
      <c r="AQ30" s="35">
        <v>25</v>
      </c>
      <c r="AR30" s="35">
        <v>13</v>
      </c>
      <c r="AS30" s="35">
        <v>13</v>
      </c>
      <c r="AT30" s="33">
        <v>0</v>
      </c>
      <c r="AU30" s="33">
        <v>0</v>
      </c>
      <c r="AV30" s="33">
        <v>0</v>
      </c>
      <c r="AW30" s="33">
        <v>0</v>
      </c>
      <c r="AX30" s="35" t="s">
        <v>1102</v>
      </c>
      <c r="AY30" s="33">
        <v>10</v>
      </c>
      <c r="AZ30" s="34" t="s">
        <v>905</v>
      </c>
      <c r="BA30" s="33" t="s">
        <v>221</v>
      </c>
      <c r="BB30" s="33">
        <v>50</v>
      </c>
      <c r="BC30" s="107" t="s">
        <v>1056</v>
      </c>
      <c r="BD30" s="35" t="s">
        <v>21</v>
      </c>
      <c r="BE30" s="94" t="s">
        <v>1018</v>
      </c>
      <c r="BF30" s="33">
        <v>1400</v>
      </c>
      <c r="BG30" s="97">
        <v>20000</v>
      </c>
      <c r="BH30" s="97">
        <v>4000</v>
      </c>
      <c r="BI30" s="33">
        <v>10010</v>
      </c>
      <c r="BJ30" s="33" t="s">
        <v>21</v>
      </c>
      <c r="BK30" s="33">
        <v>0</v>
      </c>
      <c r="BL30" s="33">
        <f>VLOOKUP(F30,Sheet3!$B$33:$F$37,5,0)</f>
        <v>50000</v>
      </c>
      <c r="BM30" s="33">
        <v>1.5</v>
      </c>
      <c r="BN30" s="75">
        <v>100</v>
      </c>
      <c r="BO30" s="90">
        <f t="shared" si="2"/>
        <v>1110</v>
      </c>
      <c r="BP30" s="68">
        <v>1110</v>
      </c>
      <c r="BQ30" s="33" t="s">
        <v>795</v>
      </c>
      <c r="BR30" s="33" t="s">
        <v>21</v>
      </c>
      <c r="BS30" s="80" t="e">
        <f>INT(MID(VLOOKUP($BO30,[1]Sheet1!$A:$C,3,0),9,5))</f>
        <v>#VALUE!</v>
      </c>
      <c r="BT30" s="80" t="str">
        <f t="shared" si="0"/>
        <v>honghaier</v>
      </c>
      <c r="BU30" s="80" t="e">
        <f>MID(VLOOKUP($BS30,[2]Sheet1!$A:$C,3,0),3,IF(ISERROR(FIND(",",VLOOKUP($BS30,[2]Sheet1!$A:$C,3,0))),LEN(VLOOKUP($BS30,[2]Sheet1!$A:$C,3,0))-4,FIND(",",VLOOKUP($BS30,[2]Sheet1!$A:$C,3,0))-4))</f>
        <v>#VALUE!</v>
      </c>
      <c r="BV30" s="80" t="str">
        <f>IF(ISERROR(MID(VLOOKUP($BS30,[2]Sheet1!$A:$D,4,0),3,IF(ISERROR(FIND(",",VLOOKUP($BS30,[2]Sheet1!$A:$D,4,0))),LEN(VLOOKUP($BS30,[2]Sheet1!$A:$D,4,0))-4,FIND(",",VLOOKUP($BS30,[2]Sheet1!$A:$D,4,0))-4))),"[]",MID(VLOOKUP($BS30,[2]Sheet1!$A:$D,4,0),3,IF(ISERROR(FIND(",",VLOOKUP($BS30,[2]Sheet1!$A:$D,4,0))),LEN(VLOOKUP($BS30,[2]Sheet1!$A:$D,4,0))-4,FIND(",",VLOOKUP($BS30,[2]Sheet1!$A:$D,4,0))-4)))</f>
        <v>[]</v>
      </c>
      <c r="BW30" s="80" t="str">
        <f t="shared" si="1"/>
        <v>3-13</v>
      </c>
    </row>
    <row r="31" spans="1:75" s="65" customFormat="1">
      <c r="A31" s="33">
        <v>1104</v>
      </c>
      <c r="B31" s="33" t="s">
        <v>58</v>
      </c>
      <c r="C31" s="33" t="s">
        <v>508</v>
      </c>
      <c r="D31" s="33">
        <v>1</v>
      </c>
      <c r="E31" s="33">
        <v>1</v>
      </c>
      <c r="F31" s="33">
        <v>3</v>
      </c>
      <c r="G31" s="33">
        <v>3</v>
      </c>
      <c r="H31" s="33" t="s">
        <v>1122</v>
      </c>
      <c r="I31" s="33">
        <v>150</v>
      </c>
      <c r="J31" s="33" t="s">
        <v>59</v>
      </c>
      <c r="K31" s="33">
        <v>10</v>
      </c>
      <c r="L31" s="33" t="s">
        <v>174</v>
      </c>
      <c r="M31" s="33" t="s">
        <v>779</v>
      </c>
      <c r="N31" s="33" t="s">
        <v>60</v>
      </c>
      <c r="O31" s="33" t="s">
        <v>40</v>
      </c>
      <c r="P31" s="33" t="s">
        <v>362</v>
      </c>
      <c r="Q31" s="33">
        <v>1</v>
      </c>
      <c r="R31" s="33" t="s">
        <v>21</v>
      </c>
      <c r="S31" s="33" t="s">
        <v>21</v>
      </c>
      <c r="T31" s="33" t="s">
        <v>21</v>
      </c>
      <c r="U31" s="33">
        <v>4</v>
      </c>
      <c r="V31" s="33">
        <v>13</v>
      </c>
      <c r="W31" s="33">
        <f>VLOOKUP(F31,Sheet3!$B$33:$E$37,3,0)</f>
        <v>5</v>
      </c>
      <c r="X31" s="33">
        <f>VLOOKUP(F31,Sheet3!$B$33:$E$37,2,0)</f>
        <v>15</v>
      </c>
      <c r="Y31" s="33">
        <f>VLOOKUP(F31,Sheet3!$B$33:$E$37,4,0)</f>
        <v>8</v>
      </c>
      <c r="Z31" s="33">
        <v>0.8</v>
      </c>
      <c r="AA31" s="97">
        <v>0</v>
      </c>
      <c r="AB31" s="97">
        <v>0</v>
      </c>
      <c r="AC31" s="35">
        <v>7500</v>
      </c>
      <c r="AD31" s="35">
        <v>300</v>
      </c>
      <c r="AE31" s="35">
        <v>150</v>
      </c>
      <c r="AF31" s="35">
        <v>150</v>
      </c>
      <c r="AG31" s="33">
        <v>1</v>
      </c>
      <c r="AH31" s="33">
        <v>0</v>
      </c>
      <c r="AI31" s="33">
        <v>0</v>
      </c>
      <c r="AJ31" s="33">
        <v>0</v>
      </c>
      <c r="AK31" s="33">
        <v>0</v>
      </c>
      <c r="AL31" s="33">
        <v>0</v>
      </c>
      <c r="AM31" s="33">
        <v>1</v>
      </c>
      <c r="AN31" s="97">
        <v>0</v>
      </c>
      <c r="AO31" s="97">
        <v>0</v>
      </c>
      <c r="AP31" s="35">
        <v>625</v>
      </c>
      <c r="AQ31" s="35">
        <v>25</v>
      </c>
      <c r="AR31" s="35">
        <v>13</v>
      </c>
      <c r="AS31" s="35">
        <v>13</v>
      </c>
      <c r="AT31" s="33">
        <v>0</v>
      </c>
      <c r="AU31" s="33">
        <v>0</v>
      </c>
      <c r="AV31" s="33">
        <v>0</v>
      </c>
      <c r="AW31" s="33">
        <v>0</v>
      </c>
      <c r="AX31" s="35" t="s">
        <v>1103</v>
      </c>
      <c r="AY31" s="33">
        <v>10</v>
      </c>
      <c r="AZ31" s="34" t="s">
        <v>906</v>
      </c>
      <c r="BA31" s="33" t="s">
        <v>222</v>
      </c>
      <c r="BB31" s="33">
        <v>50</v>
      </c>
      <c r="BC31" s="107" t="s">
        <v>1057</v>
      </c>
      <c r="BD31" s="35" t="s">
        <v>21</v>
      </c>
      <c r="BE31" s="94" t="s">
        <v>1004</v>
      </c>
      <c r="BF31" s="33">
        <v>1400</v>
      </c>
      <c r="BG31" s="97">
        <v>20000</v>
      </c>
      <c r="BH31" s="97">
        <v>4000</v>
      </c>
      <c r="BI31" s="33">
        <v>10004</v>
      </c>
      <c r="BJ31" s="33" t="s">
        <v>21</v>
      </c>
      <c r="BK31" s="33">
        <v>0</v>
      </c>
      <c r="BL31" s="33">
        <f>VLOOKUP(F31,Sheet3!$B$33:$F$37,5,0)</f>
        <v>50000</v>
      </c>
      <c r="BM31" s="33">
        <v>1.5</v>
      </c>
      <c r="BN31" s="67">
        <v>100</v>
      </c>
      <c r="BO31" s="90">
        <f t="shared" si="2"/>
        <v>1104</v>
      </c>
      <c r="BP31" s="68">
        <v>1104</v>
      </c>
      <c r="BQ31" s="33" t="s">
        <v>827</v>
      </c>
      <c r="BR31" s="33" t="s">
        <v>21</v>
      </c>
      <c r="BS31" s="79" t="e">
        <f>INT(MID(VLOOKUP($BO31,[1]Sheet1!$A:$C,3,0),9,5))</f>
        <v>#VALUE!</v>
      </c>
      <c r="BT31" s="79" t="str">
        <f t="shared" si="0"/>
        <v>yuhuangdadi</v>
      </c>
      <c r="BU31" s="79" t="e">
        <f>MID(VLOOKUP($BS31,[2]Sheet1!$A:$C,3,0),3,IF(ISERROR(FIND(",",VLOOKUP($BS31,[2]Sheet1!$A:$C,3,0))),LEN(VLOOKUP($BS31,[2]Sheet1!$A:$C,3,0))-4,FIND(",",VLOOKUP($BS31,[2]Sheet1!$A:$C,3,0))-4))</f>
        <v>#VALUE!</v>
      </c>
      <c r="BV31" s="79" t="str">
        <f>IF(ISERROR(MID(VLOOKUP($BS31,[2]Sheet1!$A:$D,4,0),3,IF(ISERROR(FIND(",",VLOOKUP($BS31,[2]Sheet1!$A:$D,4,0))),LEN(VLOOKUP($BS31,[2]Sheet1!$A:$D,4,0))-4,FIND(",",VLOOKUP($BS31,[2]Sheet1!$A:$D,4,0))-4))),"[]",MID(VLOOKUP($BS31,[2]Sheet1!$A:$D,4,0),3,IF(ISERROR(FIND(",",VLOOKUP($BS31,[2]Sheet1!$A:$D,4,0))),LEN(VLOOKUP($BS31,[2]Sheet1!$A:$D,4,0))-4,FIND(",",VLOOKUP($BS31,[2]Sheet1!$A:$D,4,0))-4)))</f>
        <v>[]</v>
      </c>
      <c r="BW31" s="79" t="str">
        <f t="shared" si="1"/>
        <v>3-13</v>
      </c>
    </row>
    <row r="32" spans="1:75" s="62" customFormat="1">
      <c r="A32" s="33">
        <v>1135</v>
      </c>
      <c r="B32" s="33" t="s">
        <v>39</v>
      </c>
      <c r="C32" s="33" t="s">
        <v>521</v>
      </c>
      <c r="D32" s="33">
        <v>1</v>
      </c>
      <c r="E32" s="33">
        <v>1</v>
      </c>
      <c r="F32" s="33">
        <v>4</v>
      </c>
      <c r="G32" s="33">
        <v>4</v>
      </c>
      <c r="H32" s="37" t="s">
        <v>1123</v>
      </c>
      <c r="I32" s="33">
        <v>150</v>
      </c>
      <c r="J32" s="33" t="s">
        <v>162</v>
      </c>
      <c r="K32" s="33">
        <v>10</v>
      </c>
      <c r="L32" s="33" t="s">
        <v>100</v>
      </c>
      <c r="M32" s="33" t="s">
        <v>779</v>
      </c>
      <c r="N32" s="33" t="s">
        <v>298</v>
      </c>
      <c r="O32" s="33" t="s">
        <v>40</v>
      </c>
      <c r="P32" s="33" t="s">
        <v>385</v>
      </c>
      <c r="Q32" s="33">
        <v>1</v>
      </c>
      <c r="R32" s="33" t="s">
        <v>21</v>
      </c>
      <c r="S32" s="33" t="s">
        <v>21</v>
      </c>
      <c r="T32" s="33" t="s">
        <v>21</v>
      </c>
      <c r="U32" s="33">
        <v>4</v>
      </c>
      <c r="V32" s="33">
        <v>13</v>
      </c>
      <c r="W32" s="33">
        <f>VLOOKUP(F32,Sheet3!$B$33:$E$37,3,0)</f>
        <v>3</v>
      </c>
      <c r="X32" s="33">
        <f>VLOOKUP(F32,Sheet3!$B$33:$E$37,2,0)</f>
        <v>15</v>
      </c>
      <c r="Y32" s="33">
        <f>VLOOKUP(F32,Sheet3!$B$33:$E$37,4,0)</f>
        <v>8</v>
      </c>
      <c r="Z32" s="33">
        <v>1</v>
      </c>
      <c r="AA32" s="97">
        <v>0</v>
      </c>
      <c r="AB32" s="97">
        <v>0</v>
      </c>
      <c r="AC32" s="35">
        <v>7500</v>
      </c>
      <c r="AD32" s="35">
        <v>300</v>
      </c>
      <c r="AE32" s="35">
        <v>150</v>
      </c>
      <c r="AF32" s="35">
        <v>150</v>
      </c>
      <c r="AG32" s="33">
        <v>1</v>
      </c>
      <c r="AH32" s="33">
        <v>0</v>
      </c>
      <c r="AI32" s="33">
        <v>0</v>
      </c>
      <c r="AJ32" s="33">
        <v>0</v>
      </c>
      <c r="AK32" s="33">
        <v>0</v>
      </c>
      <c r="AL32" s="33">
        <v>0</v>
      </c>
      <c r="AM32" s="33">
        <v>1</v>
      </c>
      <c r="AN32" s="97">
        <v>0</v>
      </c>
      <c r="AO32" s="97">
        <v>0</v>
      </c>
      <c r="AP32" s="35">
        <v>625</v>
      </c>
      <c r="AQ32" s="35">
        <v>25</v>
      </c>
      <c r="AR32" s="35">
        <v>13</v>
      </c>
      <c r="AS32" s="35">
        <v>13</v>
      </c>
      <c r="AT32" s="33">
        <v>0</v>
      </c>
      <c r="AU32" s="33">
        <v>0</v>
      </c>
      <c r="AV32" s="33">
        <v>0</v>
      </c>
      <c r="AW32" s="33">
        <v>0</v>
      </c>
      <c r="AX32" s="35" t="s">
        <v>1104</v>
      </c>
      <c r="AY32" s="33">
        <v>10</v>
      </c>
      <c r="AZ32" s="34" t="s">
        <v>907</v>
      </c>
      <c r="BA32" s="33" t="s">
        <v>222</v>
      </c>
      <c r="BB32" s="33">
        <v>50</v>
      </c>
      <c r="BC32" s="107" t="s">
        <v>1058</v>
      </c>
      <c r="BD32" s="35" t="s">
        <v>21</v>
      </c>
      <c r="BE32" s="94" t="s">
        <v>1017</v>
      </c>
      <c r="BF32" s="33">
        <v>1400</v>
      </c>
      <c r="BG32" s="97">
        <v>5000</v>
      </c>
      <c r="BH32" s="97">
        <v>1000</v>
      </c>
      <c r="BI32" s="33">
        <v>10035</v>
      </c>
      <c r="BJ32" s="33" t="s">
        <v>21</v>
      </c>
      <c r="BK32" s="33">
        <v>0</v>
      </c>
      <c r="BL32" s="33">
        <f>VLOOKUP(F32,Sheet3!$B$33:$F$37,5,0)</f>
        <v>100000</v>
      </c>
      <c r="BM32" s="33">
        <v>10</v>
      </c>
      <c r="BN32" s="67">
        <v>100</v>
      </c>
      <c r="BO32" s="90">
        <f t="shared" si="2"/>
        <v>1135</v>
      </c>
      <c r="BP32" s="68">
        <v>1135</v>
      </c>
      <c r="BQ32" s="33" t="s">
        <v>788</v>
      </c>
      <c r="BR32" s="33" t="s">
        <v>21</v>
      </c>
      <c r="BS32" s="68" t="e">
        <f>INT(MID(VLOOKUP($BO32,[1]Sheet1!$A:$C,3,0),9,5))</f>
        <v>#VALUE!</v>
      </c>
      <c r="BT32" s="68" t="str">
        <f t="shared" si="0"/>
        <v>donghailongwang</v>
      </c>
      <c r="BU32" s="68" t="e">
        <f>MID(VLOOKUP($BS32,[2]Sheet1!$A:$C,3,0),3,IF(ISERROR(FIND(",",VLOOKUP($BS32,[2]Sheet1!$A:$C,3,0))),LEN(VLOOKUP($BS32,[2]Sheet1!$A:$C,3,0))-4,FIND(",",VLOOKUP($BS32,[2]Sheet1!$A:$C,3,0))-4))</f>
        <v>#VALUE!</v>
      </c>
      <c r="BV32" s="68" t="str">
        <f>IF(ISERROR(MID(VLOOKUP($BS32,[2]Sheet1!$A:$D,4,0),3,IF(ISERROR(FIND(",",VLOOKUP($BS32,[2]Sheet1!$A:$D,4,0))),LEN(VLOOKUP($BS32,[2]Sheet1!$A:$D,4,0))-4,FIND(",",VLOOKUP($BS32,[2]Sheet1!$A:$D,4,0))-4))),"[]",MID(VLOOKUP($BS32,[2]Sheet1!$A:$D,4,0),3,IF(ISERROR(FIND(",",VLOOKUP($BS32,[2]Sheet1!$A:$D,4,0))),LEN(VLOOKUP($BS32,[2]Sheet1!$A:$D,4,0))-4,FIND(",",VLOOKUP($BS32,[2]Sheet1!$A:$D,4,0))-4)))</f>
        <v>[]</v>
      </c>
      <c r="BW32" s="68" t="str">
        <f t="shared" si="1"/>
        <v>4-13</v>
      </c>
    </row>
    <row r="33" spans="1:75" s="62" customFormat="1">
      <c r="A33" s="33">
        <v>1132</v>
      </c>
      <c r="B33" s="33" t="s">
        <v>64</v>
      </c>
      <c r="C33" s="33" t="s">
        <v>520</v>
      </c>
      <c r="D33" s="33">
        <v>1</v>
      </c>
      <c r="E33" s="33">
        <v>2</v>
      </c>
      <c r="F33" s="33">
        <v>4</v>
      </c>
      <c r="G33" s="33">
        <v>4</v>
      </c>
      <c r="H33" s="37" t="s">
        <v>1123</v>
      </c>
      <c r="I33" s="33">
        <v>150</v>
      </c>
      <c r="J33" s="33" t="s">
        <v>65</v>
      </c>
      <c r="K33" s="33">
        <v>10</v>
      </c>
      <c r="L33" s="33" t="s">
        <v>66</v>
      </c>
      <c r="M33" s="33" t="s">
        <v>779</v>
      </c>
      <c r="N33" s="33" t="s">
        <v>67</v>
      </c>
      <c r="O33" s="33" t="s">
        <v>40</v>
      </c>
      <c r="P33" s="33" t="s">
        <v>383</v>
      </c>
      <c r="Q33" s="33">
        <v>1</v>
      </c>
      <c r="R33" s="33" t="s">
        <v>21</v>
      </c>
      <c r="S33" s="33" t="s">
        <v>21</v>
      </c>
      <c r="T33" s="33" t="s">
        <v>21</v>
      </c>
      <c r="U33" s="33">
        <v>4</v>
      </c>
      <c r="V33" s="33">
        <v>13</v>
      </c>
      <c r="W33" s="33">
        <f>VLOOKUP(F33,Sheet3!$B$33:$E$37,3,0)</f>
        <v>3</v>
      </c>
      <c r="X33" s="33">
        <f>VLOOKUP(F33,Sheet3!$B$33:$E$37,2,0)</f>
        <v>15</v>
      </c>
      <c r="Y33" s="33">
        <f>VLOOKUP(F33,Sheet3!$B$33:$E$37,4,0)</f>
        <v>8</v>
      </c>
      <c r="Z33" s="33">
        <v>1</v>
      </c>
      <c r="AA33" s="97">
        <v>0</v>
      </c>
      <c r="AB33" s="97">
        <v>0</v>
      </c>
      <c r="AC33" s="35">
        <v>7500</v>
      </c>
      <c r="AD33" s="35">
        <v>300</v>
      </c>
      <c r="AE33" s="35">
        <v>150</v>
      </c>
      <c r="AF33" s="35">
        <v>150</v>
      </c>
      <c r="AG33" s="33">
        <v>1</v>
      </c>
      <c r="AH33" s="33">
        <v>0</v>
      </c>
      <c r="AI33" s="33">
        <v>0</v>
      </c>
      <c r="AJ33" s="33">
        <v>0</v>
      </c>
      <c r="AK33" s="33">
        <v>0</v>
      </c>
      <c r="AL33" s="33">
        <v>0</v>
      </c>
      <c r="AM33" s="33">
        <v>1</v>
      </c>
      <c r="AN33" s="97">
        <v>0</v>
      </c>
      <c r="AO33" s="97">
        <v>0</v>
      </c>
      <c r="AP33" s="35">
        <v>625</v>
      </c>
      <c r="AQ33" s="35">
        <v>25</v>
      </c>
      <c r="AR33" s="35">
        <v>13</v>
      </c>
      <c r="AS33" s="35">
        <v>13</v>
      </c>
      <c r="AT33" s="33">
        <v>0</v>
      </c>
      <c r="AU33" s="33">
        <v>0</v>
      </c>
      <c r="AV33" s="33">
        <v>0</v>
      </c>
      <c r="AW33" s="33">
        <v>0</v>
      </c>
      <c r="AX33" s="35" t="s">
        <v>1104</v>
      </c>
      <c r="AY33" s="33">
        <v>10</v>
      </c>
      <c r="AZ33" s="34" t="s">
        <v>908</v>
      </c>
      <c r="BA33" s="33" t="s">
        <v>222</v>
      </c>
      <c r="BB33" s="33">
        <v>50</v>
      </c>
      <c r="BC33" s="107" t="s">
        <v>1059</v>
      </c>
      <c r="BD33" s="35" t="s">
        <v>21</v>
      </c>
      <c r="BE33" s="94" t="s">
        <v>1017</v>
      </c>
      <c r="BF33" s="33">
        <v>1400</v>
      </c>
      <c r="BG33" s="97">
        <v>5000</v>
      </c>
      <c r="BH33" s="97">
        <v>1000</v>
      </c>
      <c r="BI33" s="33">
        <v>10032</v>
      </c>
      <c r="BJ33" s="33" t="s">
        <v>21</v>
      </c>
      <c r="BK33" s="33">
        <v>0</v>
      </c>
      <c r="BL33" s="33">
        <f>VLOOKUP(F33,Sheet3!$B$33:$F$37,5,0)</f>
        <v>100000</v>
      </c>
      <c r="BM33" s="33">
        <v>10</v>
      </c>
      <c r="BN33" s="67">
        <v>100</v>
      </c>
      <c r="BO33" s="90">
        <f t="shared" si="2"/>
        <v>1132</v>
      </c>
      <c r="BP33" s="68">
        <v>1132</v>
      </c>
      <c r="BQ33" s="33" t="s">
        <v>798</v>
      </c>
      <c r="BR33" s="33" t="s">
        <v>21</v>
      </c>
      <c r="BS33" s="68" t="e">
        <f>INT(MID(VLOOKUP($BO33,[1]Sheet1!$A:$C,3,0),9,5))</f>
        <v>#VALUE!</v>
      </c>
      <c r="BT33" s="68" t="str">
        <f t="shared" si="0"/>
        <v>hunshimowang</v>
      </c>
      <c r="BU33" s="68" t="e">
        <f>MID(VLOOKUP($BS33,[2]Sheet1!$A:$C,3,0),3,IF(ISERROR(FIND(",",VLOOKUP($BS33,[2]Sheet1!$A:$C,3,0))),LEN(VLOOKUP($BS33,[2]Sheet1!$A:$C,3,0))-4,FIND(",",VLOOKUP($BS33,[2]Sheet1!$A:$C,3,0))-4))</f>
        <v>#VALUE!</v>
      </c>
      <c r="BV33" s="68" t="str">
        <f>IF(ISERROR(MID(VLOOKUP($BS33,[2]Sheet1!$A:$D,4,0),3,IF(ISERROR(FIND(",",VLOOKUP($BS33,[2]Sheet1!$A:$D,4,0))),LEN(VLOOKUP($BS33,[2]Sheet1!$A:$D,4,0))-4,FIND(",",VLOOKUP($BS33,[2]Sheet1!$A:$D,4,0))-4))),"[]",MID(VLOOKUP($BS33,[2]Sheet1!$A:$D,4,0),3,IF(ISERROR(FIND(",",VLOOKUP($BS33,[2]Sheet1!$A:$D,4,0))),LEN(VLOOKUP($BS33,[2]Sheet1!$A:$D,4,0))-4,FIND(",",VLOOKUP($BS33,[2]Sheet1!$A:$D,4,0))-4)))</f>
        <v>[]</v>
      </c>
      <c r="BW33" s="68" t="str">
        <f t="shared" si="1"/>
        <v>4-13</v>
      </c>
    </row>
    <row r="34" spans="1:75" s="62" customFormat="1" ht="16.5" customHeight="1">
      <c r="A34" s="37">
        <v>1125</v>
      </c>
      <c r="B34" s="75" t="s">
        <v>143</v>
      </c>
      <c r="C34" s="37" t="s">
        <v>518</v>
      </c>
      <c r="D34" s="37">
        <v>1</v>
      </c>
      <c r="E34" s="37">
        <v>3</v>
      </c>
      <c r="F34" s="37">
        <v>4</v>
      </c>
      <c r="G34" s="37">
        <v>4</v>
      </c>
      <c r="H34" s="37" t="s">
        <v>1123</v>
      </c>
      <c r="I34" s="37">
        <v>150</v>
      </c>
      <c r="J34" s="37" t="s">
        <v>144</v>
      </c>
      <c r="K34" s="37">
        <v>10</v>
      </c>
      <c r="L34" s="37" t="s">
        <v>145</v>
      </c>
      <c r="M34" s="33" t="s">
        <v>779</v>
      </c>
      <c r="N34" s="37" t="s">
        <v>146</v>
      </c>
      <c r="O34" s="37" t="s">
        <v>40</v>
      </c>
      <c r="P34" s="37" t="s">
        <v>370</v>
      </c>
      <c r="Q34" s="37">
        <v>1</v>
      </c>
      <c r="R34" s="37" t="s">
        <v>21</v>
      </c>
      <c r="S34" s="37" t="s">
        <v>21</v>
      </c>
      <c r="T34" s="37" t="s">
        <v>21</v>
      </c>
      <c r="U34" s="37">
        <v>4</v>
      </c>
      <c r="V34" s="33">
        <v>13</v>
      </c>
      <c r="W34" s="33">
        <f>VLOOKUP(F34,Sheet3!$B$33:$E$37,3,0)</f>
        <v>3</v>
      </c>
      <c r="X34" s="33">
        <f>VLOOKUP(F34,Sheet3!$B$33:$E$37,2,0)</f>
        <v>15</v>
      </c>
      <c r="Y34" s="33">
        <f>VLOOKUP(F34,Sheet3!$B$33:$E$37,4,0)</f>
        <v>8</v>
      </c>
      <c r="Z34" s="37">
        <v>1</v>
      </c>
      <c r="AA34" s="98">
        <v>0</v>
      </c>
      <c r="AB34" s="98">
        <v>0</v>
      </c>
      <c r="AC34" s="35">
        <v>7500</v>
      </c>
      <c r="AD34" s="35">
        <v>300</v>
      </c>
      <c r="AE34" s="35">
        <v>150</v>
      </c>
      <c r="AF34" s="35">
        <v>150</v>
      </c>
      <c r="AG34" s="37">
        <v>1</v>
      </c>
      <c r="AH34" s="37">
        <v>0</v>
      </c>
      <c r="AI34" s="37">
        <v>0</v>
      </c>
      <c r="AJ34" s="37">
        <v>0</v>
      </c>
      <c r="AK34" s="37">
        <v>0</v>
      </c>
      <c r="AL34" s="37">
        <v>0</v>
      </c>
      <c r="AM34" s="33">
        <v>1</v>
      </c>
      <c r="AN34" s="98">
        <v>0</v>
      </c>
      <c r="AO34" s="98">
        <v>0</v>
      </c>
      <c r="AP34" s="35">
        <v>625</v>
      </c>
      <c r="AQ34" s="35">
        <v>25</v>
      </c>
      <c r="AR34" s="35">
        <v>13</v>
      </c>
      <c r="AS34" s="35">
        <v>13</v>
      </c>
      <c r="AT34" s="37">
        <v>0</v>
      </c>
      <c r="AU34" s="37">
        <v>0</v>
      </c>
      <c r="AV34" s="37">
        <v>0</v>
      </c>
      <c r="AW34" s="37">
        <v>0</v>
      </c>
      <c r="AX34" s="35" t="s">
        <v>1104</v>
      </c>
      <c r="AY34" s="37">
        <v>10</v>
      </c>
      <c r="AZ34" s="34" t="s">
        <v>909</v>
      </c>
      <c r="BA34" s="37" t="s">
        <v>222</v>
      </c>
      <c r="BB34" s="37">
        <v>50</v>
      </c>
      <c r="BC34" s="107" t="s">
        <v>1060</v>
      </c>
      <c r="BD34" s="35" t="s">
        <v>21</v>
      </c>
      <c r="BE34" s="94" t="s">
        <v>1004</v>
      </c>
      <c r="BF34" s="37">
        <v>1400</v>
      </c>
      <c r="BG34" s="98">
        <v>20000</v>
      </c>
      <c r="BH34" s="98">
        <v>4000</v>
      </c>
      <c r="BI34" s="33">
        <v>10025</v>
      </c>
      <c r="BJ34" s="37" t="s">
        <v>21</v>
      </c>
      <c r="BK34" s="37">
        <v>0</v>
      </c>
      <c r="BL34" s="33">
        <f>VLOOKUP(F34,Sheet3!$B$33:$F$37,5,0)</f>
        <v>100000</v>
      </c>
      <c r="BM34" s="33">
        <v>10</v>
      </c>
      <c r="BN34" s="67">
        <v>100</v>
      </c>
      <c r="BO34" s="90">
        <f t="shared" si="2"/>
        <v>1125</v>
      </c>
      <c r="BP34" s="68">
        <v>1125</v>
      </c>
      <c r="BQ34" s="37" t="s">
        <v>1028</v>
      </c>
      <c r="BR34" s="75" t="s">
        <v>21</v>
      </c>
      <c r="BS34" s="68" t="e">
        <f>INT(MID(VLOOKUP($BO34,[1]Sheet1!$A:$C,3,0),9,5))</f>
        <v>#VALUE!</v>
      </c>
      <c r="BT34" s="68" t="str">
        <f t="shared" si="0"/>
        <v>jiaye</v>
      </c>
      <c r="BU34" s="68" t="e">
        <f>MID(VLOOKUP($BS34,[2]Sheet1!$A:$C,3,0),3,IF(ISERROR(FIND(",",VLOOKUP($BS34,[2]Sheet1!$A:$C,3,0))),LEN(VLOOKUP($BS34,[2]Sheet1!$A:$C,3,0))-4,FIND(",",VLOOKUP($BS34,[2]Sheet1!$A:$C,3,0))-4))</f>
        <v>#VALUE!</v>
      </c>
      <c r="BV34" s="68" t="str">
        <f>IF(ISERROR(MID(VLOOKUP($BS34,[2]Sheet1!$A:$D,4,0),3,IF(ISERROR(FIND(",",VLOOKUP($BS34,[2]Sheet1!$A:$D,4,0))),LEN(VLOOKUP($BS34,[2]Sheet1!$A:$D,4,0))-4,FIND(",",VLOOKUP($BS34,[2]Sheet1!$A:$D,4,0))-4))),"[]",MID(VLOOKUP($BS34,[2]Sheet1!$A:$D,4,0),3,IF(ISERROR(FIND(",",VLOOKUP($BS34,[2]Sheet1!$A:$D,4,0))),LEN(VLOOKUP($BS34,[2]Sheet1!$A:$D,4,0))-4,FIND(",",VLOOKUP($BS34,[2]Sheet1!$A:$D,4,0))-4)))</f>
        <v>[]</v>
      </c>
      <c r="BW34" s="68" t="str">
        <f t="shared" si="1"/>
        <v>4-13</v>
      </c>
    </row>
    <row r="35" spans="1:75" s="62" customFormat="1" ht="16.5" customHeight="1">
      <c r="A35" s="36">
        <v>1202</v>
      </c>
      <c r="B35" s="36" t="s">
        <v>588</v>
      </c>
      <c r="C35" s="33" t="s">
        <v>524</v>
      </c>
      <c r="D35" s="33">
        <v>1</v>
      </c>
      <c r="E35" s="33">
        <v>3</v>
      </c>
      <c r="F35" s="33">
        <v>3</v>
      </c>
      <c r="G35" s="33">
        <v>3</v>
      </c>
      <c r="H35" s="33" t="s">
        <v>1122</v>
      </c>
      <c r="I35" s="33">
        <v>150</v>
      </c>
      <c r="J35" s="33" t="s">
        <v>482</v>
      </c>
      <c r="K35" s="33">
        <v>10</v>
      </c>
      <c r="L35" s="33" t="s">
        <v>483</v>
      </c>
      <c r="M35" s="33" t="s">
        <v>779</v>
      </c>
      <c r="N35" s="41" t="s">
        <v>589</v>
      </c>
      <c r="O35" s="33" t="s">
        <v>40</v>
      </c>
      <c r="P35" s="33" t="s">
        <v>484</v>
      </c>
      <c r="Q35" s="33">
        <v>1</v>
      </c>
      <c r="R35" s="33" t="s">
        <v>21</v>
      </c>
      <c r="S35" s="33" t="s">
        <v>21</v>
      </c>
      <c r="T35" s="33" t="s">
        <v>21</v>
      </c>
      <c r="U35" s="33">
        <v>4</v>
      </c>
      <c r="V35" s="33">
        <v>13</v>
      </c>
      <c r="W35" s="33">
        <f>VLOOKUP(F35,Sheet3!$B$33:$E$37,3,0)</f>
        <v>5</v>
      </c>
      <c r="X35" s="33">
        <f>VLOOKUP(F35,Sheet3!$B$33:$E$37,2,0)</f>
        <v>15</v>
      </c>
      <c r="Y35" s="33">
        <f>VLOOKUP(F35,Sheet3!$B$33:$E$37,4,0)</f>
        <v>8</v>
      </c>
      <c r="Z35" s="33">
        <v>1</v>
      </c>
      <c r="AA35" s="97">
        <v>0</v>
      </c>
      <c r="AB35" s="97">
        <v>0</v>
      </c>
      <c r="AC35" s="35">
        <v>7500</v>
      </c>
      <c r="AD35" s="35">
        <v>300</v>
      </c>
      <c r="AE35" s="35">
        <v>150</v>
      </c>
      <c r="AF35" s="35">
        <v>150</v>
      </c>
      <c r="AG35" s="33">
        <v>1</v>
      </c>
      <c r="AH35" s="33">
        <v>0</v>
      </c>
      <c r="AI35" s="33">
        <v>0</v>
      </c>
      <c r="AJ35" s="33">
        <v>0</v>
      </c>
      <c r="AK35" s="33">
        <v>0</v>
      </c>
      <c r="AL35" s="33">
        <v>0</v>
      </c>
      <c r="AM35" s="33">
        <v>1</v>
      </c>
      <c r="AN35" s="97">
        <v>0</v>
      </c>
      <c r="AO35" s="97">
        <v>0</v>
      </c>
      <c r="AP35" s="35">
        <v>625</v>
      </c>
      <c r="AQ35" s="35">
        <v>25</v>
      </c>
      <c r="AR35" s="35">
        <v>13</v>
      </c>
      <c r="AS35" s="35">
        <v>13</v>
      </c>
      <c r="AT35" s="33">
        <v>0</v>
      </c>
      <c r="AU35" s="33">
        <v>0</v>
      </c>
      <c r="AV35" s="33">
        <v>0</v>
      </c>
      <c r="AW35" s="33">
        <v>0</v>
      </c>
      <c r="AX35" s="35" t="s">
        <v>1102</v>
      </c>
      <c r="AY35" s="33">
        <v>10</v>
      </c>
      <c r="AZ35" s="34" t="s">
        <v>910</v>
      </c>
      <c r="BA35" s="33" t="s">
        <v>222</v>
      </c>
      <c r="BB35" s="33">
        <v>50</v>
      </c>
      <c r="BC35" s="107" t="s">
        <v>1061</v>
      </c>
      <c r="BD35" s="35" t="s">
        <v>21</v>
      </c>
      <c r="BE35" s="94" t="s">
        <v>1004</v>
      </c>
      <c r="BF35" s="33">
        <v>1400</v>
      </c>
      <c r="BG35" s="97">
        <v>20000</v>
      </c>
      <c r="BH35" s="97">
        <v>4000</v>
      </c>
      <c r="BI35" s="33">
        <v>10102</v>
      </c>
      <c r="BJ35" s="33" t="s">
        <v>21</v>
      </c>
      <c r="BK35" s="33">
        <v>0</v>
      </c>
      <c r="BL35" s="33">
        <f>VLOOKUP(F35,Sheet3!$B$33:$F$37,5,0)</f>
        <v>50000</v>
      </c>
      <c r="BM35" s="33">
        <v>1.5</v>
      </c>
      <c r="BN35" s="67">
        <v>100</v>
      </c>
      <c r="BO35" s="90">
        <f t="shared" si="2"/>
        <v>1202</v>
      </c>
      <c r="BP35" s="68">
        <v>1202</v>
      </c>
      <c r="BQ35" s="36" t="s">
        <v>812</v>
      </c>
      <c r="BR35" s="36" t="s">
        <v>21</v>
      </c>
      <c r="BS35" s="68" t="e">
        <f>INT(MID(VLOOKUP($BO35,[1]Sheet1!$A:$C,3,0),9,5))</f>
        <v>#VALUE!</v>
      </c>
      <c r="BT35" s="68" t="str">
        <f t="shared" si="0"/>
        <v>renshenwa</v>
      </c>
      <c r="BU35" s="68" t="e">
        <f>MID(VLOOKUP($BS35,[2]Sheet1!$A:$C,3,0),3,IF(ISERROR(FIND(",",VLOOKUP($BS35,[2]Sheet1!$A:$C,3,0))),LEN(VLOOKUP($BS35,[2]Sheet1!$A:$C,3,0))-4,FIND(",",VLOOKUP($BS35,[2]Sheet1!$A:$C,3,0))-4))</f>
        <v>#VALUE!</v>
      </c>
      <c r="BV35" s="68" t="str">
        <f>IF(ISERROR(MID(VLOOKUP($BS35,[2]Sheet1!$A:$D,4,0),3,IF(ISERROR(FIND(",",VLOOKUP($BS35,[2]Sheet1!$A:$D,4,0))),LEN(VLOOKUP($BS35,[2]Sheet1!$A:$D,4,0))-4,FIND(",",VLOOKUP($BS35,[2]Sheet1!$A:$D,4,0))-4))),"[]",MID(VLOOKUP($BS35,[2]Sheet1!$A:$D,4,0),3,IF(ISERROR(FIND(",",VLOOKUP($BS35,[2]Sheet1!$A:$D,4,0))),LEN(VLOOKUP($BS35,[2]Sheet1!$A:$D,4,0))-4,FIND(",",VLOOKUP($BS35,[2]Sheet1!$A:$D,4,0))-4)))</f>
        <v>[]</v>
      </c>
      <c r="BW35" s="68" t="str">
        <f t="shared" si="1"/>
        <v>3-13</v>
      </c>
    </row>
    <row r="36" spans="1:75" s="62" customFormat="1" ht="16.5" customHeight="1">
      <c r="A36" s="33">
        <v>1123</v>
      </c>
      <c r="B36" s="33" t="s">
        <v>51</v>
      </c>
      <c r="C36" s="33" t="s">
        <v>516</v>
      </c>
      <c r="D36" s="33">
        <v>1</v>
      </c>
      <c r="E36" s="33">
        <v>1</v>
      </c>
      <c r="F36" s="33">
        <v>3</v>
      </c>
      <c r="G36" s="33">
        <v>3</v>
      </c>
      <c r="H36" s="33" t="s">
        <v>1122</v>
      </c>
      <c r="I36" s="33">
        <v>150</v>
      </c>
      <c r="J36" s="33" t="s">
        <v>140</v>
      </c>
      <c r="K36" s="33">
        <v>10</v>
      </c>
      <c r="L36" s="33" t="s">
        <v>93</v>
      </c>
      <c r="M36" s="33" t="s">
        <v>779</v>
      </c>
      <c r="N36" s="33" t="s">
        <v>297</v>
      </c>
      <c r="O36" s="33" t="s">
        <v>40</v>
      </c>
      <c r="P36" s="33" t="s">
        <v>379</v>
      </c>
      <c r="Q36" s="33">
        <v>1</v>
      </c>
      <c r="R36" s="33" t="s">
        <v>21</v>
      </c>
      <c r="S36" s="33" t="s">
        <v>21</v>
      </c>
      <c r="T36" s="33" t="s">
        <v>21</v>
      </c>
      <c r="U36" s="33">
        <v>4</v>
      </c>
      <c r="V36" s="33">
        <v>13</v>
      </c>
      <c r="W36" s="33">
        <f>VLOOKUP(F36,Sheet3!$B$33:$E$37,3,0)</f>
        <v>5</v>
      </c>
      <c r="X36" s="33">
        <f>VLOOKUP(F36,Sheet3!$B$33:$E$37,2,0)</f>
        <v>15</v>
      </c>
      <c r="Y36" s="33">
        <f>VLOOKUP(F36,Sheet3!$B$33:$E$37,4,0)</f>
        <v>8</v>
      </c>
      <c r="Z36" s="33">
        <v>1</v>
      </c>
      <c r="AA36" s="97">
        <v>0</v>
      </c>
      <c r="AB36" s="97">
        <v>0</v>
      </c>
      <c r="AC36" s="35">
        <v>7500</v>
      </c>
      <c r="AD36" s="35">
        <v>300</v>
      </c>
      <c r="AE36" s="35">
        <v>150</v>
      </c>
      <c r="AF36" s="35">
        <v>150</v>
      </c>
      <c r="AG36" s="33">
        <v>1</v>
      </c>
      <c r="AH36" s="33">
        <v>0</v>
      </c>
      <c r="AI36" s="33">
        <v>0</v>
      </c>
      <c r="AJ36" s="33">
        <v>0</v>
      </c>
      <c r="AK36" s="33">
        <v>0</v>
      </c>
      <c r="AL36" s="33">
        <v>0</v>
      </c>
      <c r="AM36" s="33">
        <v>1</v>
      </c>
      <c r="AN36" s="97">
        <v>0</v>
      </c>
      <c r="AO36" s="97">
        <v>0</v>
      </c>
      <c r="AP36" s="35">
        <v>625</v>
      </c>
      <c r="AQ36" s="35">
        <v>25</v>
      </c>
      <c r="AR36" s="35">
        <v>13</v>
      </c>
      <c r="AS36" s="35">
        <v>13</v>
      </c>
      <c r="AT36" s="33">
        <v>0</v>
      </c>
      <c r="AU36" s="33">
        <v>0</v>
      </c>
      <c r="AV36" s="33">
        <v>0</v>
      </c>
      <c r="AW36" s="33">
        <v>0</v>
      </c>
      <c r="AX36" s="35" t="s">
        <v>1102</v>
      </c>
      <c r="AY36" s="33">
        <v>10</v>
      </c>
      <c r="AZ36" s="34" t="s">
        <v>911</v>
      </c>
      <c r="BA36" s="33" t="s">
        <v>222</v>
      </c>
      <c r="BB36" s="33">
        <v>50</v>
      </c>
      <c r="BC36" s="107" t="s">
        <v>1062</v>
      </c>
      <c r="BD36" s="35" t="s">
        <v>21</v>
      </c>
      <c r="BE36" s="94" t="s">
        <v>1003</v>
      </c>
      <c r="BF36" s="33">
        <v>1400</v>
      </c>
      <c r="BG36" s="97">
        <v>20000</v>
      </c>
      <c r="BH36" s="97">
        <v>4000</v>
      </c>
      <c r="BI36" s="33">
        <v>10023</v>
      </c>
      <c r="BJ36" s="33" t="s">
        <v>21</v>
      </c>
      <c r="BK36" s="33">
        <v>0</v>
      </c>
      <c r="BL36" s="33">
        <f>VLOOKUP(F36,Sheet3!$B$33:$F$37,5,0)</f>
        <v>50000</v>
      </c>
      <c r="BM36" s="33">
        <v>1.5</v>
      </c>
      <c r="BN36" s="67">
        <v>100</v>
      </c>
      <c r="BO36" s="90">
        <f t="shared" si="2"/>
        <v>1123</v>
      </c>
      <c r="BP36" s="68">
        <v>1123</v>
      </c>
      <c r="BQ36" s="33" t="s">
        <v>823</v>
      </c>
      <c r="BR36" s="33" t="s">
        <v>21</v>
      </c>
      <c r="BS36" s="68" t="e">
        <f>INT(MID(VLOOKUP($BO36,[1]Sheet1!$A:$C,3,0),9,5))</f>
        <v>#VALUE!</v>
      </c>
      <c r="BT36" s="68" t="str">
        <f t="shared" si="0"/>
        <v>xiaobailong</v>
      </c>
      <c r="BU36" s="68" t="e">
        <f>MID(VLOOKUP($BS36,[2]Sheet1!$A:$C,3,0),3,IF(ISERROR(FIND(",",VLOOKUP($BS36,[2]Sheet1!$A:$C,3,0))),LEN(VLOOKUP($BS36,[2]Sheet1!$A:$C,3,0))-4,FIND(",",VLOOKUP($BS36,[2]Sheet1!$A:$C,3,0))-4))</f>
        <v>#VALUE!</v>
      </c>
      <c r="BV36" s="68" t="str">
        <f>IF(ISERROR(MID(VLOOKUP($BS36,[2]Sheet1!$A:$D,4,0),3,IF(ISERROR(FIND(",",VLOOKUP($BS36,[2]Sheet1!$A:$D,4,0))),LEN(VLOOKUP($BS36,[2]Sheet1!$A:$D,4,0))-4,FIND(",",VLOOKUP($BS36,[2]Sheet1!$A:$D,4,0))-4))),"[]",MID(VLOOKUP($BS36,[2]Sheet1!$A:$D,4,0),3,IF(ISERROR(FIND(",",VLOOKUP($BS36,[2]Sheet1!$A:$D,4,0))),LEN(VLOOKUP($BS36,[2]Sheet1!$A:$D,4,0))-4,FIND(",",VLOOKUP($BS36,[2]Sheet1!$A:$D,4,0))-4)))</f>
        <v>[]</v>
      </c>
      <c r="BW36" s="68" t="str">
        <f t="shared" si="1"/>
        <v>3-13</v>
      </c>
    </row>
    <row r="37" spans="1:75" s="65" customFormat="1" ht="16.5" customHeight="1">
      <c r="A37" s="33">
        <v>1117</v>
      </c>
      <c r="B37" s="33" t="s">
        <v>26</v>
      </c>
      <c r="C37" s="33" t="s">
        <v>501</v>
      </c>
      <c r="D37" s="33">
        <v>1</v>
      </c>
      <c r="E37" s="33">
        <v>2</v>
      </c>
      <c r="F37" s="33">
        <v>4</v>
      </c>
      <c r="G37" s="33">
        <v>4</v>
      </c>
      <c r="H37" s="33" t="s">
        <v>1123</v>
      </c>
      <c r="I37" s="33">
        <v>150</v>
      </c>
      <c r="J37" s="33" t="s">
        <v>128</v>
      </c>
      <c r="K37" s="33">
        <v>10</v>
      </c>
      <c r="L37" s="33" t="s">
        <v>91</v>
      </c>
      <c r="M37" s="33" t="s">
        <v>779</v>
      </c>
      <c r="N37" s="33" t="s">
        <v>129</v>
      </c>
      <c r="O37" s="33" t="s">
        <v>40</v>
      </c>
      <c r="P37" s="33" t="s">
        <v>366</v>
      </c>
      <c r="Q37" s="33">
        <v>1</v>
      </c>
      <c r="R37" s="33" t="s">
        <v>21</v>
      </c>
      <c r="S37" s="33" t="s">
        <v>21</v>
      </c>
      <c r="T37" s="33" t="s">
        <v>21</v>
      </c>
      <c r="U37" s="33">
        <v>4</v>
      </c>
      <c r="V37" s="33">
        <v>13</v>
      </c>
      <c r="W37" s="33">
        <f>VLOOKUP(F37,Sheet3!$B$33:$E$37,3,0)</f>
        <v>3</v>
      </c>
      <c r="X37" s="33">
        <f>VLOOKUP(F37,Sheet3!$B$33:$E$37,2,0)</f>
        <v>15</v>
      </c>
      <c r="Y37" s="33">
        <f>VLOOKUP(F37,Sheet3!$B$33:$E$37,4,0)</f>
        <v>8</v>
      </c>
      <c r="Z37" s="33">
        <v>1</v>
      </c>
      <c r="AA37" s="97">
        <v>0</v>
      </c>
      <c r="AB37" s="97">
        <v>0</v>
      </c>
      <c r="AC37" s="35">
        <v>7500</v>
      </c>
      <c r="AD37" s="35">
        <v>300</v>
      </c>
      <c r="AE37" s="35">
        <v>150</v>
      </c>
      <c r="AF37" s="35">
        <v>150</v>
      </c>
      <c r="AG37" s="33">
        <v>1</v>
      </c>
      <c r="AH37" s="33">
        <v>0</v>
      </c>
      <c r="AI37" s="33">
        <v>0</v>
      </c>
      <c r="AJ37" s="33">
        <v>0</v>
      </c>
      <c r="AK37" s="33">
        <v>0</v>
      </c>
      <c r="AL37" s="33">
        <v>0</v>
      </c>
      <c r="AM37" s="33">
        <v>1</v>
      </c>
      <c r="AN37" s="97">
        <v>0</v>
      </c>
      <c r="AO37" s="97">
        <v>0</v>
      </c>
      <c r="AP37" s="35">
        <v>625</v>
      </c>
      <c r="AQ37" s="35">
        <v>25</v>
      </c>
      <c r="AR37" s="35">
        <v>13</v>
      </c>
      <c r="AS37" s="35">
        <v>13</v>
      </c>
      <c r="AT37" s="33">
        <v>0</v>
      </c>
      <c r="AU37" s="33">
        <v>0</v>
      </c>
      <c r="AV37" s="33">
        <v>0</v>
      </c>
      <c r="AW37" s="33">
        <v>0</v>
      </c>
      <c r="AX37" s="35" t="s">
        <v>1104</v>
      </c>
      <c r="AY37" s="33">
        <v>10</v>
      </c>
      <c r="AZ37" s="34" t="s">
        <v>912</v>
      </c>
      <c r="BA37" s="33" t="s">
        <v>222</v>
      </c>
      <c r="BB37" s="33">
        <v>50</v>
      </c>
      <c r="BC37" s="107" t="s">
        <v>878</v>
      </c>
      <c r="BD37" s="35" t="s">
        <v>21</v>
      </c>
      <c r="BE37" s="94" t="s">
        <v>1003</v>
      </c>
      <c r="BF37" s="33">
        <v>1400</v>
      </c>
      <c r="BG37" s="97">
        <v>20000</v>
      </c>
      <c r="BH37" s="97">
        <v>4000</v>
      </c>
      <c r="BI37" s="33">
        <v>10017</v>
      </c>
      <c r="BJ37" s="33" t="s">
        <v>21</v>
      </c>
      <c r="BK37" s="33">
        <v>0</v>
      </c>
      <c r="BL37" s="33">
        <f>VLOOKUP(F37,Sheet3!$B$33:$F$37,5,0)</f>
        <v>100000</v>
      </c>
      <c r="BM37" s="33">
        <v>10</v>
      </c>
      <c r="BN37" s="67">
        <v>100</v>
      </c>
      <c r="BO37" s="90">
        <f t="shared" si="2"/>
        <v>1117</v>
      </c>
      <c r="BP37" s="68">
        <v>1117</v>
      </c>
      <c r="BQ37" s="33" t="s">
        <v>803</v>
      </c>
      <c r="BR37" s="33" t="s">
        <v>21</v>
      </c>
      <c r="BS37" s="79" t="e">
        <f>INT(MID(VLOOKUP($BO37,[1]Sheet1!$A:$C,3,0),9,5))</f>
        <v>#VALUE!</v>
      </c>
      <c r="BT37" s="79" t="str">
        <f t="shared" si="0"/>
        <v>liuermihou</v>
      </c>
      <c r="BU37" s="79" t="e">
        <f>MID(VLOOKUP($BS37,[2]Sheet1!$A:$C,3,0),3,IF(ISERROR(FIND(",",VLOOKUP($BS37,[2]Sheet1!$A:$C,3,0))),LEN(VLOOKUP($BS37,[2]Sheet1!$A:$C,3,0))-4,FIND(",",VLOOKUP($BS37,[2]Sheet1!$A:$C,3,0))-4))</f>
        <v>#VALUE!</v>
      </c>
      <c r="BV37" s="79" t="str">
        <f>IF(ISERROR(MID(VLOOKUP($BS37,[2]Sheet1!$A:$D,4,0),3,IF(ISERROR(FIND(",",VLOOKUP($BS37,[2]Sheet1!$A:$D,4,0))),LEN(VLOOKUP($BS37,[2]Sheet1!$A:$D,4,0))-4,FIND(",",VLOOKUP($BS37,[2]Sheet1!$A:$D,4,0))-4))),"[]",MID(VLOOKUP($BS37,[2]Sheet1!$A:$D,4,0),3,IF(ISERROR(FIND(",",VLOOKUP($BS37,[2]Sheet1!$A:$D,4,0))),LEN(VLOOKUP($BS37,[2]Sheet1!$A:$D,4,0))-4,FIND(",",VLOOKUP($BS37,[2]Sheet1!$A:$D,4,0))-4)))</f>
        <v>[]</v>
      </c>
      <c r="BW37" s="79" t="str">
        <f t="shared" si="1"/>
        <v>4-13</v>
      </c>
    </row>
    <row r="38" spans="1:75" s="62" customFormat="1">
      <c r="A38" s="33">
        <v>1201</v>
      </c>
      <c r="B38" s="33" t="s">
        <v>37</v>
      </c>
      <c r="C38" s="33" t="s">
        <v>523</v>
      </c>
      <c r="D38" s="33">
        <v>1</v>
      </c>
      <c r="E38" s="33">
        <v>1</v>
      </c>
      <c r="F38" s="33">
        <v>2</v>
      </c>
      <c r="G38" s="33">
        <v>2</v>
      </c>
      <c r="H38" s="33" t="s">
        <v>1124</v>
      </c>
      <c r="I38" s="33">
        <v>150</v>
      </c>
      <c r="J38" s="33" t="s">
        <v>339</v>
      </c>
      <c r="K38" s="33">
        <v>10</v>
      </c>
      <c r="L38" s="33" t="s">
        <v>97</v>
      </c>
      <c r="M38" s="33" t="s">
        <v>779</v>
      </c>
      <c r="N38" s="33" t="s">
        <v>155</v>
      </c>
      <c r="O38" s="33" t="s">
        <v>40</v>
      </c>
      <c r="P38" s="33" t="s">
        <v>386</v>
      </c>
      <c r="Q38" s="33">
        <v>1</v>
      </c>
      <c r="R38" s="33" t="s">
        <v>21</v>
      </c>
      <c r="S38" s="33" t="s">
        <v>21</v>
      </c>
      <c r="T38" s="33" t="s">
        <v>21</v>
      </c>
      <c r="U38" s="33">
        <v>4</v>
      </c>
      <c r="V38" s="33">
        <v>13</v>
      </c>
      <c r="W38" s="33">
        <f>VLOOKUP(F38,Sheet3!$B$33:$E$37,3,0)</f>
        <v>9</v>
      </c>
      <c r="X38" s="33">
        <f>VLOOKUP(F38,Sheet3!$B$33:$E$37,2,0)</f>
        <v>15</v>
      </c>
      <c r="Y38" s="33">
        <f>VLOOKUP(F38,Sheet3!$B$33:$E$37,4,0)</f>
        <v>8</v>
      </c>
      <c r="Z38" s="33">
        <v>0.8</v>
      </c>
      <c r="AA38" s="97">
        <v>0</v>
      </c>
      <c r="AB38" s="97">
        <v>0</v>
      </c>
      <c r="AC38" s="35">
        <v>7500</v>
      </c>
      <c r="AD38" s="35">
        <v>300</v>
      </c>
      <c r="AE38" s="35">
        <v>150</v>
      </c>
      <c r="AF38" s="35">
        <v>150</v>
      </c>
      <c r="AG38" s="33">
        <v>1</v>
      </c>
      <c r="AH38" s="33">
        <v>0</v>
      </c>
      <c r="AI38" s="33">
        <v>0</v>
      </c>
      <c r="AJ38" s="33">
        <v>0</v>
      </c>
      <c r="AK38" s="33">
        <v>0</v>
      </c>
      <c r="AL38" s="33">
        <v>0</v>
      </c>
      <c r="AM38" s="33">
        <v>1</v>
      </c>
      <c r="AN38" s="97">
        <v>0</v>
      </c>
      <c r="AO38" s="97">
        <v>0</v>
      </c>
      <c r="AP38" s="35">
        <v>625</v>
      </c>
      <c r="AQ38" s="35">
        <v>25</v>
      </c>
      <c r="AR38" s="35">
        <v>13</v>
      </c>
      <c r="AS38" s="35">
        <v>13</v>
      </c>
      <c r="AT38" s="33">
        <v>0</v>
      </c>
      <c r="AU38" s="33">
        <v>0</v>
      </c>
      <c r="AV38" s="33">
        <v>0</v>
      </c>
      <c r="AW38" s="33">
        <v>0</v>
      </c>
      <c r="AX38" s="35" t="s">
        <v>1103</v>
      </c>
      <c r="AY38" s="33">
        <v>10</v>
      </c>
      <c r="AZ38" s="34" t="s">
        <v>913</v>
      </c>
      <c r="BA38" s="33" t="s">
        <v>222</v>
      </c>
      <c r="BB38" s="33">
        <v>50</v>
      </c>
      <c r="BC38" s="107" t="s">
        <v>1063</v>
      </c>
      <c r="BD38" s="35" t="s">
        <v>21</v>
      </c>
      <c r="BE38" s="94" t="s">
        <v>1003</v>
      </c>
      <c r="BF38" s="33">
        <v>1400</v>
      </c>
      <c r="BG38" s="97">
        <v>20000</v>
      </c>
      <c r="BH38" s="97">
        <v>4000</v>
      </c>
      <c r="BI38" s="33">
        <v>10101</v>
      </c>
      <c r="BJ38" s="33" t="s">
        <v>21</v>
      </c>
      <c r="BK38" s="33">
        <v>0</v>
      </c>
      <c r="BL38" s="33">
        <f>VLOOKUP(F38,Sheet3!$B$33:$F$37,5,0)</f>
        <v>10000</v>
      </c>
      <c r="BM38" s="33">
        <v>1</v>
      </c>
      <c r="BN38" s="67">
        <v>100</v>
      </c>
      <c r="BO38" s="90">
        <f t="shared" si="2"/>
        <v>1201</v>
      </c>
      <c r="BP38" s="68">
        <v>1201</v>
      </c>
      <c r="BQ38" s="33" t="s">
        <v>826</v>
      </c>
      <c r="BR38" s="33" t="s">
        <v>21</v>
      </c>
      <c r="BS38" s="68" t="e">
        <f>INT(MID(VLOOKUP($BO38,[1]Sheet1!$A:$C,3,0),9,5))</f>
        <v>#VALUE!</v>
      </c>
      <c r="BT38" s="68" t="str">
        <f t="shared" si="0"/>
        <v>yanluowang</v>
      </c>
      <c r="BU38" s="68" t="e">
        <f>MID(VLOOKUP($BS38,[2]Sheet1!$A:$C,3,0),3,IF(ISERROR(FIND(",",VLOOKUP($BS38,[2]Sheet1!$A:$C,3,0))),LEN(VLOOKUP($BS38,[2]Sheet1!$A:$C,3,0))-4,FIND(",",VLOOKUP($BS38,[2]Sheet1!$A:$C,3,0))-4))</f>
        <v>#VALUE!</v>
      </c>
      <c r="BV38" s="68" t="str">
        <f>IF(ISERROR(MID(VLOOKUP($BS38,[2]Sheet1!$A:$D,4,0),3,IF(ISERROR(FIND(",",VLOOKUP($BS38,[2]Sheet1!$A:$D,4,0))),LEN(VLOOKUP($BS38,[2]Sheet1!$A:$D,4,0))-4,FIND(",",VLOOKUP($BS38,[2]Sheet1!$A:$D,4,0))-4))),"[]",MID(VLOOKUP($BS38,[2]Sheet1!$A:$D,4,0),3,IF(ISERROR(FIND(",",VLOOKUP($BS38,[2]Sheet1!$A:$D,4,0))),LEN(VLOOKUP($BS38,[2]Sheet1!$A:$D,4,0))-4,FIND(",",VLOOKUP($BS38,[2]Sheet1!$A:$D,4,0))-4)))</f>
        <v>[]</v>
      </c>
      <c r="BW38" s="68" t="str">
        <f t="shared" si="1"/>
        <v>2-13</v>
      </c>
    </row>
    <row r="39" spans="1:75" s="62" customFormat="1" ht="16.5" customHeight="1">
      <c r="A39" s="33">
        <v>1131</v>
      </c>
      <c r="B39" s="33" t="s">
        <v>38</v>
      </c>
      <c r="C39" s="33" t="s">
        <v>519</v>
      </c>
      <c r="D39" s="33">
        <v>1</v>
      </c>
      <c r="E39" s="33">
        <v>2</v>
      </c>
      <c r="F39" s="33">
        <v>2</v>
      </c>
      <c r="G39" s="33">
        <v>2</v>
      </c>
      <c r="H39" s="33" t="s">
        <v>1124</v>
      </c>
      <c r="I39" s="33">
        <v>150</v>
      </c>
      <c r="J39" s="33" t="s">
        <v>158</v>
      </c>
      <c r="K39" s="33">
        <v>10</v>
      </c>
      <c r="L39" s="33" t="s">
        <v>99</v>
      </c>
      <c r="M39" s="33" t="s">
        <v>779</v>
      </c>
      <c r="N39" s="33" t="s">
        <v>159</v>
      </c>
      <c r="O39" s="33" t="s">
        <v>40</v>
      </c>
      <c r="P39" s="33" t="s">
        <v>382</v>
      </c>
      <c r="Q39" s="33">
        <v>1</v>
      </c>
      <c r="R39" s="33" t="s">
        <v>21</v>
      </c>
      <c r="S39" s="33" t="s">
        <v>21</v>
      </c>
      <c r="T39" s="33" t="s">
        <v>21</v>
      </c>
      <c r="U39" s="33">
        <v>4</v>
      </c>
      <c r="V39" s="33">
        <v>13</v>
      </c>
      <c r="W39" s="33">
        <f>VLOOKUP(F39,Sheet3!$B$33:$E$37,3,0)</f>
        <v>9</v>
      </c>
      <c r="X39" s="33">
        <f>VLOOKUP(F39,Sheet3!$B$33:$E$37,2,0)</f>
        <v>15</v>
      </c>
      <c r="Y39" s="33">
        <f>VLOOKUP(F39,Sheet3!$B$33:$E$37,4,0)</f>
        <v>8</v>
      </c>
      <c r="Z39" s="33">
        <v>0.8</v>
      </c>
      <c r="AA39" s="97">
        <v>0</v>
      </c>
      <c r="AB39" s="97">
        <v>0</v>
      </c>
      <c r="AC39" s="35">
        <v>7500</v>
      </c>
      <c r="AD39" s="35">
        <v>300</v>
      </c>
      <c r="AE39" s="35">
        <v>150</v>
      </c>
      <c r="AF39" s="35">
        <v>150</v>
      </c>
      <c r="AG39" s="33">
        <v>1</v>
      </c>
      <c r="AH39" s="33">
        <v>0</v>
      </c>
      <c r="AI39" s="33">
        <v>0</v>
      </c>
      <c r="AJ39" s="33">
        <v>0</v>
      </c>
      <c r="AK39" s="33">
        <v>0</v>
      </c>
      <c r="AL39" s="33">
        <v>0</v>
      </c>
      <c r="AM39" s="33">
        <v>1</v>
      </c>
      <c r="AN39" s="97">
        <v>0</v>
      </c>
      <c r="AO39" s="97">
        <v>0</v>
      </c>
      <c r="AP39" s="35">
        <v>625</v>
      </c>
      <c r="AQ39" s="35">
        <v>25</v>
      </c>
      <c r="AR39" s="35">
        <v>13</v>
      </c>
      <c r="AS39" s="35">
        <v>13</v>
      </c>
      <c r="AT39" s="33">
        <v>0</v>
      </c>
      <c r="AU39" s="33">
        <v>0</v>
      </c>
      <c r="AV39" s="33">
        <v>0</v>
      </c>
      <c r="AW39" s="33">
        <v>0</v>
      </c>
      <c r="AX39" s="35" t="s">
        <v>1103</v>
      </c>
      <c r="AY39" s="33">
        <v>10</v>
      </c>
      <c r="AZ39" s="34" t="s">
        <v>914</v>
      </c>
      <c r="BA39" s="33" t="s">
        <v>222</v>
      </c>
      <c r="BB39" s="33">
        <v>50</v>
      </c>
      <c r="BC39" s="107" t="s">
        <v>1064</v>
      </c>
      <c r="BD39" s="35" t="s">
        <v>21</v>
      </c>
      <c r="BE39" s="94" t="s">
        <v>1003</v>
      </c>
      <c r="BF39" s="33">
        <v>1400</v>
      </c>
      <c r="BG39" s="97">
        <v>5000</v>
      </c>
      <c r="BH39" s="97">
        <v>1000</v>
      </c>
      <c r="BI39" s="33">
        <v>10031</v>
      </c>
      <c r="BJ39" s="33" t="s">
        <v>21</v>
      </c>
      <c r="BK39" s="33">
        <v>0</v>
      </c>
      <c r="BL39" s="33">
        <f>VLOOKUP(F39,Sheet3!$B$33:$F$37,5,0)</f>
        <v>10000</v>
      </c>
      <c r="BM39" s="33">
        <v>1</v>
      </c>
      <c r="BN39" s="67">
        <v>100</v>
      </c>
      <c r="BO39" s="90">
        <f t="shared" si="2"/>
        <v>1131</v>
      </c>
      <c r="BP39" s="68">
        <v>1131</v>
      </c>
      <c r="BQ39" s="33" t="s">
        <v>824</v>
      </c>
      <c r="BR39" s="33" t="s">
        <v>21</v>
      </c>
      <c r="BS39" s="68" t="e">
        <f>INT(MID(VLOOKUP($BO39,[1]Sheet1!$A:$C,3,0),9,5))</f>
        <v>#VALUE!</v>
      </c>
      <c r="BT39" s="68" t="str">
        <f t="shared" si="0"/>
        <v>xiezijing</v>
      </c>
      <c r="BU39" s="68" t="e">
        <f>MID(VLOOKUP($BS39,[2]Sheet1!$A:$C,3,0),3,IF(ISERROR(FIND(",",VLOOKUP($BS39,[2]Sheet1!$A:$C,3,0))),LEN(VLOOKUP($BS39,[2]Sheet1!$A:$C,3,0))-4,FIND(",",VLOOKUP($BS39,[2]Sheet1!$A:$C,3,0))-4))</f>
        <v>#VALUE!</v>
      </c>
      <c r="BV39" s="68" t="str">
        <f>IF(ISERROR(MID(VLOOKUP($BS39,[2]Sheet1!$A:$D,4,0),3,IF(ISERROR(FIND(",",VLOOKUP($BS39,[2]Sheet1!$A:$D,4,0))),LEN(VLOOKUP($BS39,[2]Sheet1!$A:$D,4,0))-4,FIND(",",VLOOKUP($BS39,[2]Sheet1!$A:$D,4,0))-4))),"[]",MID(VLOOKUP($BS39,[2]Sheet1!$A:$D,4,0),3,IF(ISERROR(FIND(",",VLOOKUP($BS39,[2]Sheet1!$A:$D,4,0))),LEN(VLOOKUP($BS39,[2]Sheet1!$A:$D,4,0))-4,FIND(",",VLOOKUP($BS39,[2]Sheet1!$A:$D,4,0))-4)))</f>
        <v>[]</v>
      </c>
      <c r="BW39" s="68" t="str">
        <f t="shared" si="1"/>
        <v>2-13</v>
      </c>
    </row>
    <row r="40" spans="1:75" s="65" customFormat="1">
      <c r="A40" s="33">
        <v>1137</v>
      </c>
      <c r="B40" s="33" t="s">
        <v>166</v>
      </c>
      <c r="C40" s="33" t="s">
        <v>522</v>
      </c>
      <c r="D40" s="33">
        <v>1</v>
      </c>
      <c r="E40" s="33">
        <v>2</v>
      </c>
      <c r="F40" s="33">
        <v>3</v>
      </c>
      <c r="G40" s="33">
        <v>3</v>
      </c>
      <c r="H40" s="33" t="s">
        <v>1122</v>
      </c>
      <c r="I40" s="33">
        <v>150</v>
      </c>
      <c r="J40" s="33" t="s">
        <v>167</v>
      </c>
      <c r="K40" s="33">
        <v>10</v>
      </c>
      <c r="L40" s="33" t="s">
        <v>101</v>
      </c>
      <c r="M40" s="33" t="s">
        <v>779</v>
      </c>
      <c r="N40" s="33" t="s">
        <v>168</v>
      </c>
      <c r="O40" s="33" t="s">
        <v>40</v>
      </c>
      <c r="P40" s="33" t="s">
        <v>384</v>
      </c>
      <c r="Q40" s="33">
        <v>0.8</v>
      </c>
      <c r="R40" s="33" t="s">
        <v>21</v>
      </c>
      <c r="S40" s="33" t="s">
        <v>21</v>
      </c>
      <c r="T40" s="33" t="s">
        <v>21</v>
      </c>
      <c r="U40" s="33">
        <v>4</v>
      </c>
      <c r="V40" s="33">
        <v>13</v>
      </c>
      <c r="W40" s="33">
        <f>VLOOKUP(F40,Sheet3!$B$33:$E$37,3,0)</f>
        <v>5</v>
      </c>
      <c r="X40" s="33">
        <f>VLOOKUP(F40,Sheet3!$B$33:$E$37,2,0)</f>
        <v>15</v>
      </c>
      <c r="Y40" s="33">
        <f>VLOOKUP(F40,Sheet3!$B$33:$E$37,4,0)</f>
        <v>8</v>
      </c>
      <c r="Z40" s="33">
        <v>1.25</v>
      </c>
      <c r="AA40" s="97">
        <v>0</v>
      </c>
      <c r="AB40" s="97">
        <v>0</v>
      </c>
      <c r="AC40" s="35">
        <v>7500</v>
      </c>
      <c r="AD40" s="35">
        <v>300</v>
      </c>
      <c r="AE40" s="35">
        <v>150</v>
      </c>
      <c r="AF40" s="35">
        <v>150</v>
      </c>
      <c r="AG40" s="33">
        <v>1</v>
      </c>
      <c r="AH40" s="33">
        <v>0</v>
      </c>
      <c r="AI40" s="33">
        <v>0</v>
      </c>
      <c r="AJ40" s="33">
        <v>0</v>
      </c>
      <c r="AK40" s="33">
        <v>0</v>
      </c>
      <c r="AL40" s="33">
        <v>0</v>
      </c>
      <c r="AM40" s="33">
        <v>1</v>
      </c>
      <c r="AN40" s="97">
        <v>0</v>
      </c>
      <c r="AO40" s="97">
        <v>0</v>
      </c>
      <c r="AP40" s="35">
        <v>625</v>
      </c>
      <c r="AQ40" s="35">
        <v>25</v>
      </c>
      <c r="AR40" s="35">
        <v>13</v>
      </c>
      <c r="AS40" s="35">
        <v>13</v>
      </c>
      <c r="AT40" s="33">
        <v>0</v>
      </c>
      <c r="AU40" s="33">
        <v>0</v>
      </c>
      <c r="AV40" s="33">
        <v>0</v>
      </c>
      <c r="AW40" s="33">
        <v>0</v>
      </c>
      <c r="AX40" s="35" t="s">
        <v>1102</v>
      </c>
      <c r="AY40" s="33">
        <v>10</v>
      </c>
      <c r="AZ40" s="34" t="s">
        <v>915</v>
      </c>
      <c r="BA40" s="33" t="s">
        <v>222</v>
      </c>
      <c r="BB40" s="33">
        <v>50</v>
      </c>
      <c r="BC40" s="107" t="s">
        <v>879</v>
      </c>
      <c r="BD40" s="35" t="s">
        <v>21</v>
      </c>
      <c r="BE40" s="94" t="s">
        <v>1003</v>
      </c>
      <c r="BF40" s="33">
        <v>1400</v>
      </c>
      <c r="BG40" s="97">
        <v>5000</v>
      </c>
      <c r="BH40" s="97">
        <v>1000</v>
      </c>
      <c r="BI40" s="33">
        <v>10037</v>
      </c>
      <c r="BJ40" s="33" t="s">
        <v>21</v>
      </c>
      <c r="BK40" s="33">
        <v>0</v>
      </c>
      <c r="BL40" s="33">
        <f>VLOOKUP(F40,Sheet3!$B$33:$F$37,5,0)</f>
        <v>50000</v>
      </c>
      <c r="BM40" s="33">
        <v>1.5</v>
      </c>
      <c r="BN40" s="67">
        <v>100</v>
      </c>
      <c r="BO40" s="90">
        <f t="shared" si="2"/>
        <v>1137</v>
      </c>
      <c r="BP40" s="68">
        <v>1137</v>
      </c>
      <c r="BQ40" s="33" t="s">
        <v>828</v>
      </c>
      <c r="BR40" s="33" t="s">
        <v>21</v>
      </c>
      <c r="BS40" s="79" t="e">
        <f>INT(MID(VLOOKUP($BO40,[1]Sheet1!$A:$C,3,0),9,5))</f>
        <v>#VALUE!</v>
      </c>
      <c r="BT40" s="79" t="str">
        <f t="shared" si="0"/>
        <v>zhizhujing</v>
      </c>
      <c r="BU40" s="79" t="e">
        <f>MID(VLOOKUP($BS40,[2]Sheet1!$A:$C,3,0),3,IF(ISERROR(FIND(",",VLOOKUP($BS40,[2]Sheet1!$A:$C,3,0))),LEN(VLOOKUP($BS40,[2]Sheet1!$A:$C,3,0))-4,FIND(",",VLOOKUP($BS40,[2]Sheet1!$A:$C,3,0))-4))</f>
        <v>#VALUE!</v>
      </c>
      <c r="BV40" s="79" t="str">
        <f>IF(ISERROR(MID(VLOOKUP($BS40,[2]Sheet1!$A:$D,4,0),3,IF(ISERROR(FIND(",",VLOOKUP($BS40,[2]Sheet1!$A:$D,4,0))),LEN(VLOOKUP($BS40,[2]Sheet1!$A:$D,4,0))-4,FIND(",",VLOOKUP($BS40,[2]Sheet1!$A:$D,4,0))-4))),"[]",MID(VLOOKUP($BS40,[2]Sheet1!$A:$D,4,0),3,IF(ISERROR(FIND(",",VLOOKUP($BS40,[2]Sheet1!$A:$D,4,0))),LEN(VLOOKUP($BS40,[2]Sheet1!$A:$D,4,0))-4,FIND(",",VLOOKUP($BS40,[2]Sheet1!$A:$D,4,0))-4)))</f>
        <v>[]</v>
      </c>
      <c r="BW40" s="79" t="str">
        <f t="shared" si="1"/>
        <v>3-13</v>
      </c>
    </row>
    <row r="41" spans="1:75" s="62" customFormat="1">
      <c r="A41" s="36">
        <v>1216</v>
      </c>
      <c r="B41" s="36" t="s">
        <v>296</v>
      </c>
      <c r="C41" s="33" t="s">
        <v>579</v>
      </c>
      <c r="D41" s="33">
        <v>1</v>
      </c>
      <c r="E41" s="33">
        <v>3</v>
      </c>
      <c r="F41" s="33">
        <v>2</v>
      </c>
      <c r="G41" s="33">
        <v>2</v>
      </c>
      <c r="H41" s="33" t="s">
        <v>1124</v>
      </c>
      <c r="I41" s="33">
        <v>150</v>
      </c>
      <c r="J41" s="33" t="s">
        <v>580</v>
      </c>
      <c r="K41" s="33">
        <v>10</v>
      </c>
      <c r="L41" s="33" t="s">
        <v>581</v>
      </c>
      <c r="M41" s="33" t="s">
        <v>779</v>
      </c>
      <c r="N41" s="41" t="s">
        <v>583</v>
      </c>
      <c r="O41" s="33" t="s">
        <v>40</v>
      </c>
      <c r="P41" s="33" t="s">
        <v>582</v>
      </c>
      <c r="Q41" s="33">
        <v>1</v>
      </c>
      <c r="R41" s="33" t="s">
        <v>21</v>
      </c>
      <c r="S41" s="33" t="s">
        <v>21</v>
      </c>
      <c r="T41" s="33" t="s">
        <v>21</v>
      </c>
      <c r="U41" s="33">
        <v>4</v>
      </c>
      <c r="V41" s="33">
        <v>13</v>
      </c>
      <c r="W41" s="33">
        <f>VLOOKUP(F41,Sheet3!$B$33:$E$37,3,0)</f>
        <v>9</v>
      </c>
      <c r="X41" s="33">
        <f>VLOOKUP(F41,Sheet3!$B$33:$E$37,2,0)</f>
        <v>15</v>
      </c>
      <c r="Y41" s="33">
        <f>VLOOKUP(F41,Sheet3!$B$33:$E$37,4,0)</f>
        <v>8</v>
      </c>
      <c r="Z41" s="33">
        <v>0.8</v>
      </c>
      <c r="AA41" s="97">
        <v>0</v>
      </c>
      <c r="AB41" s="97">
        <v>0</v>
      </c>
      <c r="AC41" s="35">
        <v>7500</v>
      </c>
      <c r="AD41" s="35">
        <v>300</v>
      </c>
      <c r="AE41" s="35">
        <v>150</v>
      </c>
      <c r="AF41" s="35">
        <v>150</v>
      </c>
      <c r="AG41" s="33">
        <v>1</v>
      </c>
      <c r="AH41" s="33">
        <v>0</v>
      </c>
      <c r="AI41" s="33">
        <v>0</v>
      </c>
      <c r="AJ41" s="33">
        <v>0</v>
      </c>
      <c r="AK41" s="33">
        <v>0</v>
      </c>
      <c r="AL41" s="33">
        <v>0</v>
      </c>
      <c r="AM41" s="33">
        <v>1</v>
      </c>
      <c r="AN41" s="97">
        <v>0</v>
      </c>
      <c r="AO41" s="97">
        <v>0</v>
      </c>
      <c r="AP41" s="35">
        <v>625</v>
      </c>
      <c r="AQ41" s="35">
        <v>25</v>
      </c>
      <c r="AR41" s="35">
        <v>13</v>
      </c>
      <c r="AS41" s="35">
        <v>13</v>
      </c>
      <c r="AT41" s="33">
        <v>0</v>
      </c>
      <c r="AU41" s="33">
        <v>0</v>
      </c>
      <c r="AV41" s="33">
        <v>0</v>
      </c>
      <c r="AW41" s="33">
        <v>0</v>
      </c>
      <c r="AX41" s="35" t="s">
        <v>1103</v>
      </c>
      <c r="AY41" s="33">
        <v>10</v>
      </c>
      <c r="AZ41" s="34" t="s">
        <v>916</v>
      </c>
      <c r="BA41" s="33" t="s">
        <v>222</v>
      </c>
      <c r="BB41" s="33">
        <v>50</v>
      </c>
      <c r="BC41" s="107" t="s">
        <v>1065</v>
      </c>
      <c r="BD41" s="35" t="s">
        <v>21</v>
      </c>
      <c r="BE41" s="94" t="s">
        <v>1003</v>
      </c>
      <c r="BF41" s="33">
        <v>1400</v>
      </c>
      <c r="BG41" s="97">
        <v>20000</v>
      </c>
      <c r="BH41" s="97">
        <v>4000</v>
      </c>
      <c r="BI41" s="33">
        <v>10116</v>
      </c>
      <c r="BJ41" s="33" t="s">
        <v>21</v>
      </c>
      <c r="BK41" s="33">
        <v>0</v>
      </c>
      <c r="BL41" s="33">
        <f>VLOOKUP(F41,Sheet3!$B$33:$F$37,5,0)</f>
        <v>10000</v>
      </c>
      <c r="BM41" s="33">
        <v>1</v>
      </c>
      <c r="BN41" s="67">
        <v>100</v>
      </c>
      <c r="BO41" s="90">
        <f t="shared" si="2"/>
        <v>1216</v>
      </c>
      <c r="BP41" s="68">
        <v>1216</v>
      </c>
      <c r="BQ41" s="36" t="s">
        <v>810</v>
      </c>
      <c r="BR41" s="36" t="s">
        <v>21</v>
      </c>
      <c r="BS41" s="68" t="e">
        <f>INT(MID(VLOOKUP($BO41,[1]Sheet1!$A:$C,3,0),9,5))</f>
        <v>#VALUE!</v>
      </c>
      <c r="BT41" s="68" t="str">
        <f t="shared" si="0"/>
        <v>nverguoguowang</v>
      </c>
      <c r="BU41" s="68" t="e">
        <f>MID(VLOOKUP($BS41,[2]Sheet1!$A:$C,3,0),3,IF(ISERROR(FIND(",",VLOOKUP($BS41,[2]Sheet1!$A:$C,3,0))),LEN(VLOOKUP($BS41,[2]Sheet1!$A:$C,3,0))-4,FIND(",",VLOOKUP($BS41,[2]Sheet1!$A:$C,3,0))-4))</f>
        <v>#VALUE!</v>
      </c>
      <c r="BV41" s="68" t="str">
        <f>IF(ISERROR(MID(VLOOKUP($BS41,[2]Sheet1!$A:$D,4,0),3,IF(ISERROR(FIND(",",VLOOKUP($BS41,[2]Sheet1!$A:$D,4,0))),LEN(VLOOKUP($BS41,[2]Sheet1!$A:$D,4,0))-4,FIND(",",VLOOKUP($BS41,[2]Sheet1!$A:$D,4,0))-4))),"[]",MID(VLOOKUP($BS41,[2]Sheet1!$A:$D,4,0),3,IF(ISERROR(FIND(",",VLOOKUP($BS41,[2]Sheet1!$A:$D,4,0))),LEN(VLOOKUP($BS41,[2]Sheet1!$A:$D,4,0))-4,FIND(",",VLOOKUP($BS41,[2]Sheet1!$A:$D,4,0))-4)))</f>
        <v>[]</v>
      </c>
      <c r="BW41" s="68" t="str">
        <f t="shared" si="1"/>
        <v>2-13</v>
      </c>
    </row>
    <row r="42" spans="1:75" s="62" customFormat="1">
      <c r="A42" s="33">
        <v>1106</v>
      </c>
      <c r="B42" s="33" t="s">
        <v>114</v>
      </c>
      <c r="C42" s="33" t="s">
        <v>509</v>
      </c>
      <c r="D42" s="33">
        <v>1</v>
      </c>
      <c r="E42" s="33">
        <v>1</v>
      </c>
      <c r="F42" s="33">
        <v>3</v>
      </c>
      <c r="G42" s="33">
        <v>3</v>
      </c>
      <c r="H42" s="33" t="s">
        <v>1124</v>
      </c>
      <c r="I42" s="33">
        <v>150</v>
      </c>
      <c r="J42" s="33" t="s">
        <v>115</v>
      </c>
      <c r="K42" s="33">
        <v>10</v>
      </c>
      <c r="L42" s="33" t="s">
        <v>116</v>
      </c>
      <c r="M42" s="33" t="s">
        <v>779</v>
      </c>
      <c r="N42" s="33" t="s">
        <v>117</v>
      </c>
      <c r="O42" s="33" t="s">
        <v>40</v>
      </c>
      <c r="P42" s="33" t="s">
        <v>372</v>
      </c>
      <c r="Q42" s="33">
        <v>1</v>
      </c>
      <c r="R42" s="33" t="s">
        <v>21</v>
      </c>
      <c r="S42" s="33" t="s">
        <v>21</v>
      </c>
      <c r="T42" s="33" t="s">
        <v>21</v>
      </c>
      <c r="U42" s="33">
        <v>4</v>
      </c>
      <c r="V42" s="33">
        <v>13</v>
      </c>
      <c r="W42" s="33">
        <f>VLOOKUP(F42,Sheet3!$B$33:$E$37,3,0)</f>
        <v>5</v>
      </c>
      <c r="X42" s="33">
        <f>VLOOKUP(F42,Sheet3!$B$33:$E$37,2,0)</f>
        <v>15</v>
      </c>
      <c r="Y42" s="33">
        <f>VLOOKUP(F42,Sheet3!$B$33:$E$37,4,0)</f>
        <v>8</v>
      </c>
      <c r="Z42" s="33">
        <v>1</v>
      </c>
      <c r="AA42" s="97">
        <v>0</v>
      </c>
      <c r="AB42" s="97">
        <v>0</v>
      </c>
      <c r="AC42" s="35">
        <v>7500</v>
      </c>
      <c r="AD42" s="35">
        <v>300</v>
      </c>
      <c r="AE42" s="35">
        <v>150</v>
      </c>
      <c r="AF42" s="35">
        <v>150</v>
      </c>
      <c r="AG42" s="33">
        <v>1</v>
      </c>
      <c r="AH42" s="33">
        <v>0</v>
      </c>
      <c r="AI42" s="33">
        <v>0</v>
      </c>
      <c r="AJ42" s="33">
        <v>0</v>
      </c>
      <c r="AK42" s="33">
        <v>0</v>
      </c>
      <c r="AL42" s="33">
        <v>0</v>
      </c>
      <c r="AM42" s="33">
        <v>1</v>
      </c>
      <c r="AN42" s="97">
        <v>0</v>
      </c>
      <c r="AO42" s="97">
        <v>0</v>
      </c>
      <c r="AP42" s="35">
        <v>625</v>
      </c>
      <c r="AQ42" s="35">
        <v>25</v>
      </c>
      <c r="AR42" s="35">
        <v>13</v>
      </c>
      <c r="AS42" s="35">
        <v>13</v>
      </c>
      <c r="AT42" s="33">
        <v>0</v>
      </c>
      <c r="AU42" s="33">
        <v>0</v>
      </c>
      <c r="AV42" s="33">
        <v>0</v>
      </c>
      <c r="AW42" s="33">
        <v>0</v>
      </c>
      <c r="AX42" s="35" t="s">
        <v>1102</v>
      </c>
      <c r="AY42" s="33">
        <v>10</v>
      </c>
      <c r="AZ42" s="34" t="s">
        <v>917</v>
      </c>
      <c r="BA42" s="33" t="s">
        <v>222</v>
      </c>
      <c r="BB42" s="33">
        <v>50</v>
      </c>
      <c r="BC42" s="107" t="s">
        <v>1066</v>
      </c>
      <c r="BD42" s="35" t="s">
        <v>21</v>
      </c>
      <c r="BE42" s="94" t="s">
        <v>1017</v>
      </c>
      <c r="BF42" s="33">
        <v>1400</v>
      </c>
      <c r="BG42" s="97">
        <v>20000</v>
      </c>
      <c r="BH42" s="97">
        <v>4000</v>
      </c>
      <c r="BI42" s="33">
        <v>10006</v>
      </c>
      <c r="BJ42" s="33" t="s">
        <v>21</v>
      </c>
      <c r="BK42" s="33">
        <v>0</v>
      </c>
      <c r="BL42" s="33">
        <f>VLOOKUP(F42,Sheet3!$B$33:$F$37,5,0)</f>
        <v>50000</v>
      </c>
      <c r="BM42" s="33">
        <v>1.5</v>
      </c>
      <c r="BN42" s="67">
        <v>100</v>
      </c>
      <c r="BO42" s="90">
        <f t="shared" si="2"/>
        <v>1106</v>
      </c>
      <c r="BP42" s="68">
        <v>1106</v>
      </c>
      <c r="BQ42" s="33" t="s">
        <v>816</v>
      </c>
      <c r="BR42" s="33" t="s">
        <v>21</v>
      </c>
      <c r="BS42" s="68" t="e">
        <f>INT(MID(VLOOKUP($BO42,[1]Sheet1!$A:$C,3,0),9,5))</f>
        <v>#VALUE!</v>
      </c>
      <c r="BT42" s="68" t="str">
        <f t="shared" si="0"/>
        <v>taibaijinxing</v>
      </c>
      <c r="BU42" s="68" t="e">
        <f>MID(VLOOKUP($BS42,[2]Sheet1!$A:$C,3,0),3,IF(ISERROR(FIND(",",VLOOKUP($BS42,[2]Sheet1!$A:$C,3,0))),LEN(VLOOKUP($BS42,[2]Sheet1!$A:$C,3,0))-4,FIND(",",VLOOKUP($BS42,[2]Sheet1!$A:$C,3,0))-4))</f>
        <v>#VALUE!</v>
      </c>
      <c r="BV42" s="68" t="str">
        <f>IF(ISERROR(MID(VLOOKUP($BS42,[2]Sheet1!$A:$D,4,0),3,IF(ISERROR(FIND(",",VLOOKUP($BS42,[2]Sheet1!$A:$D,4,0))),LEN(VLOOKUP($BS42,[2]Sheet1!$A:$D,4,0))-4,FIND(",",VLOOKUP($BS42,[2]Sheet1!$A:$D,4,0))-4))),"[]",MID(VLOOKUP($BS42,[2]Sheet1!$A:$D,4,0),3,IF(ISERROR(FIND(",",VLOOKUP($BS42,[2]Sheet1!$A:$D,4,0))),LEN(VLOOKUP($BS42,[2]Sheet1!$A:$D,4,0))-4,FIND(",",VLOOKUP($BS42,[2]Sheet1!$A:$D,4,0))-4)))</f>
        <v>[]</v>
      </c>
      <c r="BW42" s="68" t="str">
        <f t="shared" si="1"/>
        <v>3-13</v>
      </c>
    </row>
    <row r="43" spans="1:75" s="62" customFormat="1">
      <c r="A43" s="33">
        <v>1115</v>
      </c>
      <c r="B43" s="33" t="s">
        <v>30</v>
      </c>
      <c r="C43" s="33" t="s">
        <v>512</v>
      </c>
      <c r="D43" s="33">
        <v>1</v>
      </c>
      <c r="E43" s="33">
        <v>2</v>
      </c>
      <c r="F43" s="33">
        <v>1</v>
      </c>
      <c r="G43" s="33">
        <v>1</v>
      </c>
      <c r="H43" s="33" t="s">
        <v>1125</v>
      </c>
      <c r="I43" s="33">
        <v>150</v>
      </c>
      <c r="J43" s="33" t="s">
        <v>127</v>
      </c>
      <c r="K43" s="33">
        <v>10</v>
      </c>
      <c r="L43" s="33" t="s">
        <v>94</v>
      </c>
      <c r="M43" s="33" t="s">
        <v>779</v>
      </c>
      <c r="N43" s="33" t="s">
        <v>82</v>
      </c>
      <c r="O43" s="33" t="s">
        <v>40</v>
      </c>
      <c r="P43" s="33" t="s">
        <v>375</v>
      </c>
      <c r="Q43" s="33">
        <v>1</v>
      </c>
      <c r="R43" s="33" t="s">
        <v>21</v>
      </c>
      <c r="S43" s="33" t="s">
        <v>21</v>
      </c>
      <c r="T43" s="33" t="s">
        <v>21</v>
      </c>
      <c r="U43" s="33">
        <v>5</v>
      </c>
      <c r="V43" s="33">
        <v>16</v>
      </c>
      <c r="W43" s="33">
        <f>VLOOKUP(F43,Sheet3!$B$33:$E$37,3,0)</f>
        <v>9</v>
      </c>
      <c r="X43" s="33">
        <f>VLOOKUP(F43,Sheet3!$B$33:$E$37,2,0)</f>
        <v>15</v>
      </c>
      <c r="Y43" s="33">
        <f>VLOOKUP(F43,Sheet3!$B$33:$E$37,4,0)</f>
        <v>8</v>
      </c>
      <c r="Z43" s="33">
        <v>1</v>
      </c>
      <c r="AA43" s="97">
        <v>0</v>
      </c>
      <c r="AB43" s="97">
        <v>0</v>
      </c>
      <c r="AC43" s="35">
        <v>12500</v>
      </c>
      <c r="AD43" s="35">
        <v>500</v>
      </c>
      <c r="AE43" s="35">
        <v>250</v>
      </c>
      <c r="AF43" s="35">
        <v>250</v>
      </c>
      <c r="AG43" s="33">
        <v>1</v>
      </c>
      <c r="AH43" s="33">
        <v>0</v>
      </c>
      <c r="AI43" s="33">
        <v>0</v>
      </c>
      <c r="AJ43" s="33">
        <v>0</v>
      </c>
      <c r="AK43" s="33">
        <v>0</v>
      </c>
      <c r="AL43" s="33">
        <v>0</v>
      </c>
      <c r="AM43" s="33">
        <v>1</v>
      </c>
      <c r="AN43" s="97">
        <v>0</v>
      </c>
      <c r="AO43" s="97">
        <v>0</v>
      </c>
      <c r="AP43" s="35">
        <v>750</v>
      </c>
      <c r="AQ43" s="35">
        <v>30</v>
      </c>
      <c r="AR43" s="35">
        <v>15</v>
      </c>
      <c r="AS43" s="35">
        <v>15</v>
      </c>
      <c r="AT43" s="33">
        <v>0</v>
      </c>
      <c r="AU43" s="33">
        <v>0</v>
      </c>
      <c r="AV43" s="33">
        <v>0</v>
      </c>
      <c r="AW43" s="33">
        <v>0</v>
      </c>
      <c r="AX43" s="35" t="s">
        <v>1101</v>
      </c>
      <c r="AY43" s="33">
        <v>10</v>
      </c>
      <c r="AZ43" s="34" t="s">
        <v>918</v>
      </c>
      <c r="BA43" s="33" t="s">
        <v>222</v>
      </c>
      <c r="BB43" s="33">
        <v>50</v>
      </c>
      <c r="BC43" s="107" t="s">
        <v>1039</v>
      </c>
      <c r="BD43" s="35" t="s">
        <v>21</v>
      </c>
      <c r="BE43" s="94" t="s">
        <v>1017</v>
      </c>
      <c r="BF43" s="33">
        <v>2000</v>
      </c>
      <c r="BG43" s="97">
        <v>20000</v>
      </c>
      <c r="BH43" s="97">
        <v>4000</v>
      </c>
      <c r="BI43" s="33">
        <v>10015</v>
      </c>
      <c r="BJ43" s="33" t="s">
        <v>21</v>
      </c>
      <c r="BK43" s="33">
        <v>0</v>
      </c>
      <c r="BL43" s="33">
        <f>VLOOKUP(F43,Sheet3!$B$33:$F$37,5,0)</f>
        <v>3000</v>
      </c>
      <c r="BM43" s="33">
        <v>1</v>
      </c>
      <c r="BN43" s="67">
        <v>101</v>
      </c>
      <c r="BO43" s="90">
        <f t="shared" si="2"/>
        <v>1115</v>
      </c>
      <c r="BP43" s="68">
        <v>1115</v>
      </c>
      <c r="BQ43" s="33" t="s">
        <v>825</v>
      </c>
      <c r="BR43" s="33" t="s">
        <v>21</v>
      </c>
      <c r="BS43" s="68" t="e">
        <f>INT(MID(VLOOKUP($BO43,[1]Sheet1!$A:$C,3,0),9,5))</f>
        <v>#VALUE!</v>
      </c>
      <c r="BT43" s="68" t="str">
        <f t="shared" si="0"/>
        <v>yanglidaxian</v>
      </c>
      <c r="BU43" s="68" t="e">
        <f>MID(VLOOKUP($BS43,[2]Sheet1!$A:$C,3,0),3,IF(ISERROR(FIND(",",VLOOKUP($BS43,[2]Sheet1!$A:$C,3,0))),LEN(VLOOKUP($BS43,[2]Sheet1!$A:$C,3,0))-4,FIND(",",VLOOKUP($BS43,[2]Sheet1!$A:$C,3,0))-4))</f>
        <v>#VALUE!</v>
      </c>
      <c r="BV43" s="68" t="str">
        <f>IF(ISERROR(MID(VLOOKUP($BS43,[2]Sheet1!$A:$D,4,0),3,IF(ISERROR(FIND(",",VLOOKUP($BS43,[2]Sheet1!$A:$D,4,0))),LEN(VLOOKUP($BS43,[2]Sheet1!$A:$D,4,0))-4,FIND(",",VLOOKUP($BS43,[2]Sheet1!$A:$D,4,0))-4))),"[]",MID(VLOOKUP($BS43,[2]Sheet1!$A:$D,4,0),3,IF(ISERROR(FIND(",",VLOOKUP($BS43,[2]Sheet1!$A:$D,4,0))),LEN(VLOOKUP($BS43,[2]Sheet1!$A:$D,4,0))-4,FIND(",",VLOOKUP($BS43,[2]Sheet1!$A:$D,4,0))-4)))</f>
        <v>[]</v>
      </c>
      <c r="BW43" s="68" t="str">
        <f t="shared" si="1"/>
        <v>1-16</v>
      </c>
    </row>
    <row r="44" spans="1:75" s="62" customFormat="1" ht="16.5" customHeight="1">
      <c r="A44" s="37">
        <v>1208</v>
      </c>
      <c r="B44" s="37" t="s">
        <v>835</v>
      </c>
      <c r="C44" s="37" t="s">
        <v>526</v>
      </c>
      <c r="D44" s="37">
        <v>1</v>
      </c>
      <c r="E44" s="37">
        <v>2</v>
      </c>
      <c r="F44" s="37">
        <v>2</v>
      </c>
      <c r="G44" s="37">
        <v>2</v>
      </c>
      <c r="H44" s="37" t="s">
        <v>1124</v>
      </c>
      <c r="I44" s="37">
        <v>150</v>
      </c>
      <c r="J44" s="37" t="s">
        <v>836</v>
      </c>
      <c r="K44" s="37">
        <v>10</v>
      </c>
      <c r="L44" s="37" t="s">
        <v>837</v>
      </c>
      <c r="M44" s="33" t="s">
        <v>779</v>
      </c>
      <c r="N44" s="37" t="s">
        <v>838</v>
      </c>
      <c r="O44" s="37" t="s">
        <v>40</v>
      </c>
      <c r="P44" s="37" t="s">
        <v>839</v>
      </c>
      <c r="Q44" s="37">
        <v>1</v>
      </c>
      <c r="R44" s="37" t="s">
        <v>21</v>
      </c>
      <c r="S44" s="37" t="s">
        <v>21</v>
      </c>
      <c r="T44" s="37" t="s">
        <v>21</v>
      </c>
      <c r="U44" s="37">
        <v>4</v>
      </c>
      <c r="V44" s="33">
        <v>13</v>
      </c>
      <c r="W44" s="33">
        <f>VLOOKUP(F44,Sheet3!$B$33:$E$37,3,0)</f>
        <v>9</v>
      </c>
      <c r="X44" s="33">
        <f>VLOOKUP(F44,Sheet3!$B$33:$E$37,2,0)</f>
        <v>15</v>
      </c>
      <c r="Y44" s="33">
        <f>VLOOKUP(F44,Sheet3!$B$33:$E$37,4,0)</f>
        <v>8</v>
      </c>
      <c r="Z44" s="37">
        <v>0.8</v>
      </c>
      <c r="AA44" s="98">
        <v>0</v>
      </c>
      <c r="AB44" s="98">
        <v>0</v>
      </c>
      <c r="AC44" s="35">
        <v>7500</v>
      </c>
      <c r="AD44" s="35">
        <v>300</v>
      </c>
      <c r="AE44" s="35">
        <v>150</v>
      </c>
      <c r="AF44" s="35">
        <v>150</v>
      </c>
      <c r="AG44" s="37">
        <v>1</v>
      </c>
      <c r="AH44" s="37">
        <v>0</v>
      </c>
      <c r="AI44" s="37">
        <v>0</v>
      </c>
      <c r="AJ44" s="37">
        <v>0</v>
      </c>
      <c r="AK44" s="37">
        <v>0</v>
      </c>
      <c r="AL44" s="37">
        <v>0</v>
      </c>
      <c r="AM44" s="33">
        <v>1</v>
      </c>
      <c r="AN44" s="98">
        <v>0</v>
      </c>
      <c r="AO44" s="98">
        <v>0</v>
      </c>
      <c r="AP44" s="35">
        <v>625</v>
      </c>
      <c r="AQ44" s="35">
        <v>25</v>
      </c>
      <c r="AR44" s="35">
        <v>13</v>
      </c>
      <c r="AS44" s="35">
        <v>13</v>
      </c>
      <c r="AT44" s="37">
        <v>0</v>
      </c>
      <c r="AU44" s="37">
        <v>0</v>
      </c>
      <c r="AV44" s="37">
        <v>0</v>
      </c>
      <c r="AW44" s="37">
        <v>0</v>
      </c>
      <c r="AX44" s="35" t="s">
        <v>1103</v>
      </c>
      <c r="AY44" s="37">
        <v>10</v>
      </c>
      <c r="AZ44" s="34" t="s">
        <v>919</v>
      </c>
      <c r="BA44" s="37" t="s">
        <v>222</v>
      </c>
      <c r="BB44" s="37">
        <v>50</v>
      </c>
      <c r="BC44" s="107" t="s">
        <v>880</v>
      </c>
      <c r="BD44" s="35" t="s">
        <v>21</v>
      </c>
      <c r="BE44" s="94" t="s">
        <v>1017</v>
      </c>
      <c r="BF44" s="37">
        <v>1400</v>
      </c>
      <c r="BG44" s="98">
        <v>20000</v>
      </c>
      <c r="BH44" s="98">
        <v>4000</v>
      </c>
      <c r="BI44" s="33">
        <v>10108</v>
      </c>
      <c r="BJ44" s="37" t="s">
        <v>21</v>
      </c>
      <c r="BK44" s="37">
        <v>0</v>
      </c>
      <c r="BL44" s="33">
        <f>VLOOKUP(F44,Sheet3!$B$33:$F$37,5,0)</f>
        <v>10000</v>
      </c>
      <c r="BM44" s="33">
        <v>1</v>
      </c>
      <c r="BN44" s="67">
        <v>100</v>
      </c>
      <c r="BO44" s="90">
        <f t="shared" si="2"/>
        <v>1208</v>
      </c>
      <c r="BP44" s="68">
        <v>1208</v>
      </c>
      <c r="BQ44" s="37" t="s">
        <v>845</v>
      </c>
      <c r="BR44" s="37" t="s">
        <v>21</v>
      </c>
      <c r="BS44" s="68" t="e">
        <f>INT(MID(VLOOKUP($BO44,[1]Sheet1!$A:$C,3,0),9,5))</f>
        <v>#VALUE!</v>
      </c>
      <c r="BT44" s="68" t="str">
        <f t="shared" si="0"/>
        <v>caidiexiantong</v>
      </c>
      <c r="BU44" s="68" t="e">
        <f>MID(VLOOKUP($BS44,[2]Sheet1!$A:$C,3,0),3,IF(ISERROR(FIND(",",VLOOKUP($BS44,[2]Sheet1!$A:$C,3,0))),LEN(VLOOKUP($BS44,[2]Sheet1!$A:$C,3,0))-4,FIND(",",VLOOKUP($BS44,[2]Sheet1!$A:$C,3,0))-4))</f>
        <v>#VALUE!</v>
      </c>
      <c r="BV44" s="68" t="str">
        <f>IF(ISERROR(MID(VLOOKUP($BS44,[2]Sheet1!$A:$D,4,0),3,IF(ISERROR(FIND(",",VLOOKUP($BS44,[2]Sheet1!$A:$D,4,0))),LEN(VLOOKUP($BS44,[2]Sheet1!$A:$D,4,0))-4,FIND(",",VLOOKUP($BS44,[2]Sheet1!$A:$D,4,0))-4))),"[]",MID(VLOOKUP($BS44,[2]Sheet1!$A:$D,4,0),3,IF(ISERROR(FIND(",",VLOOKUP($BS44,[2]Sheet1!$A:$D,4,0))),LEN(VLOOKUP($BS44,[2]Sheet1!$A:$D,4,0))-4,FIND(",",VLOOKUP($BS44,[2]Sheet1!$A:$D,4,0))-4)))</f>
        <v>[]</v>
      </c>
      <c r="BW44" s="68" t="str">
        <f t="shared" si="1"/>
        <v>2-13</v>
      </c>
    </row>
    <row r="45" spans="1:75" s="62" customFormat="1" ht="16.5" customHeight="1">
      <c r="A45" s="33">
        <v>1122</v>
      </c>
      <c r="B45" s="33" t="s">
        <v>49</v>
      </c>
      <c r="C45" s="33" t="s">
        <v>515</v>
      </c>
      <c r="D45" s="33">
        <v>1</v>
      </c>
      <c r="E45" s="33">
        <v>3</v>
      </c>
      <c r="F45" s="33">
        <v>4</v>
      </c>
      <c r="G45" s="33">
        <v>4</v>
      </c>
      <c r="H45" s="33" t="s">
        <v>1123</v>
      </c>
      <c r="I45" s="33">
        <v>150</v>
      </c>
      <c r="J45" s="33" t="s">
        <v>139</v>
      </c>
      <c r="K45" s="33">
        <v>10</v>
      </c>
      <c r="L45" s="33" t="s">
        <v>89</v>
      </c>
      <c r="M45" s="33" t="s">
        <v>779</v>
      </c>
      <c r="N45" s="33" t="s">
        <v>295</v>
      </c>
      <c r="O45" s="33" t="s">
        <v>40</v>
      </c>
      <c r="P45" s="33" t="s">
        <v>378</v>
      </c>
      <c r="Q45" s="33">
        <v>1</v>
      </c>
      <c r="R45" s="33" t="s">
        <v>21</v>
      </c>
      <c r="S45" s="33" t="s">
        <v>21</v>
      </c>
      <c r="T45" s="33" t="s">
        <v>21</v>
      </c>
      <c r="U45" s="33">
        <v>4</v>
      </c>
      <c r="V45" s="33">
        <v>13</v>
      </c>
      <c r="W45" s="33">
        <f>VLOOKUP(F45,Sheet3!$B$33:$E$37,3,0)</f>
        <v>3</v>
      </c>
      <c r="X45" s="33">
        <f>VLOOKUP(F45,Sheet3!$B$33:$E$37,2,0)</f>
        <v>15</v>
      </c>
      <c r="Y45" s="33">
        <f>VLOOKUP(F45,Sheet3!$B$33:$E$37,4,0)</f>
        <v>8</v>
      </c>
      <c r="Z45" s="33">
        <v>1</v>
      </c>
      <c r="AA45" s="97">
        <v>0</v>
      </c>
      <c r="AB45" s="97">
        <v>0</v>
      </c>
      <c r="AC45" s="35">
        <v>7500</v>
      </c>
      <c r="AD45" s="35">
        <v>300</v>
      </c>
      <c r="AE45" s="35">
        <v>150</v>
      </c>
      <c r="AF45" s="35">
        <v>150</v>
      </c>
      <c r="AG45" s="33">
        <v>1</v>
      </c>
      <c r="AH45" s="33">
        <v>0</v>
      </c>
      <c r="AI45" s="33">
        <v>0</v>
      </c>
      <c r="AJ45" s="33">
        <v>0</v>
      </c>
      <c r="AK45" s="33">
        <v>0</v>
      </c>
      <c r="AL45" s="33">
        <v>0</v>
      </c>
      <c r="AM45" s="33">
        <v>1</v>
      </c>
      <c r="AN45" s="97">
        <v>0</v>
      </c>
      <c r="AO45" s="97">
        <v>0</v>
      </c>
      <c r="AP45" s="35">
        <v>625</v>
      </c>
      <c r="AQ45" s="35">
        <v>25</v>
      </c>
      <c r="AR45" s="35">
        <v>13</v>
      </c>
      <c r="AS45" s="35">
        <v>13</v>
      </c>
      <c r="AT45" s="33">
        <v>0</v>
      </c>
      <c r="AU45" s="33">
        <v>0</v>
      </c>
      <c r="AV45" s="33">
        <v>0</v>
      </c>
      <c r="AW45" s="33">
        <v>0</v>
      </c>
      <c r="AX45" s="35" t="s">
        <v>1104</v>
      </c>
      <c r="AY45" s="33">
        <v>10</v>
      </c>
      <c r="AZ45" s="34" t="s">
        <v>920</v>
      </c>
      <c r="BA45" s="33" t="s">
        <v>222</v>
      </c>
      <c r="BB45" s="33">
        <v>50</v>
      </c>
      <c r="BC45" s="107" t="s">
        <v>1067</v>
      </c>
      <c r="BD45" s="35" t="s">
        <v>21</v>
      </c>
      <c r="BE45" s="94" t="s">
        <v>1004</v>
      </c>
      <c r="BF45" s="33">
        <v>1400</v>
      </c>
      <c r="BG45" s="97">
        <v>20000</v>
      </c>
      <c r="BH45" s="97">
        <v>4000</v>
      </c>
      <c r="BI45" s="33">
        <v>10022</v>
      </c>
      <c r="BJ45" s="33" t="s">
        <v>21</v>
      </c>
      <c r="BK45" s="33">
        <v>0</v>
      </c>
      <c r="BL45" s="33">
        <f>VLOOKUP(F45,Sheet3!$B$33:$F$37,5,0)</f>
        <v>100000</v>
      </c>
      <c r="BM45" s="33">
        <v>10</v>
      </c>
      <c r="BN45" s="67">
        <v>100</v>
      </c>
      <c r="BO45" s="90">
        <f t="shared" si="2"/>
        <v>1122</v>
      </c>
      <c r="BP45" s="68">
        <v>1122</v>
      </c>
      <c r="BQ45" s="33" t="s">
        <v>817</v>
      </c>
      <c r="BR45" s="33" t="s">
        <v>21</v>
      </c>
      <c r="BS45" s="68" t="e">
        <f>INT(MID(VLOOKUP($BO45,[1]Sheet1!$A:$C,3,0),9,5))</f>
        <v>#VALUE!</v>
      </c>
      <c r="BT45" s="68" t="str">
        <f t="shared" si="0"/>
        <v>tangsanzang</v>
      </c>
      <c r="BU45" s="68" t="e">
        <f>MID(VLOOKUP($BS45,[2]Sheet1!$A:$C,3,0),3,IF(ISERROR(FIND(",",VLOOKUP($BS45,[2]Sheet1!$A:$C,3,0))),LEN(VLOOKUP($BS45,[2]Sheet1!$A:$C,3,0))-4,FIND(",",VLOOKUP($BS45,[2]Sheet1!$A:$C,3,0))-4))</f>
        <v>#VALUE!</v>
      </c>
      <c r="BV45" s="68" t="str">
        <f>IF(ISERROR(MID(VLOOKUP($BS45,[2]Sheet1!$A:$D,4,0),3,IF(ISERROR(FIND(",",VLOOKUP($BS45,[2]Sheet1!$A:$D,4,0))),LEN(VLOOKUP($BS45,[2]Sheet1!$A:$D,4,0))-4,FIND(",",VLOOKUP($BS45,[2]Sheet1!$A:$D,4,0))-4))),"[]",MID(VLOOKUP($BS45,[2]Sheet1!$A:$D,4,0),3,IF(ISERROR(FIND(",",VLOOKUP($BS45,[2]Sheet1!$A:$D,4,0))),LEN(VLOOKUP($BS45,[2]Sheet1!$A:$D,4,0))-4,FIND(",",VLOOKUP($BS45,[2]Sheet1!$A:$D,4,0))-4)))</f>
        <v>[]</v>
      </c>
      <c r="BW45" s="68" t="str">
        <f t="shared" si="1"/>
        <v>4-13</v>
      </c>
    </row>
    <row r="46" spans="1:75" s="62" customFormat="1" ht="16.5" customHeight="1">
      <c r="A46" s="33">
        <v>1207</v>
      </c>
      <c r="B46" s="33" t="s">
        <v>840</v>
      </c>
      <c r="C46" s="33" t="s">
        <v>525</v>
      </c>
      <c r="D46" s="33">
        <v>1</v>
      </c>
      <c r="E46" s="33">
        <v>3</v>
      </c>
      <c r="F46" s="33">
        <v>2</v>
      </c>
      <c r="G46" s="33">
        <v>2</v>
      </c>
      <c r="H46" s="33" t="s">
        <v>1124</v>
      </c>
      <c r="I46" s="33">
        <v>150</v>
      </c>
      <c r="J46" s="33" t="s">
        <v>841</v>
      </c>
      <c r="K46" s="33">
        <v>10</v>
      </c>
      <c r="L46" s="33" t="s">
        <v>842</v>
      </c>
      <c r="M46" s="33" t="s">
        <v>779</v>
      </c>
      <c r="N46" s="33" t="s">
        <v>843</v>
      </c>
      <c r="O46" s="33" t="s">
        <v>40</v>
      </c>
      <c r="P46" s="33" t="s">
        <v>844</v>
      </c>
      <c r="Q46" s="33">
        <v>1</v>
      </c>
      <c r="R46" s="33" t="s">
        <v>21</v>
      </c>
      <c r="S46" s="33" t="s">
        <v>21</v>
      </c>
      <c r="T46" s="33" t="s">
        <v>21</v>
      </c>
      <c r="U46" s="33">
        <v>4</v>
      </c>
      <c r="V46" s="33">
        <v>13</v>
      </c>
      <c r="W46" s="33">
        <f>VLOOKUP(F46,Sheet3!$B$33:$E$37,3,0)</f>
        <v>9</v>
      </c>
      <c r="X46" s="33">
        <f>VLOOKUP(F46,Sheet3!$B$33:$E$37,2,0)</f>
        <v>15</v>
      </c>
      <c r="Y46" s="33">
        <f>VLOOKUP(F46,Sheet3!$B$33:$E$37,4,0)</f>
        <v>8</v>
      </c>
      <c r="Z46" s="33">
        <v>0.8</v>
      </c>
      <c r="AA46" s="97">
        <v>0</v>
      </c>
      <c r="AB46" s="97">
        <v>0</v>
      </c>
      <c r="AC46" s="35">
        <v>7500</v>
      </c>
      <c r="AD46" s="35">
        <v>300</v>
      </c>
      <c r="AE46" s="35">
        <v>150</v>
      </c>
      <c r="AF46" s="35">
        <v>150</v>
      </c>
      <c r="AG46" s="33">
        <v>1</v>
      </c>
      <c r="AH46" s="33">
        <v>0</v>
      </c>
      <c r="AI46" s="33">
        <v>0</v>
      </c>
      <c r="AJ46" s="33">
        <v>0</v>
      </c>
      <c r="AK46" s="33">
        <v>0</v>
      </c>
      <c r="AL46" s="33">
        <v>0</v>
      </c>
      <c r="AM46" s="33">
        <v>1</v>
      </c>
      <c r="AN46" s="97">
        <v>0</v>
      </c>
      <c r="AO46" s="97">
        <v>0</v>
      </c>
      <c r="AP46" s="35">
        <v>625</v>
      </c>
      <c r="AQ46" s="35">
        <v>25</v>
      </c>
      <c r="AR46" s="35">
        <v>13</v>
      </c>
      <c r="AS46" s="35">
        <v>13</v>
      </c>
      <c r="AT46" s="33">
        <v>0</v>
      </c>
      <c r="AU46" s="33">
        <v>0</v>
      </c>
      <c r="AV46" s="33">
        <v>0</v>
      </c>
      <c r="AW46" s="33">
        <v>0</v>
      </c>
      <c r="AX46" s="35" t="s">
        <v>1103</v>
      </c>
      <c r="AY46" s="33">
        <v>10</v>
      </c>
      <c r="AZ46" s="34" t="s">
        <v>921</v>
      </c>
      <c r="BA46" s="33" t="s">
        <v>222</v>
      </c>
      <c r="BB46" s="33">
        <v>50</v>
      </c>
      <c r="BC46" s="107" t="s">
        <v>1068</v>
      </c>
      <c r="BD46" s="35" t="s">
        <v>21</v>
      </c>
      <c r="BE46" s="94" t="s">
        <v>1017</v>
      </c>
      <c r="BF46" s="33">
        <v>1400</v>
      </c>
      <c r="BG46" s="97">
        <v>20000</v>
      </c>
      <c r="BH46" s="97">
        <v>4000</v>
      </c>
      <c r="BI46" s="33">
        <v>10107</v>
      </c>
      <c r="BJ46" s="33" t="s">
        <v>21</v>
      </c>
      <c r="BK46" s="33">
        <v>0</v>
      </c>
      <c r="BL46" s="33">
        <f>VLOOKUP(F46,Sheet3!$B$33:$F$37,5,0)</f>
        <v>10000</v>
      </c>
      <c r="BM46" s="33">
        <v>1</v>
      </c>
      <c r="BN46" s="67">
        <v>100</v>
      </c>
      <c r="BO46" s="90">
        <f t="shared" si="2"/>
        <v>1207</v>
      </c>
      <c r="BP46" s="68">
        <v>1207</v>
      </c>
      <c r="BQ46" s="33" t="s">
        <v>846</v>
      </c>
      <c r="BR46" s="33" t="s">
        <v>21</v>
      </c>
      <c r="BS46" s="68" t="e">
        <f>INT(MID(VLOOKUP($BO46,[1]Sheet1!$A:$C,3,0),9,5))</f>
        <v>#VALUE!</v>
      </c>
      <c r="BT46" s="68" t="str">
        <f t="shared" si="0"/>
        <v>yinhunxianzi</v>
      </c>
      <c r="BU46" s="68" t="e">
        <f>MID(VLOOKUP($BS46,[2]Sheet1!$A:$C,3,0),3,IF(ISERROR(FIND(",",VLOOKUP($BS46,[2]Sheet1!$A:$C,3,0))),LEN(VLOOKUP($BS46,[2]Sheet1!$A:$C,3,0))-4,FIND(",",VLOOKUP($BS46,[2]Sheet1!$A:$C,3,0))-4))</f>
        <v>#VALUE!</v>
      </c>
      <c r="BV46" s="68" t="str">
        <f>IF(ISERROR(MID(VLOOKUP($BS46,[2]Sheet1!$A:$D,4,0),3,IF(ISERROR(FIND(",",VLOOKUP($BS46,[2]Sheet1!$A:$D,4,0))),LEN(VLOOKUP($BS46,[2]Sheet1!$A:$D,4,0))-4,FIND(",",VLOOKUP($BS46,[2]Sheet1!$A:$D,4,0))-4))),"[]",MID(VLOOKUP($BS46,[2]Sheet1!$A:$D,4,0),3,IF(ISERROR(FIND(",",VLOOKUP($BS46,[2]Sheet1!$A:$D,4,0))),LEN(VLOOKUP($BS46,[2]Sheet1!$A:$D,4,0))-4,FIND(",",VLOOKUP($BS46,[2]Sheet1!$A:$D,4,0))-4)))</f>
        <v>[]</v>
      </c>
      <c r="BW46" s="68" t="str">
        <f t="shared" si="1"/>
        <v>2-13</v>
      </c>
    </row>
    <row r="47" spans="1:75" s="84" customFormat="1" ht="16.5" customHeight="1">
      <c r="A47" s="81">
        <v>1139</v>
      </c>
      <c r="B47" s="81" t="s">
        <v>301</v>
      </c>
      <c r="C47" s="81" t="s">
        <v>531</v>
      </c>
      <c r="D47" s="81">
        <v>1</v>
      </c>
      <c r="E47" s="81">
        <v>2</v>
      </c>
      <c r="F47" s="81">
        <v>3</v>
      </c>
      <c r="G47" s="81">
        <v>3</v>
      </c>
      <c r="H47" s="81" t="s">
        <v>1122</v>
      </c>
      <c r="I47" s="81">
        <v>150</v>
      </c>
      <c r="J47" s="81" t="s">
        <v>73</v>
      </c>
      <c r="K47" s="81">
        <v>10</v>
      </c>
      <c r="L47" s="81" t="s">
        <v>74</v>
      </c>
      <c r="M47" s="81" t="s">
        <v>779</v>
      </c>
      <c r="N47" s="81" t="s">
        <v>302</v>
      </c>
      <c r="O47" s="81" t="s">
        <v>62</v>
      </c>
      <c r="P47" s="81" t="s">
        <v>393</v>
      </c>
      <c r="Q47" s="81">
        <v>1</v>
      </c>
      <c r="R47" s="81" t="s">
        <v>21</v>
      </c>
      <c r="S47" s="81" t="s">
        <v>21</v>
      </c>
      <c r="T47" s="81" t="s">
        <v>21</v>
      </c>
      <c r="U47" s="81">
        <v>3</v>
      </c>
      <c r="V47" s="81">
        <v>11</v>
      </c>
      <c r="W47" s="33">
        <f>VLOOKUP(F47,Sheet3!$B$33:$E$37,3,0)</f>
        <v>5</v>
      </c>
      <c r="X47" s="33">
        <f>VLOOKUP(F47,Sheet3!$B$33:$E$37,2,0)</f>
        <v>15</v>
      </c>
      <c r="Y47" s="33">
        <f>VLOOKUP(F47,Sheet3!$B$33:$E$37,4,0)</f>
        <v>8</v>
      </c>
      <c r="Z47" s="81">
        <v>1.25</v>
      </c>
      <c r="AA47" s="99">
        <v>0</v>
      </c>
      <c r="AB47" s="99">
        <v>0</v>
      </c>
      <c r="AC47" s="35">
        <v>4000</v>
      </c>
      <c r="AD47" s="35">
        <v>160</v>
      </c>
      <c r="AE47" s="35">
        <v>80</v>
      </c>
      <c r="AF47" s="35">
        <v>80</v>
      </c>
      <c r="AG47" s="81">
        <v>1</v>
      </c>
      <c r="AH47" s="81">
        <v>0</v>
      </c>
      <c r="AI47" s="81">
        <v>0</v>
      </c>
      <c r="AJ47" s="81">
        <v>0</v>
      </c>
      <c r="AK47" s="81">
        <v>0</v>
      </c>
      <c r="AL47" s="81">
        <v>0</v>
      </c>
      <c r="AM47" s="81">
        <v>1</v>
      </c>
      <c r="AN47" s="99">
        <v>0</v>
      </c>
      <c r="AO47" s="99">
        <v>0</v>
      </c>
      <c r="AP47" s="35">
        <v>400</v>
      </c>
      <c r="AQ47" s="35">
        <v>16</v>
      </c>
      <c r="AR47" s="35">
        <v>8</v>
      </c>
      <c r="AS47" s="35">
        <v>8</v>
      </c>
      <c r="AT47" s="81">
        <v>0</v>
      </c>
      <c r="AU47" s="81">
        <v>0</v>
      </c>
      <c r="AV47" s="81">
        <v>0</v>
      </c>
      <c r="AW47" s="81">
        <v>0</v>
      </c>
      <c r="AX47" s="35" t="s">
        <v>1107</v>
      </c>
      <c r="AY47" s="81">
        <v>8</v>
      </c>
      <c r="AZ47" s="34" t="s">
        <v>924</v>
      </c>
      <c r="BA47" s="81" t="s">
        <v>223</v>
      </c>
      <c r="BB47" s="81">
        <v>50</v>
      </c>
      <c r="BC47" s="107" t="s">
        <v>1069</v>
      </c>
      <c r="BD47" s="35" t="s">
        <v>21</v>
      </c>
      <c r="BE47" s="94" t="s">
        <v>1019</v>
      </c>
      <c r="BF47" s="81">
        <v>400</v>
      </c>
      <c r="BG47" s="99">
        <v>5000</v>
      </c>
      <c r="BH47" s="99">
        <v>1000</v>
      </c>
      <c r="BI47" s="81">
        <v>10039</v>
      </c>
      <c r="BJ47" s="81" t="s">
        <v>21</v>
      </c>
      <c r="BK47" s="81">
        <v>0</v>
      </c>
      <c r="BL47" s="33">
        <f>VLOOKUP(F47,Sheet3!$B$33:$F$37,5,0)</f>
        <v>50000</v>
      </c>
      <c r="BM47" s="81">
        <v>1.5</v>
      </c>
      <c r="BN47" s="82">
        <v>100</v>
      </c>
      <c r="BO47" s="90" t="s">
        <v>1031</v>
      </c>
      <c r="BP47" s="68">
        <v>1139</v>
      </c>
      <c r="BQ47" s="81" t="s">
        <v>800</v>
      </c>
      <c r="BR47" s="81" t="s">
        <v>21</v>
      </c>
      <c r="BS47" s="83" t="e">
        <f>INT(MID(VLOOKUP($BO47,[1]Sheet1!$A:$C,3,0),9,5))</f>
        <v>#N/A</v>
      </c>
      <c r="BT47" s="83" t="str">
        <f t="shared" si="0"/>
        <v>jinqianbaowang</v>
      </c>
      <c r="BU47" s="83" t="e">
        <f>MID(VLOOKUP($BS47,[2]Sheet1!$A:$C,3,0),3,IF(ISERROR(FIND(",",VLOOKUP($BS47,[2]Sheet1!$A:$C,3,0))),LEN(VLOOKUP($BS47,[2]Sheet1!$A:$C,3,0))-4,FIND(",",VLOOKUP($BS47,[2]Sheet1!$A:$C,3,0))-4))</f>
        <v>#N/A</v>
      </c>
      <c r="BV47" s="83" t="str">
        <f>IF(ISERROR(MID(VLOOKUP($BS47,[2]Sheet1!$A:$D,4,0),3,IF(ISERROR(FIND(",",VLOOKUP($BS47,[2]Sheet1!$A:$D,4,0))),LEN(VLOOKUP($BS47,[2]Sheet1!$A:$D,4,0))-4,FIND(",",VLOOKUP($BS47,[2]Sheet1!$A:$D,4,0))-4))),"[]",MID(VLOOKUP($BS47,[2]Sheet1!$A:$D,4,0),3,IF(ISERROR(FIND(",",VLOOKUP($BS47,[2]Sheet1!$A:$D,4,0))),LEN(VLOOKUP($BS47,[2]Sheet1!$A:$D,4,0))-4,FIND(",",VLOOKUP($BS47,[2]Sheet1!$A:$D,4,0))-4)))</f>
        <v>[]</v>
      </c>
      <c r="BW47" s="83" t="str">
        <f t="shared" si="1"/>
        <v>3-11</v>
      </c>
    </row>
    <row r="48" spans="1:75" s="62" customFormat="1" ht="16.5" customHeight="1">
      <c r="A48" s="33">
        <v>1140</v>
      </c>
      <c r="B48" s="33" t="s">
        <v>35</v>
      </c>
      <c r="C48" s="33" t="s">
        <v>532</v>
      </c>
      <c r="D48" s="33">
        <v>1</v>
      </c>
      <c r="E48" s="33">
        <v>2</v>
      </c>
      <c r="F48" s="33">
        <v>3</v>
      </c>
      <c r="G48" s="33">
        <v>3</v>
      </c>
      <c r="H48" s="33" t="s">
        <v>1122</v>
      </c>
      <c r="I48" s="33">
        <v>150</v>
      </c>
      <c r="J48" s="33" t="s">
        <v>75</v>
      </c>
      <c r="K48" s="33">
        <v>10</v>
      </c>
      <c r="L48" s="33" t="s">
        <v>76</v>
      </c>
      <c r="M48" s="33" t="s">
        <v>779</v>
      </c>
      <c r="N48" s="33" t="s">
        <v>77</v>
      </c>
      <c r="O48" s="33" t="s">
        <v>62</v>
      </c>
      <c r="P48" s="33" t="s">
        <v>394</v>
      </c>
      <c r="Q48" s="33">
        <v>1</v>
      </c>
      <c r="R48" s="33" t="s">
        <v>21</v>
      </c>
      <c r="S48" s="33" t="s">
        <v>21</v>
      </c>
      <c r="T48" s="33" t="s">
        <v>21</v>
      </c>
      <c r="U48" s="33">
        <v>3</v>
      </c>
      <c r="V48" s="33">
        <v>11</v>
      </c>
      <c r="W48" s="33">
        <f>VLOOKUP(F48,Sheet3!$B$33:$E$37,3,0)</f>
        <v>5</v>
      </c>
      <c r="X48" s="33">
        <f>VLOOKUP(F48,Sheet3!$B$33:$E$37,2,0)</f>
        <v>15</v>
      </c>
      <c r="Y48" s="33">
        <f>VLOOKUP(F48,Sheet3!$B$33:$E$37,4,0)</f>
        <v>8</v>
      </c>
      <c r="Z48" s="33">
        <v>1.25</v>
      </c>
      <c r="AA48" s="97">
        <v>0</v>
      </c>
      <c r="AB48" s="97">
        <v>0</v>
      </c>
      <c r="AC48" s="35">
        <v>4000</v>
      </c>
      <c r="AD48" s="35">
        <v>160</v>
      </c>
      <c r="AE48" s="35">
        <v>80</v>
      </c>
      <c r="AF48" s="35">
        <v>80</v>
      </c>
      <c r="AG48" s="33">
        <v>1</v>
      </c>
      <c r="AH48" s="33">
        <v>0</v>
      </c>
      <c r="AI48" s="33">
        <v>0</v>
      </c>
      <c r="AJ48" s="33">
        <v>0</v>
      </c>
      <c r="AK48" s="33">
        <v>0</v>
      </c>
      <c r="AL48" s="33">
        <v>0</v>
      </c>
      <c r="AM48" s="33">
        <v>1</v>
      </c>
      <c r="AN48" s="97">
        <v>0</v>
      </c>
      <c r="AO48" s="97">
        <v>0</v>
      </c>
      <c r="AP48" s="35">
        <v>400</v>
      </c>
      <c r="AQ48" s="35">
        <v>16</v>
      </c>
      <c r="AR48" s="35">
        <v>8</v>
      </c>
      <c r="AS48" s="35">
        <v>8</v>
      </c>
      <c r="AT48" s="33">
        <v>0</v>
      </c>
      <c r="AU48" s="33">
        <v>0</v>
      </c>
      <c r="AV48" s="33">
        <v>0</v>
      </c>
      <c r="AW48" s="33">
        <v>0</v>
      </c>
      <c r="AX48" s="35" t="s">
        <v>1107</v>
      </c>
      <c r="AY48" s="33">
        <v>8</v>
      </c>
      <c r="AZ48" s="34" t="s">
        <v>925</v>
      </c>
      <c r="BA48" s="33" t="s">
        <v>223</v>
      </c>
      <c r="BB48" s="33">
        <v>50</v>
      </c>
      <c r="BC48" s="107" t="s">
        <v>1070</v>
      </c>
      <c r="BD48" s="35" t="s">
        <v>21</v>
      </c>
      <c r="BE48" s="94" t="s">
        <v>1019</v>
      </c>
      <c r="BF48" s="33">
        <v>400</v>
      </c>
      <c r="BG48" s="97">
        <v>5000</v>
      </c>
      <c r="BH48" s="97">
        <v>1000</v>
      </c>
      <c r="BI48" s="33">
        <v>10040</v>
      </c>
      <c r="BJ48" s="33" t="s">
        <v>21</v>
      </c>
      <c r="BK48" s="33">
        <v>0</v>
      </c>
      <c r="BL48" s="33">
        <f>VLOOKUP(F48,Sheet3!$B$33:$F$37,5,0)</f>
        <v>50000</v>
      </c>
      <c r="BM48" s="33">
        <v>1.5</v>
      </c>
      <c r="BN48" s="67">
        <v>100</v>
      </c>
      <c r="BO48" s="90" t="s">
        <v>1005</v>
      </c>
      <c r="BP48" s="68">
        <v>1140</v>
      </c>
      <c r="BQ48" s="33" t="s">
        <v>1027</v>
      </c>
      <c r="BR48" s="33" t="s">
        <v>21</v>
      </c>
      <c r="BS48" s="68" t="e">
        <f>INT(MID(VLOOKUP($BO48,[1]Sheet1!$A:$C,3,0),9,5))</f>
        <v>#N/A</v>
      </c>
      <c r="BT48" s="68" t="str">
        <f t="shared" si="0"/>
        <v>moyujing</v>
      </c>
      <c r="BU48" s="68" t="e">
        <f>MID(VLOOKUP($BS48,[2]Sheet1!$A:$C,3,0),3,IF(ISERROR(FIND(",",VLOOKUP($BS48,[2]Sheet1!$A:$C,3,0))),LEN(VLOOKUP($BS48,[2]Sheet1!$A:$C,3,0))-4,FIND(",",VLOOKUP($BS48,[2]Sheet1!$A:$C,3,0))-4))</f>
        <v>#N/A</v>
      </c>
      <c r="BV48" s="68" t="str">
        <f>IF(ISERROR(MID(VLOOKUP($BS48,[2]Sheet1!$A:$D,4,0),3,IF(ISERROR(FIND(",",VLOOKUP($BS48,[2]Sheet1!$A:$D,4,0))),LEN(VLOOKUP($BS48,[2]Sheet1!$A:$D,4,0))-4,FIND(",",VLOOKUP($BS48,[2]Sheet1!$A:$D,4,0))-4))),"[]",MID(VLOOKUP($BS48,[2]Sheet1!$A:$D,4,0),3,IF(ISERROR(FIND(",",VLOOKUP($BS48,[2]Sheet1!$A:$D,4,0))),LEN(VLOOKUP($BS48,[2]Sheet1!$A:$D,4,0))-4,FIND(",",VLOOKUP($BS48,[2]Sheet1!$A:$D,4,0))-4)))</f>
        <v>[]</v>
      </c>
      <c r="BW48" s="68" t="str">
        <f t="shared" si="1"/>
        <v>3-11</v>
      </c>
    </row>
    <row r="49" spans="1:75" s="62" customFormat="1" ht="16.5" customHeight="1">
      <c r="A49" s="36">
        <v>1107</v>
      </c>
      <c r="B49" s="36" t="s">
        <v>118</v>
      </c>
      <c r="C49" s="33" t="s">
        <v>510</v>
      </c>
      <c r="D49" s="33">
        <v>1</v>
      </c>
      <c r="E49" s="33">
        <v>1</v>
      </c>
      <c r="F49" s="33">
        <v>4</v>
      </c>
      <c r="G49" s="33">
        <v>4</v>
      </c>
      <c r="H49" s="33" t="s">
        <v>1123</v>
      </c>
      <c r="I49" s="33">
        <v>150</v>
      </c>
      <c r="J49" s="33" t="s">
        <v>119</v>
      </c>
      <c r="K49" s="33">
        <v>10</v>
      </c>
      <c r="L49" s="33" t="s">
        <v>120</v>
      </c>
      <c r="M49" s="33" t="s">
        <v>779</v>
      </c>
      <c r="N49" s="33" t="s">
        <v>121</v>
      </c>
      <c r="O49" s="33" t="s">
        <v>40</v>
      </c>
      <c r="P49" s="33" t="s">
        <v>671</v>
      </c>
      <c r="Q49" s="33">
        <v>1</v>
      </c>
      <c r="R49" s="33" t="s">
        <v>21</v>
      </c>
      <c r="S49" s="33" t="s">
        <v>21</v>
      </c>
      <c r="T49" s="33" t="s">
        <v>21</v>
      </c>
      <c r="U49" s="33">
        <v>4</v>
      </c>
      <c r="V49" s="33">
        <v>13</v>
      </c>
      <c r="W49" s="33">
        <f>VLOOKUP(F49,Sheet3!$B$33:$E$37,3,0)</f>
        <v>3</v>
      </c>
      <c r="X49" s="33">
        <f>VLOOKUP(F49,Sheet3!$B$33:$E$37,2,0)</f>
        <v>15</v>
      </c>
      <c r="Y49" s="33">
        <f>VLOOKUP(F49,Sheet3!$B$33:$E$37,4,0)</f>
        <v>8</v>
      </c>
      <c r="Z49" s="33">
        <v>1</v>
      </c>
      <c r="AA49" s="97">
        <v>0</v>
      </c>
      <c r="AB49" s="97">
        <v>0</v>
      </c>
      <c r="AC49" s="35">
        <v>7500</v>
      </c>
      <c r="AD49" s="35">
        <v>300</v>
      </c>
      <c r="AE49" s="35">
        <v>150</v>
      </c>
      <c r="AF49" s="35">
        <v>150</v>
      </c>
      <c r="AG49" s="33">
        <v>1</v>
      </c>
      <c r="AH49" s="33">
        <v>0</v>
      </c>
      <c r="AI49" s="33">
        <v>0</v>
      </c>
      <c r="AJ49" s="33">
        <v>0</v>
      </c>
      <c r="AK49" s="33">
        <v>0</v>
      </c>
      <c r="AL49" s="33">
        <v>0</v>
      </c>
      <c r="AM49" s="33">
        <v>1</v>
      </c>
      <c r="AN49" s="97">
        <v>0</v>
      </c>
      <c r="AO49" s="97">
        <v>0</v>
      </c>
      <c r="AP49" s="35">
        <v>625</v>
      </c>
      <c r="AQ49" s="35">
        <v>25</v>
      </c>
      <c r="AR49" s="35">
        <v>13</v>
      </c>
      <c r="AS49" s="35">
        <v>13</v>
      </c>
      <c r="AT49" s="33">
        <v>0</v>
      </c>
      <c r="AU49" s="33">
        <v>0</v>
      </c>
      <c r="AV49" s="33">
        <v>0</v>
      </c>
      <c r="AW49" s="33">
        <v>0</v>
      </c>
      <c r="AX49" s="35" t="s">
        <v>1136</v>
      </c>
      <c r="AY49" s="33">
        <v>10</v>
      </c>
      <c r="AZ49" s="34" t="s">
        <v>1137</v>
      </c>
      <c r="BA49" s="33" t="s">
        <v>222</v>
      </c>
      <c r="BB49" s="33">
        <v>50</v>
      </c>
      <c r="BC49" s="107" t="s">
        <v>1071</v>
      </c>
      <c r="BD49" s="35" t="s">
        <v>21</v>
      </c>
      <c r="BE49" s="94" t="s">
        <v>1004</v>
      </c>
      <c r="BF49" s="33">
        <v>1400</v>
      </c>
      <c r="BG49" s="97">
        <v>20000</v>
      </c>
      <c r="BH49" s="97">
        <v>4000</v>
      </c>
      <c r="BI49" s="33">
        <v>10007</v>
      </c>
      <c r="BJ49" s="33" t="s">
        <v>21</v>
      </c>
      <c r="BK49" s="33">
        <v>0</v>
      </c>
      <c r="BL49" s="33">
        <f>VLOOKUP(F49,Sheet3!$B$33:$F$37,5,0)</f>
        <v>100000</v>
      </c>
      <c r="BM49" s="33">
        <v>10</v>
      </c>
      <c r="BN49" s="67">
        <v>100</v>
      </c>
      <c r="BO49" s="90">
        <f>A49</f>
        <v>1107</v>
      </c>
      <c r="BP49" s="68">
        <v>1107</v>
      </c>
      <c r="BQ49" s="36" t="s">
        <v>1026</v>
      </c>
      <c r="BR49" s="36" t="s">
        <v>21</v>
      </c>
      <c r="BS49" s="68" t="e">
        <f>INT(MID(VLOOKUP($BO49,[1]Sheet1!$A:$C,3,0),9,5))</f>
        <v>#VALUE!</v>
      </c>
      <c r="BT49" s="68" t="str">
        <f t="shared" si="0"/>
        <v>chijiaodaxian</v>
      </c>
      <c r="BU49" s="68" t="e">
        <f>MID(VLOOKUP($BS49,[2]Sheet1!$A:$C,3,0),3,IF(ISERROR(FIND(",",VLOOKUP($BS49,[2]Sheet1!$A:$C,3,0))),LEN(VLOOKUP($BS49,[2]Sheet1!$A:$C,3,0))-4,FIND(",",VLOOKUP($BS49,[2]Sheet1!$A:$C,3,0))-4))</f>
        <v>#VALUE!</v>
      </c>
      <c r="BV49" s="68" t="str">
        <f>IF(ISERROR(MID(VLOOKUP($BS49,[2]Sheet1!$A:$D,4,0),3,IF(ISERROR(FIND(",",VLOOKUP($BS49,[2]Sheet1!$A:$D,4,0))),LEN(VLOOKUP($BS49,[2]Sheet1!$A:$D,4,0))-4,FIND(",",VLOOKUP($BS49,[2]Sheet1!$A:$D,4,0))-4))),"[]",MID(VLOOKUP($BS49,[2]Sheet1!$A:$D,4,0),3,IF(ISERROR(FIND(",",VLOOKUP($BS49,[2]Sheet1!$A:$D,4,0))),LEN(VLOOKUP($BS49,[2]Sheet1!$A:$D,4,0))-4,FIND(",",VLOOKUP($BS49,[2]Sheet1!$A:$D,4,0))-4)))</f>
        <v>[]</v>
      </c>
      <c r="BW49" s="68" t="str">
        <f t="shared" si="1"/>
        <v>4-13</v>
      </c>
    </row>
    <row r="50" spans="1:75" s="62" customFormat="1" ht="16.5" customHeight="1">
      <c r="A50" s="33">
        <v>1134</v>
      </c>
      <c r="B50" s="33" t="s">
        <v>850</v>
      </c>
      <c r="C50" s="33" t="s">
        <v>528</v>
      </c>
      <c r="D50" s="33">
        <v>1</v>
      </c>
      <c r="E50" s="33">
        <v>1</v>
      </c>
      <c r="F50" s="33">
        <v>4</v>
      </c>
      <c r="G50" s="33">
        <v>4</v>
      </c>
      <c r="H50" s="33" t="s">
        <v>1123</v>
      </c>
      <c r="I50" s="33">
        <v>150</v>
      </c>
      <c r="J50" s="33" t="s">
        <v>69</v>
      </c>
      <c r="K50" s="33">
        <v>10</v>
      </c>
      <c r="L50" s="33" t="s">
        <v>70</v>
      </c>
      <c r="M50" s="33" t="s">
        <v>779</v>
      </c>
      <c r="N50" s="33" t="s">
        <v>71</v>
      </c>
      <c r="O50" s="33" t="s">
        <v>62</v>
      </c>
      <c r="P50" s="33" t="s">
        <v>390</v>
      </c>
      <c r="Q50" s="33">
        <v>1</v>
      </c>
      <c r="R50" s="33" t="s">
        <v>21</v>
      </c>
      <c r="S50" s="33" t="s">
        <v>21</v>
      </c>
      <c r="T50" s="33" t="s">
        <v>21</v>
      </c>
      <c r="U50" s="33">
        <v>3</v>
      </c>
      <c r="V50" s="33">
        <v>11</v>
      </c>
      <c r="W50" s="33">
        <f>VLOOKUP(F50,Sheet3!$B$33:$E$37,3,0)</f>
        <v>3</v>
      </c>
      <c r="X50" s="33">
        <f>VLOOKUP(F50,Sheet3!$B$33:$E$37,2,0)</f>
        <v>15</v>
      </c>
      <c r="Y50" s="33">
        <f>VLOOKUP(F50,Sheet3!$B$33:$E$37,4,0)</f>
        <v>8</v>
      </c>
      <c r="Z50" s="33">
        <v>1</v>
      </c>
      <c r="AA50" s="97">
        <v>0</v>
      </c>
      <c r="AB50" s="97">
        <v>0</v>
      </c>
      <c r="AC50" s="35">
        <v>4000</v>
      </c>
      <c r="AD50" s="35">
        <v>160</v>
      </c>
      <c r="AE50" s="35">
        <v>80</v>
      </c>
      <c r="AF50" s="35">
        <v>80</v>
      </c>
      <c r="AG50" s="33">
        <v>1</v>
      </c>
      <c r="AH50" s="33">
        <v>0</v>
      </c>
      <c r="AI50" s="33">
        <v>0</v>
      </c>
      <c r="AJ50" s="33">
        <v>0</v>
      </c>
      <c r="AK50" s="33">
        <v>0</v>
      </c>
      <c r="AL50" s="33">
        <v>0</v>
      </c>
      <c r="AM50" s="33">
        <v>1</v>
      </c>
      <c r="AN50" s="97">
        <v>0</v>
      </c>
      <c r="AO50" s="97">
        <v>0</v>
      </c>
      <c r="AP50" s="35">
        <v>400</v>
      </c>
      <c r="AQ50" s="35">
        <v>16</v>
      </c>
      <c r="AR50" s="35">
        <v>8</v>
      </c>
      <c r="AS50" s="35">
        <v>8</v>
      </c>
      <c r="AT50" s="33">
        <v>0</v>
      </c>
      <c r="AU50" s="33">
        <v>0</v>
      </c>
      <c r="AV50" s="33">
        <v>0</v>
      </c>
      <c r="AW50" s="33">
        <v>0</v>
      </c>
      <c r="AX50" s="35" t="s">
        <v>1107</v>
      </c>
      <c r="AY50" s="33">
        <v>8</v>
      </c>
      <c r="AZ50" s="34" t="s">
        <v>926</v>
      </c>
      <c r="BA50" s="33" t="s">
        <v>223</v>
      </c>
      <c r="BB50" s="33">
        <v>50</v>
      </c>
      <c r="BC50" s="107" t="s">
        <v>1072</v>
      </c>
      <c r="BD50" s="35" t="s">
        <v>21</v>
      </c>
      <c r="BE50" s="94" t="s">
        <v>1019</v>
      </c>
      <c r="BF50" s="33">
        <v>400</v>
      </c>
      <c r="BG50" s="97">
        <v>5000</v>
      </c>
      <c r="BH50" s="97">
        <v>1000</v>
      </c>
      <c r="BI50" s="33">
        <v>10034</v>
      </c>
      <c r="BJ50" s="33" t="s">
        <v>21</v>
      </c>
      <c r="BK50" s="33">
        <v>0</v>
      </c>
      <c r="BL50" s="33">
        <f>VLOOKUP(F50,Sheet3!$B$33:$F$37,5,0)</f>
        <v>100000</v>
      </c>
      <c r="BM50" s="33">
        <v>10</v>
      </c>
      <c r="BN50" s="75">
        <v>100</v>
      </c>
      <c r="BO50" s="68" t="s">
        <v>776</v>
      </c>
      <c r="BP50" s="68">
        <v>1134</v>
      </c>
      <c r="BQ50" s="33" t="s">
        <v>1031</v>
      </c>
      <c r="BR50" s="33" t="s">
        <v>21</v>
      </c>
      <c r="BS50" s="68" t="e">
        <f>INT(MID(VLOOKUP($BO50,[1]Sheet1!$A:$C,3,0),9,5))</f>
        <v>#N/A</v>
      </c>
      <c r="BT50" s="68" t="str">
        <f t="shared" si="0"/>
        <v>jinghelongwang</v>
      </c>
      <c r="BU50" s="68" t="e">
        <f>MID(VLOOKUP($BS50,[2]Sheet1!$A:$C,3,0),3,IF(ISERROR(FIND(",",VLOOKUP($BS50,[2]Sheet1!$A:$C,3,0))),LEN(VLOOKUP($BS50,[2]Sheet1!$A:$C,3,0))-4,FIND(",",VLOOKUP($BS50,[2]Sheet1!$A:$C,3,0))-4))</f>
        <v>#N/A</v>
      </c>
      <c r="BV50" s="68" t="str">
        <f>IF(ISERROR(MID(VLOOKUP($BS50,[2]Sheet1!$A:$D,4,0),3,IF(ISERROR(FIND(",",VLOOKUP($BS50,[2]Sheet1!$A:$D,4,0))),LEN(VLOOKUP($BS50,[2]Sheet1!$A:$D,4,0))-4,FIND(",",VLOOKUP($BS50,[2]Sheet1!$A:$D,4,0))-4))),"[]",MID(VLOOKUP($BS50,[2]Sheet1!$A:$D,4,0),3,IF(ISERROR(FIND(",",VLOOKUP($BS50,[2]Sheet1!$A:$D,4,0))),LEN(VLOOKUP($BS50,[2]Sheet1!$A:$D,4,0))-4,FIND(",",VLOOKUP($BS50,[2]Sheet1!$A:$D,4,0))-4)))</f>
        <v>[]</v>
      </c>
      <c r="BW50" s="68" t="str">
        <f t="shared" si="1"/>
        <v>4-11</v>
      </c>
    </row>
    <row r="51" spans="1:75" s="62" customFormat="1" ht="16.5" customHeight="1">
      <c r="A51" s="33">
        <v>1206</v>
      </c>
      <c r="B51" s="33" t="s">
        <v>300</v>
      </c>
      <c r="C51" s="33" t="s">
        <v>537</v>
      </c>
      <c r="D51" s="33">
        <v>1</v>
      </c>
      <c r="E51" s="33">
        <v>1</v>
      </c>
      <c r="F51" s="33">
        <v>3</v>
      </c>
      <c r="G51" s="33">
        <v>3</v>
      </c>
      <c r="H51" s="33" t="s">
        <v>1122</v>
      </c>
      <c r="I51" s="33">
        <v>150</v>
      </c>
      <c r="J51" s="33" t="s">
        <v>334</v>
      </c>
      <c r="K51" s="33">
        <v>10</v>
      </c>
      <c r="L51" s="33" t="s">
        <v>335</v>
      </c>
      <c r="M51" s="33" t="s">
        <v>779</v>
      </c>
      <c r="N51" s="33" t="s">
        <v>327</v>
      </c>
      <c r="O51" s="33" t="s">
        <v>62</v>
      </c>
      <c r="P51" s="33" t="s">
        <v>388</v>
      </c>
      <c r="Q51" s="33">
        <v>1</v>
      </c>
      <c r="R51" s="33" t="s">
        <v>21</v>
      </c>
      <c r="S51" s="33" t="s">
        <v>21</v>
      </c>
      <c r="T51" s="33" t="s">
        <v>21</v>
      </c>
      <c r="U51" s="33">
        <v>3</v>
      </c>
      <c r="V51" s="33">
        <v>11</v>
      </c>
      <c r="W51" s="33">
        <f>VLOOKUP(F51,Sheet3!$B$33:$E$37,3,0)</f>
        <v>5</v>
      </c>
      <c r="X51" s="33">
        <f>VLOOKUP(F51,Sheet3!$B$33:$E$37,2,0)</f>
        <v>15</v>
      </c>
      <c r="Y51" s="33">
        <f>VLOOKUP(F51,Sheet3!$B$33:$E$37,4,0)</f>
        <v>8</v>
      </c>
      <c r="Z51" s="33">
        <v>1</v>
      </c>
      <c r="AA51" s="97">
        <v>0</v>
      </c>
      <c r="AB51" s="97">
        <v>0</v>
      </c>
      <c r="AC51" s="35">
        <v>4000</v>
      </c>
      <c r="AD51" s="35">
        <v>160</v>
      </c>
      <c r="AE51" s="35">
        <v>80</v>
      </c>
      <c r="AF51" s="35">
        <v>80</v>
      </c>
      <c r="AG51" s="33">
        <v>1</v>
      </c>
      <c r="AH51" s="33">
        <v>0</v>
      </c>
      <c r="AI51" s="33">
        <v>0</v>
      </c>
      <c r="AJ51" s="33">
        <v>0</v>
      </c>
      <c r="AK51" s="33">
        <v>0</v>
      </c>
      <c r="AL51" s="33">
        <v>0</v>
      </c>
      <c r="AM51" s="33">
        <v>1</v>
      </c>
      <c r="AN51" s="97">
        <v>0</v>
      </c>
      <c r="AO51" s="97">
        <v>0</v>
      </c>
      <c r="AP51" s="35">
        <v>400</v>
      </c>
      <c r="AQ51" s="35">
        <v>16</v>
      </c>
      <c r="AR51" s="35">
        <v>8</v>
      </c>
      <c r="AS51" s="35">
        <v>8</v>
      </c>
      <c r="AT51" s="33">
        <v>0</v>
      </c>
      <c r="AU51" s="33">
        <v>0</v>
      </c>
      <c r="AV51" s="33">
        <v>0</v>
      </c>
      <c r="AW51" s="33">
        <v>0</v>
      </c>
      <c r="AX51" s="35" t="s">
        <v>1107</v>
      </c>
      <c r="AY51" s="33">
        <v>8</v>
      </c>
      <c r="AZ51" s="34" t="s">
        <v>927</v>
      </c>
      <c r="BA51" s="33" t="s">
        <v>222</v>
      </c>
      <c r="BB51" s="33">
        <v>50</v>
      </c>
      <c r="BC51" s="107" t="s">
        <v>1073</v>
      </c>
      <c r="BD51" s="35" t="s">
        <v>21</v>
      </c>
      <c r="BE51" s="94" t="s">
        <v>1020</v>
      </c>
      <c r="BF51" s="33">
        <v>400</v>
      </c>
      <c r="BG51" s="97">
        <v>5000</v>
      </c>
      <c r="BH51" s="97">
        <v>1000</v>
      </c>
      <c r="BI51" s="33">
        <v>10106</v>
      </c>
      <c r="BJ51" s="33" t="s">
        <v>21</v>
      </c>
      <c r="BK51" s="33">
        <v>0</v>
      </c>
      <c r="BL51" s="33">
        <f>VLOOKUP(F51,Sheet3!$B$33:$F$37,5,0)</f>
        <v>50000</v>
      </c>
      <c r="BM51" s="33">
        <v>1.5</v>
      </c>
      <c r="BN51" s="67">
        <v>100</v>
      </c>
      <c r="BO51" s="68" t="s">
        <v>776</v>
      </c>
      <c r="BP51" s="68">
        <v>1206</v>
      </c>
      <c r="BQ51" s="33" t="s">
        <v>1022</v>
      </c>
      <c r="BR51" s="33" t="s">
        <v>21</v>
      </c>
      <c r="BS51" s="68" t="e">
        <f>INT(MID(VLOOKUP($BO51,[1]Sheet1!$A:$C,3,0),9,5))</f>
        <v>#N/A</v>
      </c>
      <c r="BT51" s="68" t="str">
        <f t="shared" si="0"/>
        <v>niutou</v>
      </c>
      <c r="BU51" s="68" t="e">
        <f>MID(VLOOKUP($BS51,[2]Sheet1!$A:$C,3,0),3,IF(ISERROR(FIND(",",VLOOKUP($BS51,[2]Sheet1!$A:$C,3,0))),LEN(VLOOKUP($BS51,[2]Sheet1!$A:$C,3,0))-4,FIND(",",VLOOKUP($BS51,[2]Sheet1!$A:$C,3,0))-4))</f>
        <v>#N/A</v>
      </c>
      <c r="BV51" s="68" t="str">
        <f>IF(ISERROR(MID(VLOOKUP($BS51,[2]Sheet1!$A:$D,4,0),3,IF(ISERROR(FIND(",",VLOOKUP($BS51,[2]Sheet1!$A:$D,4,0))),LEN(VLOOKUP($BS51,[2]Sheet1!$A:$D,4,0))-4,FIND(",",VLOOKUP($BS51,[2]Sheet1!$A:$D,4,0))-4))),"[]",MID(VLOOKUP($BS51,[2]Sheet1!$A:$D,4,0),3,IF(ISERROR(FIND(",",VLOOKUP($BS51,[2]Sheet1!$A:$D,4,0))),LEN(VLOOKUP($BS51,[2]Sheet1!$A:$D,4,0))-4,FIND(",",VLOOKUP($BS51,[2]Sheet1!$A:$D,4,0))-4)))</f>
        <v>[]</v>
      </c>
      <c r="BW51" s="68" t="str">
        <f t="shared" si="1"/>
        <v>3-11</v>
      </c>
    </row>
    <row r="52" spans="1:75" s="62" customFormat="1" ht="16.5" customHeight="1">
      <c r="A52" s="37">
        <v>1130</v>
      </c>
      <c r="B52" s="37" t="s">
        <v>63</v>
      </c>
      <c r="C52" s="37" t="s">
        <v>597</v>
      </c>
      <c r="D52" s="37">
        <v>1</v>
      </c>
      <c r="E52" s="37">
        <v>3</v>
      </c>
      <c r="F52" s="37">
        <v>4</v>
      </c>
      <c r="G52" s="37">
        <v>4</v>
      </c>
      <c r="H52" s="37" t="s">
        <v>1123</v>
      </c>
      <c r="I52" s="37">
        <v>150</v>
      </c>
      <c r="J52" s="37" t="s">
        <v>156</v>
      </c>
      <c r="K52" s="37">
        <v>10</v>
      </c>
      <c r="L52" s="37" t="s">
        <v>98</v>
      </c>
      <c r="M52" s="33" t="s">
        <v>779</v>
      </c>
      <c r="N52" s="37" t="s">
        <v>157</v>
      </c>
      <c r="O52" s="37" t="s">
        <v>40</v>
      </c>
      <c r="P52" s="37" t="s">
        <v>381</v>
      </c>
      <c r="Q52" s="37">
        <v>1</v>
      </c>
      <c r="R52" s="37" t="s">
        <v>21</v>
      </c>
      <c r="S52" s="37" t="s">
        <v>21</v>
      </c>
      <c r="T52" s="37" t="s">
        <v>21</v>
      </c>
      <c r="U52" s="37">
        <v>3</v>
      </c>
      <c r="V52" s="33">
        <v>11</v>
      </c>
      <c r="W52" s="33">
        <f>VLOOKUP(F52,Sheet3!$B$33:$E$37,3,0)</f>
        <v>3</v>
      </c>
      <c r="X52" s="33">
        <f>VLOOKUP(F52,Sheet3!$B$33:$E$37,2,0)</f>
        <v>15</v>
      </c>
      <c r="Y52" s="33">
        <f>VLOOKUP(F52,Sheet3!$B$33:$E$37,4,0)</f>
        <v>8</v>
      </c>
      <c r="Z52" s="37">
        <v>1</v>
      </c>
      <c r="AA52" s="98">
        <v>0</v>
      </c>
      <c r="AB52" s="98">
        <v>0</v>
      </c>
      <c r="AC52" s="35">
        <v>4000</v>
      </c>
      <c r="AD52" s="35">
        <v>160</v>
      </c>
      <c r="AE52" s="35">
        <v>80</v>
      </c>
      <c r="AF52" s="35">
        <v>80</v>
      </c>
      <c r="AG52" s="37">
        <v>1</v>
      </c>
      <c r="AH52" s="37">
        <v>0</v>
      </c>
      <c r="AI52" s="37">
        <v>0</v>
      </c>
      <c r="AJ52" s="37">
        <v>0</v>
      </c>
      <c r="AK52" s="37">
        <v>0</v>
      </c>
      <c r="AL52" s="37">
        <v>0</v>
      </c>
      <c r="AM52" s="33">
        <v>1</v>
      </c>
      <c r="AN52" s="98">
        <v>0</v>
      </c>
      <c r="AO52" s="98">
        <v>0</v>
      </c>
      <c r="AP52" s="35">
        <v>400</v>
      </c>
      <c r="AQ52" s="35">
        <v>16</v>
      </c>
      <c r="AR52" s="35">
        <v>8</v>
      </c>
      <c r="AS52" s="35">
        <v>8</v>
      </c>
      <c r="AT52" s="37">
        <v>0</v>
      </c>
      <c r="AU52" s="37">
        <v>0</v>
      </c>
      <c r="AV52" s="37">
        <v>0</v>
      </c>
      <c r="AW52" s="37">
        <v>0</v>
      </c>
      <c r="AX52" s="35" t="s">
        <v>1107</v>
      </c>
      <c r="AY52" s="37">
        <v>8</v>
      </c>
      <c r="AZ52" s="34" t="s">
        <v>928</v>
      </c>
      <c r="BA52" s="37" t="s">
        <v>222</v>
      </c>
      <c r="BB52" s="37">
        <v>50</v>
      </c>
      <c r="BC52" s="107" t="s">
        <v>1074</v>
      </c>
      <c r="BD52" s="35" t="s">
        <v>21</v>
      </c>
      <c r="BE52" s="94" t="s">
        <v>1019</v>
      </c>
      <c r="BF52" s="37">
        <v>400</v>
      </c>
      <c r="BG52" s="98">
        <v>5000</v>
      </c>
      <c r="BH52" s="98">
        <v>1000</v>
      </c>
      <c r="BI52" s="33">
        <v>10030</v>
      </c>
      <c r="BJ52" s="37" t="s">
        <v>21</v>
      </c>
      <c r="BK52" s="37">
        <v>0</v>
      </c>
      <c r="BL52" s="33">
        <f>VLOOKUP(F52,Sheet3!$B$33:$F$37,5,0)</f>
        <v>100000</v>
      </c>
      <c r="BM52" s="33">
        <v>10</v>
      </c>
      <c r="BN52" s="75">
        <v>100</v>
      </c>
      <c r="BO52" s="68" t="s">
        <v>776</v>
      </c>
      <c r="BP52" s="79">
        <v>1130</v>
      </c>
      <c r="BQ52" s="37" t="s">
        <v>1029</v>
      </c>
      <c r="BR52" s="37" t="s">
        <v>21</v>
      </c>
      <c r="BS52" s="68" t="e">
        <f>INT(MID(VLOOKUP($BO52,[1]Sheet1!$A:$C,3,0),9,5))</f>
        <v>#N/A</v>
      </c>
      <c r="BT52" s="68" t="str">
        <f t="shared" si="0"/>
        <v>dizangwang</v>
      </c>
      <c r="BU52" s="68" t="e">
        <f>MID(VLOOKUP($BS52,[2]Sheet1!$A:$C,3,0),3,IF(ISERROR(FIND(",",VLOOKUP($BS52,[2]Sheet1!$A:$C,3,0))),LEN(VLOOKUP($BS52,[2]Sheet1!$A:$C,3,0))-4,FIND(",",VLOOKUP($BS52,[2]Sheet1!$A:$C,3,0))-4))</f>
        <v>#N/A</v>
      </c>
      <c r="BV52" s="68" t="str">
        <f>IF(ISERROR(MID(VLOOKUP($BS52,[2]Sheet1!$A:$D,4,0),3,IF(ISERROR(FIND(",",VLOOKUP($BS52,[2]Sheet1!$A:$D,4,0))),LEN(VLOOKUP($BS52,[2]Sheet1!$A:$D,4,0))-4,FIND(",",VLOOKUP($BS52,[2]Sheet1!$A:$D,4,0))-4))),"[]",MID(VLOOKUP($BS52,[2]Sheet1!$A:$D,4,0),3,IF(ISERROR(FIND(",",VLOOKUP($BS52,[2]Sheet1!$A:$D,4,0))),LEN(VLOOKUP($BS52,[2]Sheet1!$A:$D,4,0))-4,FIND(",",VLOOKUP($BS52,[2]Sheet1!$A:$D,4,0))-4)))</f>
        <v>[]</v>
      </c>
      <c r="BW52" s="68" t="str">
        <f t="shared" si="1"/>
        <v>4-11</v>
      </c>
    </row>
    <row r="53" spans="1:75" s="62" customFormat="1">
      <c r="A53" s="33">
        <v>1203</v>
      </c>
      <c r="B53" s="33" t="s">
        <v>460</v>
      </c>
      <c r="C53" s="33" t="s">
        <v>534</v>
      </c>
      <c r="D53" s="33">
        <v>1</v>
      </c>
      <c r="E53" s="33">
        <v>1</v>
      </c>
      <c r="F53" s="33">
        <v>2</v>
      </c>
      <c r="G53" s="33">
        <v>2</v>
      </c>
      <c r="H53" s="33" t="s">
        <v>1124</v>
      </c>
      <c r="I53" s="33">
        <v>150</v>
      </c>
      <c r="J53" s="33" t="s">
        <v>461</v>
      </c>
      <c r="K53" s="33">
        <v>10</v>
      </c>
      <c r="L53" s="33" t="s">
        <v>462</v>
      </c>
      <c r="M53" s="33" t="s">
        <v>779</v>
      </c>
      <c r="N53" s="33" t="s">
        <v>463</v>
      </c>
      <c r="O53" s="33" t="s">
        <v>62</v>
      </c>
      <c r="P53" s="33" t="s">
        <v>464</v>
      </c>
      <c r="Q53" s="33">
        <v>1</v>
      </c>
      <c r="R53" s="33" t="s">
        <v>21</v>
      </c>
      <c r="S53" s="33" t="s">
        <v>21</v>
      </c>
      <c r="T53" s="33" t="s">
        <v>21</v>
      </c>
      <c r="U53" s="33">
        <v>3</v>
      </c>
      <c r="V53" s="33">
        <v>11</v>
      </c>
      <c r="W53" s="33">
        <f>VLOOKUP(F53,Sheet3!$B$33:$E$37,3,0)</f>
        <v>9</v>
      </c>
      <c r="X53" s="33">
        <f>VLOOKUP(F53,Sheet3!$B$33:$E$37,2,0)</f>
        <v>15</v>
      </c>
      <c r="Y53" s="33">
        <f>VLOOKUP(F53,Sheet3!$B$33:$E$37,4,0)</f>
        <v>8</v>
      </c>
      <c r="Z53" s="33">
        <v>0.8</v>
      </c>
      <c r="AA53" s="97">
        <v>0</v>
      </c>
      <c r="AB53" s="97">
        <v>0</v>
      </c>
      <c r="AC53" s="35">
        <v>4000</v>
      </c>
      <c r="AD53" s="35">
        <v>160</v>
      </c>
      <c r="AE53" s="35">
        <v>80</v>
      </c>
      <c r="AF53" s="35">
        <v>80</v>
      </c>
      <c r="AG53" s="33">
        <v>1</v>
      </c>
      <c r="AH53" s="33">
        <v>0</v>
      </c>
      <c r="AI53" s="33">
        <v>0</v>
      </c>
      <c r="AJ53" s="33">
        <v>0</v>
      </c>
      <c r="AK53" s="33">
        <v>0</v>
      </c>
      <c r="AL53" s="33">
        <v>0</v>
      </c>
      <c r="AM53" s="33">
        <v>1</v>
      </c>
      <c r="AN53" s="97">
        <v>0</v>
      </c>
      <c r="AO53" s="97">
        <v>0</v>
      </c>
      <c r="AP53" s="35">
        <v>400</v>
      </c>
      <c r="AQ53" s="35">
        <v>16</v>
      </c>
      <c r="AR53" s="35">
        <v>8</v>
      </c>
      <c r="AS53" s="35">
        <v>8</v>
      </c>
      <c r="AT53" s="33">
        <v>0</v>
      </c>
      <c r="AU53" s="33">
        <v>0</v>
      </c>
      <c r="AV53" s="33">
        <v>0</v>
      </c>
      <c r="AW53" s="33">
        <v>0</v>
      </c>
      <c r="AX53" s="35" t="s">
        <v>1107</v>
      </c>
      <c r="AY53" s="33">
        <v>8</v>
      </c>
      <c r="AZ53" s="34" t="s">
        <v>929</v>
      </c>
      <c r="BA53" s="33" t="s">
        <v>222</v>
      </c>
      <c r="BB53" s="33">
        <v>50</v>
      </c>
      <c r="BC53" s="107" t="s">
        <v>1075</v>
      </c>
      <c r="BD53" s="35" t="s">
        <v>21</v>
      </c>
      <c r="BE53" s="94" t="s">
        <v>1020</v>
      </c>
      <c r="BF53" s="33">
        <v>400</v>
      </c>
      <c r="BG53" s="97">
        <v>5000</v>
      </c>
      <c r="BH53" s="97">
        <v>1000</v>
      </c>
      <c r="BI53" s="33">
        <v>10103</v>
      </c>
      <c r="BJ53" s="33" t="s">
        <v>21</v>
      </c>
      <c r="BK53" s="33">
        <v>0</v>
      </c>
      <c r="BL53" s="33">
        <f>VLOOKUP(F53,Sheet3!$B$33:$F$37,5,0)</f>
        <v>10000</v>
      </c>
      <c r="BM53" s="33">
        <v>1</v>
      </c>
      <c r="BN53" s="67">
        <v>100</v>
      </c>
      <c r="BO53" s="68" t="s">
        <v>776</v>
      </c>
      <c r="BP53" s="68">
        <v>1203</v>
      </c>
      <c r="BQ53" s="33" t="s">
        <v>793</v>
      </c>
      <c r="BR53" s="33" t="s">
        <v>21</v>
      </c>
      <c r="BS53" s="68" t="e">
        <f>INT(MID(VLOOKUP($BO53,[1]Sheet1!$A:$C,3,0),9,5))</f>
        <v>#N/A</v>
      </c>
      <c r="BT53" s="68" t="str">
        <f t="shared" si="0"/>
        <v>guishihei</v>
      </c>
      <c r="BU53" s="68" t="e">
        <f>MID(VLOOKUP($BS53,[2]Sheet1!$A:$C,3,0),3,IF(ISERROR(FIND(",",VLOOKUP($BS53,[2]Sheet1!$A:$C,3,0))),LEN(VLOOKUP($BS53,[2]Sheet1!$A:$C,3,0))-4,FIND(",",VLOOKUP($BS53,[2]Sheet1!$A:$C,3,0))-4))</f>
        <v>#N/A</v>
      </c>
      <c r="BV53" s="68" t="str">
        <f>IF(ISERROR(MID(VLOOKUP($BS53,[2]Sheet1!$A:$D,4,0),3,IF(ISERROR(FIND(",",VLOOKUP($BS53,[2]Sheet1!$A:$D,4,0))),LEN(VLOOKUP($BS53,[2]Sheet1!$A:$D,4,0))-4,FIND(",",VLOOKUP($BS53,[2]Sheet1!$A:$D,4,0))-4))),"[]",MID(VLOOKUP($BS53,[2]Sheet1!$A:$D,4,0),3,IF(ISERROR(FIND(",",VLOOKUP($BS53,[2]Sheet1!$A:$D,4,0))),LEN(VLOOKUP($BS53,[2]Sheet1!$A:$D,4,0))-4,FIND(",",VLOOKUP($BS53,[2]Sheet1!$A:$D,4,0))-4)))</f>
        <v>[]</v>
      </c>
      <c r="BW53" s="68" t="str">
        <f t="shared" si="1"/>
        <v>2-11</v>
      </c>
    </row>
    <row r="54" spans="1:75" s="62" customFormat="1">
      <c r="A54" s="33">
        <v>1205</v>
      </c>
      <c r="B54" s="33" t="s">
        <v>299</v>
      </c>
      <c r="C54" s="33" t="s">
        <v>536</v>
      </c>
      <c r="D54" s="33">
        <v>1</v>
      </c>
      <c r="E54" s="33">
        <v>1</v>
      </c>
      <c r="F54" s="33">
        <v>3</v>
      </c>
      <c r="G54" s="33">
        <v>3</v>
      </c>
      <c r="H54" s="33" t="s">
        <v>1122</v>
      </c>
      <c r="I54" s="33">
        <v>150</v>
      </c>
      <c r="J54" s="33" t="s">
        <v>336</v>
      </c>
      <c r="K54" s="33">
        <v>10</v>
      </c>
      <c r="L54" s="33" t="s">
        <v>337</v>
      </c>
      <c r="M54" s="33" t="s">
        <v>779</v>
      </c>
      <c r="N54" s="33" t="s">
        <v>326</v>
      </c>
      <c r="O54" s="33" t="s">
        <v>62</v>
      </c>
      <c r="P54" s="33" t="s">
        <v>387</v>
      </c>
      <c r="Q54" s="33">
        <v>1</v>
      </c>
      <c r="R54" s="33" t="s">
        <v>21</v>
      </c>
      <c r="S54" s="33" t="s">
        <v>21</v>
      </c>
      <c r="T54" s="33" t="s">
        <v>21</v>
      </c>
      <c r="U54" s="33">
        <v>3</v>
      </c>
      <c r="V54" s="33">
        <v>11</v>
      </c>
      <c r="W54" s="33">
        <f>VLOOKUP(F54,Sheet3!$B$33:$E$37,3,0)</f>
        <v>5</v>
      </c>
      <c r="X54" s="33">
        <f>VLOOKUP(F54,Sheet3!$B$33:$E$37,2,0)</f>
        <v>15</v>
      </c>
      <c r="Y54" s="33">
        <f>VLOOKUP(F54,Sheet3!$B$33:$E$37,4,0)</f>
        <v>8</v>
      </c>
      <c r="Z54" s="33">
        <v>1</v>
      </c>
      <c r="AA54" s="97">
        <v>0</v>
      </c>
      <c r="AB54" s="97">
        <v>0</v>
      </c>
      <c r="AC54" s="35">
        <v>4000</v>
      </c>
      <c r="AD54" s="35">
        <v>160</v>
      </c>
      <c r="AE54" s="35">
        <v>80</v>
      </c>
      <c r="AF54" s="35">
        <v>80</v>
      </c>
      <c r="AG54" s="33">
        <v>1</v>
      </c>
      <c r="AH54" s="33">
        <v>0</v>
      </c>
      <c r="AI54" s="33">
        <v>0</v>
      </c>
      <c r="AJ54" s="33">
        <v>0</v>
      </c>
      <c r="AK54" s="33">
        <v>0</v>
      </c>
      <c r="AL54" s="33">
        <v>0</v>
      </c>
      <c r="AM54" s="33">
        <v>1</v>
      </c>
      <c r="AN54" s="97">
        <v>0</v>
      </c>
      <c r="AO54" s="97">
        <v>0</v>
      </c>
      <c r="AP54" s="35">
        <v>400</v>
      </c>
      <c r="AQ54" s="35">
        <v>16</v>
      </c>
      <c r="AR54" s="35">
        <v>8</v>
      </c>
      <c r="AS54" s="35">
        <v>8</v>
      </c>
      <c r="AT54" s="33">
        <v>0</v>
      </c>
      <c r="AU54" s="33">
        <v>0</v>
      </c>
      <c r="AV54" s="33">
        <v>0</v>
      </c>
      <c r="AW54" s="33">
        <v>0</v>
      </c>
      <c r="AX54" s="35" t="s">
        <v>1107</v>
      </c>
      <c r="AY54" s="33">
        <v>8</v>
      </c>
      <c r="AZ54" s="34" t="s">
        <v>930</v>
      </c>
      <c r="BA54" s="33" t="s">
        <v>222</v>
      </c>
      <c r="BB54" s="33">
        <v>50</v>
      </c>
      <c r="BC54" s="107" t="s">
        <v>1076</v>
      </c>
      <c r="BD54" s="35" t="s">
        <v>21</v>
      </c>
      <c r="BE54" s="94" t="s">
        <v>1020</v>
      </c>
      <c r="BF54" s="33">
        <v>400</v>
      </c>
      <c r="BG54" s="97">
        <v>5000</v>
      </c>
      <c r="BH54" s="97">
        <v>1000</v>
      </c>
      <c r="BI54" s="33">
        <v>10105</v>
      </c>
      <c r="BJ54" s="33" t="s">
        <v>21</v>
      </c>
      <c r="BK54" s="33">
        <v>0</v>
      </c>
      <c r="BL54" s="33">
        <f>VLOOKUP(F54,Sheet3!$B$33:$F$37,5,0)</f>
        <v>50000</v>
      </c>
      <c r="BM54" s="33">
        <v>1.5</v>
      </c>
      <c r="BN54" s="67">
        <v>100</v>
      </c>
      <c r="BO54" s="68" t="s">
        <v>776</v>
      </c>
      <c r="BP54" s="68">
        <v>1205</v>
      </c>
      <c r="BQ54" s="33" t="s">
        <v>1025</v>
      </c>
      <c r="BR54" s="33" t="s">
        <v>21</v>
      </c>
      <c r="BS54" s="68" t="e">
        <f>INT(MID(VLOOKUP($BO54,[1]Sheet1!$A:$C,3,0),9,5))</f>
        <v>#N/A</v>
      </c>
      <c r="BT54" s="68" t="str">
        <f t="shared" si="0"/>
        <v>mamian</v>
      </c>
      <c r="BU54" s="68" t="e">
        <f>MID(VLOOKUP($BS54,[2]Sheet1!$A:$C,3,0),3,IF(ISERROR(FIND(",",VLOOKUP($BS54,[2]Sheet1!$A:$C,3,0))),LEN(VLOOKUP($BS54,[2]Sheet1!$A:$C,3,0))-4,FIND(",",VLOOKUP($BS54,[2]Sheet1!$A:$C,3,0))-4))</f>
        <v>#N/A</v>
      </c>
      <c r="BV54" s="68" t="str">
        <f>IF(ISERROR(MID(VLOOKUP($BS54,[2]Sheet1!$A:$D,4,0),3,IF(ISERROR(FIND(",",VLOOKUP($BS54,[2]Sheet1!$A:$D,4,0))),LEN(VLOOKUP($BS54,[2]Sheet1!$A:$D,4,0))-4,FIND(",",VLOOKUP($BS54,[2]Sheet1!$A:$D,4,0))-4))),"[]",MID(VLOOKUP($BS54,[2]Sheet1!$A:$D,4,0),3,IF(ISERROR(FIND(",",VLOOKUP($BS54,[2]Sheet1!$A:$D,4,0))),LEN(VLOOKUP($BS54,[2]Sheet1!$A:$D,4,0))-4,FIND(",",VLOOKUP($BS54,[2]Sheet1!$A:$D,4,0))-4)))</f>
        <v>[]</v>
      </c>
      <c r="BW54" s="68" t="str">
        <f t="shared" si="1"/>
        <v>3-11</v>
      </c>
    </row>
    <row r="55" spans="1:75" s="62" customFormat="1" ht="16.5" customHeight="1">
      <c r="A55" s="33">
        <v>1133</v>
      </c>
      <c r="B55" s="33" t="s">
        <v>68</v>
      </c>
      <c r="C55" s="33" t="s">
        <v>207</v>
      </c>
      <c r="D55" s="33">
        <v>1</v>
      </c>
      <c r="E55" s="33">
        <v>1</v>
      </c>
      <c r="F55" s="33">
        <v>2</v>
      </c>
      <c r="G55" s="33">
        <v>2</v>
      </c>
      <c r="H55" s="33" t="s">
        <v>1124</v>
      </c>
      <c r="I55" s="33">
        <v>150</v>
      </c>
      <c r="J55" s="33" t="s">
        <v>160</v>
      </c>
      <c r="K55" s="33">
        <v>10</v>
      </c>
      <c r="L55" s="33" t="s">
        <v>1091</v>
      </c>
      <c r="M55" s="33" t="s">
        <v>779</v>
      </c>
      <c r="N55" s="33" t="s">
        <v>161</v>
      </c>
      <c r="O55" s="33" t="s">
        <v>62</v>
      </c>
      <c r="P55" s="33" t="s">
        <v>389</v>
      </c>
      <c r="Q55" s="33">
        <v>1</v>
      </c>
      <c r="R55" s="33" t="s">
        <v>21</v>
      </c>
      <c r="S55" s="33" t="s">
        <v>21</v>
      </c>
      <c r="T55" s="33" t="s">
        <v>21</v>
      </c>
      <c r="U55" s="33">
        <v>3</v>
      </c>
      <c r="V55" s="33">
        <v>11</v>
      </c>
      <c r="W55" s="33">
        <f>VLOOKUP(F55,Sheet3!$B$33:$E$37,3,0)</f>
        <v>9</v>
      </c>
      <c r="X55" s="33">
        <f>VLOOKUP(F55,Sheet3!$B$33:$E$37,2,0)</f>
        <v>15</v>
      </c>
      <c r="Y55" s="33">
        <f>VLOOKUP(F55,Sheet3!$B$33:$E$37,4,0)</f>
        <v>8</v>
      </c>
      <c r="Z55" s="33">
        <v>0.8</v>
      </c>
      <c r="AA55" s="97">
        <v>0</v>
      </c>
      <c r="AB55" s="97">
        <v>0</v>
      </c>
      <c r="AC55" s="35">
        <v>4000</v>
      </c>
      <c r="AD55" s="35">
        <v>160</v>
      </c>
      <c r="AE55" s="35">
        <v>80</v>
      </c>
      <c r="AF55" s="35">
        <v>80</v>
      </c>
      <c r="AG55" s="33">
        <v>1</v>
      </c>
      <c r="AH55" s="33">
        <v>0</v>
      </c>
      <c r="AI55" s="33">
        <v>0</v>
      </c>
      <c r="AJ55" s="33">
        <v>0</v>
      </c>
      <c r="AK55" s="33">
        <v>0</v>
      </c>
      <c r="AL55" s="33">
        <v>0</v>
      </c>
      <c r="AM55" s="33">
        <v>1</v>
      </c>
      <c r="AN55" s="97">
        <v>0</v>
      </c>
      <c r="AO55" s="97">
        <v>0</v>
      </c>
      <c r="AP55" s="35">
        <v>400</v>
      </c>
      <c r="AQ55" s="35">
        <v>16</v>
      </c>
      <c r="AR55" s="35">
        <v>8</v>
      </c>
      <c r="AS55" s="35">
        <v>8</v>
      </c>
      <c r="AT55" s="33">
        <v>0</v>
      </c>
      <c r="AU55" s="33">
        <v>0</v>
      </c>
      <c r="AV55" s="33">
        <v>0</v>
      </c>
      <c r="AW55" s="33">
        <v>0</v>
      </c>
      <c r="AX55" s="35" t="s">
        <v>1107</v>
      </c>
      <c r="AY55" s="33">
        <v>8</v>
      </c>
      <c r="AZ55" s="34" t="s">
        <v>931</v>
      </c>
      <c r="BA55" s="33" t="s">
        <v>223</v>
      </c>
      <c r="BB55" s="33">
        <v>50</v>
      </c>
      <c r="BC55" s="107" t="s">
        <v>1077</v>
      </c>
      <c r="BD55" s="35" t="s">
        <v>21</v>
      </c>
      <c r="BE55" s="94" t="s">
        <v>1019</v>
      </c>
      <c r="BF55" s="33">
        <v>400</v>
      </c>
      <c r="BG55" s="97">
        <v>5000</v>
      </c>
      <c r="BH55" s="97">
        <v>1000</v>
      </c>
      <c r="BI55" s="33">
        <v>10033</v>
      </c>
      <c r="BJ55" s="33" t="s">
        <v>21</v>
      </c>
      <c r="BK55" s="33">
        <v>0</v>
      </c>
      <c r="BL55" s="33">
        <f>VLOOKUP(F55,Sheet3!$B$33:$F$37,5,0)</f>
        <v>10000</v>
      </c>
      <c r="BM55" s="33">
        <v>1</v>
      </c>
      <c r="BN55" s="67">
        <v>100</v>
      </c>
      <c r="BO55" s="68" t="s">
        <v>776</v>
      </c>
      <c r="BP55" s="68">
        <v>1133</v>
      </c>
      <c r="BQ55" s="33" t="s">
        <v>802</v>
      </c>
      <c r="BR55" s="33" t="s">
        <v>21</v>
      </c>
      <c r="BS55" s="68" t="e">
        <f>INT(MID(VLOOKUP($BO55,[1]Sheet1!$A:$C,3,0),9,5))</f>
        <v>#N/A</v>
      </c>
      <c r="BT55" s="68" t="str">
        <f t="shared" si="0"/>
        <v>leigong</v>
      </c>
      <c r="BU55" s="68" t="e">
        <f>MID(VLOOKUP($BS55,[2]Sheet1!$A:$C,3,0),3,IF(ISERROR(FIND(",",VLOOKUP($BS55,[2]Sheet1!$A:$C,3,0))),LEN(VLOOKUP($BS55,[2]Sheet1!$A:$C,3,0))-4,FIND(",",VLOOKUP($BS55,[2]Sheet1!$A:$C,3,0))-4))</f>
        <v>#N/A</v>
      </c>
      <c r="BV55" s="68" t="str">
        <f>IF(ISERROR(MID(VLOOKUP($BS55,[2]Sheet1!$A:$D,4,0),3,IF(ISERROR(FIND(",",VLOOKUP($BS55,[2]Sheet1!$A:$D,4,0))),LEN(VLOOKUP($BS55,[2]Sheet1!$A:$D,4,0))-4,FIND(",",VLOOKUP($BS55,[2]Sheet1!$A:$D,4,0))-4))),"[]",MID(VLOOKUP($BS55,[2]Sheet1!$A:$D,4,0),3,IF(ISERROR(FIND(",",VLOOKUP($BS55,[2]Sheet1!$A:$D,4,0))),LEN(VLOOKUP($BS55,[2]Sheet1!$A:$D,4,0))-4,FIND(",",VLOOKUP($BS55,[2]Sheet1!$A:$D,4,0))-4)))</f>
        <v>[]</v>
      </c>
      <c r="BW55" s="68" t="str">
        <f t="shared" si="1"/>
        <v>2-11</v>
      </c>
    </row>
    <row r="56" spans="1:75" s="62" customFormat="1" ht="16.5" customHeight="1">
      <c r="A56" s="33">
        <v>1204</v>
      </c>
      <c r="B56" s="33" t="s">
        <v>450</v>
      </c>
      <c r="C56" s="33" t="s">
        <v>535</v>
      </c>
      <c r="D56" s="33">
        <v>1</v>
      </c>
      <c r="E56" s="33">
        <v>1</v>
      </c>
      <c r="F56" s="33">
        <v>2</v>
      </c>
      <c r="G56" s="33">
        <v>2</v>
      </c>
      <c r="H56" s="33" t="s">
        <v>1124</v>
      </c>
      <c r="I56" s="33">
        <v>150</v>
      </c>
      <c r="J56" s="33" t="s">
        <v>465</v>
      </c>
      <c r="K56" s="33">
        <v>10</v>
      </c>
      <c r="L56" s="33" t="s">
        <v>1089</v>
      </c>
      <c r="M56" s="33" t="s">
        <v>779</v>
      </c>
      <c r="N56" s="33" t="s">
        <v>466</v>
      </c>
      <c r="O56" s="33" t="s">
        <v>62</v>
      </c>
      <c r="P56" s="33" t="s">
        <v>467</v>
      </c>
      <c r="Q56" s="33">
        <v>1</v>
      </c>
      <c r="R56" s="33" t="s">
        <v>21</v>
      </c>
      <c r="S56" s="33" t="s">
        <v>21</v>
      </c>
      <c r="T56" s="33" t="s">
        <v>21</v>
      </c>
      <c r="U56" s="33">
        <v>3</v>
      </c>
      <c r="V56" s="33">
        <v>11</v>
      </c>
      <c r="W56" s="33">
        <f>VLOOKUP(F56,Sheet3!$B$33:$E$37,3,0)</f>
        <v>9</v>
      </c>
      <c r="X56" s="33">
        <f>VLOOKUP(F56,Sheet3!$B$33:$E$37,2,0)</f>
        <v>15</v>
      </c>
      <c r="Y56" s="33">
        <f>VLOOKUP(F56,Sheet3!$B$33:$E$37,4,0)</f>
        <v>8</v>
      </c>
      <c r="Z56" s="33">
        <v>0.8</v>
      </c>
      <c r="AA56" s="97">
        <v>0</v>
      </c>
      <c r="AB56" s="97">
        <v>0</v>
      </c>
      <c r="AC56" s="35">
        <v>4000</v>
      </c>
      <c r="AD56" s="35">
        <v>160</v>
      </c>
      <c r="AE56" s="35">
        <v>80</v>
      </c>
      <c r="AF56" s="35">
        <v>80</v>
      </c>
      <c r="AG56" s="33">
        <v>1</v>
      </c>
      <c r="AH56" s="33">
        <v>0</v>
      </c>
      <c r="AI56" s="33">
        <v>0</v>
      </c>
      <c r="AJ56" s="33">
        <v>0</v>
      </c>
      <c r="AK56" s="33">
        <v>0</v>
      </c>
      <c r="AL56" s="33">
        <v>0</v>
      </c>
      <c r="AM56" s="33">
        <v>1</v>
      </c>
      <c r="AN56" s="97">
        <v>0</v>
      </c>
      <c r="AO56" s="97">
        <v>0</v>
      </c>
      <c r="AP56" s="35">
        <v>400</v>
      </c>
      <c r="AQ56" s="35">
        <v>16</v>
      </c>
      <c r="AR56" s="35">
        <v>8</v>
      </c>
      <c r="AS56" s="35">
        <v>8</v>
      </c>
      <c r="AT56" s="33">
        <v>0</v>
      </c>
      <c r="AU56" s="33">
        <v>0</v>
      </c>
      <c r="AV56" s="33">
        <v>0</v>
      </c>
      <c r="AW56" s="33">
        <v>0</v>
      </c>
      <c r="AX56" s="35" t="s">
        <v>1107</v>
      </c>
      <c r="AY56" s="33">
        <v>8</v>
      </c>
      <c r="AZ56" s="34" t="s">
        <v>940</v>
      </c>
      <c r="BA56" s="33" t="s">
        <v>222</v>
      </c>
      <c r="BB56" s="33">
        <v>50</v>
      </c>
      <c r="BC56" s="107" t="s">
        <v>1078</v>
      </c>
      <c r="BD56" s="35" t="s">
        <v>21</v>
      </c>
      <c r="BE56" s="94" t="s">
        <v>1019</v>
      </c>
      <c r="BF56" s="33">
        <v>400</v>
      </c>
      <c r="BG56" s="97">
        <v>5000</v>
      </c>
      <c r="BH56" s="97">
        <v>1000</v>
      </c>
      <c r="BI56" s="33">
        <v>10104</v>
      </c>
      <c r="BJ56" s="33" t="s">
        <v>21</v>
      </c>
      <c r="BK56" s="33">
        <v>0</v>
      </c>
      <c r="BL56" s="33">
        <f>VLOOKUP(F56,Sheet3!$B$33:$F$37,5,0)</f>
        <v>10000</v>
      </c>
      <c r="BM56" s="33">
        <v>1</v>
      </c>
      <c r="BN56" s="67">
        <v>100</v>
      </c>
      <c r="BO56" s="68" t="s">
        <v>776</v>
      </c>
      <c r="BP56" s="68">
        <v>1204</v>
      </c>
      <c r="BQ56" s="33" t="s">
        <v>792</v>
      </c>
      <c r="BR56" s="33" t="s">
        <v>21</v>
      </c>
      <c r="BS56" s="68" t="e">
        <f>INT(MID(VLOOKUP($BO56,[1]Sheet1!$A:$C,3,0),9,5))</f>
        <v>#N/A</v>
      </c>
      <c r="BT56" s="68" t="str">
        <f t="shared" si="0"/>
        <v>guishibai</v>
      </c>
      <c r="BU56" s="68" t="e">
        <f>MID(VLOOKUP($BS56,[2]Sheet1!$A:$C,3,0),3,IF(ISERROR(FIND(",",VLOOKUP($BS56,[2]Sheet1!$A:$C,3,0))),LEN(VLOOKUP($BS56,[2]Sheet1!$A:$C,3,0))-4,FIND(",",VLOOKUP($BS56,[2]Sheet1!$A:$C,3,0))-4))</f>
        <v>#N/A</v>
      </c>
      <c r="BV56" s="68" t="str">
        <f>IF(ISERROR(MID(VLOOKUP($BS56,[2]Sheet1!$A:$D,4,0),3,IF(ISERROR(FIND(",",VLOOKUP($BS56,[2]Sheet1!$A:$D,4,0))),LEN(VLOOKUP($BS56,[2]Sheet1!$A:$D,4,0))-4,FIND(",",VLOOKUP($BS56,[2]Sheet1!$A:$D,4,0))-4))),"[]",MID(VLOOKUP($BS56,[2]Sheet1!$A:$D,4,0),3,IF(ISERROR(FIND(",",VLOOKUP($BS56,[2]Sheet1!$A:$D,4,0))),LEN(VLOOKUP($BS56,[2]Sheet1!$A:$D,4,0))-4,FIND(",",VLOOKUP($BS56,[2]Sheet1!$A:$D,4,0))-4)))</f>
        <v>[]</v>
      </c>
      <c r="BW56" s="68" t="str">
        <f t="shared" si="1"/>
        <v>2-11</v>
      </c>
    </row>
    <row r="57" spans="1:75" s="62" customFormat="1" ht="16.5" customHeight="1">
      <c r="A57" s="36">
        <v>1128</v>
      </c>
      <c r="B57" s="36" t="s">
        <v>61</v>
      </c>
      <c r="C57" s="33" t="s">
        <v>527</v>
      </c>
      <c r="D57" s="33">
        <v>1</v>
      </c>
      <c r="E57" s="33">
        <v>3</v>
      </c>
      <c r="F57" s="33">
        <v>2</v>
      </c>
      <c r="G57" s="33">
        <v>1</v>
      </c>
      <c r="H57" s="33" t="s">
        <v>1124</v>
      </c>
      <c r="I57" s="33">
        <v>150</v>
      </c>
      <c r="J57" s="33" t="s">
        <v>590</v>
      </c>
      <c r="K57" s="33">
        <v>10</v>
      </c>
      <c r="L57" s="33" t="s">
        <v>1093</v>
      </c>
      <c r="M57" s="33" t="s">
        <v>779</v>
      </c>
      <c r="N57" s="33" t="s">
        <v>591</v>
      </c>
      <c r="O57" s="33" t="s">
        <v>62</v>
      </c>
      <c r="P57" s="33" t="s">
        <v>592</v>
      </c>
      <c r="Q57" s="33">
        <v>1</v>
      </c>
      <c r="R57" s="33" t="s">
        <v>21</v>
      </c>
      <c r="S57" s="33" t="s">
        <v>21</v>
      </c>
      <c r="T57" s="33" t="s">
        <v>21</v>
      </c>
      <c r="U57" s="33">
        <v>3</v>
      </c>
      <c r="V57" s="33">
        <v>11</v>
      </c>
      <c r="W57" s="33">
        <f>VLOOKUP(F57,Sheet3!$B$33:$E$37,3,0)</f>
        <v>9</v>
      </c>
      <c r="X57" s="33">
        <f>VLOOKUP(F57,Sheet3!$B$33:$E$37,2,0)</f>
        <v>15</v>
      </c>
      <c r="Y57" s="33">
        <f>VLOOKUP(F57,Sheet3!$B$33:$E$37,4,0)</f>
        <v>8</v>
      </c>
      <c r="Z57" s="33">
        <v>1</v>
      </c>
      <c r="AA57" s="97">
        <v>0</v>
      </c>
      <c r="AB57" s="97">
        <v>0</v>
      </c>
      <c r="AC57" s="35">
        <v>4000</v>
      </c>
      <c r="AD57" s="35">
        <v>160</v>
      </c>
      <c r="AE57" s="35">
        <v>80</v>
      </c>
      <c r="AF57" s="35">
        <v>80</v>
      </c>
      <c r="AG57" s="33">
        <v>1</v>
      </c>
      <c r="AH57" s="33">
        <v>0</v>
      </c>
      <c r="AI57" s="33">
        <v>0</v>
      </c>
      <c r="AJ57" s="33">
        <v>0</v>
      </c>
      <c r="AK57" s="33">
        <v>0</v>
      </c>
      <c r="AL57" s="33">
        <v>0</v>
      </c>
      <c r="AM57" s="33">
        <v>1</v>
      </c>
      <c r="AN57" s="97">
        <v>0</v>
      </c>
      <c r="AO57" s="97">
        <v>0</v>
      </c>
      <c r="AP57" s="35">
        <v>400</v>
      </c>
      <c r="AQ57" s="35">
        <v>16</v>
      </c>
      <c r="AR57" s="35">
        <v>8</v>
      </c>
      <c r="AS57" s="35">
        <v>8</v>
      </c>
      <c r="AT57" s="33">
        <v>0</v>
      </c>
      <c r="AU57" s="33">
        <v>0</v>
      </c>
      <c r="AV57" s="33">
        <v>0</v>
      </c>
      <c r="AW57" s="33">
        <v>0</v>
      </c>
      <c r="AX57" s="35" t="s">
        <v>1107</v>
      </c>
      <c r="AY57" s="33">
        <v>8</v>
      </c>
      <c r="AZ57" s="34" t="s">
        <v>932</v>
      </c>
      <c r="BA57" s="33" t="s">
        <v>223</v>
      </c>
      <c r="BB57" s="33">
        <v>50</v>
      </c>
      <c r="BC57" s="107" t="s">
        <v>1079</v>
      </c>
      <c r="BD57" s="35" t="s">
        <v>21</v>
      </c>
      <c r="BE57" s="94" t="s">
        <v>1019</v>
      </c>
      <c r="BF57" s="33">
        <v>400</v>
      </c>
      <c r="BG57" s="97">
        <v>5000</v>
      </c>
      <c r="BH57" s="97">
        <v>1000</v>
      </c>
      <c r="BI57" s="33">
        <v>10028</v>
      </c>
      <c r="BJ57" s="33" t="s">
        <v>21</v>
      </c>
      <c r="BK57" s="33">
        <v>0</v>
      </c>
      <c r="BL57" s="33">
        <f>VLOOKUP(F57,Sheet3!$B$33:$F$37,5,0)</f>
        <v>10000</v>
      </c>
      <c r="BM57" s="33">
        <v>1</v>
      </c>
      <c r="BN57" s="67">
        <v>100</v>
      </c>
      <c r="BO57" s="68" t="s">
        <v>776</v>
      </c>
      <c r="BP57" s="68">
        <v>1128</v>
      </c>
      <c r="BQ57" s="36" t="s">
        <v>813</v>
      </c>
      <c r="BR57" s="36" t="s">
        <v>21</v>
      </c>
      <c r="BS57" s="68" t="e">
        <f>INT(MID(VLOOKUP($BO57,[1]Sheet1!$A:$C,3,0),9,5))</f>
        <v>#N/A</v>
      </c>
      <c r="BT57" s="68" t="str">
        <f t="shared" si="0"/>
        <v>saitaisui</v>
      </c>
      <c r="BU57" s="68" t="e">
        <f>MID(VLOOKUP($BS57,[2]Sheet1!$A:$C,3,0),3,IF(ISERROR(FIND(",",VLOOKUP($BS57,[2]Sheet1!$A:$C,3,0))),LEN(VLOOKUP($BS57,[2]Sheet1!$A:$C,3,0))-4,FIND(",",VLOOKUP($BS57,[2]Sheet1!$A:$C,3,0))-4))</f>
        <v>#N/A</v>
      </c>
      <c r="BV57" s="68" t="str">
        <f>IF(ISERROR(MID(VLOOKUP($BS57,[2]Sheet1!$A:$D,4,0),3,IF(ISERROR(FIND(",",VLOOKUP($BS57,[2]Sheet1!$A:$D,4,0))),LEN(VLOOKUP($BS57,[2]Sheet1!$A:$D,4,0))-4,FIND(",",VLOOKUP($BS57,[2]Sheet1!$A:$D,4,0))-4))),"[]",MID(VLOOKUP($BS57,[2]Sheet1!$A:$D,4,0),3,IF(ISERROR(FIND(",",VLOOKUP($BS57,[2]Sheet1!$A:$D,4,0))),LEN(VLOOKUP($BS57,[2]Sheet1!$A:$D,4,0))-4,FIND(",",VLOOKUP($BS57,[2]Sheet1!$A:$D,4,0))-4)))</f>
        <v>[]</v>
      </c>
      <c r="BW57" s="68" t="str">
        <f t="shared" si="1"/>
        <v>1-11</v>
      </c>
    </row>
    <row r="58" spans="1:75" s="65" customFormat="1" ht="16.5" customHeight="1">
      <c r="A58" s="33">
        <v>1118</v>
      </c>
      <c r="B58" s="33" t="s">
        <v>50</v>
      </c>
      <c r="C58" s="33" t="s">
        <v>514</v>
      </c>
      <c r="D58" s="33">
        <v>1</v>
      </c>
      <c r="E58" s="33">
        <v>3</v>
      </c>
      <c r="F58" s="33">
        <v>2</v>
      </c>
      <c r="G58" s="33">
        <v>3</v>
      </c>
      <c r="H58" s="33" t="s">
        <v>1124</v>
      </c>
      <c r="I58" s="33">
        <v>150</v>
      </c>
      <c r="J58" s="33" t="s">
        <v>130</v>
      </c>
      <c r="K58" s="33">
        <v>10</v>
      </c>
      <c r="L58" s="33" t="s">
        <v>1088</v>
      </c>
      <c r="M58" s="33" t="s">
        <v>779</v>
      </c>
      <c r="N58" s="33" t="s">
        <v>131</v>
      </c>
      <c r="O58" s="33" t="s">
        <v>40</v>
      </c>
      <c r="P58" s="33" t="s">
        <v>377</v>
      </c>
      <c r="Q58" s="33">
        <v>1</v>
      </c>
      <c r="R58" s="33" t="s">
        <v>21</v>
      </c>
      <c r="S58" s="33" t="s">
        <v>21</v>
      </c>
      <c r="T58" s="33" t="s">
        <v>21</v>
      </c>
      <c r="U58" s="33">
        <v>3</v>
      </c>
      <c r="V58" s="33">
        <v>11</v>
      </c>
      <c r="W58" s="33">
        <f>VLOOKUP(F58,Sheet3!$B$33:$E$37,3,0)</f>
        <v>9</v>
      </c>
      <c r="X58" s="33">
        <f>VLOOKUP(F58,Sheet3!$B$33:$E$37,2,0)</f>
        <v>15</v>
      </c>
      <c r="Y58" s="33">
        <f>VLOOKUP(F58,Sheet3!$B$33:$E$37,4,0)</f>
        <v>8</v>
      </c>
      <c r="Z58" s="33">
        <v>1.25</v>
      </c>
      <c r="AA58" s="97">
        <v>0</v>
      </c>
      <c r="AB58" s="97">
        <v>0</v>
      </c>
      <c r="AC58" s="35">
        <v>4000</v>
      </c>
      <c r="AD58" s="35">
        <v>160</v>
      </c>
      <c r="AE58" s="35">
        <v>80</v>
      </c>
      <c r="AF58" s="35">
        <v>80</v>
      </c>
      <c r="AG58" s="33">
        <v>1</v>
      </c>
      <c r="AH58" s="33">
        <v>0</v>
      </c>
      <c r="AI58" s="33">
        <v>0</v>
      </c>
      <c r="AJ58" s="33">
        <v>0</v>
      </c>
      <c r="AK58" s="33">
        <v>0</v>
      </c>
      <c r="AL58" s="33">
        <v>0</v>
      </c>
      <c r="AM58" s="33">
        <v>1</v>
      </c>
      <c r="AN58" s="97">
        <v>0</v>
      </c>
      <c r="AO58" s="97">
        <v>0</v>
      </c>
      <c r="AP58" s="35">
        <v>400</v>
      </c>
      <c r="AQ58" s="35">
        <v>16</v>
      </c>
      <c r="AR58" s="35">
        <v>8</v>
      </c>
      <c r="AS58" s="35">
        <v>8</v>
      </c>
      <c r="AT58" s="33">
        <v>0</v>
      </c>
      <c r="AU58" s="33">
        <v>0</v>
      </c>
      <c r="AV58" s="33">
        <v>0</v>
      </c>
      <c r="AW58" s="33">
        <v>0</v>
      </c>
      <c r="AX58" s="35" t="s">
        <v>1107</v>
      </c>
      <c r="AY58" s="33">
        <v>8</v>
      </c>
      <c r="AZ58" s="34" t="s">
        <v>933</v>
      </c>
      <c r="BA58" s="33" t="s">
        <v>222</v>
      </c>
      <c r="BB58" s="33">
        <v>50</v>
      </c>
      <c r="BC58" s="107" t="s">
        <v>1080</v>
      </c>
      <c r="BD58" s="35" t="s">
        <v>21</v>
      </c>
      <c r="BE58" s="94" t="s">
        <v>1019</v>
      </c>
      <c r="BF58" s="33">
        <v>400</v>
      </c>
      <c r="BG58" s="97">
        <v>20000</v>
      </c>
      <c r="BH58" s="97">
        <v>4000</v>
      </c>
      <c r="BI58" s="33">
        <v>10018</v>
      </c>
      <c r="BJ58" s="33" t="s">
        <v>21</v>
      </c>
      <c r="BK58" s="33">
        <v>0</v>
      </c>
      <c r="BL58" s="33">
        <f>VLOOKUP(F58,Sheet3!$B$33:$F$37,5,0)</f>
        <v>10000</v>
      </c>
      <c r="BM58" s="33">
        <v>1</v>
      </c>
      <c r="BN58" s="67">
        <v>100</v>
      </c>
      <c r="BO58" s="68" t="s">
        <v>776</v>
      </c>
      <c r="BP58" s="68">
        <v>1118</v>
      </c>
      <c r="BQ58" s="33" t="s">
        <v>797</v>
      </c>
      <c r="BR58" s="33" t="s">
        <v>21</v>
      </c>
      <c r="BS58" s="79" t="e">
        <f>INT(MID(VLOOKUP($BO58,[1]Sheet1!$A:$C,3,0),9,5))</f>
        <v>#N/A</v>
      </c>
      <c r="BT58" s="79" t="str">
        <f t="shared" si="0"/>
        <v>hundun</v>
      </c>
      <c r="BU58" s="79" t="e">
        <f>MID(VLOOKUP($BS58,[2]Sheet1!$A:$C,3,0),3,IF(ISERROR(FIND(",",VLOOKUP($BS58,[2]Sheet1!$A:$C,3,0))),LEN(VLOOKUP($BS58,[2]Sheet1!$A:$C,3,0))-4,FIND(",",VLOOKUP($BS58,[2]Sheet1!$A:$C,3,0))-4))</f>
        <v>#N/A</v>
      </c>
      <c r="BV58" s="79" t="str">
        <f>IF(ISERROR(MID(VLOOKUP($BS58,[2]Sheet1!$A:$D,4,0),3,IF(ISERROR(FIND(",",VLOOKUP($BS58,[2]Sheet1!$A:$D,4,0))),LEN(VLOOKUP($BS58,[2]Sheet1!$A:$D,4,0))-4,FIND(",",VLOOKUP($BS58,[2]Sheet1!$A:$D,4,0))-4))),"[]",MID(VLOOKUP($BS58,[2]Sheet1!$A:$D,4,0),3,IF(ISERROR(FIND(",",VLOOKUP($BS58,[2]Sheet1!$A:$D,4,0))),LEN(VLOOKUP($BS58,[2]Sheet1!$A:$D,4,0))-4,FIND(",",VLOOKUP($BS58,[2]Sheet1!$A:$D,4,0))-4)))</f>
        <v>[]</v>
      </c>
      <c r="BW58" s="79" t="str">
        <f t="shared" si="1"/>
        <v>3-11</v>
      </c>
    </row>
    <row r="59" spans="1:75" s="62" customFormat="1" ht="16.5" customHeight="1">
      <c r="A59" s="33">
        <v>1136</v>
      </c>
      <c r="B59" s="33" t="s">
        <v>72</v>
      </c>
      <c r="C59" s="33" t="s">
        <v>529</v>
      </c>
      <c r="D59" s="33">
        <v>1</v>
      </c>
      <c r="E59" s="33">
        <v>3</v>
      </c>
      <c r="F59" s="33">
        <v>1</v>
      </c>
      <c r="G59" s="33">
        <v>1</v>
      </c>
      <c r="H59" s="33" t="s">
        <v>1125</v>
      </c>
      <c r="I59" s="33">
        <v>150</v>
      </c>
      <c r="J59" s="33" t="s">
        <v>163</v>
      </c>
      <c r="K59" s="33">
        <v>10</v>
      </c>
      <c r="L59" s="33" t="s">
        <v>164</v>
      </c>
      <c r="M59" s="33" t="s">
        <v>779</v>
      </c>
      <c r="N59" s="33" t="s">
        <v>165</v>
      </c>
      <c r="O59" s="33" t="s">
        <v>62</v>
      </c>
      <c r="P59" s="33" t="s">
        <v>391</v>
      </c>
      <c r="Q59" s="33">
        <v>1</v>
      </c>
      <c r="R59" s="33" t="s">
        <v>21</v>
      </c>
      <c r="S59" s="33" t="s">
        <v>21</v>
      </c>
      <c r="T59" s="33" t="s">
        <v>21</v>
      </c>
      <c r="U59" s="33">
        <v>3</v>
      </c>
      <c r="V59" s="33">
        <v>11</v>
      </c>
      <c r="W59" s="33">
        <f>VLOOKUP(F59,Sheet3!$B$33:$E$37,3,0)</f>
        <v>9</v>
      </c>
      <c r="X59" s="33">
        <f>VLOOKUP(F59,Sheet3!$B$33:$E$37,2,0)</f>
        <v>15</v>
      </c>
      <c r="Y59" s="33">
        <f>VLOOKUP(F59,Sheet3!$B$33:$E$37,4,0)</f>
        <v>8</v>
      </c>
      <c r="Z59" s="33">
        <v>1</v>
      </c>
      <c r="AA59" s="97">
        <v>0</v>
      </c>
      <c r="AB59" s="97">
        <v>0</v>
      </c>
      <c r="AC59" s="35">
        <v>4000</v>
      </c>
      <c r="AD59" s="35">
        <v>160</v>
      </c>
      <c r="AE59" s="35">
        <v>80</v>
      </c>
      <c r="AF59" s="35">
        <v>80</v>
      </c>
      <c r="AG59" s="33">
        <v>1</v>
      </c>
      <c r="AH59" s="33">
        <v>0</v>
      </c>
      <c r="AI59" s="33">
        <v>0</v>
      </c>
      <c r="AJ59" s="33">
        <v>0</v>
      </c>
      <c r="AK59" s="33">
        <v>0</v>
      </c>
      <c r="AL59" s="33">
        <v>0</v>
      </c>
      <c r="AM59" s="33">
        <v>1</v>
      </c>
      <c r="AN59" s="97">
        <v>0</v>
      </c>
      <c r="AO59" s="97">
        <v>0</v>
      </c>
      <c r="AP59" s="35">
        <v>400</v>
      </c>
      <c r="AQ59" s="35">
        <v>16</v>
      </c>
      <c r="AR59" s="35">
        <v>8</v>
      </c>
      <c r="AS59" s="35">
        <v>8</v>
      </c>
      <c r="AT59" s="33">
        <v>0</v>
      </c>
      <c r="AU59" s="33">
        <v>0</v>
      </c>
      <c r="AV59" s="33">
        <v>0</v>
      </c>
      <c r="AW59" s="33">
        <v>0</v>
      </c>
      <c r="AX59" s="35" t="s">
        <v>1107</v>
      </c>
      <c r="AY59" s="33">
        <v>8</v>
      </c>
      <c r="AZ59" s="34" t="s">
        <v>934</v>
      </c>
      <c r="BA59" s="33" t="s">
        <v>223</v>
      </c>
      <c r="BB59" s="33">
        <v>50</v>
      </c>
      <c r="BC59" s="107" t="s">
        <v>1081</v>
      </c>
      <c r="BD59" s="35" t="s">
        <v>21</v>
      </c>
      <c r="BE59" s="94" t="s">
        <v>1020</v>
      </c>
      <c r="BF59" s="33">
        <v>400</v>
      </c>
      <c r="BG59" s="97">
        <v>5000</v>
      </c>
      <c r="BH59" s="97">
        <v>1000</v>
      </c>
      <c r="BI59" s="33">
        <v>10036</v>
      </c>
      <c r="BJ59" s="33" t="s">
        <v>21</v>
      </c>
      <c r="BK59" s="33">
        <v>0</v>
      </c>
      <c r="BL59" s="33">
        <f>VLOOKUP(F59,Sheet3!$B$33:$F$37,5,0)</f>
        <v>3000</v>
      </c>
      <c r="BM59" s="33">
        <v>1</v>
      </c>
      <c r="BN59" s="67">
        <v>100</v>
      </c>
      <c r="BO59" s="68" t="s">
        <v>776</v>
      </c>
      <c r="BP59" s="68">
        <v>1136</v>
      </c>
      <c r="BQ59" s="33" t="s">
        <v>785</v>
      </c>
      <c r="BR59" s="33" t="s">
        <v>21</v>
      </c>
      <c r="BS59" s="68" t="e">
        <f>INT(MID(VLOOKUP($BO59,[1]Sheet1!$A:$C,3,0),9,5))</f>
        <v>#N/A</v>
      </c>
      <c r="BT59" s="68" t="str">
        <f t="shared" si="0"/>
        <v>bailonggongzhu</v>
      </c>
      <c r="BU59" s="68" t="e">
        <f>MID(VLOOKUP($BS59,[2]Sheet1!$A:$C,3,0),3,IF(ISERROR(FIND(",",VLOOKUP($BS59,[2]Sheet1!$A:$C,3,0))),LEN(VLOOKUP($BS59,[2]Sheet1!$A:$C,3,0))-4,FIND(",",VLOOKUP($BS59,[2]Sheet1!$A:$C,3,0))-4))</f>
        <v>#N/A</v>
      </c>
      <c r="BV59" s="68" t="str">
        <f>IF(ISERROR(MID(VLOOKUP($BS59,[2]Sheet1!$A:$D,4,0),3,IF(ISERROR(FIND(",",VLOOKUP($BS59,[2]Sheet1!$A:$D,4,0))),LEN(VLOOKUP($BS59,[2]Sheet1!$A:$D,4,0))-4,FIND(",",VLOOKUP($BS59,[2]Sheet1!$A:$D,4,0))-4))),"[]",MID(VLOOKUP($BS59,[2]Sheet1!$A:$D,4,0),3,IF(ISERROR(FIND(",",VLOOKUP($BS59,[2]Sheet1!$A:$D,4,0))),LEN(VLOOKUP($BS59,[2]Sheet1!$A:$D,4,0))-4,FIND(",",VLOOKUP($BS59,[2]Sheet1!$A:$D,4,0))-4)))</f>
        <v>[]</v>
      </c>
      <c r="BW59" s="68" t="str">
        <f t="shared" si="1"/>
        <v>1-11</v>
      </c>
    </row>
    <row r="60" spans="1:75" s="65" customFormat="1" ht="16.5" customHeight="1">
      <c r="A60" s="33">
        <v>1141</v>
      </c>
      <c r="B60" s="33" t="s">
        <v>340</v>
      </c>
      <c r="C60" s="33" t="s">
        <v>533</v>
      </c>
      <c r="D60" s="33">
        <v>1</v>
      </c>
      <c r="E60" s="33">
        <v>2</v>
      </c>
      <c r="F60" s="33">
        <v>1</v>
      </c>
      <c r="G60" s="33">
        <v>1</v>
      </c>
      <c r="H60" s="33" t="s">
        <v>1125</v>
      </c>
      <c r="I60" s="33">
        <v>150</v>
      </c>
      <c r="J60" s="33" t="s">
        <v>672</v>
      </c>
      <c r="K60" s="33">
        <v>10</v>
      </c>
      <c r="L60" s="33" t="s">
        <v>673</v>
      </c>
      <c r="M60" s="33" t="s">
        <v>779</v>
      </c>
      <c r="N60" s="33" t="s">
        <v>674</v>
      </c>
      <c r="O60" s="33" t="s">
        <v>62</v>
      </c>
      <c r="P60" s="33" t="s">
        <v>675</v>
      </c>
      <c r="Q60" s="33">
        <v>0.8</v>
      </c>
      <c r="R60" s="33" t="s">
        <v>21</v>
      </c>
      <c r="S60" s="33" t="s">
        <v>21</v>
      </c>
      <c r="T60" s="33" t="s">
        <v>21</v>
      </c>
      <c r="U60" s="33">
        <v>3</v>
      </c>
      <c r="V60" s="33">
        <v>11</v>
      </c>
      <c r="W60" s="33">
        <f>VLOOKUP(F60,Sheet3!$B$33:$E$37,3,0)</f>
        <v>9</v>
      </c>
      <c r="X60" s="33">
        <f>VLOOKUP(F60,Sheet3!$B$33:$E$37,2,0)</f>
        <v>15</v>
      </c>
      <c r="Y60" s="33">
        <f>VLOOKUP(F60,Sheet3!$B$33:$E$37,4,0)</f>
        <v>8</v>
      </c>
      <c r="Z60" s="33">
        <v>1</v>
      </c>
      <c r="AA60" s="97">
        <v>0</v>
      </c>
      <c r="AB60" s="97">
        <v>0</v>
      </c>
      <c r="AC60" s="35">
        <v>4000</v>
      </c>
      <c r="AD60" s="35">
        <v>160</v>
      </c>
      <c r="AE60" s="35">
        <v>80</v>
      </c>
      <c r="AF60" s="35">
        <v>80</v>
      </c>
      <c r="AG60" s="33">
        <v>1</v>
      </c>
      <c r="AH60" s="33">
        <v>0</v>
      </c>
      <c r="AI60" s="33">
        <v>0</v>
      </c>
      <c r="AJ60" s="33">
        <v>0</v>
      </c>
      <c r="AK60" s="33">
        <v>0</v>
      </c>
      <c r="AL60" s="33">
        <v>0</v>
      </c>
      <c r="AM60" s="33">
        <v>1</v>
      </c>
      <c r="AN60" s="97">
        <v>0</v>
      </c>
      <c r="AO60" s="97">
        <v>0</v>
      </c>
      <c r="AP60" s="35">
        <v>400</v>
      </c>
      <c r="AQ60" s="35">
        <v>16</v>
      </c>
      <c r="AR60" s="35">
        <v>8</v>
      </c>
      <c r="AS60" s="35">
        <v>8</v>
      </c>
      <c r="AT60" s="33">
        <v>0</v>
      </c>
      <c r="AU60" s="33">
        <v>0</v>
      </c>
      <c r="AV60" s="33">
        <v>0</v>
      </c>
      <c r="AW60" s="33">
        <v>0</v>
      </c>
      <c r="AX60" s="35" t="s">
        <v>1107</v>
      </c>
      <c r="AY60" s="33">
        <v>8</v>
      </c>
      <c r="AZ60" s="34" t="s">
        <v>935</v>
      </c>
      <c r="BA60" s="33" t="s">
        <v>223</v>
      </c>
      <c r="BB60" s="33">
        <v>50</v>
      </c>
      <c r="BC60" s="107" t="s">
        <v>1082</v>
      </c>
      <c r="BD60" s="35" t="s">
        <v>21</v>
      </c>
      <c r="BE60" s="94" t="s">
        <v>1020</v>
      </c>
      <c r="BF60" s="33">
        <v>400</v>
      </c>
      <c r="BG60" s="97">
        <v>5000</v>
      </c>
      <c r="BH60" s="97">
        <v>1000</v>
      </c>
      <c r="BI60" s="33">
        <v>10041</v>
      </c>
      <c r="BJ60" s="33" t="s">
        <v>21</v>
      </c>
      <c r="BK60" s="33">
        <v>0</v>
      </c>
      <c r="BL60" s="33">
        <f>VLOOKUP(F60,Sheet3!$B$33:$F$37,5,0)</f>
        <v>3000</v>
      </c>
      <c r="BM60" s="33">
        <v>1</v>
      </c>
      <c r="BN60" s="67">
        <v>100</v>
      </c>
      <c r="BO60" s="68" t="s">
        <v>776</v>
      </c>
      <c r="BP60" s="68">
        <v>1141</v>
      </c>
      <c r="BQ60" s="33" t="s">
        <v>1031</v>
      </c>
      <c r="BR60" s="33" t="s">
        <v>21</v>
      </c>
      <c r="BS60" s="79" t="e">
        <f>INT(MID(VLOOKUP($BO60,[1]Sheet1!$A:$C,3,0),9,5))</f>
        <v>#N/A</v>
      </c>
      <c r="BT60" s="79" t="str">
        <f t="shared" si="0"/>
        <v>yutu</v>
      </c>
      <c r="BU60" s="79" t="e">
        <f>MID(VLOOKUP($BS60,[2]Sheet1!$A:$C,3,0),3,IF(ISERROR(FIND(",",VLOOKUP($BS60,[2]Sheet1!$A:$C,3,0))),LEN(VLOOKUP($BS60,[2]Sheet1!$A:$C,3,0))-4,FIND(",",VLOOKUP($BS60,[2]Sheet1!$A:$C,3,0))-4))</f>
        <v>#N/A</v>
      </c>
      <c r="BV60" s="79" t="str">
        <f>IF(ISERROR(MID(VLOOKUP($BS60,[2]Sheet1!$A:$D,4,0),3,IF(ISERROR(FIND(",",VLOOKUP($BS60,[2]Sheet1!$A:$D,4,0))),LEN(VLOOKUP($BS60,[2]Sheet1!$A:$D,4,0))-4,FIND(",",VLOOKUP($BS60,[2]Sheet1!$A:$D,4,0))-4))),"[]",MID(VLOOKUP($BS60,[2]Sheet1!$A:$D,4,0),3,IF(ISERROR(FIND(",",VLOOKUP($BS60,[2]Sheet1!$A:$D,4,0))),LEN(VLOOKUP($BS60,[2]Sheet1!$A:$D,4,0))-4,FIND(",",VLOOKUP($BS60,[2]Sheet1!$A:$D,4,0))-4)))</f>
        <v>[]</v>
      </c>
      <c r="BW60" s="79" t="str">
        <f t="shared" si="1"/>
        <v>1-11</v>
      </c>
    </row>
    <row r="61" spans="1:75" s="62" customFormat="1" ht="16.5" customHeight="1">
      <c r="A61" s="33">
        <v>1138</v>
      </c>
      <c r="B61" s="33" t="s">
        <v>36</v>
      </c>
      <c r="C61" s="33" t="s">
        <v>530</v>
      </c>
      <c r="D61" s="33">
        <v>1</v>
      </c>
      <c r="E61" s="33">
        <v>2</v>
      </c>
      <c r="F61" s="33">
        <v>2</v>
      </c>
      <c r="G61" s="33">
        <v>3</v>
      </c>
      <c r="H61" s="33" t="s">
        <v>1122</v>
      </c>
      <c r="I61" s="33">
        <v>150</v>
      </c>
      <c r="J61" s="33" t="s">
        <v>169</v>
      </c>
      <c r="K61" s="33">
        <v>10</v>
      </c>
      <c r="L61" s="33" t="s">
        <v>102</v>
      </c>
      <c r="M61" s="33" t="s">
        <v>779</v>
      </c>
      <c r="N61" s="33" t="s">
        <v>170</v>
      </c>
      <c r="O61" s="33" t="s">
        <v>62</v>
      </c>
      <c r="P61" s="33" t="s">
        <v>392</v>
      </c>
      <c r="Q61" s="33">
        <v>1</v>
      </c>
      <c r="R61" s="33" t="s">
        <v>21</v>
      </c>
      <c r="S61" s="33" t="s">
        <v>21</v>
      </c>
      <c r="T61" s="33" t="s">
        <v>21</v>
      </c>
      <c r="U61" s="33">
        <v>3</v>
      </c>
      <c r="V61" s="33">
        <v>11</v>
      </c>
      <c r="W61" s="33">
        <f>VLOOKUP(F61,Sheet3!$B$33:$E$37,3,0)</f>
        <v>9</v>
      </c>
      <c r="X61" s="33">
        <f>VLOOKUP(F61,Sheet3!$B$33:$E$37,2,0)</f>
        <v>15</v>
      </c>
      <c r="Y61" s="33">
        <f>VLOOKUP(F61,Sheet3!$B$33:$E$37,4,0)</f>
        <v>8</v>
      </c>
      <c r="Z61" s="33">
        <v>1.25</v>
      </c>
      <c r="AA61" s="97">
        <v>0</v>
      </c>
      <c r="AB61" s="97">
        <v>0</v>
      </c>
      <c r="AC61" s="35">
        <v>4000</v>
      </c>
      <c r="AD61" s="35">
        <v>160</v>
      </c>
      <c r="AE61" s="35">
        <v>80</v>
      </c>
      <c r="AF61" s="35">
        <v>80</v>
      </c>
      <c r="AG61" s="33">
        <v>1</v>
      </c>
      <c r="AH61" s="33">
        <v>0</v>
      </c>
      <c r="AI61" s="33">
        <v>0</v>
      </c>
      <c r="AJ61" s="33">
        <v>0</v>
      </c>
      <c r="AK61" s="33">
        <v>0</v>
      </c>
      <c r="AL61" s="33">
        <v>0</v>
      </c>
      <c r="AM61" s="33">
        <v>1</v>
      </c>
      <c r="AN61" s="97">
        <v>0</v>
      </c>
      <c r="AO61" s="97">
        <v>0</v>
      </c>
      <c r="AP61" s="35">
        <v>400</v>
      </c>
      <c r="AQ61" s="35">
        <v>16</v>
      </c>
      <c r="AR61" s="35">
        <v>8</v>
      </c>
      <c r="AS61" s="35">
        <v>8</v>
      </c>
      <c r="AT61" s="33">
        <v>0</v>
      </c>
      <c r="AU61" s="33">
        <v>0</v>
      </c>
      <c r="AV61" s="33">
        <v>0</v>
      </c>
      <c r="AW61" s="33">
        <v>0</v>
      </c>
      <c r="AX61" s="35" t="s">
        <v>1107</v>
      </c>
      <c r="AY61" s="33">
        <v>8</v>
      </c>
      <c r="AZ61" s="34" t="s">
        <v>936</v>
      </c>
      <c r="BA61" s="33" t="s">
        <v>223</v>
      </c>
      <c r="BB61" s="33">
        <v>50</v>
      </c>
      <c r="BC61" s="107" t="s">
        <v>1083</v>
      </c>
      <c r="BD61" s="35" t="s">
        <v>21</v>
      </c>
      <c r="BE61" s="94" t="s">
        <v>1020</v>
      </c>
      <c r="BF61" s="33">
        <v>400</v>
      </c>
      <c r="BG61" s="97">
        <v>5000</v>
      </c>
      <c r="BH61" s="97">
        <v>1000</v>
      </c>
      <c r="BI61" s="33">
        <v>10038</v>
      </c>
      <c r="BJ61" s="33" t="s">
        <v>21</v>
      </c>
      <c r="BK61" s="33">
        <v>0</v>
      </c>
      <c r="BL61" s="33">
        <f>VLOOKUP(F61,Sheet3!$B$33:$F$37,5,0)</f>
        <v>10000</v>
      </c>
      <c r="BM61" s="33">
        <v>1</v>
      </c>
      <c r="BN61" s="75">
        <v>100</v>
      </c>
      <c r="BO61" s="68" t="s">
        <v>776</v>
      </c>
      <c r="BP61" s="68">
        <v>1138</v>
      </c>
      <c r="BQ61" s="33" t="s">
        <v>1149</v>
      </c>
      <c r="BR61" s="33" t="s">
        <v>21</v>
      </c>
      <c r="BS61" s="68" t="e">
        <f>INT(MID(VLOOKUP($BO61,[1]Sheet1!$A:$C,3,0),9,5))</f>
        <v>#N/A</v>
      </c>
      <c r="BT61" s="68" t="str">
        <f t="shared" si="0"/>
        <v>yumianfuren</v>
      </c>
      <c r="BU61" s="68" t="e">
        <f>MID(VLOOKUP($BS61,[2]Sheet1!$A:$C,3,0),3,IF(ISERROR(FIND(",",VLOOKUP($BS61,[2]Sheet1!$A:$C,3,0))),LEN(VLOOKUP($BS61,[2]Sheet1!$A:$C,3,0))-4,FIND(",",VLOOKUP($BS61,[2]Sheet1!$A:$C,3,0))-4))</f>
        <v>#N/A</v>
      </c>
      <c r="BV61" s="68" t="str">
        <f>IF(ISERROR(MID(VLOOKUP($BS61,[2]Sheet1!$A:$D,4,0),3,IF(ISERROR(FIND(",",VLOOKUP($BS61,[2]Sheet1!$A:$D,4,0))),LEN(VLOOKUP($BS61,[2]Sheet1!$A:$D,4,0))-4,FIND(",",VLOOKUP($BS61,[2]Sheet1!$A:$D,4,0))-4))),"[]",MID(VLOOKUP($BS61,[2]Sheet1!$A:$D,4,0),3,IF(ISERROR(FIND(",",VLOOKUP($BS61,[2]Sheet1!$A:$D,4,0))),LEN(VLOOKUP($BS61,[2]Sheet1!$A:$D,4,0))-4,FIND(",",VLOOKUP($BS61,[2]Sheet1!$A:$D,4,0))-4)))</f>
        <v>[]</v>
      </c>
      <c r="BW61" s="68" t="str">
        <f t="shared" si="1"/>
        <v>3-11</v>
      </c>
    </row>
    <row r="62" spans="1:75" s="62" customFormat="1" ht="16.5" customHeight="1">
      <c r="A62" s="33">
        <v>1152</v>
      </c>
      <c r="B62" s="33" t="s">
        <v>79</v>
      </c>
      <c r="C62" s="33" t="s">
        <v>203</v>
      </c>
      <c r="D62" s="33">
        <v>1</v>
      </c>
      <c r="E62" s="33">
        <v>3</v>
      </c>
      <c r="F62" s="33">
        <v>4</v>
      </c>
      <c r="G62" s="33">
        <v>4</v>
      </c>
      <c r="H62" s="33" t="s">
        <v>1123</v>
      </c>
      <c r="I62" s="33">
        <v>150</v>
      </c>
      <c r="J62" s="33" t="s">
        <v>171</v>
      </c>
      <c r="K62" s="33">
        <v>10</v>
      </c>
      <c r="L62" s="43" t="s">
        <v>1090</v>
      </c>
      <c r="M62" s="33" t="s">
        <v>779</v>
      </c>
      <c r="N62" s="33" t="s">
        <v>172</v>
      </c>
      <c r="O62" s="33" t="s">
        <v>78</v>
      </c>
      <c r="P62" s="33" t="s">
        <v>396</v>
      </c>
      <c r="Q62" s="33">
        <v>1</v>
      </c>
      <c r="R62" s="33" t="s">
        <v>21</v>
      </c>
      <c r="S62" s="33" t="s">
        <v>21</v>
      </c>
      <c r="T62" s="33" t="s">
        <v>21</v>
      </c>
      <c r="U62" s="33">
        <v>3</v>
      </c>
      <c r="V62" s="33">
        <v>11</v>
      </c>
      <c r="W62" s="33">
        <f>VLOOKUP(F62,Sheet3!$B$33:$E$37,3,0)</f>
        <v>3</v>
      </c>
      <c r="X62" s="33">
        <f>VLOOKUP(F62,Sheet3!$B$33:$E$37,2,0)</f>
        <v>15</v>
      </c>
      <c r="Y62" s="33">
        <f>VLOOKUP(F62,Sheet3!$B$33:$E$37,4,0)</f>
        <v>8</v>
      </c>
      <c r="Z62" s="33">
        <v>1</v>
      </c>
      <c r="AA62" s="97">
        <v>0</v>
      </c>
      <c r="AB62" s="97">
        <v>0</v>
      </c>
      <c r="AC62" s="35">
        <v>4000</v>
      </c>
      <c r="AD62" s="35">
        <v>160</v>
      </c>
      <c r="AE62" s="35">
        <v>80</v>
      </c>
      <c r="AF62" s="35">
        <v>80</v>
      </c>
      <c r="AG62" s="33">
        <v>1</v>
      </c>
      <c r="AH62" s="33">
        <v>0</v>
      </c>
      <c r="AI62" s="33">
        <v>0</v>
      </c>
      <c r="AJ62" s="33">
        <v>0</v>
      </c>
      <c r="AK62" s="33">
        <v>0</v>
      </c>
      <c r="AL62" s="33">
        <v>0</v>
      </c>
      <c r="AM62" s="33">
        <v>1</v>
      </c>
      <c r="AN62" s="97">
        <v>0</v>
      </c>
      <c r="AO62" s="97">
        <v>0</v>
      </c>
      <c r="AP62" s="35">
        <v>400</v>
      </c>
      <c r="AQ62" s="35">
        <v>16</v>
      </c>
      <c r="AR62" s="35">
        <v>8</v>
      </c>
      <c r="AS62" s="35">
        <v>8</v>
      </c>
      <c r="AT62" s="33">
        <v>0</v>
      </c>
      <c r="AU62" s="33">
        <v>0</v>
      </c>
      <c r="AV62" s="33">
        <v>0</v>
      </c>
      <c r="AW62" s="33">
        <v>0</v>
      </c>
      <c r="AX62" s="35" t="s">
        <v>1107</v>
      </c>
      <c r="AY62" s="33">
        <v>8</v>
      </c>
      <c r="AZ62" s="34" t="s">
        <v>937</v>
      </c>
      <c r="BA62" s="33" t="s">
        <v>224</v>
      </c>
      <c r="BB62" s="33">
        <v>50</v>
      </c>
      <c r="BC62" s="107" t="s">
        <v>1084</v>
      </c>
      <c r="BD62" s="35" t="s">
        <v>21</v>
      </c>
      <c r="BE62" s="94" t="s">
        <v>1020</v>
      </c>
      <c r="BF62" s="33">
        <v>400</v>
      </c>
      <c r="BG62" s="97">
        <v>2000</v>
      </c>
      <c r="BH62" s="97">
        <v>400</v>
      </c>
      <c r="BI62" s="33">
        <v>10052</v>
      </c>
      <c r="BJ62" s="33" t="s">
        <v>21</v>
      </c>
      <c r="BK62" s="33">
        <v>0</v>
      </c>
      <c r="BL62" s="33">
        <f>VLOOKUP(F62,Sheet3!$B$33:$F$37,5,0)</f>
        <v>100000</v>
      </c>
      <c r="BM62" s="33">
        <v>10</v>
      </c>
      <c r="BN62" s="67">
        <v>100</v>
      </c>
      <c r="BO62" s="68" t="s">
        <v>776</v>
      </c>
      <c r="BP62" s="68">
        <v>1152</v>
      </c>
      <c r="BQ62" s="33" t="s">
        <v>1023</v>
      </c>
      <c r="BR62" s="33" t="s">
        <v>21</v>
      </c>
      <c r="BS62" s="68" t="e">
        <f>INT(MID(VLOOKUP($BO62,[1]Sheet1!$A:$C,3,0),9,5))</f>
        <v>#N/A</v>
      </c>
      <c r="BT62" s="68" t="str">
        <f>LEFT($P62,FIND("_",$P62)-1)</f>
        <v>heixiongjing</v>
      </c>
      <c r="BU62" s="68" t="e">
        <f>MID(VLOOKUP($BS62,[2]Sheet1!$A:$C,3,0),3,IF(ISERROR(FIND(",",VLOOKUP($BS62,[2]Sheet1!$A:$C,3,0))),LEN(VLOOKUP($BS62,[2]Sheet1!$A:$C,3,0))-4,FIND(",",VLOOKUP($BS62,[2]Sheet1!$A:$C,3,0))-4))</f>
        <v>#N/A</v>
      </c>
      <c r="BV62" s="68" t="str">
        <f>IF(ISERROR(MID(VLOOKUP($BS62,[2]Sheet1!$A:$D,4,0),3,IF(ISERROR(FIND(",",VLOOKUP($BS62,[2]Sheet1!$A:$D,4,0))),LEN(VLOOKUP($BS62,[2]Sheet1!$A:$D,4,0))-4,FIND(",",VLOOKUP($BS62,[2]Sheet1!$A:$D,4,0))-4))),"[]",MID(VLOOKUP($BS62,[2]Sheet1!$A:$D,4,0),3,IF(ISERROR(FIND(",",VLOOKUP($BS62,[2]Sheet1!$A:$D,4,0))),LEN(VLOOKUP($BS62,[2]Sheet1!$A:$D,4,0))-4,FIND(",",VLOOKUP($BS62,[2]Sheet1!$A:$D,4,0))-4)))</f>
        <v>[]</v>
      </c>
      <c r="BW62" s="68" t="str">
        <f t="shared" si="1"/>
        <v>4-11</v>
      </c>
    </row>
    <row r="63" spans="1:75" s="68" customFormat="1" ht="16.5" customHeight="1">
      <c r="A63" s="33">
        <v>1192</v>
      </c>
      <c r="B63" s="33" t="s">
        <v>303</v>
      </c>
      <c r="C63" s="33" t="s">
        <v>304</v>
      </c>
      <c r="D63" s="33">
        <v>1</v>
      </c>
      <c r="E63" s="33">
        <v>3</v>
      </c>
      <c r="F63" s="33">
        <v>2</v>
      </c>
      <c r="G63" s="33">
        <v>2</v>
      </c>
      <c r="H63" s="33" t="s">
        <v>1124</v>
      </c>
      <c r="I63" s="33">
        <v>150</v>
      </c>
      <c r="J63" s="33" t="s">
        <v>305</v>
      </c>
      <c r="K63" s="33">
        <v>10</v>
      </c>
      <c r="L63" s="43" t="s">
        <v>1109</v>
      </c>
      <c r="M63" s="33" t="s">
        <v>779</v>
      </c>
      <c r="N63" s="33" t="s">
        <v>306</v>
      </c>
      <c r="O63" s="33" t="s">
        <v>78</v>
      </c>
      <c r="P63" s="33" t="s">
        <v>397</v>
      </c>
      <c r="Q63" s="33">
        <v>1</v>
      </c>
      <c r="R63" s="33" t="s">
        <v>21</v>
      </c>
      <c r="S63" s="33" t="s">
        <v>21</v>
      </c>
      <c r="T63" s="33" t="s">
        <v>21</v>
      </c>
      <c r="U63" s="33">
        <v>3</v>
      </c>
      <c r="V63" s="33">
        <v>11</v>
      </c>
      <c r="W63" s="33">
        <f>VLOOKUP(F63,Sheet3!$B$33:$E$37,3,0)</f>
        <v>9</v>
      </c>
      <c r="X63" s="33">
        <f>VLOOKUP(F63,Sheet3!$B$33:$E$37,2,0)</f>
        <v>15</v>
      </c>
      <c r="Y63" s="33">
        <f>VLOOKUP(F63,Sheet3!$B$33:$E$37,4,0)</f>
        <v>8</v>
      </c>
      <c r="Z63" s="33">
        <v>0.8</v>
      </c>
      <c r="AA63" s="97">
        <v>0</v>
      </c>
      <c r="AB63" s="97">
        <v>0</v>
      </c>
      <c r="AC63" s="35">
        <v>4000</v>
      </c>
      <c r="AD63" s="35">
        <v>160</v>
      </c>
      <c r="AE63" s="35">
        <v>80</v>
      </c>
      <c r="AF63" s="35">
        <v>80</v>
      </c>
      <c r="AG63" s="33">
        <v>1</v>
      </c>
      <c r="AH63" s="33">
        <v>0</v>
      </c>
      <c r="AI63" s="33">
        <v>0</v>
      </c>
      <c r="AJ63" s="33">
        <v>0</v>
      </c>
      <c r="AK63" s="33">
        <v>0</v>
      </c>
      <c r="AL63" s="33">
        <v>0</v>
      </c>
      <c r="AM63" s="33">
        <v>1</v>
      </c>
      <c r="AN63" s="97">
        <v>0</v>
      </c>
      <c r="AO63" s="97">
        <v>0</v>
      </c>
      <c r="AP63" s="35">
        <v>400</v>
      </c>
      <c r="AQ63" s="35">
        <v>16</v>
      </c>
      <c r="AR63" s="35">
        <v>8</v>
      </c>
      <c r="AS63" s="35">
        <v>8</v>
      </c>
      <c r="AT63" s="33">
        <v>0</v>
      </c>
      <c r="AU63" s="33">
        <v>0</v>
      </c>
      <c r="AV63" s="33">
        <v>0</v>
      </c>
      <c r="AW63" s="33">
        <v>0</v>
      </c>
      <c r="AX63" s="35" t="s">
        <v>1107</v>
      </c>
      <c r="AY63" s="33">
        <v>8</v>
      </c>
      <c r="AZ63" s="34" t="s">
        <v>938</v>
      </c>
      <c r="BA63" s="33" t="s">
        <v>224</v>
      </c>
      <c r="BB63" s="33">
        <v>50</v>
      </c>
      <c r="BC63" s="107" t="s">
        <v>1085</v>
      </c>
      <c r="BD63" s="35" t="s">
        <v>21</v>
      </c>
      <c r="BE63" s="94" t="s">
        <v>1020</v>
      </c>
      <c r="BF63" s="33">
        <v>400</v>
      </c>
      <c r="BG63" s="97">
        <v>2000</v>
      </c>
      <c r="BH63" s="97">
        <v>400</v>
      </c>
      <c r="BI63" s="33">
        <v>10092</v>
      </c>
      <c r="BJ63" s="33" t="s">
        <v>21</v>
      </c>
      <c r="BK63" s="33">
        <v>0</v>
      </c>
      <c r="BL63" s="33">
        <f>VLOOKUP(F63,Sheet3!$B$33:$F$37,5,0)</f>
        <v>10000</v>
      </c>
      <c r="BM63" s="33">
        <v>1</v>
      </c>
      <c r="BN63" s="67">
        <v>100</v>
      </c>
      <c r="BO63" s="68" t="s">
        <v>776</v>
      </c>
      <c r="BP63" s="68">
        <v>1192</v>
      </c>
      <c r="BQ63" s="33" t="s">
        <v>1030</v>
      </c>
      <c r="BR63" s="33" t="s">
        <v>21</v>
      </c>
      <c r="BS63" s="68" t="e">
        <f>INT(MID(VLOOKUP($BO63,[1]Sheet1!$A:$C,3,0),9,5))</f>
        <v>#N/A</v>
      </c>
      <c r="BT63" s="68" t="str">
        <f>LEFT($P63,FIND("_",$P63)-1)</f>
        <v>qinxian</v>
      </c>
      <c r="BU63" s="68" t="e">
        <f>MID(VLOOKUP($BS63,[2]Sheet1!$A:$C,3,0),3,IF(ISERROR(FIND(",",VLOOKUP($BS63,[2]Sheet1!$A:$C,3,0))),LEN(VLOOKUP($BS63,[2]Sheet1!$A:$C,3,0))-4,FIND(",",VLOOKUP($BS63,[2]Sheet1!$A:$C,3,0))-4))</f>
        <v>#N/A</v>
      </c>
      <c r="BV63" s="68" t="str">
        <f>IF(ISERROR(MID(VLOOKUP($BS63,[2]Sheet1!$A:$D,4,0),3,IF(ISERROR(FIND(",",VLOOKUP($BS63,[2]Sheet1!$A:$D,4,0))),LEN(VLOOKUP($BS63,[2]Sheet1!$A:$D,4,0))-4,FIND(",",VLOOKUP($BS63,[2]Sheet1!$A:$D,4,0))-4))),"[]",MID(VLOOKUP($BS63,[2]Sheet1!$A:$D,4,0),3,IF(ISERROR(FIND(",",VLOOKUP($BS63,[2]Sheet1!$A:$D,4,0))),LEN(VLOOKUP($BS63,[2]Sheet1!$A:$D,4,0))-4,FIND(",",VLOOKUP($BS63,[2]Sheet1!$A:$D,4,0))-4)))</f>
        <v>[]</v>
      </c>
      <c r="BW63" s="68" t="str">
        <f t="shared" si="1"/>
        <v>2-11</v>
      </c>
    </row>
    <row r="64" spans="1:75" s="33" customFormat="1">
      <c r="A64" s="33">
        <v>1504</v>
      </c>
      <c r="B64" s="33" t="s">
        <v>555</v>
      </c>
      <c r="C64" s="33" t="s">
        <v>600</v>
      </c>
      <c r="D64" s="33">
        <v>1</v>
      </c>
      <c r="E64" s="33">
        <v>2</v>
      </c>
      <c r="F64" s="33">
        <v>4</v>
      </c>
      <c r="G64" s="33">
        <v>4</v>
      </c>
      <c r="H64" s="33" t="s">
        <v>1123</v>
      </c>
      <c r="I64" s="33">
        <v>150</v>
      </c>
      <c r="J64" s="33" t="s">
        <v>556</v>
      </c>
      <c r="K64" s="33">
        <v>10</v>
      </c>
      <c r="L64" s="43" t="s">
        <v>1092</v>
      </c>
      <c r="M64" s="33" t="s">
        <v>779</v>
      </c>
      <c r="N64" s="33" t="s">
        <v>557</v>
      </c>
      <c r="O64" s="33" t="s">
        <v>558</v>
      </c>
      <c r="P64" s="33" t="s">
        <v>559</v>
      </c>
      <c r="Q64" s="33">
        <v>1</v>
      </c>
      <c r="R64" s="33" t="s">
        <v>317</v>
      </c>
      <c r="S64" s="33" t="s">
        <v>317</v>
      </c>
      <c r="T64" s="33" t="s">
        <v>317</v>
      </c>
      <c r="U64" s="33">
        <v>3</v>
      </c>
      <c r="V64" s="33">
        <v>11</v>
      </c>
      <c r="W64" s="33">
        <f>VLOOKUP(F64,Sheet3!$B$33:$E$37,3,0)</f>
        <v>3</v>
      </c>
      <c r="X64" s="33">
        <f>VLOOKUP(F64,Sheet3!$B$33:$E$37,2,0)</f>
        <v>15</v>
      </c>
      <c r="Y64" s="33">
        <f>VLOOKUP(F64,Sheet3!$B$33:$E$37,4,0)</f>
        <v>8</v>
      </c>
      <c r="Z64" s="33">
        <v>1</v>
      </c>
      <c r="AA64" s="97">
        <v>0</v>
      </c>
      <c r="AB64" s="97">
        <v>0</v>
      </c>
      <c r="AC64" s="35">
        <v>4000</v>
      </c>
      <c r="AD64" s="35">
        <v>160</v>
      </c>
      <c r="AE64" s="35">
        <v>80</v>
      </c>
      <c r="AF64" s="35">
        <v>80</v>
      </c>
      <c r="AG64" s="33">
        <v>1</v>
      </c>
      <c r="AH64" s="33">
        <v>0</v>
      </c>
      <c r="AI64" s="33">
        <v>0</v>
      </c>
      <c r="AJ64" s="33">
        <v>0</v>
      </c>
      <c r="AK64" s="33">
        <v>0</v>
      </c>
      <c r="AL64" s="33">
        <v>0</v>
      </c>
      <c r="AM64" s="33">
        <v>1</v>
      </c>
      <c r="AN64" s="97">
        <v>0</v>
      </c>
      <c r="AO64" s="97">
        <v>0</v>
      </c>
      <c r="AP64" s="35">
        <v>400</v>
      </c>
      <c r="AQ64" s="35">
        <v>16</v>
      </c>
      <c r="AR64" s="35">
        <v>8</v>
      </c>
      <c r="AS64" s="35">
        <v>8</v>
      </c>
      <c r="AT64" s="33">
        <v>0</v>
      </c>
      <c r="AU64" s="33">
        <v>0</v>
      </c>
      <c r="AV64" s="33">
        <v>0</v>
      </c>
      <c r="AW64" s="33">
        <v>0</v>
      </c>
      <c r="AX64" s="35" t="s">
        <v>1107</v>
      </c>
      <c r="AY64" s="33">
        <v>8</v>
      </c>
      <c r="AZ64" s="34" t="s">
        <v>939</v>
      </c>
      <c r="BA64" s="33" t="s">
        <v>220</v>
      </c>
      <c r="BB64" s="33">
        <v>50</v>
      </c>
      <c r="BC64" s="107" t="s">
        <v>1086</v>
      </c>
      <c r="BD64" s="35" t="s">
        <v>21</v>
      </c>
      <c r="BE64" s="94" t="s">
        <v>1020</v>
      </c>
      <c r="BF64" s="33">
        <v>400</v>
      </c>
      <c r="BG64" s="97">
        <v>500</v>
      </c>
      <c r="BH64" s="97">
        <v>100</v>
      </c>
      <c r="BI64" s="33">
        <v>10404</v>
      </c>
      <c r="BJ64" s="33" t="s">
        <v>317</v>
      </c>
      <c r="BK64" s="33">
        <v>0</v>
      </c>
      <c r="BL64" s="33">
        <f>VLOOKUP(F64,Sheet3!$B$33:$F$37,5,0)</f>
        <v>100000</v>
      </c>
      <c r="BM64" s="33">
        <v>10</v>
      </c>
      <c r="BN64" s="69">
        <v>100</v>
      </c>
      <c r="BO64" s="68" t="s">
        <v>776</v>
      </c>
      <c r="BP64" s="68">
        <v>1504</v>
      </c>
      <c r="BQ64" s="33" t="s">
        <v>1024</v>
      </c>
      <c r="BR64" s="33" t="s">
        <v>21</v>
      </c>
      <c r="BS64" s="33" t="e">
        <f>INT(MID(VLOOKUP($BO64,[1]Sheet1!$A:$C,3,0),9,5))</f>
        <v>#N/A</v>
      </c>
      <c r="BT64" s="33" t="str">
        <f>LEFT($P64,FIND("_",$P64)-1)</f>
        <v>xiejiang</v>
      </c>
      <c r="BU64" s="33" t="e">
        <f>MID(VLOOKUP($BS64,[2]Sheet1!$A:$C,3,0),3,IF(ISERROR(FIND(",",VLOOKUP($BS64,[2]Sheet1!$A:$C,3,0))),LEN(VLOOKUP($BS64,[2]Sheet1!$A:$C,3,0))-4,FIND(",",VLOOKUP($BS64,[2]Sheet1!$A:$C,3,0))-4))</f>
        <v>#N/A</v>
      </c>
      <c r="BV64" s="33" t="str">
        <f>IF(ISERROR(MID(VLOOKUP($BS64,[2]Sheet1!$A:$D,4,0),3,IF(ISERROR(FIND(",",VLOOKUP($BS64,[2]Sheet1!$A:$D,4,0))),LEN(VLOOKUP($BS64,[2]Sheet1!$A:$D,4,0))-4,FIND(",",VLOOKUP($BS64,[2]Sheet1!$A:$D,4,0))-4))),"[]",MID(VLOOKUP($BS64,[2]Sheet1!$A:$D,4,0),3,IF(ISERROR(FIND(",",VLOOKUP($BS64,[2]Sheet1!$A:$D,4,0))),LEN(VLOOKUP($BS64,[2]Sheet1!$A:$D,4,0))-4,FIND(",",VLOOKUP($BS64,[2]Sheet1!$A:$D,4,0))-4)))</f>
        <v>[]</v>
      </c>
      <c r="BW64" s="33" t="str">
        <f t="shared" si="1"/>
        <v>4-11</v>
      </c>
    </row>
    <row r="65" spans="1:75" s="89" customFormat="1" ht="16.5" customHeight="1">
      <c r="A65" s="85">
        <v>1142</v>
      </c>
      <c r="B65" s="85" t="s">
        <v>176</v>
      </c>
      <c r="C65" s="85" t="s">
        <v>206</v>
      </c>
      <c r="D65" s="85">
        <v>1</v>
      </c>
      <c r="E65" s="85">
        <v>4</v>
      </c>
      <c r="F65" s="85">
        <v>4</v>
      </c>
      <c r="G65" s="85">
        <v>4</v>
      </c>
      <c r="H65" s="85" t="s">
        <v>1123</v>
      </c>
      <c r="I65" s="85">
        <v>150</v>
      </c>
      <c r="J65" s="85" t="s">
        <v>219</v>
      </c>
      <c r="K65" s="85">
        <v>10</v>
      </c>
      <c r="L65" s="85" t="s">
        <v>401</v>
      </c>
      <c r="M65" s="85" t="s">
        <v>779</v>
      </c>
      <c r="N65" s="85" t="s">
        <v>607</v>
      </c>
      <c r="O65" s="85" t="s">
        <v>78</v>
      </c>
      <c r="P65" s="85" t="s">
        <v>608</v>
      </c>
      <c r="Q65" s="85">
        <v>1</v>
      </c>
      <c r="R65" s="85" t="s">
        <v>21</v>
      </c>
      <c r="S65" s="85" t="s">
        <v>21</v>
      </c>
      <c r="T65" s="85" t="s">
        <v>21</v>
      </c>
      <c r="U65" s="85">
        <v>2</v>
      </c>
      <c r="V65" s="85">
        <v>6</v>
      </c>
      <c r="W65" s="33">
        <f>VLOOKUP(F65,Sheet3!$B$33:$E$37,3,0)</f>
        <v>3</v>
      </c>
      <c r="X65" s="33">
        <f>VLOOKUP(F65,Sheet3!$B$33:$E$37,2,0)</f>
        <v>15</v>
      </c>
      <c r="Y65" s="33">
        <f>VLOOKUP(F65,Sheet3!$B$33:$E$37,4,0)</f>
        <v>8</v>
      </c>
      <c r="Z65" s="85">
        <v>1</v>
      </c>
      <c r="AA65" s="100">
        <v>0</v>
      </c>
      <c r="AB65" s="100">
        <v>0</v>
      </c>
      <c r="AC65" s="35">
        <v>3000</v>
      </c>
      <c r="AD65" s="35">
        <v>120</v>
      </c>
      <c r="AE65" s="35">
        <v>60</v>
      </c>
      <c r="AF65" s="35">
        <v>60</v>
      </c>
      <c r="AG65" s="85">
        <v>1</v>
      </c>
      <c r="AH65" s="85">
        <v>0</v>
      </c>
      <c r="AI65" s="85">
        <v>0</v>
      </c>
      <c r="AJ65" s="85">
        <v>0</v>
      </c>
      <c r="AK65" s="85">
        <v>0</v>
      </c>
      <c r="AL65" s="85">
        <v>0</v>
      </c>
      <c r="AM65" s="85">
        <v>1</v>
      </c>
      <c r="AN65" s="100">
        <v>0</v>
      </c>
      <c r="AO65" s="100">
        <v>0</v>
      </c>
      <c r="AP65" s="35">
        <v>300</v>
      </c>
      <c r="AQ65" s="35">
        <v>12</v>
      </c>
      <c r="AR65" s="35">
        <v>6</v>
      </c>
      <c r="AS65" s="35">
        <v>6</v>
      </c>
      <c r="AT65" s="85">
        <v>0</v>
      </c>
      <c r="AU65" s="85">
        <v>0</v>
      </c>
      <c r="AV65" s="85">
        <v>0</v>
      </c>
      <c r="AW65" s="85">
        <v>0</v>
      </c>
      <c r="AX65" s="35" t="s">
        <v>1105</v>
      </c>
      <c r="AY65" s="85">
        <v>6</v>
      </c>
      <c r="AZ65" s="34" t="s">
        <v>729</v>
      </c>
      <c r="BA65" s="85" t="s">
        <v>224</v>
      </c>
      <c r="BB65" s="85">
        <v>50</v>
      </c>
      <c r="BC65" s="107" t="s">
        <v>21</v>
      </c>
      <c r="BD65" s="86" t="s">
        <v>21</v>
      </c>
      <c r="BE65" s="94" t="s">
        <v>21</v>
      </c>
      <c r="BF65" s="85">
        <v>40</v>
      </c>
      <c r="BG65" s="100">
        <v>2000</v>
      </c>
      <c r="BH65" s="100">
        <v>400</v>
      </c>
      <c r="BI65" s="85">
        <v>10042</v>
      </c>
      <c r="BJ65" s="85" t="s">
        <v>21</v>
      </c>
      <c r="BK65" s="85">
        <v>0</v>
      </c>
      <c r="BL65" s="33">
        <f>VLOOKUP(F65,Sheet3!$B$33:$F$37,5,0)</f>
        <v>100000</v>
      </c>
      <c r="BM65" s="85">
        <v>10</v>
      </c>
      <c r="BN65" s="87">
        <v>100</v>
      </c>
      <c r="BO65" s="88" t="s">
        <v>776</v>
      </c>
      <c r="BP65" s="68">
        <v>1142</v>
      </c>
      <c r="BQ65" s="85" t="s">
        <v>21</v>
      </c>
      <c r="BR65" s="85" t="s">
        <v>21</v>
      </c>
      <c r="BS65" s="88" t="e">
        <f>INT(MID(VLOOKUP($BO65,[1]Sheet1!$A:$C,3,0),9,5))</f>
        <v>#N/A</v>
      </c>
      <c r="BT65" s="88" t="str">
        <f t="shared" si="0"/>
        <v>shiren</v>
      </c>
      <c r="BU65" s="88" t="e">
        <f>MID(VLOOKUP($BS65,[2]Sheet1!$A:$C,3,0),3,IF(ISERROR(FIND(",",VLOOKUP($BS65,[2]Sheet1!$A:$C,3,0))),LEN(VLOOKUP($BS65,[2]Sheet1!$A:$C,3,0))-4,FIND(",",VLOOKUP($BS65,[2]Sheet1!$A:$C,3,0))-4))</f>
        <v>#N/A</v>
      </c>
      <c r="BV65" s="88" t="str">
        <f>IF(ISERROR(MID(VLOOKUP($BS65,[2]Sheet1!$A:$D,4,0),3,IF(ISERROR(FIND(",",VLOOKUP($BS65,[2]Sheet1!$A:$D,4,0))),LEN(VLOOKUP($BS65,[2]Sheet1!$A:$D,4,0))-4,FIND(",",VLOOKUP($BS65,[2]Sheet1!$A:$D,4,0))-4))),"[]",MID(VLOOKUP($BS65,[2]Sheet1!$A:$D,4,0),3,IF(ISERROR(FIND(",",VLOOKUP($BS65,[2]Sheet1!$A:$D,4,0))),LEN(VLOOKUP($BS65,[2]Sheet1!$A:$D,4,0))-4,FIND(",",VLOOKUP($BS65,[2]Sheet1!$A:$D,4,0))-4)))</f>
        <v>[]</v>
      </c>
      <c r="BW65" s="88" t="str">
        <f t="shared" si="1"/>
        <v>4-6</v>
      </c>
    </row>
    <row r="66" spans="1:75" s="62" customFormat="1" ht="16.5" customHeight="1">
      <c r="A66" s="33">
        <v>1143</v>
      </c>
      <c r="B66" s="33" t="s">
        <v>177</v>
      </c>
      <c r="C66" s="33" t="s">
        <v>206</v>
      </c>
      <c r="D66" s="33">
        <v>1</v>
      </c>
      <c r="E66" s="33">
        <v>4</v>
      </c>
      <c r="F66" s="33">
        <v>4</v>
      </c>
      <c r="G66" s="33">
        <v>4</v>
      </c>
      <c r="H66" s="33" t="s">
        <v>1123</v>
      </c>
      <c r="I66" s="33">
        <v>150</v>
      </c>
      <c r="J66" s="33" t="s">
        <v>219</v>
      </c>
      <c r="K66" s="33">
        <v>10</v>
      </c>
      <c r="L66" s="43" t="s">
        <v>402</v>
      </c>
      <c r="M66" s="33" t="s">
        <v>779</v>
      </c>
      <c r="N66" s="33" t="s">
        <v>610</v>
      </c>
      <c r="O66" s="33" t="s">
        <v>78</v>
      </c>
      <c r="P66" s="33" t="s">
        <v>609</v>
      </c>
      <c r="Q66" s="33">
        <v>1</v>
      </c>
      <c r="R66" s="33" t="s">
        <v>21</v>
      </c>
      <c r="S66" s="33" t="s">
        <v>21</v>
      </c>
      <c r="T66" s="33" t="s">
        <v>21</v>
      </c>
      <c r="U66" s="33">
        <v>2</v>
      </c>
      <c r="V66" s="33">
        <v>6</v>
      </c>
      <c r="W66" s="33">
        <f>VLOOKUP(F66,Sheet3!$B$33:$E$37,3,0)</f>
        <v>3</v>
      </c>
      <c r="X66" s="33">
        <f>VLOOKUP(F66,Sheet3!$B$33:$E$37,2,0)</f>
        <v>15</v>
      </c>
      <c r="Y66" s="33">
        <f>VLOOKUP(F66,Sheet3!$B$33:$E$37,4,0)</f>
        <v>8</v>
      </c>
      <c r="Z66" s="33">
        <v>1</v>
      </c>
      <c r="AA66" s="97">
        <v>0</v>
      </c>
      <c r="AB66" s="97">
        <v>0</v>
      </c>
      <c r="AC66" s="35">
        <v>3000</v>
      </c>
      <c r="AD66" s="35">
        <v>120</v>
      </c>
      <c r="AE66" s="35">
        <v>60</v>
      </c>
      <c r="AF66" s="35">
        <v>60</v>
      </c>
      <c r="AG66" s="33">
        <v>1</v>
      </c>
      <c r="AH66" s="33">
        <v>0</v>
      </c>
      <c r="AI66" s="33">
        <v>0</v>
      </c>
      <c r="AJ66" s="33">
        <v>0</v>
      </c>
      <c r="AK66" s="33">
        <v>0</v>
      </c>
      <c r="AL66" s="33">
        <v>0</v>
      </c>
      <c r="AM66" s="33">
        <v>1</v>
      </c>
      <c r="AN66" s="97">
        <v>0</v>
      </c>
      <c r="AO66" s="97">
        <v>0</v>
      </c>
      <c r="AP66" s="35">
        <v>300</v>
      </c>
      <c r="AQ66" s="35">
        <v>12</v>
      </c>
      <c r="AR66" s="35">
        <v>6</v>
      </c>
      <c r="AS66" s="35">
        <v>6</v>
      </c>
      <c r="AT66" s="33">
        <v>0</v>
      </c>
      <c r="AU66" s="33">
        <v>0</v>
      </c>
      <c r="AV66" s="33">
        <v>0</v>
      </c>
      <c r="AW66" s="33">
        <v>0</v>
      </c>
      <c r="AX66" s="35" t="s">
        <v>1105</v>
      </c>
      <c r="AY66" s="33">
        <v>6</v>
      </c>
      <c r="AZ66" s="34" t="s">
        <v>729</v>
      </c>
      <c r="BA66" s="33" t="s">
        <v>224</v>
      </c>
      <c r="BB66" s="33">
        <v>50</v>
      </c>
      <c r="BC66" s="107" t="s">
        <v>21</v>
      </c>
      <c r="BD66" s="35" t="s">
        <v>21</v>
      </c>
      <c r="BE66" s="94" t="s">
        <v>21</v>
      </c>
      <c r="BF66" s="33">
        <v>40</v>
      </c>
      <c r="BG66" s="97">
        <v>2000</v>
      </c>
      <c r="BH66" s="97">
        <v>400</v>
      </c>
      <c r="BI66" s="33">
        <v>10043</v>
      </c>
      <c r="BJ66" s="33" t="s">
        <v>21</v>
      </c>
      <c r="BK66" s="33">
        <v>0</v>
      </c>
      <c r="BL66" s="33">
        <f>VLOOKUP(F66,Sheet3!$B$33:$F$37,5,0)</f>
        <v>100000</v>
      </c>
      <c r="BM66" s="33">
        <v>10</v>
      </c>
      <c r="BN66" s="67">
        <v>100</v>
      </c>
      <c r="BO66" s="68" t="s">
        <v>776</v>
      </c>
      <c r="BP66" s="68">
        <v>1143</v>
      </c>
      <c r="BQ66" s="33" t="s">
        <v>21</v>
      </c>
      <c r="BR66" s="33" t="s">
        <v>21</v>
      </c>
      <c r="BS66" s="68" t="e">
        <f>INT(MID(VLOOKUP($BO66,[1]Sheet1!$A:$C,3,0),9,5))</f>
        <v>#N/A</v>
      </c>
      <c r="BT66" s="68" t="str">
        <f t="shared" si="0"/>
        <v>shiren</v>
      </c>
      <c r="BU66" s="68" t="e">
        <f>MID(VLOOKUP($BS66,[2]Sheet1!$A:$C,3,0),3,IF(ISERROR(FIND(",",VLOOKUP($BS66,[2]Sheet1!$A:$C,3,0))),LEN(VLOOKUP($BS66,[2]Sheet1!$A:$C,3,0))-4,FIND(",",VLOOKUP($BS66,[2]Sheet1!$A:$C,3,0))-4))</f>
        <v>#N/A</v>
      </c>
      <c r="BV66" s="68" t="str">
        <f>IF(ISERROR(MID(VLOOKUP($BS66,[2]Sheet1!$A:$D,4,0),3,IF(ISERROR(FIND(",",VLOOKUP($BS66,[2]Sheet1!$A:$D,4,0))),LEN(VLOOKUP($BS66,[2]Sheet1!$A:$D,4,0))-4,FIND(",",VLOOKUP($BS66,[2]Sheet1!$A:$D,4,0))-4))),"[]",MID(VLOOKUP($BS66,[2]Sheet1!$A:$D,4,0),3,IF(ISERROR(FIND(",",VLOOKUP($BS66,[2]Sheet1!$A:$D,4,0))),LEN(VLOOKUP($BS66,[2]Sheet1!$A:$D,4,0))-4,FIND(",",VLOOKUP($BS66,[2]Sheet1!$A:$D,4,0))-4)))</f>
        <v>[]</v>
      </c>
      <c r="BW66" s="68" t="str">
        <f t="shared" si="1"/>
        <v>4-6</v>
      </c>
    </row>
    <row r="67" spans="1:75" s="62" customFormat="1" ht="16.5" customHeight="1">
      <c r="A67" s="33">
        <v>1146</v>
      </c>
      <c r="B67" s="33" t="s">
        <v>346</v>
      </c>
      <c r="C67" s="33" t="s">
        <v>205</v>
      </c>
      <c r="D67" s="33">
        <v>1</v>
      </c>
      <c r="E67" s="33">
        <v>4</v>
      </c>
      <c r="F67" s="33">
        <v>4</v>
      </c>
      <c r="G67" s="33">
        <v>4</v>
      </c>
      <c r="H67" s="33" t="s">
        <v>1123</v>
      </c>
      <c r="I67" s="33">
        <v>150</v>
      </c>
      <c r="J67" s="33" t="s">
        <v>209</v>
      </c>
      <c r="K67" s="33">
        <v>10</v>
      </c>
      <c r="L67" s="43" t="s">
        <v>403</v>
      </c>
      <c r="M67" s="33" t="s">
        <v>779</v>
      </c>
      <c r="N67" s="33" t="s">
        <v>611</v>
      </c>
      <c r="O67" s="33" t="s">
        <v>78</v>
      </c>
      <c r="P67" s="33" t="s">
        <v>612</v>
      </c>
      <c r="Q67" s="33">
        <v>1</v>
      </c>
      <c r="R67" s="33" t="s">
        <v>21</v>
      </c>
      <c r="S67" s="33" t="s">
        <v>21</v>
      </c>
      <c r="T67" s="33" t="s">
        <v>21</v>
      </c>
      <c r="U67" s="33">
        <v>2</v>
      </c>
      <c r="V67" s="33">
        <v>6</v>
      </c>
      <c r="W67" s="33">
        <f>VLOOKUP(F67,Sheet3!$B$33:$E$37,3,0)</f>
        <v>3</v>
      </c>
      <c r="X67" s="33">
        <f>VLOOKUP(F67,Sheet3!$B$33:$E$37,2,0)</f>
        <v>15</v>
      </c>
      <c r="Y67" s="33">
        <f>VLOOKUP(F67,Sheet3!$B$33:$E$37,4,0)</f>
        <v>8</v>
      </c>
      <c r="Z67" s="33">
        <v>1</v>
      </c>
      <c r="AA67" s="97">
        <v>0</v>
      </c>
      <c r="AB67" s="97">
        <v>0</v>
      </c>
      <c r="AC67" s="35">
        <v>3000</v>
      </c>
      <c r="AD67" s="35">
        <v>120</v>
      </c>
      <c r="AE67" s="35">
        <v>60</v>
      </c>
      <c r="AF67" s="35">
        <v>60</v>
      </c>
      <c r="AG67" s="33">
        <v>1</v>
      </c>
      <c r="AH67" s="33">
        <v>0</v>
      </c>
      <c r="AI67" s="33">
        <v>0</v>
      </c>
      <c r="AJ67" s="33">
        <v>0</v>
      </c>
      <c r="AK67" s="33">
        <v>0</v>
      </c>
      <c r="AL67" s="33">
        <v>0</v>
      </c>
      <c r="AM67" s="33">
        <v>1</v>
      </c>
      <c r="AN67" s="97">
        <v>0</v>
      </c>
      <c r="AO67" s="97">
        <v>0</v>
      </c>
      <c r="AP67" s="35">
        <v>300</v>
      </c>
      <c r="AQ67" s="35">
        <v>12</v>
      </c>
      <c r="AR67" s="35">
        <v>6</v>
      </c>
      <c r="AS67" s="35">
        <v>6</v>
      </c>
      <c r="AT67" s="33">
        <v>0</v>
      </c>
      <c r="AU67" s="33">
        <v>0</v>
      </c>
      <c r="AV67" s="33">
        <v>0</v>
      </c>
      <c r="AW67" s="33">
        <v>0</v>
      </c>
      <c r="AX67" s="35" t="s">
        <v>1105</v>
      </c>
      <c r="AY67" s="33">
        <v>6</v>
      </c>
      <c r="AZ67" s="34" t="s">
        <v>729</v>
      </c>
      <c r="BA67" s="33" t="s">
        <v>224</v>
      </c>
      <c r="BB67" s="33">
        <v>50</v>
      </c>
      <c r="BC67" s="107" t="s">
        <v>21</v>
      </c>
      <c r="BD67" s="35" t="s">
        <v>21</v>
      </c>
      <c r="BE67" s="94" t="s">
        <v>21</v>
      </c>
      <c r="BF67" s="33">
        <v>40</v>
      </c>
      <c r="BG67" s="97">
        <v>2000</v>
      </c>
      <c r="BH67" s="97">
        <v>400</v>
      </c>
      <c r="BI67" s="33">
        <v>10046</v>
      </c>
      <c r="BJ67" s="33" t="s">
        <v>21</v>
      </c>
      <c r="BK67" s="33">
        <v>0</v>
      </c>
      <c r="BL67" s="33">
        <f>VLOOKUP(F67,Sheet3!$B$33:$F$37,5,0)</f>
        <v>100000</v>
      </c>
      <c r="BM67" s="33">
        <v>10</v>
      </c>
      <c r="BN67" s="67">
        <v>100</v>
      </c>
      <c r="BO67" s="68" t="s">
        <v>776</v>
      </c>
      <c r="BP67" s="68">
        <v>1146</v>
      </c>
      <c r="BQ67" s="33" t="s">
        <v>21</v>
      </c>
      <c r="BR67" s="33" t="s">
        <v>21</v>
      </c>
      <c r="BS67" s="68" t="e">
        <f>INT(MID(VLOOKUP($BO67,[1]Sheet1!$A:$C,3,0),9,5))</f>
        <v>#N/A</v>
      </c>
      <c r="BT67" s="68" t="str">
        <f t="shared" si="0"/>
        <v>shiren</v>
      </c>
      <c r="BU67" s="68" t="e">
        <f>MID(VLOOKUP($BS67,[2]Sheet1!$A:$C,3,0),3,IF(ISERROR(FIND(",",VLOOKUP($BS67,[2]Sheet1!$A:$C,3,0))),LEN(VLOOKUP($BS67,[2]Sheet1!$A:$C,3,0))-4,FIND(",",VLOOKUP($BS67,[2]Sheet1!$A:$C,3,0))-4))</f>
        <v>#N/A</v>
      </c>
      <c r="BV67" s="68" t="str">
        <f>IF(ISERROR(MID(VLOOKUP($BS67,[2]Sheet1!$A:$D,4,0),3,IF(ISERROR(FIND(",",VLOOKUP($BS67,[2]Sheet1!$A:$D,4,0))),LEN(VLOOKUP($BS67,[2]Sheet1!$A:$D,4,0))-4,FIND(",",VLOOKUP($BS67,[2]Sheet1!$A:$D,4,0))-4))),"[]",MID(VLOOKUP($BS67,[2]Sheet1!$A:$D,4,0),3,IF(ISERROR(FIND(",",VLOOKUP($BS67,[2]Sheet1!$A:$D,4,0))),LEN(VLOOKUP($BS67,[2]Sheet1!$A:$D,4,0))-4,FIND(",",VLOOKUP($BS67,[2]Sheet1!$A:$D,4,0))-4)))</f>
        <v>[]</v>
      </c>
      <c r="BW67" s="68" t="str">
        <f t="shared" si="1"/>
        <v>4-6</v>
      </c>
    </row>
    <row r="68" spans="1:75" s="62" customFormat="1" ht="16.5" customHeight="1">
      <c r="A68" s="33">
        <v>1147</v>
      </c>
      <c r="B68" s="33" t="s">
        <v>347</v>
      </c>
      <c r="C68" s="33" t="s">
        <v>205</v>
      </c>
      <c r="D68" s="33">
        <v>1</v>
      </c>
      <c r="E68" s="33">
        <v>4</v>
      </c>
      <c r="F68" s="33">
        <v>4</v>
      </c>
      <c r="G68" s="33">
        <v>4</v>
      </c>
      <c r="H68" s="33" t="s">
        <v>1123</v>
      </c>
      <c r="I68" s="33">
        <v>150</v>
      </c>
      <c r="J68" s="33" t="s">
        <v>209</v>
      </c>
      <c r="K68" s="33">
        <v>10</v>
      </c>
      <c r="L68" s="43" t="s">
        <v>404</v>
      </c>
      <c r="M68" s="33" t="s">
        <v>779</v>
      </c>
      <c r="N68" s="33" t="s">
        <v>613</v>
      </c>
      <c r="O68" s="33" t="s">
        <v>78</v>
      </c>
      <c r="P68" s="33" t="s">
        <v>614</v>
      </c>
      <c r="Q68" s="33">
        <v>1</v>
      </c>
      <c r="R68" s="33" t="s">
        <v>21</v>
      </c>
      <c r="S68" s="33" t="s">
        <v>21</v>
      </c>
      <c r="T68" s="33" t="s">
        <v>21</v>
      </c>
      <c r="U68" s="33">
        <v>2</v>
      </c>
      <c r="V68" s="33">
        <v>6</v>
      </c>
      <c r="W68" s="33">
        <f>VLOOKUP(F68,Sheet3!$B$33:$E$37,3,0)</f>
        <v>3</v>
      </c>
      <c r="X68" s="33">
        <f>VLOOKUP(F68,Sheet3!$B$33:$E$37,2,0)</f>
        <v>15</v>
      </c>
      <c r="Y68" s="33">
        <f>VLOOKUP(F68,Sheet3!$B$33:$E$37,4,0)</f>
        <v>8</v>
      </c>
      <c r="Z68" s="33">
        <v>1</v>
      </c>
      <c r="AA68" s="97">
        <v>0</v>
      </c>
      <c r="AB68" s="97">
        <v>0</v>
      </c>
      <c r="AC68" s="35">
        <v>3000</v>
      </c>
      <c r="AD68" s="35">
        <v>120</v>
      </c>
      <c r="AE68" s="35">
        <v>60</v>
      </c>
      <c r="AF68" s="35">
        <v>60</v>
      </c>
      <c r="AG68" s="33">
        <v>1</v>
      </c>
      <c r="AH68" s="33">
        <v>0</v>
      </c>
      <c r="AI68" s="33">
        <v>0</v>
      </c>
      <c r="AJ68" s="33">
        <v>0</v>
      </c>
      <c r="AK68" s="33">
        <v>0</v>
      </c>
      <c r="AL68" s="33">
        <v>0</v>
      </c>
      <c r="AM68" s="33">
        <v>1</v>
      </c>
      <c r="AN68" s="97">
        <v>0</v>
      </c>
      <c r="AO68" s="97">
        <v>0</v>
      </c>
      <c r="AP68" s="35">
        <v>300</v>
      </c>
      <c r="AQ68" s="35">
        <v>12</v>
      </c>
      <c r="AR68" s="35">
        <v>6</v>
      </c>
      <c r="AS68" s="35">
        <v>6</v>
      </c>
      <c r="AT68" s="33">
        <v>0</v>
      </c>
      <c r="AU68" s="33">
        <v>0</v>
      </c>
      <c r="AV68" s="33">
        <v>0</v>
      </c>
      <c r="AW68" s="33">
        <v>0</v>
      </c>
      <c r="AX68" s="35" t="s">
        <v>1105</v>
      </c>
      <c r="AY68" s="33">
        <v>6</v>
      </c>
      <c r="AZ68" s="34" t="s">
        <v>729</v>
      </c>
      <c r="BA68" s="33" t="s">
        <v>224</v>
      </c>
      <c r="BB68" s="33">
        <v>50</v>
      </c>
      <c r="BC68" s="107" t="s">
        <v>21</v>
      </c>
      <c r="BD68" s="35" t="s">
        <v>21</v>
      </c>
      <c r="BE68" s="94" t="s">
        <v>21</v>
      </c>
      <c r="BF68" s="33">
        <v>40</v>
      </c>
      <c r="BG68" s="97">
        <v>2000</v>
      </c>
      <c r="BH68" s="97">
        <v>400</v>
      </c>
      <c r="BI68" s="33">
        <v>10047</v>
      </c>
      <c r="BJ68" s="33" t="s">
        <v>21</v>
      </c>
      <c r="BK68" s="33">
        <v>0</v>
      </c>
      <c r="BL68" s="33">
        <f>VLOOKUP(F68,Sheet3!$B$33:$F$37,5,0)</f>
        <v>100000</v>
      </c>
      <c r="BM68" s="33">
        <v>10</v>
      </c>
      <c r="BN68" s="67">
        <v>100</v>
      </c>
      <c r="BO68" s="68" t="s">
        <v>776</v>
      </c>
      <c r="BP68" s="68">
        <v>1147</v>
      </c>
      <c r="BQ68" s="33" t="s">
        <v>21</v>
      </c>
      <c r="BR68" s="33" t="s">
        <v>21</v>
      </c>
      <c r="BS68" s="68" t="e">
        <f>INT(MID(VLOOKUP($BO68,[1]Sheet1!$A:$C,3,0),9,5))</f>
        <v>#N/A</v>
      </c>
      <c r="BT68" s="68" t="str">
        <f t="shared" si="0"/>
        <v>shiren</v>
      </c>
      <c r="BU68" s="68" t="e">
        <f>MID(VLOOKUP($BS68,[2]Sheet1!$A:$C,3,0),3,IF(ISERROR(FIND(",",VLOOKUP($BS68,[2]Sheet1!$A:$C,3,0))),LEN(VLOOKUP($BS68,[2]Sheet1!$A:$C,3,0))-4,FIND(",",VLOOKUP($BS68,[2]Sheet1!$A:$C,3,0))-4))</f>
        <v>#N/A</v>
      </c>
      <c r="BV68" s="68" t="str">
        <f>IF(ISERROR(MID(VLOOKUP($BS68,[2]Sheet1!$A:$D,4,0),3,IF(ISERROR(FIND(",",VLOOKUP($BS68,[2]Sheet1!$A:$D,4,0))),LEN(VLOOKUP($BS68,[2]Sheet1!$A:$D,4,0))-4,FIND(",",VLOOKUP($BS68,[2]Sheet1!$A:$D,4,0))-4))),"[]",MID(VLOOKUP($BS68,[2]Sheet1!$A:$D,4,0),3,IF(ISERROR(FIND(",",VLOOKUP($BS68,[2]Sheet1!$A:$D,4,0))),LEN(VLOOKUP($BS68,[2]Sheet1!$A:$D,4,0))-4,FIND(",",VLOOKUP($BS68,[2]Sheet1!$A:$D,4,0))-4)))</f>
        <v>[]</v>
      </c>
      <c r="BW68" s="68" t="str">
        <f t="shared" si="1"/>
        <v>4-6</v>
      </c>
    </row>
    <row r="69" spans="1:75" s="62" customFormat="1" ht="16.5" customHeight="1">
      <c r="A69" s="33">
        <v>1148</v>
      </c>
      <c r="B69" s="33" t="s">
        <v>348</v>
      </c>
      <c r="C69" s="33" t="s">
        <v>205</v>
      </c>
      <c r="D69" s="33">
        <v>1</v>
      </c>
      <c r="E69" s="33">
        <v>4</v>
      </c>
      <c r="F69" s="33">
        <v>4</v>
      </c>
      <c r="G69" s="33">
        <v>4</v>
      </c>
      <c r="H69" s="33" t="s">
        <v>1123</v>
      </c>
      <c r="I69" s="33">
        <v>150</v>
      </c>
      <c r="J69" s="33" t="s">
        <v>209</v>
      </c>
      <c r="K69" s="33">
        <v>10</v>
      </c>
      <c r="L69" s="43" t="s">
        <v>426</v>
      </c>
      <c r="M69" s="33" t="s">
        <v>779</v>
      </c>
      <c r="N69" s="33" t="s">
        <v>616</v>
      </c>
      <c r="O69" s="33" t="s">
        <v>78</v>
      </c>
      <c r="P69" s="33" t="s">
        <v>615</v>
      </c>
      <c r="Q69" s="33">
        <v>1</v>
      </c>
      <c r="R69" s="33" t="s">
        <v>21</v>
      </c>
      <c r="S69" s="33" t="s">
        <v>21</v>
      </c>
      <c r="T69" s="33" t="s">
        <v>21</v>
      </c>
      <c r="U69" s="33">
        <v>2</v>
      </c>
      <c r="V69" s="33">
        <v>6</v>
      </c>
      <c r="W69" s="33">
        <f>VLOOKUP(F69,Sheet3!$B$33:$E$37,3,0)</f>
        <v>3</v>
      </c>
      <c r="X69" s="33">
        <f>VLOOKUP(F69,Sheet3!$B$33:$E$37,2,0)</f>
        <v>15</v>
      </c>
      <c r="Y69" s="33">
        <f>VLOOKUP(F69,Sheet3!$B$33:$E$37,4,0)</f>
        <v>8</v>
      </c>
      <c r="Z69" s="33">
        <v>1</v>
      </c>
      <c r="AA69" s="97">
        <v>0</v>
      </c>
      <c r="AB69" s="97">
        <v>0</v>
      </c>
      <c r="AC69" s="35">
        <v>3000</v>
      </c>
      <c r="AD69" s="35">
        <v>120</v>
      </c>
      <c r="AE69" s="35">
        <v>60</v>
      </c>
      <c r="AF69" s="35">
        <v>60</v>
      </c>
      <c r="AG69" s="33">
        <v>1</v>
      </c>
      <c r="AH69" s="33">
        <v>0</v>
      </c>
      <c r="AI69" s="33">
        <v>0</v>
      </c>
      <c r="AJ69" s="33">
        <v>0</v>
      </c>
      <c r="AK69" s="33">
        <v>0</v>
      </c>
      <c r="AL69" s="33">
        <v>0</v>
      </c>
      <c r="AM69" s="33">
        <v>1</v>
      </c>
      <c r="AN69" s="97">
        <v>0</v>
      </c>
      <c r="AO69" s="97">
        <v>0</v>
      </c>
      <c r="AP69" s="35">
        <v>300</v>
      </c>
      <c r="AQ69" s="35">
        <v>12</v>
      </c>
      <c r="AR69" s="35">
        <v>6</v>
      </c>
      <c r="AS69" s="35">
        <v>6</v>
      </c>
      <c r="AT69" s="33">
        <v>0</v>
      </c>
      <c r="AU69" s="33">
        <v>0</v>
      </c>
      <c r="AV69" s="33">
        <v>0</v>
      </c>
      <c r="AW69" s="33">
        <v>0</v>
      </c>
      <c r="AX69" s="35" t="s">
        <v>1105</v>
      </c>
      <c r="AY69" s="33">
        <v>6</v>
      </c>
      <c r="AZ69" s="34" t="s">
        <v>729</v>
      </c>
      <c r="BA69" s="33" t="s">
        <v>224</v>
      </c>
      <c r="BB69" s="33">
        <v>50</v>
      </c>
      <c r="BC69" s="107" t="s">
        <v>21</v>
      </c>
      <c r="BD69" s="35" t="s">
        <v>21</v>
      </c>
      <c r="BE69" s="94" t="s">
        <v>21</v>
      </c>
      <c r="BF69" s="33">
        <v>40</v>
      </c>
      <c r="BG69" s="97">
        <v>2000</v>
      </c>
      <c r="BH69" s="97">
        <v>400</v>
      </c>
      <c r="BI69" s="33">
        <v>10048</v>
      </c>
      <c r="BJ69" s="33" t="s">
        <v>21</v>
      </c>
      <c r="BK69" s="33">
        <v>0</v>
      </c>
      <c r="BL69" s="33">
        <f>VLOOKUP(F69,Sheet3!$B$33:$F$37,5,0)</f>
        <v>100000</v>
      </c>
      <c r="BM69" s="33">
        <v>10</v>
      </c>
      <c r="BN69" s="67">
        <v>100</v>
      </c>
      <c r="BO69" s="68" t="s">
        <v>776</v>
      </c>
      <c r="BP69" s="68">
        <v>1148</v>
      </c>
      <c r="BQ69" s="33" t="s">
        <v>21</v>
      </c>
      <c r="BR69" s="33" t="s">
        <v>21</v>
      </c>
      <c r="BS69" s="68" t="e">
        <f>INT(MID(VLOOKUP($BO69,[1]Sheet1!$A:$C,3,0),9,5))</f>
        <v>#N/A</v>
      </c>
      <c r="BT69" s="68" t="str">
        <f t="shared" si="0"/>
        <v>shiren</v>
      </c>
      <c r="BU69" s="68" t="e">
        <f>MID(VLOOKUP($BS69,[2]Sheet1!$A:$C,3,0),3,IF(ISERROR(FIND(",",VLOOKUP($BS69,[2]Sheet1!$A:$C,3,0))),LEN(VLOOKUP($BS69,[2]Sheet1!$A:$C,3,0))-4,FIND(",",VLOOKUP($BS69,[2]Sheet1!$A:$C,3,0))-4))</f>
        <v>#N/A</v>
      </c>
      <c r="BV69" s="68" t="str">
        <f>IF(ISERROR(MID(VLOOKUP($BS69,[2]Sheet1!$A:$D,4,0),3,IF(ISERROR(FIND(",",VLOOKUP($BS69,[2]Sheet1!$A:$D,4,0))),LEN(VLOOKUP($BS69,[2]Sheet1!$A:$D,4,0))-4,FIND(",",VLOOKUP($BS69,[2]Sheet1!$A:$D,4,0))-4))),"[]",MID(VLOOKUP($BS69,[2]Sheet1!$A:$D,4,0),3,IF(ISERROR(FIND(",",VLOOKUP($BS69,[2]Sheet1!$A:$D,4,0))),LEN(VLOOKUP($BS69,[2]Sheet1!$A:$D,4,0))-4,FIND(",",VLOOKUP($BS69,[2]Sheet1!$A:$D,4,0))-4)))</f>
        <v>[]</v>
      </c>
      <c r="BW69" s="68" t="str">
        <f t="shared" ref="BW69:BW123" si="3">$G69&amp;"-"&amp;$V69</f>
        <v>4-6</v>
      </c>
    </row>
    <row r="70" spans="1:75" s="62" customFormat="1" ht="16.5" customHeight="1">
      <c r="A70" s="33">
        <v>1155</v>
      </c>
      <c r="B70" s="33" t="s">
        <v>344</v>
      </c>
      <c r="C70" s="33" t="s">
        <v>202</v>
      </c>
      <c r="D70" s="33">
        <v>1</v>
      </c>
      <c r="E70" s="33">
        <v>4</v>
      </c>
      <c r="F70" s="33">
        <v>2</v>
      </c>
      <c r="G70" s="33">
        <v>3</v>
      </c>
      <c r="H70" s="33" t="s">
        <v>1122</v>
      </c>
      <c r="I70" s="33">
        <v>150</v>
      </c>
      <c r="J70" s="33" t="s">
        <v>210</v>
      </c>
      <c r="K70" s="33">
        <v>10</v>
      </c>
      <c r="L70" s="43" t="s">
        <v>405</v>
      </c>
      <c r="M70" s="33" t="s">
        <v>779</v>
      </c>
      <c r="N70" s="33" t="s">
        <v>617</v>
      </c>
      <c r="O70" s="33" t="s">
        <v>78</v>
      </c>
      <c r="P70" s="33" t="s">
        <v>618</v>
      </c>
      <c r="Q70" s="33">
        <v>1</v>
      </c>
      <c r="R70" s="33" t="s">
        <v>21</v>
      </c>
      <c r="S70" s="33" t="s">
        <v>21</v>
      </c>
      <c r="T70" s="33" t="s">
        <v>21</v>
      </c>
      <c r="U70" s="33">
        <v>2</v>
      </c>
      <c r="V70" s="33">
        <v>6</v>
      </c>
      <c r="W70" s="33">
        <f>VLOOKUP(F70,Sheet3!$B$33:$E$37,3,0)</f>
        <v>9</v>
      </c>
      <c r="X70" s="33">
        <f>VLOOKUP(F70,Sheet3!$B$33:$E$37,2,0)</f>
        <v>15</v>
      </c>
      <c r="Y70" s="33">
        <f>VLOOKUP(F70,Sheet3!$B$33:$E$37,4,0)</f>
        <v>8</v>
      </c>
      <c r="Z70" s="33">
        <v>1</v>
      </c>
      <c r="AA70" s="97">
        <v>0</v>
      </c>
      <c r="AB70" s="97">
        <v>0</v>
      </c>
      <c r="AC70" s="35">
        <v>3000</v>
      </c>
      <c r="AD70" s="35">
        <v>120</v>
      </c>
      <c r="AE70" s="35">
        <v>60</v>
      </c>
      <c r="AF70" s="35">
        <v>60</v>
      </c>
      <c r="AG70" s="33">
        <v>1</v>
      </c>
      <c r="AH70" s="33">
        <v>0</v>
      </c>
      <c r="AI70" s="33">
        <v>0</v>
      </c>
      <c r="AJ70" s="33">
        <v>0</v>
      </c>
      <c r="AK70" s="33">
        <v>0</v>
      </c>
      <c r="AL70" s="33">
        <v>0</v>
      </c>
      <c r="AM70" s="33">
        <v>1</v>
      </c>
      <c r="AN70" s="97">
        <v>0</v>
      </c>
      <c r="AO70" s="97">
        <v>0</v>
      </c>
      <c r="AP70" s="35">
        <v>300</v>
      </c>
      <c r="AQ70" s="35">
        <v>12</v>
      </c>
      <c r="AR70" s="35">
        <v>6</v>
      </c>
      <c r="AS70" s="35">
        <v>6</v>
      </c>
      <c r="AT70" s="33">
        <v>0</v>
      </c>
      <c r="AU70" s="33">
        <v>0</v>
      </c>
      <c r="AV70" s="33">
        <v>0</v>
      </c>
      <c r="AW70" s="33">
        <v>0</v>
      </c>
      <c r="AX70" s="35" t="s">
        <v>1105</v>
      </c>
      <c r="AY70" s="33">
        <v>6</v>
      </c>
      <c r="AZ70" s="34" t="s">
        <v>731</v>
      </c>
      <c r="BA70" s="33" t="s">
        <v>224</v>
      </c>
      <c r="BB70" s="33">
        <v>50</v>
      </c>
      <c r="BC70" s="107" t="s">
        <v>21</v>
      </c>
      <c r="BD70" s="35" t="s">
        <v>21</v>
      </c>
      <c r="BE70" s="94" t="s">
        <v>21</v>
      </c>
      <c r="BF70" s="33">
        <v>40</v>
      </c>
      <c r="BG70" s="97">
        <v>2000</v>
      </c>
      <c r="BH70" s="97">
        <v>400</v>
      </c>
      <c r="BI70" s="33">
        <v>10055</v>
      </c>
      <c r="BJ70" s="33" t="s">
        <v>21</v>
      </c>
      <c r="BK70" s="33">
        <v>0</v>
      </c>
      <c r="BL70" s="33">
        <f>VLOOKUP(F70,Sheet3!$B$33:$F$37,5,0)</f>
        <v>10000</v>
      </c>
      <c r="BM70" s="33">
        <v>1</v>
      </c>
      <c r="BN70" s="67">
        <v>100</v>
      </c>
      <c r="BO70" s="68" t="s">
        <v>776</v>
      </c>
      <c r="BP70" s="68">
        <v>1155</v>
      </c>
      <c r="BQ70" s="33" t="s">
        <v>21</v>
      </c>
      <c r="BR70" s="33" t="s">
        <v>21</v>
      </c>
      <c r="BS70" s="68" t="e">
        <f>INT(MID(VLOOKUP($BO70,[1]Sheet1!$A:$C,3,0),9,5))</f>
        <v>#N/A</v>
      </c>
      <c r="BT70" s="68" t="str">
        <f t="shared" si="0"/>
        <v>mangjing</v>
      </c>
      <c r="BU70" s="68" t="e">
        <f>MID(VLOOKUP($BS70,[2]Sheet1!$A:$C,3,0),3,IF(ISERROR(FIND(",",VLOOKUP($BS70,[2]Sheet1!$A:$C,3,0))),LEN(VLOOKUP($BS70,[2]Sheet1!$A:$C,3,0))-4,FIND(",",VLOOKUP($BS70,[2]Sheet1!$A:$C,3,0))-4))</f>
        <v>#N/A</v>
      </c>
      <c r="BV70" s="68" t="str">
        <f>IF(ISERROR(MID(VLOOKUP($BS70,[2]Sheet1!$A:$D,4,0),3,IF(ISERROR(FIND(",",VLOOKUP($BS70,[2]Sheet1!$A:$D,4,0))),LEN(VLOOKUP($BS70,[2]Sheet1!$A:$D,4,0))-4,FIND(",",VLOOKUP($BS70,[2]Sheet1!$A:$D,4,0))-4))),"[]",MID(VLOOKUP($BS70,[2]Sheet1!$A:$D,4,0),3,IF(ISERROR(FIND(",",VLOOKUP($BS70,[2]Sheet1!$A:$D,4,0))),LEN(VLOOKUP($BS70,[2]Sheet1!$A:$D,4,0))-4,FIND(",",VLOOKUP($BS70,[2]Sheet1!$A:$D,4,0))-4)))</f>
        <v>[]</v>
      </c>
      <c r="BW70" s="68" t="str">
        <f t="shared" si="3"/>
        <v>3-6</v>
      </c>
    </row>
    <row r="71" spans="1:75" s="62" customFormat="1" ht="16.5" customHeight="1">
      <c r="A71" s="33">
        <v>1156</v>
      </c>
      <c r="B71" s="33" t="s">
        <v>345</v>
      </c>
      <c r="C71" s="33" t="s">
        <v>202</v>
      </c>
      <c r="D71" s="33">
        <v>1</v>
      </c>
      <c r="E71" s="33">
        <v>4</v>
      </c>
      <c r="F71" s="33">
        <v>2</v>
      </c>
      <c r="G71" s="33">
        <v>3</v>
      </c>
      <c r="H71" s="33" t="s">
        <v>1122</v>
      </c>
      <c r="I71" s="33">
        <v>150</v>
      </c>
      <c r="J71" s="33" t="s">
        <v>210</v>
      </c>
      <c r="K71" s="33">
        <v>10</v>
      </c>
      <c r="L71" s="43" t="s">
        <v>409</v>
      </c>
      <c r="M71" s="33" t="s">
        <v>779</v>
      </c>
      <c r="N71" s="33" t="s">
        <v>620</v>
      </c>
      <c r="O71" s="33" t="s">
        <v>78</v>
      </c>
      <c r="P71" s="33" t="s">
        <v>619</v>
      </c>
      <c r="Q71" s="33">
        <v>1</v>
      </c>
      <c r="R71" s="33" t="s">
        <v>21</v>
      </c>
      <c r="S71" s="33" t="s">
        <v>21</v>
      </c>
      <c r="T71" s="33" t="s">
        <v>21</v>
      </c>
      <c r="U71" s="33">
        <v>2</v>
      </c>
      <c r="V71" s="33">
        <v>6</v>
      </c>
      <c r="W71" s="33">
        <f>VLOOKUP(F71,Sheet3!$B$33:$E$37,3,0)</f>
        <v>9</v>
      </c>
      <c r="X71" s="33">
        <f>VLOOKUP(F71,Sheet3!$B$33:$E$37,2,0)</f>
        <v>15</v>
      </c>
      <c r="Y71" s="33">
        <f>VLOOKUP(F71,Sheet3!$B$33:$E$37,4,0)</f>
        <v>8</v>
      </c>
      <c r="Z71" s="33">
        <v>1</v>
      </c>
      <c r="AA71" s="97">
        <v>0</v>
      </c>
      <c r="AB71" s="97">
        <v>0</v>
      </c>
      <c r="AC71" s="35">
        <v>3000</v>
      </c>
      <c r="AD71" s="35">
        <v>120</v>
      </c>
      <c r="AE71" s="35">
        <v>60</v>
      </c>
      <c r="AF71" s="35">
        <v>60</v>
      </c>
      <c r="AG71" s="33">
        <v>1</v>
      </c>
      <c r="AH71" s="33">
        <v>0</v>
      </c>
      <c r="AI71" s="33">
        <v>0</v>
      </c>
      <c r="AJ71" s="33">
        <v>0</v>
      </c>
      <c r="AK71" s="33">
        <v>0</v>
      </c>
      <c r="AL71" s="33">
        <v>0</v>
      </c>
      <c r="AM71" s="33">
        <v>1</v>
      </c>
      <c r="AN71" s="97">
        <v>0</v>
      </c>
      <c r="AO71" s="97">
        <v>0</v>
      </c>
      <c r="AP71" s="35">
        <v>300</v>
      </c>
      <c r="AQ71" s="35">
        <v>12</v>
      </c>
      <c r="AR71" s="35">
        <v>6</v>
      </c>
      <c r="AS71" s="35">
        <v>6</v>
      </c>
      <c r="AT71" s="33">
        <v>0</v>
      </c>
      <c r="AU71" s="33">
        <v>0</v>
      </c>
      <c r="AV71" s="33">
        <v>0</v>
      </c>
      <c r="AW71" s="33">
        <v>0</v>
      </c>
      <c r="AX71" s="35" t="s">
        <v>1105</v>
      </c>
      <c r="AY71" s="33">
        <v>6</v>
      </c>
      <c r="AZ71" s="34" t="s">
        <v>731</v>
      </c>
      <c r="BA71" s="33" t="s">
        <v>224</v>
      </c>
      <c r="BB71" s="33">
        <v>50</v>
      </c>
      <c r="BC71" s="107" t="s">
        <v>21</v>
      </c>
      <c r="BD71" s="35" t="s">
        <v>21</v>
      </c>
      <c r="BE71" s="94" t="s">
        <v>21</v>
      </c>
      <c r="BF71" s="33">
        <v>40</v>
      </c>
      <c r="BG71" s="97">
        <v>2000</v>
      </c>
      <c r="BH71" s="97">
        <v>400</v>
      </c>
      <c r="BI71" s="33">
        <v>10056</v>
      </c>
      <c r="BJ71" s="33" t="s">
        <v>21</v>
      </c>
      <c r="BK71" s="33">
        <v>0</v>
      </c>
      <c r="BL71" s="33">
        <f>VLOOKUP(F71,Sheet3!$B$33:$F$37,5,0)</f>
        <v>10000</v>
      </c>
      <c r="BM71" s="33">
        <v>1</v>
      </c>
      <c r="BN71" s="67">
        <v>100</v>
      </c>
      <c r="BO71" s="68" t="s">
        <v>776</v>
      </c>
      <c r="BP71" s="68">
        <v>1156</v>
      </c>
      <c r="BQ71" s="33" t="s">
        <v>21</v>
      </c>
      <c r="BR71" s="33" t="s">
        <v>21</v>
      </c>
      <c r="BS71" s="68" t="e">
        <f>INT(MID(VLOOKUP($BO71,[1]Sheet1!$A:$C,3,0),9,5))</f>
        <v>#N/A</v>
      </c>
      <c r="BT71" s="68" t="str">
        <f t="shared" ref="BT71:BT123" si="4">LEFT($P71,FIND("_",$P71)-1)</f>
        <v>mangjing</v>
      </c>
      <c r="BU71" s="68" t="e">
        <f>MID(VLOOKUP($BS71,[2]Sheet1!$A:$C,3,0),3,IF(ISERROR(FIND(",",VLOOKUP($BS71,[2]Sheet1!$A:$C,3,0))),LEN(VLOOKUP($BS71,[2]Sheet1!$A:$C,3,0))-4,FIND(",",VLOOKUP($BS71,[2]Sheet1!$A:$C,3,0))-4))</f>
        <v>#N/A</v>
      </c>
      <c r="BV71" s="68" t="str">
        <f>IF(ISERROR(MID(VLOOKUP($BS71,[2]Sheet1!$A:$D,4,0),3,IF(ISERROR(FIND(",",VLOOKUP($BS71,[2]Sheet1!$A:$D,4,0))),LEN(VLOOKUP($BS71,[2]Sheet1!$A:$D,4,0))-4,FIND(",",VLOOKUP($BS71,[2]Sheet1!$A:$D,4,0))-4))),"[]",MID(VLOOKUP($BS71,[2]Sheet1!$A:$D,4,0),3,IF(ISERROR(FIND(",",VLOOKUP($BS71,[2]Sheet1!$A:$D,4,0))),LEN(VLOOKUP($BS71,[2]Sheet1!$A:$D,4,0))-4,FIND(",",VLOOKUP($BS71,[2]Sheet1!$A:$D,4,0))-4)))</f>
        <v>[]</v>
      </c>
      <c r="BW71" s="68" t="str">
        <f t="shared" si="3"/>
        <v>3-6</v>
      </c>
    </row>
    <row r="72" spans="1:75" s="62" customFormat="1" ht="16.5" customHeight="1">
      <c r="A72" s="33">
        <v>1157</v>
      </c>
      <c r="B72" s="33" t="s">
        <v>353</v>
      </c>
      <c r="C72" s="33" t="s">
        <v>201</v>
      </c>
      <c r="D72" s="33">
        <v>1</v>
      </c>
      <c r="E72" s="33">
        <v>4</v>
      </c>
      <c r="F72" s="33">
        <v>3</v>
      </c>
      <c r="G72" s="33">
        <v>3</v>
      </c>
      <c r="H72" s="33" t="s">
        <v>1122</v>
      </c>
      <c r="I72" s="33">
        <v>150</v>
      </c>
      <c r="J72" s="33" t="s">
        <v>217</v>
      </c>
      <c r="K72" s="33">
        <v>10</v>
      </c>
      <c r="L72" s="43" t="s">
        <v>410</v>
      </c>
      <c r="M72" s="33" t="s">
        <v>779</v>
      </c>
      <c r="N72" s="33" t="s">
        <v>621</v>
      </c>
      <c r="O72" s="33" t="s">
        <v>78</v>
      </c>
      <c r="P72" s="33" t="s">
        <v>622</v>
      </c>
      <c r="Q72" s="33">
        <v>1</v>
      </c>
      <c r="R72" s="33" t="s">
        <v>21</v>
      </c>
      <c r="S72" s="33" t="s">
        <v>21</v>
      </c>
      <c r="T72" s="33" t="s">
        <v>21</v>
      </c>
      <c r="U72" s="33">
        <v>2</v>
      </c>
      <c r="V72" s="33">
        <v>6</v>
      </c>
      <c r="W72" s="33">
        <f>VLOOKUP(F72,Sheet3!$B$33:$E$37,3,0)</f>
        <v>5</v>
      </c>
      <c r="X72" s="33">
        <f>VLOOKUP(F72,Sheet3!$B$33:$E$37,2,0)</f>
        <v>15</v>
      </c>
      <c r="Y72" s="33">
        <f>VLOOKUP(F72,Sheet3!$B$33:$E$37,4,0)</f>
        <v>8</v>
      </c>
      <c r="Z72" s="33">
        <v>1</v>
      </c>
      <c r="AA72" s="97">
        <v>0</v>
      </c>
      <c r="AB72" s="97">
        <v>0</v>
      </c>
      <c r="AC72" s="35">
        <v>3000</v>
      </c>
      <c r="AD72" s="35">
        <v>120</v>
      </c>
      <c r="AE72" s="35">
        <v>60</v>
      </c>
      <c r="AF72" s="35">
        <v>60</v>
      </c>
      <c r="AG72" s="33">
        <v>1</v>
      </c>
      <c r="AH72" s="33">
        <v>0</v>
      </c>
      <c r="AI72" s="33">
        <v>0</v>
      </c>
      <c r="AJ72" s="33">
        <v>0</v>
      </c>
      <c r="AK72" s="33">
        <v>0</v>
      </c>
      <c r="AL72" s="33">
        <v>0</v>
      </c>
      <c r="AM72" s="33">
        <v>1</v>
      </c>
      <c r="AN72" s="97">
        <v>0</v>
      </c>
      <c r="AO72" s="97">
        <v>0</v>
      </c>
      <c r="AP72" s="35">
        <v>300</v>
      </c>
      <c r="AQ72" s="35">
        <v>12</v>
      </c>
      <c r="AR72" s="35">
        <v>6</v>
      </c>
      <c r="AS72" s="35">
        <v>6</v>
      </c>
      <c r="AT72" s="33">
        <v>0</v>
      </c>
      <c r="AU72" s="33">
        <v>0</v>
      </c>
      <c r="AV72" s="33">
        <v>0</v>
      </c>
      <c r="AW72" s="33">
        <v>0</v>
      </c>
      <c r="AX72" s="35" t="s">
        <v>1105</v>
      </c>
      <c r="AY72" s="33">
        <v>6</v>
      </c>
      <c r="AZ72" s="34" t="s">
        <v>730</v>
      </c>
      <c r="BA72" s="33" t="s">
        <v>224</v>
      </c>
      <c r="BB72" s="33">
        <v>50</v>
      </c>
      <c r="BC72" s="107" t="s">
        <v>21</v>
      </c>
      <c r="BD72" s="35" t="s">
        <v>21</v>
      </c>
      <c r="BE72" s="94" t="s">
        <v>21</v>
      </c>
      <c r="BF72" s="33">
        <v>40</v>
      </c>
      <c r="BG72" s="97">
        <v>2000</v>
      </c>
      <c r="BH72" s="97">
        <v>400</v>
      </c>
      <c r="BI72" s="33">
        <v>10057</v>
      </c>
      <c r="BJ72" s="33" t="s">
        <v>21</v>
      </c>
      <c r="BK72" s="33">
        <v>0</v>
      </c>
      <c r="BL72" s="33">
        <f>VLOOKUP(F72,Sheet3!$B$33:$F$37,5,0)</f>
        <v>50000</v>
      </c>
      <c r="BM72" s="33">
        <v>1.5</v>
      </c>
      <c r="BN72" s="67">
        <v>100</v>
      </c>
      <c r="BO72" s="68" t="s">
        <v>776</v>
      </c>
      <c r="BP72" s="68">
        <v>1157</v>
      </c>
      <c r="BQ72" s="33" t="s">
        <v>21</v>
      </c>
      <c r="BR72" s="33" t="s">
        <v>21</v>
      </c>
      <c r="BS72" s="68" t="e">
        <f>INT(MID(VLOOKUP($BO72,[1]Sheet1!$A:$C,3,0),9,5))</f>
        <v>#N/A</v>
      </c>
      <c r="BT72" s="68" t="str">
        <f t="shared" si="4"/>
        <v>huli</v>
      </c>
      <c r="BU72" s="68" t="e">
        <f>MID(VLOOKUP($BS72,[2]Sheet1!$A:$C,3,0),3,IF(ISERROR(FIND(",",VLOOKUP($BS72,[2]Sheet1!$A:$C,3,0))),LEN(VLOOKUP($BS72,[2]Sheet1!$A:$C,3,0))-4,FIND(",",VLOOKUP($BS72,[2]Sheet1!$A:$C,3,0))-4))</f>
        <v>#N/A</v>
      </c>
      <c r="BV72" s="68" t="str">
        <f>IF(ISERROR(MID(VLOOKUP($BS72,[2]Sheet1!$A:$D,4,0),3,IF(ISERROR(FIND(",",VLOOKUP($BS72,[2]Sheet1!$A:$D,4,0))),LEN(VLOOKUP($BS72,[2]Sheet1!$A:$D,4,0))-4,FIND(",",VLOOKUP($BS72,[2]Sheet1!$A:$D,4,0))-4))),"[]",MID(VLOOKUP($BS72,[2]Sheet1!$A:$D,4,0),3,IF(ISERROR(FIND(",",VLOOKUP($BS72,[2]Sheet1!$A:$D,4,0))),LEN(VLOOKUP($BS72,[2]Sheet1!$A:$D,4,0))-4,FIND(",",VLOOKUP($BS72,[2]Sheet1!$A:$D,4,0))-4)))</f>
        <v>[]</v>
      </c>
      <c r="BW72" s="68" t="str">
        <f t="shared" si="3"/>
        <v>3-6</v>
      </c>
    </row>
    <row r="73" spans="1:75" s="62" customFormat="1" ht="16.5" customHeight="1">
      <c r="A73" s="33">
        <v>1158</v>
      </c>
      <c r="B73" s="33" t="s">
        <v>354</v>
      </c>
      <c r="C73" s="33" t="s">
        <v>201</v>
      </c>
      <c r="D73" s="33">
        <v>1</v>
      </c>
      <c r="E73" s="33">
        <v>4</v>
      </c>
      <c r="F73" s="33">
        <v>3</v>
      </c>
      <c r="G73" s="33">
        <v>3</v>
      </c>
      <c r="H73" s="33" t="s">
        <v>1122</v>
      </c>
      <c r="I73" s="33">
        <v>150</v>
      </c>
      <c r="J73" s="33" t="s">
        <v>217</v>
      </c>
      <c r="K73" s="33">
        <v>10</v>
      </c>
      <c r="L73" s="43" t="s">
        <v>415</v>
      </c>
      <c r="M73" s="33" t="s">
        <v>779</v>
      </c>
      <c r="N73" s="33" t="s">
        <v>623</v>
      </c>
      <c r="O73" s="33" t="s">
        <v>78</v>
      </c>
      <c r="P73" s="33" t="s">
        <v>624</v>
      </c>
      <c r="Q73" s="33">
        <v>1</v>
      </c>
      <c r="R73" s="33" t="s">
        <v>21</v>
      </c>
      <c r="S73" s="33" t="s">
        <v>21</v>
      </c>
      <c r="T73" s="33" t="s">
        <v>21</v>
      </c>
      <c r="U73" s="33">
        <v>2</v>
      </c>
      <c r="V73" s="33">
        <v>6</v>
      </c>
      <c r="W73" s="33">
        <f>VLOOKUP(F73,Sheet3!$B$33:$E$37,3,0)</f>
        <v>5</v>
      </c>
      <c r="X73" s="33">
        <f>VLOOKUP(F73,Sheet3!$B$33:$E$37,2,0)</f>
        <v>15</v>
      </c>
      <c r="Y73" s="33">
        <f>VLOOKUP(F73,Sheet3!$B$33:$E$37,4,0)</f>
        <v>8</v>
      </c>
      <c r="Z73" s="33">
        <v>1</v>
      </c>
      <c r="AA73" s="97">
        <v>0</v>
      </c>
      <c r="AB73" s="97">
        <v>0</v>
      </c>
      <c r="AC73" s="35">
        <v>3000</v>
      </c>
      <c r="AD73" s="35">
        <v>120</v>
      </c>
      <c r="AE73" s="35">
        <v>60</v>
      </c>
      <c r="AF73" s="35">
        <v>60</v>
      </c>
      <c r="AG73" s="33">
        <v>1</v>
      </c>
      <c r="AH73" s="33">
        <v>0</v>
      </c>
      <c r="AI73" s="33">
        <v>0</v>
      </c>
      <c r="AJ73" s="33">
        <v>0</v>
      </c>
      <c r="AK73" s="33">
        <v>0</v>
      </c>
      <c r="AL73" s="33">
        <v>0</v>
      </c>
      <c r="AM73" s="33">
        <v>1</v>
      </c>
      <c r="AN73" s="97">
        <v>0</v>
      </c>
      <c r="AO73" s="97">
        <v>0</v>
      </c>
      <c r="AP73" s="35">
        <v>300</v>
      </c>
      <c r="AQ73" s="35">
        <v>12</v>
      </c>
      <c r="AR73" s="35">
        <v>6</v>
      </c>
      <c r="AS73" s="35">
        <v>6</v>
      </c>
      <c r="AT73" s="33">
        <v>0</v>
      </c>
      <c r="AU73" s="33">
        <v>0</v>
      </c>
      <c r="AV73" s="33">
        <v>0</v>
      </c>
      <c r="AW73" s="33">
        <v>0</v>
      </c>
      <c r="AX73" s="35" t="s">
        <v>1105</v>
      </c>
      <c r="AY73" s="33">
        <v>6</v>
      </c>
      <c r="AZ73" s="34" t="s">
        <v>730</v>
      </c>
      <c r="BA73" s="33" t="s">
        <v>224</v>
      </c>
      <c r="BB73" s="33">
        <v>50</v>
      </c>
      <c r="BC73" s="107" t="s">
        <v>21</v>
      </c>
      <c r="BD73" s="35" t="s">
        <v>21</v>
      </c>
      <c r="BE73" s="94" t="s">
        <v>21</v>
      </c>
      <c r="BF73" s="33">
        <v>40</v>
      </c>
      <c r="BG73" s="97">
        <v>2000</v>
      </c>
      <c r="BH73" s="97">
        <v>400</v>
      </c>
      <c r="BI73" s="33">
        <v>10058</v>
      </c>
      <c r="BJ73" s="33" t="s">
        <v>21</v>
      </c>
      <c r="BK73" s="33">
        <v>0</v>
      </c>
      <c r="BL73" s="33">
        <f>VLOOKUP(F73,Sheet3!$B$33:$F$37,5,0)</f>
        <v>50000</v>
      </c>
      <c r="BM73" s="33">
        <v>1.5</v>
      </c>
      <c r="BN73" s="67">
        <v>100</v>
      </c>
      <c r="BO73" s="68" t="s">
        <v>776</v>
      </c>
      <c r="BP73" s="68">
        <v>1158</v>
      </c>
      <c r="BQ73" s="33" t="s">
        <v>21</v>
      </c>
      <c r="BR73" s="33" t="s">
        <v>21</v>
      </c>
      <c r="BS73" s="68" t="e">
        <f>INT(MID(VLOOKUP($BO73,[1]Sheet1!$A:$C,3,0),9,5))</f>
        <v>#N/A</v>
      </c>
      <c r="BT73" s="68" t="str">
        <f t="shared" si="4"/>
        <v>huli</v>
      </c>
      <c r="BU73" s="68" t="e">
        <f>MID(VLOOKUP($BS73,[2]Sheet1!$A:$C,3,0),3,IF(ISERROR(FIND(",",VLOOKUP($BS73,[2]Sheet1!$A:$C,3,0))),LEN(VLOOKUP($BS73,[2]Sheet1!$A:$C,3,0))-4,FIND(",",VLOOKUP($BS73,[2]Sheet1!$A:$C,3,0))-4))</f>
        <v>#N/A</v>
      </c>
      <c r="BV73" s="68" t="str">
        <f>IF(ISERROR(MID(VLOOKUP($BS73,[2]Sheet1!$A:$D,4,0),3,IF(ISERROR(FIND(",",VLOOKUP($BS73,[2]Sheet1!$A:$D,4,0))),LEN(VLOOKUP($BS73,[2]Sheet1!$A:$D,4,0))-4,FIND(",",VLOOKUP($BS73,[2]Sheet1!$A:$D,4,0))-4))),"[]",MID(VLOOKUP($BS73,[2]Sheet1!$A:$D,4,0),3,IF(ISERROR(FIND(",",VLOOKUP($BS73,[2]Sheet1!$A:$D,4,0))),LEN(VLOOKUP($BS73,[2]Sheet1!$A:$D,4,0))-4,FIND(",",VLOOKUP($BS73,[2]Sheet1!$A:$D,4,0))-4)))</f>
        <v>[]</v>
      </c>
      <c r="BW73" s="68" t="str">
        <f t="shared" si="3"/>
        <v>3-6</v>
      </c>
    </row>
    <row r="74" spans="1:75" s="62" customFormat="1" ht="16.5" customHeight="1">
      <c r="A74" s="33">
        <v>1159</v>
      </c>
      <c r="B74" s="33" t="s">
        <v>355</v>
      </c>
      <c r="C74" s="33" t="s">
        <v>201</v>
      </c>
      <c r="D74" s="33">
        <v>1</v>
      </c>
      <c r="E74" s="33">
        <v>4</v>
      </c>
      <c r="F74" s="33">
        <v>3</v>
      </c>
      <c r="G74" s="33">
        <v>3</v>
      </c>
      <c r="H74" s="33" t="s">
        <v>1122</v>
      </c>
      <c r="I74" s="33">
        <v>150</v>
      </c>
      <c r="J74" s="33" t="s">
        <v>217</v>
      </c>
      <c r="K74" s="33">
        <v>10</v>
      </c>
      <c r="L74" s="43" t="s">
        <v>420</v>
      </c>
      <c r="M74" s="33" t="s">
        <v>779</v>
      </c>
      <c r="N74" s="33" t="s">
        <v>626</v>
      </c>
      <c r="O74" s="33" t="s">
        <v>78</v>
      </c>
      <c r="P74" s="33" t="s">
        <v>625</v>
      </c>
      <c r="Q74" s="33">
        <v>1</v>
      </c>
      <c r="R74" s="33" t="s">
        <v>21</v>
      </c>
      <c r="S74" s="33" t="s">
        <v>21</v>
      </c>
      <c r="T74" s="33" t="s">
        <v>21</v>
      </c>
      <c r="U74" s="33">
        <v>2</v>
      </c>
      <c r="V74" s="33">
        <v>6</v>
      </c>
      <c r="W74" s="33">
        <f>VLOOKUP(F74,Sheet3!$B$33:$E$37,3,0)</f>
        <v>5</v>
      </c>
      <c r="X74" s="33">
        <f>VLOOKUP(F74,Sheet3!$B$33:$E$37,2,0)</f>
        <v>15</v>
      </c>
      <c r="Y74" s="33">
        <f>VLOOKUP(F74,Sheet3!$B$33:$E$37,4,0)</f>
        <v>8</v>
      </c>
      <c r="Z74" s="33">
        <v>1</v>
      </c>
      <c r="AA74" s="97">
        <v>0</v>
      </c>
      <c r="AB74" s="97">
        <v>0</v>
      </c>
      <c r="AC74" s="35">
        <v>3000</v>
      </c>
      <c r="AD74" s="35">
        <v>120</v>
      </c>
      <c r="AE74" s="35">
        <v>60</v>
      </c>
      <c r="AF74" s="35">
        <v>60</v>
      </c>
      <c r="AG74" s="33">
        <v>1</v>
      </c>
      <c r="AH74" s="33">
        <v>0</v>
      </c>
      <c r="AI74" s="33">
        <v>0</v>
      </c>
      <c r="AJ74" s="33">
        <v>0</v>
      </c>
      <c r="AK74" s="33">
        <v>0</v>
      </c>
      <c r="AL74" s="33">
        <v>0</v>
      </c>
      <c r="AM74" s="33">
        <v>1</v>
      </c>
      <c r="AN74" s="97">
        <v>0</v>
      </c>
      <c r="AO74" s="97">
        <v>0</v>
      </c>
      <c r="AP74" s="35">
        <v>300</v>
      </c>
      <c r="AQ74" s="35">
        <v>12</v>
      </c>
      <c r="AR74" s="35">
        <v>6</v>
      </c>
      <c r="AS74" s="35">
        <v>6</v>
      </c>
      <c r="AT74" s="33">
        <v>0</v>
      </c>
      <c r="AU74" s="33">
        <v>0</v>
      </c>
      <c r="AV74" s="33">
        <v>0</v>
      </c>
      <c r="AW74" s="33">
        <v>0</v>
      </c>
      <c r="AX74" s="35" t="s">
        <v>1105</v>
      </c>
      <c r="AY74" s="33">
        <v>6</v>
      </c>
      <c r="AZ74" s="34" t="s">
        <v>730</v>
      </c>
      <c r="BA74" s="33" t="s">
        <v>224</v>
      </c>
      <c r="BB74" s="33">
        <v>50</v>
      </c>
      <c r="BC74" s="107" t="s">
        <v>21</v>
      </c>
      <c r="BD74" s="35" t="s">
        <v>21</v>
      </c>
      <c r="BE74" s="94" t="s">
        <v>21</v>
      </c>
      <c r="BF74" s="33">
        <v>40</v>
      </c>
      <c r="BG74" s="97">
        <v>2000</v>
      </c>
      <c r="BH74" s="97">
        <v>400</v>
      </c>
      <c r="BI74" s="33">
        <v>10059</v>
      </c>
      <c r="BJ74" s="33" t="s">
        <v>21</v>
      </c>
      <c r="BK74" s="33">
        <v>0</v>
      </c>
      <c r="BL74" s="33">
        <f>VLOOKUP(F74,Sheet3!$B$33:$F$37,5,0)</f>
        <v>50000</v>
      </c>
      <c r="BM74" s="33">
        <v>1.5</v>
      </c>
      <c r="BN74" s="67">
        <v>100</v>
      </c>
      <c r="BO74" s="68" t="s">
        <v>776</v>
      </c>
      <c r="BP74" s="68">
        <v>1159</v>
      </c>
      <c r="BQ74" s="33" t="s">
        <v>21</v>
      </c>
      <c r="BR74" s="33" t="s">
        <v>21</v>
      </c>
      <c r="BS74" s="68" t="e">
        <f>INT(MID(VLOOKUP($BO74,[1]Sheet1!$A:$C,3,0),9,5))</f>
        <v>#N/A</v>
      </c>
      <c r="BT74" s="68" t="str">
        <f t="shared" si="4"/>
        <v>huli</v>
      </c>
      <c r="BU74" s="68" t="e">
        <f>MID(VLOOKUP($BS74,[2]Sheet1!$A:$C,3,0),3,IF(ISERROR(FIND(",",VLOOKUP($BS74,[2]Sheet1!$A:$C,3,0))),LEN(VLOOKUP($BS74,[2]Sheet1!$A:$C,3,0))-4,FIND(",",VLOOKUP($BS74,[2]Sheet1!$A:$C,3,0))-4))</f>
        <v>#N/A</v>
      </c>
      <c r="BV74" s="68" t="str">
        <f>IF(ISERROR(MID(VLOOKUP($BS74,[2]Sheet1!$A:$D,4,0),3,IF(ISERROR(FIND(",",VLOOKUP($BS74,[2]Sheet1!$A:$D,4,0))),LEN(VLOOKUP($BS74,[2]Sheet1!$A:$D,4,0))-4,FIND(",",VLOOKUP($BS74,[2]Sheet1!$A:$D,4,0))-4))),"[]",MID(VLOOKUP($BS74,[2]Sheet1!$A:$D,4,0),3,IF(ISERROR(FIND(",",VLOOKUP($BS74,[2]Sheet1!$A:$D,4,0))),LEN(VLOOKUP($BS74,[2]Sheet1!$A:$D,4,0))-4,FIND(",",VLOOKUP($BS74,[2]Sheet1!$A:$D,4,0))-4)))</f>
        <v>[]</v>
      </c>
      <c r="BW74" s="68" t="str">
        <f t="shared" si="3"/>
        <v>3-6</v>
      </c>
    </row>
    <row r="75" spans="1:75" s="62" customFormat="1" ht="16.5" customHeight="1">
      <c r="A75" s="33">
        <v>1162</v>
      </c>
      <c r="B75" s="33" t="s">
        <v>178</v>
      </c>
      <c r="C75" s="33" t="s">
        <v>200</v>
      </c>
      <c r="D75" s="33">
        <v>1</v>
      </c>
      <c r="E75" s="33">
        <v>4</v>
      </c>
      <c r="F75" s="33">
        <v>2</v>
      </c>
      <c r="G75" s="33">
        <v>2</v>
      </c>
      <c r="H75" s="33" t="s">
        <v>1124</v>
      </c>
      <c r="I75" s="33">
        <v>150</v>
      </c>
      <c r="J75" s="33" t="s">
        <v>211</v>
      </c>
      <c r="K75" s="33">
        <v>10</v>
      </c>
      <c r="L75" s="43" t="s">
        <v>407</v>
      </c>
      <c r="M75" s="33" t="s">
        <v>779</v>
      </c>
      <c r="N75" s="33" t="s">
        <v>851</v>
      </c>
      <c r="O75" s="33" t="s">
        <v>78</v>
      </c>
      <c r="P75" s="33" t="s">
        <v>628</v>
      </c>
      <c r="Q75" s="33">
        <v>1</v>
      </c>
      <c r="R75" s="33" t="s">
        <v>21</v>
      </c>
      <c r="S75" s="33" t="s">
        <v>21</v>
      </c>
      <c r="T75" s="33" t="s">
        <v>21</v>
      </c>
      <c r="U75" s="33">
        <v>2</v>
      </c>
      <c r="V75" s="33">
        <v>6</v>
      </c>
      <c r="W75" s="33">
        <f>VLOOKUP(F75,Sheet3!$B$33:$E$37,3,0)</f>
        <v>9</v>
      </c>
      <c r="X75" s="33">
        <f>VLOOKUP(F75,Sheet3!$B$33:$E$37,2,0)</f>
        <v>15</v>
      </c>
      <c r="Y75" s="33">
        <f>VLOOKUP(F75,Sheet3!$B$33:$E$37,4,0)</f>
        <v>8</v>
      </c>
      <c r="Z75" s="33">
        <v>0.8</v>
      </c>
      <c r="AA75" s="97">
        <v>0</v>
      </c>
      <c r="AB75" s="97">
        <v>0</v>
      </c>
      <c r="AC75" s="35">
        <v>3000</v>
      </c>
      <c r="AD75" s="35">
        <v>120</v>
      </c>
      <c r="AE75" s="35">
        <v>60</v>
      </c>
      <c r="AF75" s="35">
        <v>60</v>
      </c>
      <c r="AG75" s="33">
        <v>1</v>
      </c>
      <c r="AH75" s="33">
        <v>0</v>
      </c>
      <c r="AI75" s="33">
        <v>0</v>
      </c>
      <c r="AJ75" s="33">
        <v>0</v>
      </c>
      <c r="AK75" s="33">
        <v>0</v>
      </c>
      <c r="AL75" s="33">
        <v>0</v>
      </c>
      <c r="AM75" s="33">
        <v>1</v>
      </c>
      <c r="AN75" s="97">
        <v>0</v>
      </c>
      <c r="AO75" s="97">
        <v>0</v>
      </c>
      <c r="AP75" s="35">
        <v>300</v>
      </c>
      <c r="AQ75" s="35">
        <v>12</v>
      </c>
      <c r="AR75" s="35">
        <v>6</v>
      </c>
      <c r="AS75" s="35">
        <v>6</v>
      </c>
      <c r="AT75" s="33">
        <v>0</v>
      </c>
      <c r="AU75" s="33">
        <v>0</v>
      </c>
      <c r="AV75" s="33">
        <v>0</v>
      </c>
      <c r="AW75" s="33">
        <v>0</v>
      </c>
      <c r="AX75" s="35" t="s">
        <v>1105</v>
      </c>
      <c r="AY75" s="33">
        <v>6</v>
      </c>
      <c r="AZ75" s="34" t="s">
        <v>731</v>
      </c>
      <c r="BA75" s="33" t="s">
        <v>224</v>
      </c>
      <c r="BB75" s="33">
        <v>50</v>
      </c>
      <c r="BC75" s="107" t="s">
        <v>21</v>
      </c>
      <c r="BD75" s="35" t="s">
        <v>21</v>
      </c>
      <c r="BE75" s="94" t="s">
        <v>21</v>
      </c>
      <c r="BF75" s="33">
        <v>40</v>
      </c>
      <c r="BG75" s="97">
        <v>2000</v>
      </c>
      <c r="BH75" s="97">
        <v>400</v>
      </c>
      <c r="BI75" s="33">
        <v>10062</v>
      </c>
      <c r="BJ75" s="33" t="s">
        <v>21</v>
      </c>
      <c r="BK75" s="33">
        <v>0</v>
      </c>
      <c r="BL75" s="33">
        <f>VLOOKUP(F75,Sheet3!$B$33:$F$37,5,0)</f>
        <v>10000</v>
      </c>
      <c r="BM75" s="33">
        <v>1</v>
      </c>
      <c r="BN75" s="67">
        <v>100</v>
      </c>
      <c r="BO75" s="68" t="s">
        <v>776</v>
      </c>
      <c r="BP75" s="68">
        <v>1162</v>
      </c>
      <c r="BQ75" s="33" t="s">
        <v>21</v>
      </c>
      <c r="BR75" s="33" t="s">
        <v>21</v>
      </c>
      <c r="BS75" s="68" t="e">
        <f>INT(MID(VLOOKUP($BO75,[1]Sheet1!$A:$C,3,0),9,5))</f>
        <v>#N/A</v>
      </c>
      <c r="BT75" s="68" t="str">
        <f t="shared" si="4"/>
        <v>jiaoren</v>
      </c>
      <c r="BU75" s="68" t="e">
        <f>MID(VLOOKUP($BS75,[2]Sheet1!$A:$C,3,0),3,IF(ISERROR(FIND(",",VLOOKUP($BS75,[2]Sheet1!$A:$C,3,0))),LEN(VLOOKUP($BS75,[2]Sheet1!$A:$C,3,0))-4,FIND(",",VLOOKUP($BS75,[2]Sheet1!$A:$C,3,0))-4))</f>
        <v>#N/A</v>
      </c>
      <c r="BV75" s="68" t="str">
        <f>IF(ISERROR(MID(VLOOKUP($BS75,[2]Sheet1!$A:$D,4,0),3,IF(ISERROR(FIND(",",VLOOKUP($BS75,[2]Sheet1!$A:$D,4,0))),LEN(VLOOKUP($BS75,[2]Sheet1!$A:$D,4,0))-4,FIND(",",VLOOKUP($BS75,[2]Sheet1!$A:$D,4,0))-4))),"[]",MID(VLOOKUP($BS75,[2]Sheet1!$A:$D,4,0),3,IF(ISERROR(FIND(",",VLOOKUP($BS75,[2]Sheet1!$A:$D,4,0))),LEN(VLOOKUP($BS75,[2]Sheet1!$A:$D,4,0))-4,FIND(",",VLOOKUP($BS75,[2]Sheet1!$A:$D,4,0))-4)))</f>
        <v>[]</v>
      </c>
      <c r="BW75" s="68" t="str">
        <f t="shared" si="3"/>
        <v>2-6</v>
      </c>
    </row>
    <row r="76" spans="1:75" s="68" customFormat="1" ht="16.5" customHeight="1">
      <c r="A76" s="33">
        <v>1163</v>
      </c>
      <c r="B76" s="33" t="s">
        <v>179</v>
      </c>
      <c r="C76" s="33" t="s">
        <v>200</v>
      </c>
      <c r="D76" s="33">
        <v>1</v>
      </c>
      <c r="E76" s="33">
        <v>4</v>
      </c>
      <c r="F76" s="33">
        <v>2</v>
      </c>
      <c r="G76" s="33">
        <v>2</v>
      </c>
      <c r="H76" s="33" t="s">
        <v>1124</v>
      </c>
      <c r="I76" s="33">
        <v>150</v>
      </c>
      <c r="J76" s="33" t="s">
        <v>211</v>
      </c>
      <c r="K76" s="33">
        <v>10</v>
      </c>
      <c r="L76" s="43" t="s">
        <v>414</v>
      </c>
      <c r="M76" s="33" t="s">
        <v>779</v>
      </c>
      <c r="N76" s="33" t="s">
        <v>627</v>
      </c>
      <c r="O76" s="33" t="s">
        <v>78</v>
      </c>
      <c r="P76" s="33" t="s">
        <v>628</v>
      </c>
      <c r="Q76" s="33">
        <v>1</v>
      </c>
      <c r="R76" s="33" t="s">
        <v>21</v>
      </c>
      <c r="S76" s="33" t="s">
        <v>21</v>
      </c>
      <c r="T76" s="33" t="s">
        <v>21</v>
      </c>
      <c r="U76" s="33">
        <v>2</v>
      </c>
      <c r="V76" s="33">
        <v>6</v>
      </c>
      <c r="W76" s="33">
        <f>VLOOKUP(F76,Sheet3!$B$33:$E$37,3,0)</f>
        <v>9</v>
      </c>
      <c r="X76" s="33">
        <f>VLOOKUP(F76,Sheet3!$B$33:$E$37,2,0)</f>
        <v>15</v>
      </c>
      <c r="Y76" s="33">
        <f>VLOOKUP(F76,Sheet3!$B$33:$E$37,4,0)</f>
        <v>8</v>
      </c>
      <c r="Z76" s="33">
        <v>0.8</v>
      </c>
      <c r="AA76" s="97">
        <v>0</v>
      </c>
      <c r="AB76" s="97">
        <v>0</v>
      </c>
      <c r="AC76" s="35">
        <v>3000</v>
      </c>
      <c r="AD76" s="35">
        <v>120</v>
      </c>
      <c r="AE76" s="35">
        <v>60</v>
      </c>
      <c r="AF76" s="35">
        <v>60</v>
      </c>
      <c r="AG76" s="33">
        <v>1</v>
      </c>
      <c r="AH76" s="33">
        <v>0</v>
      </c>
      <c r="AI76" s="33">
        <v>0</v>
      </c>
      <c r="AJ76" s="33">
        <v>0</v>
      </c>
      <c r="AK76" s="33">
        <v>0</v>
      </c>
      <c r="AL76" s="33">
        <v>0</v>
      </c>
      <c r="AM76" s="33">
        <v>1</v>
      </c>
      <c r="AN76" s="97">
        <v>0</v>
      </c>
      <c r="AO76" s="97">
        <v>0</v>
      </c>
      <c r="AP76" s="35">
        <v>300</v>
      </c>
      <c r="AQ76" s="35">
        <v>12</v>
      </c>
      <c r="AR76" s="35">
        <v>6</v>
      </c>
      <c r="AS76" s="35">
        <v>6</v>
      </c>
      <c r="AT76" s="33">
        <v>0</v>
      </c>
      <c r="AU76" s="33">
        <v>0</v>
      </c>
      <c r="AV76" s="33">
        <v>0</v>
      </c>
      <c r="AW76" s="33">
        <v>0</v>
      </c>
      <c r="AX76" s="35" t="s">
        <v>1105</v>
      </c>
      <c r="AY76" s="33">
        <v>6</v>
      </c>
      <c r="AZ76" s="34" t="s">
        <v>731</v>
      </c>
      <c r="BA76" s="33" t="s">
        <v>224</v>
      </c>
      <c r="BB76" s="33">
        <v>50</v>
      </c>
      <c r="BC76" s="107" t="s">
        <v>21</v>
      </c>
      <c r="BD76" s="35" t="s">
        <v>21</v>
      </c>
      <c r="BE76" s="94" t="s">
        <v>21</v>
      </c>
      <c r="BF76" s="33">
        <v>40</v>
      </c>
      <c r="BG76" s="97">
        <v>2000</v>
      </c>
      <c r="BH76" s="97">
        <v>400</v>
      </c>
      <c r="BI76" s="33">
        <v>10063</v>
      </c>
      <c r="BJ76" s="33" t="s">
        <v>21</v>
      </c>
      <c r="BK76" s="33">
        <v>0</v>
      </c>
      <c r="BL76" s="33">
        <f>VLOOKUP(F76,Sheet3!$B$33:$F$37,5,0)</f>
        <v>10000</v>
      </c>
      <c r="BM76" s="33">
        <v>1</v>
      </c>
      <c r="BN76" s="67">
        <v>100</v>
      </c>
      <c r="BO76" s="68" t="s">
        <v>776</v>
      </c>
      <c r="BP76" s="68">
        <v>1163</v>
      </c>
      <c r="BQ76" s="33" t="s">
        <v>21</v>
      </c>
      <c r="BR76" s="33" t="s">
        <v>21</v>
      </c>
      <c r="BS76" s="68" t="e">
        <f>INT(MID(VLOOKUP($BO76,[1]Sheet1!$A:$C,3,0),9,5))</f>
        <v>#N/A</v>
      </c>
      <c r="BT76" s="68" t="str">
        <f t="shared" si="4"/>
        <v>jiaoren</v>
      </c>
      <c r="BU76" s="68" t="e">
        <f>MID(VLOOKUP($BS76,[2]Sheet1!$A:$C,3,0),3,IF(ISERROR(FIND(",",VLOOKUP($BS76,[2]Sheet1!$A:$C,3,0))),LEN(VLOOKUP($BS76,[2]Sheet1!$A:$C,3,0))-4,FIND(",",VLOOKUP($BS76,[2]Sheet1!$A:$C,3,0))-4))</f>
        <v>#N/A</v>
      </c>
      <c r="BV76" s="68" t="str">
        <f>IF(ISERROR(MID(VLOOKUP($BS76,[2]Sheet1!$A:$D,4,0),3,IF(ISERROR(FIND(",",VLOOKUP($BS76,[2]Sheet1!$A:$D,4,0))),LEN(VLOOKUP($BS76,[2]Sheet1!$A:$D,4,0))-4,FIND(",",VLOOKUP($BS76,[2]Sheet1!$A:$D,4,0))-4))),"[]",MID(VLOOKUP($BS76,[2]Sheet1!$A:$D,4,0),3,IF(ISERROR(FIND(",",VLOOKUP($BS76,[2]Sheet1!$A:$D,4,0))),LEN(VLOOKUP($BS76,[2]Sheet1!$A:$D,4,0))-4,FIND(",",VLOOKUP($BS76,[2]Sheet1!$A:$D,4,0))-4)))</f>
        <v>[]</v>
      </c>
      <c r="BW76" s="68" t="str">
        <f t="shared" si="3"/>
        <v>2-6</v>
      </c>
    </row>
    <row r="77" spans="1:75" s="62" customFormat="1" ht="16.5" customHeight="1">
      <c r="A77" s="33">
        <v>1153</v>
      </c>
      <c r="B77" s="33" t="s">
        <v>309</v>
      </c>
      <c r="C77" s="33" t="s">
        <v>204</v>
      </c>
      <c r="D77" s="33">
        <v>1</v>
      </c>
      <c r="E77" s="33">
        <v>4</v>
      </c>
      <c r="F77" s="33">
        <v>3</v>
      </c>
      <c r="G77" s="33">
        <v>3</v>
      </c>
      <c r="H77" s="33" t="s">
        <v>1122</v>
      </c>
      <c r="I77" s="33">
        <v>150</v>
      </c>
      <c r="J77" s="33" t="s">
        <v>310</v>
      </c>
      <c r="K77" s="33">
        <v>10</v>
      </c>
      <c r="L77" s="43" t="s">
        <v>406</v>
      </c>
      <c r="M77" s="33" t="s">
        <v>779</v>
      </c>
      <c r="N77" s="33" t="s">
        <v>629</v>
      </c>
      <c r="O77" s="33" t="s">
        <v>80</v>
      </c>
      <c r="P77" s="33" t="s">
        <v>630</v>
      </c>
      <c r="Q77" s="33">
        <v>1</v>
      </c>
      <c r="R77" s="33" t="s">
        <v>21</v>
      </c>
      <c r="S77" s="33" t="s">
        <v>21</v>
      </c>
      <c r="T77" s="33" t="s">
        <v>21</v>
      </c>
      <c r="U77" s="33">
        <v>1</v>
      </c>
      <c r="V77" s="33">
        <v>2</v>
      </c>
      <c r="W77" s="33">
        <f>VLOOKUP(F77,Sheet3!$B$33:$E$37,3,0)</f>
        <v>5</v>
      </c>
      <c r="X77" s="33">
        <f>VLOOKUP(F77,Sheet3!$B$33:$E$37,2,0)</f>
        <v>15</v>
      </c>
      <c r="Y77" s="33">
        <f>VLOOKUP(F77,Sheet3!$B$33:$E$37,4,0)</f>
        <v>8</v>
      </c>
      <c r="Z77" s="33">
        <v>1</v>
      </c>
      <c r="AA77" s="97">
        <v>0</v>
      </c>
      <c r="AB77" s="97">
        <v>0</v>
      </c>
      <c r="AC77" s="35">
        <v>2000</v>
      </c>
      <c r="AD77" s="35">
        <v>80</v>
      </c>
      <c r="AE77" s="35">
        <v>40</v>
      </c>
      <c r="AF77" s="35">
        <v>40</v>
      </c>
      <c r="AG77" s="33">
        <v>1</v>
      </c>
      <c r="AH77" s="33">
        <v>0</v>
      </c>
      <c r="AI77" s="33">
        <v>0</v>
      </c>
      <c r="AJ77" s="33">
        <v>0</v>
      </c>
      <c r="AK77" s="33">
        <v>0</v>
      </c>
      <c r="AL77" s="33">
        <v>0</v>
      </c>
      <c r="AM77" s="33">
        <v>1</v>
      </c>
      <c r="AN77" s="97">
        <v>0</v>
      </c>
      <c r="AO77" s="97">
        <v>0</v>
      </c>
      <c r="AP77" s="35">
        <v>200</v>
      </c>
      <c r="AQ77" s="35">
        <v>8</v>
      </c>
      <c r="AR77" s="35">
        <v>4</v>
      </c>
      <c r="AS77" s="35">
        <v>4</v>
      </c>
      <c r="AT77" s="33">
        <v>0</v>
      </c>
      <c r="AU77" s="33">
        <v>0</v>
      </c>
      <c r="AV77" s="33">
        <v>0</v>
      </c>
      <c r="AW77" s="33">
        <v>0</v>
      </c>
      <c r="AX77" s="35" t="s">
        <v>1106</v>
      </c>
      <c r="AY77" s="33">
        <v>4</v>
      </c>
      <c r="AZ77" s="34" t="s">
        <v>732</v>
      </c>
      <c r="BA77" s="33" t="s">
        <v>220</v>
      </c>
      <c r="BB77" s="33">
        <v>50</v>
      </c>
      <c r="BC77" s="107" t="s">
        <v>21</v>
      </c>
      <c r="BD77" s="35" t="s">
        <v>21</v>
      </c>
      <c r="BE77" s="94" t="s">
        <v>21</v>
      </c>
      <c r="BF77" s="33">
        <v>20</v>
      </c>
      <c r="BG77" s="97">
        <v>2000</v>
      </c>
      <c r="BH77" s="97">
        <v>400</v>
      </c>
      <c r="BI77" s="33">
        <v>10053</v>
      </c>
      <c r="BJ77" s="33" t="s">
        <v>21</v>
      </c>
      <c r="BK77" s="33">
        <v>0</v>
      </c>
      <c r="BL77" s="33">
        <f>VLOOKUP(F77,Sheet3!$B$33:$F$37,5,0)</f>
        <v>50000</v>
      </c>
      <c r="BM77" s="33">
        <v>1.5</v>
      </c>
      <c r="BN77" s="67">
        <v>100</v>
      </c>
      <c r="BO77" s="68" t="s">
        <v>776</v>
      </c>
      <c r="BP77" s="68">
        <v>1153</v>
      </c>
      <c r="BQ77" s="33" t="s">
        <v>21</v>
      </c>
      <c r="BR77" s="33" t="s">
        <v>21</v>
      </c>
      <c r="BS77" s="68" t="e">
        <f>INT(MID(VLOOKUP($BO77,[1]Sheet1!$A:$C,3,0),9,5))</f>
        <v>#N/A</v>
      </c>
      <c r="BT77" s="68" t="str">
        <f t="shared" si="4"/>
        <v>yecha</v>
      </c>
      <c r="BU77" s="68" t="e">
        <f>MID(VLOOKUP($BS77,[2]Sheet1!$A:$C,3,0),3,IF(ISERROR(FIND(",",VLOOKUP($BS77,[2]Sheet1!$A:$C,3,0))),LEN(VLOOKUP($BS77,[2]Sheet1!$A:$C,3,0))-4,FIND(",",VLOOKUP($BS77,[2]Sheet1!$A:$C,3,0))-4))</f>
        <v>#N/A</v>
      </c>
      <c r="BV77" s="68" t="str">
        <f>IF(ISERROR(MID(VLOOKUP($BS77,[2]Sheet1!$A:$D,4,0),3,IF(ISERROR(FIND(",",VLOOKUP($BS77,[2]Sheet1!$A:$D,4,0))),LEN(VLOOKUP($BS77,[2]Sheet1!$A:$D,4,0))-4,FIND(",",VLOOKUP($BS77,[2]Sheet1!$A:$D,4,0))-4))),"[]",MID(VLOOKUP($BS77,[2]Sheet1!$A:$D,4,0),3,IF(ISERROR(FIND(",",VLOOKUP($BS77,[2]Sheet1!$A:$D,4,0))),LEN(VLOOKUP($BS77,[2]Sheet1!$A:$D,4,0))-4,FIND(",",VLOOKUP($BS77,[2]Sheet1!$A:$D,4,0))-4)))</f>
        <v>[]</v>
      </c>
      <c r="BW77" s="68" t="str">
        <f t="shared" si="3"/>
        <v>3-2</v>
      </c>
    </row>
    <row r="78" spans="1:75" s="62" customFormat="1" ht="16.5" customHeight="1">
      <c r="A78" s="33">
        <v>1154</v>
      </c>
      <c r="B78" s="33" t="s">
        <v>311</v>
      </c>
      <c r="C78" s="33" t="s">
        <v>204</v>
      </c>
      <c r="D78" s="33">
        <v>1</v>
      </c>
      <c r="E78" s="33">
        <v>4</v>
      </c>
      <c r="F78" s="33">
        <v>3</v>
      </c>
      <c r="G78" s="33">
        <v>3</v>
      </c>
      <c r="H78" s="33" t="s">
        <v>1122</v>
      </c>
      <c r="I78" s="33">
        <v>150</v>
      </c>
      <c r="J78" s="33" t="s">
        <v>310</v>
      </c>
      <c r="K78" s="33">
        <v>10</v>
      </c>
      <c r="L78" s="43" t="s">
        <v>418</v>
      </c>
      <c r="M78" s="33" t="s">
        <v>779</v>
      </c>
      <c r="N78" s="33" t="s">
        <v>632</v>
      </c>
      <c r="O78" s="33" t="s">
        <v>80</v>
      </c>
      <c r="P78" s="33" t="s">
        <v>631</v>
      </c>
      <c r="Q78" s="33">
        <v>1</v>
      </c>
      <c r="R78" s="33" t="s">
        <v>21</v>
      </c>
      <c r="S78" s="33" t="s">
        <v>21</v>
      </c>
      <c r="T78" s="33" t="s">
        <v>21</v>
      </c>
      <c r="U78" s="33">
        <v>1</v>
      </c>
      <c r="V78" s="33">
        <v>2</v>
      </c>
      <c r="W78" s="33">
        <f>VLOOKUP(F78,Sheet3!$B$33:$E$37,3,0)</f>
        <v>5</v>
      </c>
      <c r="X78" s="33">
        <f>VLOOKUP(F78,Sheet3!$B$33:$E$37,2,0)</f>
        <v>15</v>
      </c>
      <c r="Y78" s="33">
        <f>VLOOKUP(F78,Sheet3!$B$33:$E$37,4,0)</f>
        <v>8</v>
      </c>
      <c r="Z78" s="33">
        <v>1</v>
      </c>
      <c r="AA78" s="97">
        <v>0</v>
      </c>
      <c r="AB78" s="97">
        <v>0</v>
      </c>
      <c r="AC78" s="35">
        <v>2000</v>
      </c>
      <c r="AD78" s="35">
        <v>80</v>
      </c>
      <c r="AE78" s="35">
        <v>40</v>
      </c>
      <c r="AF78" s="35">
        <v>40</v>
      </c>
      <c r="AG78" s="33">
        <v>1</v>
      </c>
      <c r="AH78" s="33">
        <v>0</v>
      </c>
      <c r="AI78" s="33">
        <v>0</v>
      </c>
      <c r="AJ78" s="33">
        <v>0</v>
      </c>
      <c r="AK78" s="33">
        <v>0</v>
      </c>
      <c r="AL78" s="33">
        <v>0</v>
      </c>
      <c r="AM78" s="33">
        <v>1</v>
      </c>
      <c r="AN78" s="97">
        <v>0</v>
      </c>
      <c r="AO78" s="97">
        <v>0</v>
      </c>
      <c r="AP78" s="35">
        <v>200</v>
      </c>
      <c r="AQ78" s="35">
        <v>8</v>
      </c>
      <c r="AR78" s="35">
        <v>4</v>
      </c>
      <c r="AS78" s="35">
        <v>4</v>
      </c>
      <c r="AT78" s="33">
        <v>0</v>
      </c>
      <c r="AU78" s="33">
        <v>0</v>
      </c>
      <c r="AV78" s="33">
        <v>0</v>
      </c>
      <c r="AW78" s="33">
        <v>0</v>
      </c>
      <c r="AX78" s="35" t="s">
        <v>1106</v>
      </c>
      <c r="AY78" s="33">
        <v>4</v>
      </c>
      <c r="AZ78" s="34" t="s">
        <v>732</v>
      </c>
      <c r="BA78" s="33" t="s">
        <v>220</v>
      </c>
      <c r="BB78" s="33">
        <v>50</v>
      </c>
      <c r="BC78" s="107" t="s">
        <v>21</v>
      </c>
      <c r="BD78" s="35" t="s">
        <v>21</v>
      </c>
      <c r="BE78" s="94" t="s">
        <v>21</v>
      </c>
      <c r="BF78" s="33">
        <v>20</v>
      </c>
      <c r="BG78" s="97">
        <v>2000</v>
      </c>
      <c r="BH78" s="97">
        <v>400</v>
      </c>
      <c r="BI78" s="33">
        <v>10054</v>
      </c>
      <c r="BJ78" s="33" t="s">
        <v>21</v>
      </c>
      <c r="BK78" s="33">
        <v>0</v>
      </c>
      <c r="BL78" s="33">
        <f>VLOOKUP(F78,Sheet3!$B$33:$F$37,5,0)</f>
        <v>50000</v>
      </c>
      <c r="BM78" s="33">
        <v>1.5</v>
      </c>
      <c r="BN78" s="67">
        <v>100</v>
      </c>
      <c r="BO78" s="68" t="s">
        <v>776</v>
      </c>
      <c r="BP78" s="68">
        <v>1154</v>
      </c>
      <c r="BQ78" s="33" t="s">
        <v>21</v>
      </c>
      <c r="BR78" s="33" t="s">
        <v>21</v>
      </c>
      <c r="BS78" s="68" t="e">
        <f>INT(MID(VLOOKUP($BO78,[1]Sheet1!$A:$C,3,0),9,5))</f>
        <v>#N/A</v>
      </c>
      <c r="BT78" s="68" t="str">
        <f t="shared" si="4"/>
        <v>yecha</v>
      </c>
      <c r="BU78" s="68" t="e">
        <f>MID(VLOOKUP($BS78,[2]Sheet1!$A:$C,3,0),3,IF(ISERROR(FIND(",",VLOOKUP($BS78,[2]Sheet1!$A:$C,3,0))),LEN(VLOOKUP($BS78,[2]Sheet1!$A:$C,3,0))-4,FIND(",",VLOOKUP($BS78,[2]Sheet1!$A:$C,3,0))-4))</f>
        <v>#N/A</v>
      </c>
      <c r="BV78" s="68" t="str">
        <f>IF(ISERROR(MID(VLOOKUP($BS78,[2]Sheet1!$A:$D,4,0),3,IF(ISERROR(FIND(",",VLOOKUP($BS78,[2]Sheet1!$A:$D,4,0))),LEN(VLOOKUP($BS78,[2]Sheet1!$A:$D,4,0))-4,FIND(",",VLOOKUP($BS78,[2]Sheet1!$A:$D,4,0))-4))),"[]",MID(VLOOKUP($BS78,[2]Sheet1!$A:$D,4,0),3,IF(ISERROR(FIND(",",VLOOKUP($BS78,[2]Sheet1!$A:$D,4,0))),LEN(VLOOKUP($BS78,[2]Sheet1!$A:$D,4,0))-4,FIND(",",VLOOKUP($BS78,[2]Sheet1!$A:$D,4,0))-4)))</f>
        <v>[]</v>
      </c>
      <c r="BW78" s="68" t="str">
        <f t="shared" si="3"/>
        <v>3-2</v>
      </c>
    </row>
    <row r="79" spans="1:75" s="62" customFormat="1" ht="16.5" customHeight="1">
      <c r="A79" s="33">
        <v>1164</v>
      </c>
      <c r="B79" s="33" t="s">
        <v>180</v>
      </c>
      <c r="C79" s="33" t="s">
        <v>603</v>
      </c>
      <c r="D79" s="33">
        <v>1</v>
      </c>
      <c r="E79" s="33">
        <v>4</v>
      </c>
      <c r="F79" s="33">
        <v>3</v>
      </c>
      <c r="G79" s="33">
        <v>3</v>
      </c>
      <c r="H79" s="33" t="s">
        <v>1122</v>
      </c>
      <c r="I79" s="33">
        <v>150</v>
      </c>
      <c r="J79" s="33" t="s">
        <v>212</v>
      </c>
      <c r="K79" s="33">
        <v>10</v>
      </c>
      <c r="L79" s="43" t="s">
        <v>406</v>
      </c>
      <c r="M79" s="33" t="s">
        <v>779</v>
      </c>
      <c r="N79" s="33" t="s">
        <v>633</v>
      </c>
      <c r="O79" s="33" t="s">
        <v>80</v>
      </c>
      <c r="P79" s="33" t="s">
        <v>634</v>
      </c>
      <c r="Q79" s="33">
        <v>1</v>
      </c>
      <c r="R79" s="33" t="s">
        <v>21</v>
      </c>
      <c r="S79" s="33" t="s">
        <v>21</v>
      </c>
      <c r="T79" s="33" t="s">
        <v>21</v>
      </c>
      <c r="U79" s="33">
        <v>1</v>
      </c>
      <c r="V79" s="33">
        <v>2</v>
      </c>
      <c r="W79" s="33">
        <f>VLOOKUP(F79,Sheet3!$B$33:$E$37,3,0)</f>
        <v>5</v>
      </c>
      <c r="X79" s="33">
        <f>VLOOKUP(F79,Sheet3!$B$33:$E$37,2,0)</f>
        <v>15</v>
      </c>
      <c r="Y79" s="33">
        <f>VLOOKUP(F79,Sheet3!$B$33:$E$37,4,0)</f>
        <v>8</v>
      </c>
      <c r="Z79" s="33">
        <v>1</v>
      </c>
      <c r="AA79" s="97">
        <v>0</v>
      </c>
      <c r="AB79" s="97">
        <v>0</v>
      </c>
      <c r="AC79" s="35">
        <v>2000</v>
      </c>
      <c r="AD79" s="35">
        <v>80</v>
      </c>
      <c r="AE79" s="35">
        <v>40</v>
      </c>
      <c r="AF79" s="35">
        <v>40</v>
      </c>
      <c r="AG79" s="33">
        <v>1</v>
      </c>
      <c r="AH79" s="33">
        <v>0</v>
      </c>
      <c r="AI79" s="33">
        <v>0</v>
      </c>
      <c r="AJ79" s="33">
        <v>0</v>
      </c>
      <c r="AK79" s="33">
        <v>0</v>
      </c>
      <c r="AL79" s="33">
        <v>0</v>
      </c>
      <c r="AM79" s="33">
        <v>1</v>
      </c>
      <c r="AN79" s="97">
        <v>0</v>
      </c>
      <c r="AO79" s="97">
        <v>0</v>
      </c>
      <c r="AP79" s="35">
        <v>200</v>
      </c>
      <c r="AQ79" s="35">
        <v>8</v>
      </c>
      <c r="AR79" s="35">
        <v>4</v>
      </c>
      <c r="AS79" s="35">
        <v>4</v>
      </c>
      <c r="AT79" s="33">
        <v>0</v>
      </c>
      <c r="AU79" s="33">
        <v>0</v>
      </c>
      <c r="AV79" s="33">
        <v>0</v>
      </c>
      <c r="AW79" s="33">
        <v>0</v>
      </c>
      <c r="AX79" s="35" t="s">
        <v>1106</v>
      </c>
      <c r="AY79" s="33">
        <v>4</v>
      </c>
      <c r="AZ79" s="34" t="s">
        <v>733</v>
      </c>
      <c r="BA79" s="33" t="s">
        <v>220</v>
      </c>
      <c r="BB79" s="33">
        <v>50</v>
      </c>
      <c r="BC79" s="107" t="s">
        <v>21</v>
      </c>
      <c r="BD79" s="35" t="s">
        <v>21</v>
      </c>
      <c r="BE79" s="94" t="s">
        <v>21</v>
      </c>
      <c r="BF79" s="33">
        <v>20</v>
      </c>
      <c r="BG79" s="97">
        <v>500</v>
      </c>
      <c r="BH79" s="97">
        <v>100</v>
      </c>
      <c r="BI79" s="33">
        <v>10064</v>
      </c>
      <c r="BJ79" s="33" t="s">
        <v>21</v>
      </c>
      <c r="BK79" s="33">
        <v>0</v>
      </c>
      <c r="BL79" s="33">
        <f>VLOOKUP(F79,Sheet3!$B$33:$F$37,5,0)</f>
        <v>50000</v>
      </c>
      <c r="BM79" s="33">
        <v>1.5</v>
      </c>
      <c r="BN79" s="67">
        <v>100</v>
      </c>
      <c r="BO79" s="68" t="s">
        <v>776</v>
      </c>
      <c r="BP79" s="68">
        <v>1164</v>
      </c>
      <c r="BQ79" s="33" t="s">
        <v>21</v>
      </c>
      <c r="BR79" s="33" t="s">
        <v>21</v>
      </c>
      <c r="BS79" s="68" t="e">
        <f>INT(MID(VLOOKUP($BO79,[1]Sheet1!$A:$C,3,0),9,5))</f>
        <v>#N/A</v>
      </c>
      <c r="BT79" s="68" t="str">
        <f t="shared" si="4"/>
        <v>tianbing</v>
      </c>
      <c r="BU79" s="68" t="e">
        <f>MID(VLOOKUP($BS79,[2]Sheet1!$A:$C,3,0),3,IF(ISERROR(FIND(",",VLOOKUP($BS79,[2]Sheet1!$A:$C,3,0))),LEN(VLOOKUP($BS79,[2]Sheet1!$A:$C,3,0))-4,FIND(",",VLOOKUP($BS79,[2]Sheet1!$A:$C,3,0))-4))</f>
        <v>#N/A</v>
      </c>
      <c r="BV79" s="68" t="str">
        <f>IF(ISERROR(MID(VLOOKUP($BS79,[2]Sheet1!$A:$D,4,0),3,IF(ISERROR(FIND(",",VLOOKUP($BS79,[2]Sheet1!$A:$D,4,0))),LEN(VLOOKUP($BS79,[2]Sheet1!$A:$D,4,0))-4,FIND(",",VLOOKUP($BS79,[2]Sheet1!$A:$D,4,0))-4))),"[]",MID(VLOOKUP($BS79,[2]Sheet1!$A:$D,4,0),3,IF(ISERROR(FIND(",",VLOOKUP($BS79,[2]Sheet1!$A:$D,4,0))),LEN(VLOOKUP($BS79,[2]Sheet1!$A:$D,4,0))-4,FIND(",",VLOOKUP($BS79,[2]Sheet1!$A:$D,4,0))-4)))</f>
        <v>[]</v>
      </c>
      <c r="BW79" s="68" t="str">
        <f t="shared" si="3"/>
        <v>3-2</v>
      </c>
    </row>
    <row r="80" spans="1:75" s="62" customFormat="1" ht="16.5" customHeight="1">
      <c r="A80" s="33">
        <v>1165</v>
      </c>
      <c r="B80" s="33" t="s">
        <v>181</v>
      </c>
      <c r="C80" s="33" t="s">
        <v>312</v>
      </c>
      <c r="D80" s="33">
        <v>1</v>
      </c>
      <c r="E80" s="33">
        <v>4</v>
      </c>
      <c r="F80" s="33">
        <v>3</v>
      </c>
      <c r="G80" s="33">
        <v>3</v>
      </c>
      <c r="H80" s="33" t="s">
        <v>1122</v>
      </c>
      <c r="I80" s="33">
        <v>150</v>
      </c>
      <c r="J80" s="33" t="s">
        <v>212</v>
      </c>
      <c r="K80" s="33">
        <v>10</v>
      </c>
      <c r="L80" s="43" t="s">
        <v>427</v>
      </c>
      <c r="M80" s="33" t="s">
        <v>779</v>
      </c>
      <c r="N80" s="33" t="s">
        <v>636</v>
      </c>
      <c r="O80" s="33" t="s">
        <v>80</v>
      </c>
      <c r="P80" s="33" t="s">
        <v>635</v>
      </c>
      <c r="Q80" s="33">
        <v>1</v>
      </c>
      <c r="R80" s="33" t="s">
        <v>21</v>
      </c>
      <c r="S80" s="33" t="s">
        <v>21</v>
      </c>
      <c r="T80" s="33" t="s">
        <v>21</v>
      </c>
      <c r="U80" s="33">
        <v>1</v>
      </c>
      <c r="V80" s="33">
        <v>2</v>
      </c>
      <c r="W80" s="33">
        <f>VLOOKUP(F80,Sheet3!$B$33:$E$37,3,0)</f>
        <v>5</v>
      </c>
      <c r="X80" s="33">
        <f>VLOOKUP(F80,Sheet3!$B$33:$E$37,2,0)</f>
        <v>15</v>
      </c>
      <c r="Y80" s="33">
        <f>VLOOKUP(F80,Sheet3!$B$33:$E$37,4,0)</f>
        <v>8</v>
      </c>
      <c r="Z80" s="33">
        <v>1</v>
      </c>
      <c r="AA80" s="97">
        <v>0</v>
      </c>
      <c r="AB80" s="97">
        <v>0</v>
      </c>
      <c r="AC80" s="35">
        <v>2000</v>
      </c>
      <c r="AD80" s="35">
        <v>80</v>
      </c>
      <c r="AE80" s="35">
        <v>40</v>
      </c>
      <c r="AF80" s="35">
        <v>40</v>
      </c>
      <c r="AG80" s="33">
        <v>1</v>
      </c>
      <c r="AH80" s="33">
        <v>0</v>
      </c>
      <c r="AI80" s="33">
        <v>0</v>
      </c>
      <c r="AJ80" s="33">
        <v>0</v>
      </c>
      <c r="AK80" s="33">
        <v>0</v>
      </c>
      <c r="AL80" s="33">
        <v>0</v>
      </c>
      <c r="AM80" s="33">
        <v>1</v>
      </c>
      <c r="AN80" s="97">
        <v>0</v>
      </c>
      <c r="AO80" s="97">
        <v>0</v>
      </c>
      <c r="AP80" s="35">
        <v>200</v>
      </c>
      <c r="AQ80" s="35">
        <v>8</v>
      </c>
      <c r="AR80" s="35">
        <v>4</v>
      </c>
      <c r="AS80" s="35">
        <v>4</v>
      </c>
      <c r="AT80" s="33">
        <v>0</v>
      </c>
      <c r="AU80" s="33">
        <v>0</v>
      </c>
      <c r="AV80" s="33">
        <v>0</v>
      </c>
      <c r="AW80" s="33">
        <v>0</v>
      </c>
      <c r="AX80" s="35" t="s">
        <v>1106</v>
      </c>
      <c r="AY80" s="33">
        <v>4</v>
      </c>
      <c r="AZ80" s="34" t="s">
        <v>733</v>
      </c>
      <c r="BA80" s="33" t="s">
        <v>220</v>
      </c>
      <c r="BB80" s="33">
        <v>50</v>
      </c>
      <c r="BC80" s="107" t="s">
        <v>21</v>
      </c>
      <c r="BD80" s="35" t="s">
        <v>21</v>
      </c>
      <c r="BE80" s="94" t="s">
        <v>21</v>
      </c>
      <c r="BF80" s="33">
        <v>20</v>
      </c>
      <c r="BG80" s="97">
        <v>500</v>
      </c>
      <c r="BH80" s="97">
        <v>100</v>
      </c>
      <c r="BI80" s="33">
        <v>10065</v>
      </c>
      <c r="BJ80" s="33" t="s">
        <v>21</v>
      </c>
      <c r="BK80" s="33">
        <v>0</v>
      </c>
      <c r="BL80" s="33">
        <f>VLOOKUP(F80,Sheet3!$B$33:$F$37,5,0)</f>
        <v>50000</v>
      </c>
      <c r="BM80" s="33">
        <v>1.5</v>
      </c>
      <c r="BN80" s="67">
        <v>100</v>
      </c>
      <c r="BO80" s="68" t="s">
        <v>776</v>
      </c>
      <c r="BP80" s="68">
        <v>1165</v>
      </c>
      <c r="BQ80" s="33" t="s">
        <v>21</v>
      </c>
      <c r="BR80" s="33" t="s">
        <v>21</v>
      </c>
      <c r="BS80" s="68" t="e">
        <f>INT(MID(VLOOKUP($BO80,[1]Sheet1!$A:$C,3,0),9,5))</f>
        <v>#N/A</v>
      </c>
      <c r="BT80" s="68" t="str">
        <f t="shared" si="4"/>
        <v>tianbing</v>
      </c>
      <c r="BU80" s="68" t="e">
        <f>MID(VLOOKUP($BS80,[2]Sheet1!$A:$C,3,0),3,IF(ISERROR(FIND(",",VLOOKUP($BS80,[2]Sheet1!$A:$C,3,0))),LEN(VLOOKUP($BS80,[2]Sheet1!$A:$C,3,0))-4,FIND(",",VLOOKUP($BS80,[2]Sheet1!$A:$C,3,0))-4))</f>
        <v>#N/A</v>
      </c>
      <c r="BV80" s="68" t="str">
        <f>IF(ISERROR(MID(VLOOKUP($BS80,[2]Sheet1!$A:$D,4,0),3,IF(ISERROR(FIND(",",VLOOKUP($BS80,[2]Sheet1!$A:$D,4,0))),LEN(VLOOKUP($BS80,[2]Sheet1!$A:$D,4,0))-4,FIND(",",VLOOKUP($BS80,[2]Sheet1!$A:$D,4,0))-4))),"[]",MID(VLOOKUP($BS80,[2]Sheet1!$A:$D,4,0),3,IF(ISERROR(FIND(",",VLOOKUP($BS80,[2]Sheet1!$A:$D,4,0))),LEN(VLOOKUP($BS80,[2]Sheet1!$A:$D,4,0))-4,FIND(",",VLOOKUP($BS80,[2]Sheet1!$A:$D,4,0))-4)))</f>
        <v>[]</v>
      </c>
      <c r="BW80" s="68" t="str">
        <f t="shared" si="3"/>
        <v>3-2</v>
      </c>
    </row>
    <row r="81" spans="1:75" s="62" customFormat="1" ht="16.5" customHeight="1">
      <c r="A81" s="33">
        <v>1166</v>
      </c>
      <c r="B81" s="33" t="s">
        <v>182</v>
      </c>
      <c r="C81" s="33" t="s">
        <v>312</v>
      </c>
      <c r="D81" s="33">
        <v>1</v>
      </c>
      <c r="E81" s="33">
        <v>4</v>
      </c>
      <c r="F81" s="33">
        <v>3</v>
      </c>
      <c r="G81" s="33">
        <v>3</v>
      </c>
      <c r="H81" s="33" t="s">
        <v>1122</v>
      </c>
      <c r="I81" s="33">
        <v>150</v>
      </c>
      <c r="J81" s="33" t="s">
        <v>212</v>
      </c>
      <c r="K81" s="33">
        <v>10</v>
      </c>
      <c r="L81" s="43" t="s">
        <v>419</v>
      </c>
      <c r="M81" s="33" t="s">
        <v>779</v>
      </c>
      <c r="N81" s="33" t="s">
        <v>637</v>
      </c>
      <c r="O81" s="33" t="s">
        <v>80</v>
      </c>
      <c r="P81" s="33" t="s">
        <v>638</v>
      </c>
      <c r="Q81" s="33">
        <v>1</v>
      </c>
      <c r="R81" s="33" t="s">
        <v>21</v>
      </c>
      <c r="S81" s="33" t="s">
        <v>21</v>
      </c>
      <c r="T81" s="33" t="s">
        <v>21</v>
      </c>
      <c r="U81" s="33">
        <v>1</v>
      </c>
      <c r="V81" s="33">
        <v>2</v>
      </c>
      <c r="W81" s="33">
        <f>VLOOKUP(F81,Sheet3!$B$33:$E$37,3,0)</f>
        <v>5</v>
      </c>
      <c r="X81" s="33">
        <f>VLOOKUP(F81,Sheet3!$B$33:$E$37,2,0)</f>
        <v>15</v>
      </c>
      <c r="Y81" s="33">
        <f>VLOOKUP(F81,Sheet3!$B$33:$E$37,4,0)</f>
        <v>8</v>
      </c>
      <c r="Z81" s="33">
        <v>1</v>
      </c>
      <c r="AA81" s="97">
        <v>0</v>
      </c>
      <c r="AB81" s="97">
        <v>0</v>
      </c>
      <c r="AC81" s="35">
        <v>2000</v>
      </c>
      <c r="AD81" s="35">
        <v>80</v>
      </c>
      <c r="AE81" s="35">
        <v>40</v>
      </c>
      <c r="AF81" s="35">
        <v>40</v>
      </c>
      <c r="AG81" s="33">
        <v>1</v>
      </c>
      <c r="AH81" s="33">
        <v>0</v>
      </c>
      <c r="AI81" s="33">
        <v>0</v>
      </c>
      <c r="AJ81" s="33">
        <v>0</v>
      </c>
      <c r="AK81" s="33">
        <v>0</v>
      </c>
      <c r="AL81" s="33">
        <v>0</v>
      </c>
      <c r="AM81" s="33">
        <v>1</v>
      </c>
      <c r="AN81" s="97">
        <v>0</v>
      </c>
      <c r="AO81" s="97">
        <v>0</v>
      </c>
      <c r="AP81" s="35">
        <v>200</v>
      </c>
      <c r="AQ81" s="35">
        <v>8</v>
      </c>
      <c r="AR81" s="35">
        <v>4</v>
      </c>
      <c r="AS81" s="35">
        <v>4</v>
      </c>
      <c r="AT81" s="33">
        <v>0</v>
      </c>
      <c r="AU81" s="33">
        <v>0</v>
      </c>
      <c r="AV81" s="33">
        <v>0</v>
      </c>
      <c r="AW81" s="33">
        <v>0</v>
      </c>
      <c r="AX81" s="35" t="s">
        <v>1106</v>
      </c>
      <c r="AY81" s="33">
        <v>4</v>
      </c>
      <c r="AZ81" s="34" t="s">
        <v>733</v>
      </c>
      <c r="BA81" s="33" t="s">
        <v>220</v>
      </c>
      <c r="BB81" s="33">
        <v>50</v>
      </c>
      <c r="BC81" s="107" t="s">
        <v>21</v>
      </c>
      <c r="BD81" s="35" t="s">
        <v>21</v>
      </c>
      <c r="BE81" s="94" t="s">
        <v>21</v>
      </c>
      <c r="BF81" s="33">
        <v>20</v>
      </c>
      <c r="BG81" s="97">
        <v>500</v>
      </c>
      <c r="BH81" s="97">
        <v>100</v>
      </c>
      <c r="BI81" s="33">
        <v>10066</v>
      </c>
      <c r="BJ81" s="33" t="s">
        <v>21</v>
      </c>
      <c r="BK81" s="33">
        <v>0</v>
      </c>
      <c r="BL81" s="33">
        <f>VLOOKUP(F81,Sheet3!$B$33:$F$37,5,0)</f>
        <v>50000</v>
      </c>
      <c r="BM81" s="33">
        <v>1.5</v>
      </c>
      <c r="BN81" s="67">
        <v>100</v>
      </c>
      <c r="BO81" s="68" t="s">
        <v>776</v>
      </c>
      <c r="BP81" s="68">
        <v>1166</v>
      </c>
      <c r="BQ81" s="33" t="s">
        <v>21</v>
      </c>
      <c r="BR81" s="33" t="s">
        <v>21</v>
      </c>
      <c r="BS81" s="68" t="e">
        <f>INT(MID(VLOOKUP($BO81,[1]Sheet1!$A:$C,3,0),9,5))</f>
        <v>#N/A</v>
      </c>
      <c r="BT81" s="68" t="str">
        <f t="shared" si="4"/>
        <v>tianbing</v>
      </c>
      <c r="BU81" s="68" t="e">
        <f>MID(VLOOKUP($BS81,[2]Sheet1!$A:$C,3,0),3,IF(ISERROR(FIND(",",VLOOKUP($BS81,[2]Sheet1!$A:$C,3,0))),LEN(VLOOKUP($BS81,[2]Sheet1!$A:$C,3,0))-4,FIND(",",VLOOKUP($BS81,[2]Sheet1!$A:$C,3,0))-4))</f>
        <v>#N/A</v>
      </c>
      <c r="BV81" s="68" t="str">
        <f>IF(ISERROR(MID(VLOOKUP($BS81,[2]Sheet1!$A:$D,4,0),3,IF(ISERROR(FIND(",",VLOOKUP($BS81,[2]Sheet1!$A:$D,4,0))),LEN(VLOOKUP($BS81,[2]Sheet1!$A:$D,4,0))-4,FIND(",",VLOOKUP($BS81,[2]Sheet1!$A:$D,4,0))-4))),"[]",MID(VLOOKUP($BS81,[2]Sheet1!$A:$D,4,0),3,IF(ISERROR(FIND(",",VLOOKUP($BS81,[2]Sheet1!$A:$D,4,0))),LEN(VLOOKUP($BS81,[2]Sheet1!$A:$D,4,0))-4,FIND(",",VLOOKUP($BS81,[2]Sheet1!$A:$D,4,0))-4)))</f>
        <v>[]</v>
      </c>
      <c r="BW81" s="68" t="str">
        <f t="shared" si="3"/>
        <v>3-2</v>
      </c>
    </row>
    <row r="82" spans="1:75" s="68" customFormat="1">
      <c r="A82" s="33">
        <v>1167</v>
      </c>
      <c r="B82" s="33" t="s">
        <v>183</v>
      </c>
      <c r="C82" s="33" t="s">
        <v>199</v>
      </c>
      <c r="D82" s="33">
        <v>1</v>
      </c>
      <c r="E82" s="33">
        <v>4</v>
      </c>
      <c r="F82" s="33">
        <v>4</v>
      </c>
      <c r="G82" s="33">
        <v>4</v>
      </c>
      <c r="H82" s="33" t="s">
        <v>1123</v>
      </c>
      <c r="I82" s="33">
        <v>150</v>
      </c>
      <c r="J82" s="33" t="s">
        <v>213</v>
      </c>
      <c r="K82" s="33">
        <v>10</v>
      </c>
      <c r="L82" s="43" t="s">
        <v>408</v>
      </c>
      <c r="M82" s="33" t="s">
        <v>779</v>
      </c>
      <c r="N82" s="33" t="s">
        <v>639</v>
      </c>
      <c r="O82" s="33" t="s">
        <v>80</v>
      </c>
      <c r="P82" s="33" t="s">
        <v>640</v>
      </c>
      <c r="Q82" s="33">
        <v>1</v>
      </c>
      <c r="R82" s="33" t="s">
        <v>21</v>
      </c>
      <c r="S82" s="33" t="s">
        <v>21</v>
      </c>
      <c r="T82" s="33" t="s">
        <v>21</v>
      </c>
      <c r="U82" s="33">
        <v>1</v>
      </c>
      <c r="V82" s="33">
        <v>2</v>
      </c>
      <c r="W82" s="33">
        <f>VLOOKUP(F82,Sheet3!$B$33:$E$37,3,0)</f>
        <v>3</v>
      </c>
      <c r="X82" s="33">
        <f>VLOOKUP(F82,Sheet3!$B$33:$E$37,2,0)</f>
        <v>15</v>
      </c>
      <c r="Y82" s="33">
        <f>VLOOKUP(F82,Sheet3!$B$33:$E$37,4,0)</f>
        <v>8</v>
      </c>
      <c r="Z82" s="33">
        <v>1</v>
      </c>
      <c r="AA82" s="97">
        <v>0</v>
      </c>
      <c r="AB82" s="97">
        <v>0</v>
      </c>
      <c r="AC82" s="35">
        <v>2000</v>
      </c>
      <c r="AD82" s="35">
        <v>80</v>
      </c>
      <c r="AE82" s="35">
        <v>40</v>
      </c>
      <c r="AF82" s="35">
        <v>40</v>
      </c>
      <c r="AG82" s="33">
        <v>1</v>
      </c>
      <c r="AH82" s="33">
        <v>0</v>
      </c>
      <c r="AI82" s="33">
        <v>0</v>
      </c>
      <c r="AJ82" s="33">
        <v>0</v>
      </c>
      <c r="AK82" s="33">
        <v>0</v>
      </c>
      <c r="AL82" s="33">
        <v>0</v>
      </c>
      <c r="AM82" s="33">
        <v>1</v>
      </c>
      <c r="AN82" s="97">
        <v>0</v>
      </c>
      <c r="AO82" s="97">
        <v>0</v>
      </c>
      <c r="AP82" s="35">
        <v>200</v>
      </c>
      <c r="AQ82" s="35">
        <v>8</v>
      </c>
      <c r="AR82" s="35">
        <v>4</v>
      </c>
      <c r="AS82" s="35">
        <v>4</v>
      </c>
      <c r="AT82" s="33">
        <v>0</v>
      </c>
      <c r="AU82" s="33">
        <v>0</v>
      </c>
      <c r="AV82" s="33">
        <v>0</v>
      </c>
      <c r="AW82" s="33">
        <v>0</v>
      </c>
      <c r="AX82" s="35" t="s">
        <v>1106</v>
      </c>
      <c r="AY82" s="33">
        <v>4</v>
      </c>
      <c r="AZ82" s="34" t="s">
        <v>734</v>
      </c>
      <c r="BA82" s="33" t="s">
        <v>220</v>
      </c>
      <c r="BB82" s="33">
        <v>50</v>
      </c>
      <c r="BC82" s="107" t="s">
        <v>21</v>
      </c>
      <c r="BD82" s="35" t="s">
        <v>21</v>
      </c>
      <c r="BE82" s="94" t="s">
        <v>21</v>
      </c>
      <c r="BF82" s="33">
        <v>20</v>
      </c>
      <c r="BG82" s="97">
        <v>500</v>
      </c>
      <c r="BH82" s="97">
        <v>100</v>
      </c>
      <c r="BI82" s="33">
        <v>10067</v>
      </c>
      <c r="BJ82" s="33" t="s">
        <v>21</v>
      </c>
      <c r="BK82" s="33">
        <v>0</v>
      </c>
      <c r="BL82" s="33">
        <f>VLOOKUP(F82,Sheet3!$B$33:$F$37,5,0)</f>
        <v>100000</v>
      </c>
      <c r="BM82" s="33">
        <v>10</v>
      </c>
      <c r="BN82" s="67">
        <v>100</v>
      </c>
      <c r="BO82" s="68" t="s">
        <v>776</v>
      </c>
      <c r="BP82" s="68">
        <v>1167</v>
      </c>
      <c r="BQ82" s="33" t="s">
        <v>21</v>
      </c>
      <c r="BR82" s="33" t="s">
        <v>21</v>
      </c>
      <c r="BS82" s="68" t="e">
        <f>INT(MID(VLOOKUP($BO82,[1]Sheet1!$A:$C,3,0),9,5))</f>
        <v>#N/A</v>
      </c>
      <c r="BT82" s="68" t="str">
        <f t="shared" si="4"/>
        <v>langren</v>
      </c>
      <c r="BU82" s="68" t="e">
        <f>MID(VLOOKUP($BS82,[2]Sheet1!$A:$C,3,0),3,IF(ISERROR(FIND(",",VLOOKUP($BS82,[2]Sheet1!$A:$C,3,0))),LEN(VLOOKUP($BS82,[2]Sheet1!$A:$C,3,0))-4,FIND(",",VLOOKUP($BS82,[2]Sheet1!$A:$C,3,0))-4))</f>
        <v>#N/A</v>
      </c>
      <c r="BV82" s="68" t="str">
        <f>IF(ISERROR(MID(VLOOKUP($BS82,[2]Sheet1!$A:$D,4,0),3,IF(ISERROR(FIND(",",VLOOKUP($BS82,[2]Sheet1!$A:$D,4,0))),LEN(VLOOKUP($BS82,[2]Sheet1!$A:$D,4,0))-4,FIND(",",VLOOKUP($BS82,[2]Sheet1!$A:$D,4,0))-4))),"[]",MID(VLOOKUP($BS82,[2]Sheet1!$A:$D,4,0),3,IF(ISERROR(FIND(",",VLOOKUP($BS82,[2]Sheet1!$A:$D,4,0))),LEN(VLOOKUP($BS82,[2]Sheet1!$A:$D,4,0))-4,FIND(",",VLOOKUP($BS82,[2]Sheet1!$A:$D,4,0))-4)))</f>
        <v>[]</v>
      </c>
      <c r="BW82" s="68" t="str">
        <f t="shared" si="3"/>
        <v>4-2</v>
      </c>
    </row>
    <row r="83" spans="1:75" s="62" customFormat="1">
      <c r="A83" s="33">
        <v>1168</v>
      </c>
      <c r="B83" s="33" t="s">
        <v>184</v>
      </c>
      <c r="C83" s="33" t="s">
        <v>199</v>
      </c>
      <c r="D83" s="33">
        <v>1</v>
      </c>
      <c r="E83" s="33">
        <v>4</v>
      </c>
      <c r="F83" s="33">
        <v>4</v>
      </c>
      <c r="G83" s="33">
        <v>4</v>
      </c>
      <c r="H83" s="33" t="s">
        <v>1123</v>
      </c>
      <c r="I83" s="33">
        <v>150</v>
      </c>
      <c r="J83" s="33" t="s">
        <v>213</v>
      </c>
      <c r="K83" s="33">
        <v>10</v>
      </c>
      <c r="L83" s="43" t="s">
        <v>411</v>
      </c>
      <c r="M83" s="33" t="s">
        <v>779</v>
      </c>
      <c r="N83" s="33" t="s">
        <v>641</v>
      </c>
      <c r="O83" s="33" t="s">
        <v>80</v>
      </c>
      <c r="P83" s="33" t="s">
        <v>642</v>
      </c>
      <c r="Q83" s="33">
        <v>1</v>
      </c>
      <c r="R83" s="33" t="s">
        <v>21</v>
      </c>
      <c r="S83" s="33" t="s">
        <v>21</v>
      </c>
      <c r="T83" s="33" t="s">
        <v>21</v>
      </c>
      <c r="U83" s="33">
        <v>1</v>
      </c>
      <c r="V83" s="33">
        <v>2</v>
      </c>
      <c r="W83" s="33">
        <f>VLOOKUP(F83,Sheet3!$B$33:$E$37,3,0)</f>
        <v>3</v>
      </c>
      <c r="X83" s="33">
        <f>VLOOKUP(F83,Sheet3!$B$33:$E$37,2,0)</f>
        <v>15</v>
      </c>
      <c r="Y83" s="33">
        <f>VLOOKUP(F83,Sheet3!$B$33:$E$37,4,0)</f>
        <v>8</v>
      </c>
      <c r="Z83" s="33">
        <v>1</v>
      </c>
      <c r="AA83" s="97">
        <v>0</v>
      </c>
      <c r="AB83" s="97">
        <v>0</v>
      </c>
      <c r="AC83" s="35">
        <v>2000</v>
      </c>
      <c r="AD83" s="35">
        <v>80</v>
      </c>
      <c r="AE83" s="35">
        <v>40</v>
      </c>
      <c r="AF83" s="35">
        <v>40</v>
      </c>
      <c r="AG83" s="33">
        <v>1</v>
      </c>
      <c r="AH83" s="33">
        <v>0</v>
      </c>
      <c r="AI83" s="33">
        <v>0</v>
      </c>
      <c r="AJ83" s="33">
        <v>0</v>
      </c>
      <c r="AK83" s="33">
        <v>0</v>
      </c>
      <c r="AL83" s="33">
        <v>0</v>
      </c>
      <c r="AM83" s="33">
        <v>1</v>
      </c>
      <c r="AN83" s="97">
        <v>0</v>
      </c>
      <c r="AO83" s="97">
        <v>0</v>
      </c>
      <c r="AP83" s="35">
        <v>200</v>
      </c>
      <c r="AQ83" s="35">
        <v>8</v>
      </c>
      <c r="AR83" s="35">
        <v>4</v>
      </c>
      <c r="AS83" s="35">
        <v>4</v>
      </c>
      <c r="AT83" s="33">
        <v>0</v>
      </c>
      <c r="AU83" s="33">
        <v>0</v>
      </c>
      <c r="AV83" s="33">
        <v>0</v>
      </c>
      <c r="AW83" s="33">
        <v>0</v>
      </c>
      <c r="AX83" s="35" t="s">
        <v>1106</v>
      </c>
      <c r="AY83" s="33">
        <v>4</v>
      </c>
      <c r="AZ83" s="34" t="s">
        <v>734</v>
      </c>
      <c r="BA83" s="33" t="s">
        <v>220</v>
      </c>
      <c r="BB83" s="33">
        <v>50</v>
      </c>
      <c r="BC83" s="107" t="s">
        <v>21</v>
      </c>
      <c r="BD83" s="35" t="s">
        <v>21</v>
      </c>
      <c r="BE83" s="94" t="s">
        <v>21</v>
      </c>
      <c r="BF83" s="33">
        <v>20</v>
      </c>
      <c r="BG83" s="97">
        <v>500</v>
      </c>
      <c r="BH83" s="97">
        <v>100</v>
      </c>
      <c r="BI83" s="33">
        <v>10068</v>
      </c>
      <c r="BJ83" s="33" t="s">
        <v>21</v>
      </c>
      <c r="BK83" s="33">
        <v>0</v>
      </c>
      <c r="BL83" s="33">
        <f>VLOOKUP(F83,Sheet3!$B$33:$F$37,5,0)</f>
        <v>100000</v>
      </c>
      <c r="BM83" s="33">
        <v>10</v>
      </c>
      <c r="BN83" s="67">
        <v>100</v>
      </c>
      <c r="BO83" s="68" t="s">
        <v>776</v>
      </c>
      <c r="BP83" s="68">
        <v>1168</v>
      </c>
      <c r="BQ83" s="33" t="s">
        <v>21</v>
      </c>
      <c r="BR83" s="33" t="s">
        <v>21</v>
      </c>
      <c r="BS83" s="68" t="e">
        <f>INT(MID(VLOOKUP($BO83,[1]Sheet1!$A:$C,3,0),9,5))</f>
        <v>#N/A</v>
      </c>
      <c r="BT83" s="68" t="str">
        <f t="shared" si="4"/>
        <v>langren</v>
      </c>
      <c r="BU83" s="68" t="e">
        <f>MID(VLOOKUP($BS83,[2]Sheet1!$A:$C,3,0),3,IF(ISERROR(FIND(",",VLOOKUP($BS83,[2]Sheet1!$A:$C,3,0))),LEN(VLOOKUP($BS83,[2]Sheet1!$A:$C,3,0))-4,FIND(",",VLOOKUP($BS83,[2]Sheet1!$A:$C,3,0))-4))</f>
        <v>#N/A</v>
      </c>
      <c r="BV83" s="68" t="str">
        <f>IF(ISERROR(MID(VLOOKUP($BS83,[2]Sheet1!$A:$D,4,0),3,IF(ISERROR(FIND(",",VLOOKUP($BS83,[2]Sheet1!$A:$D,4,0))),LEN(VLOOKUP($BS83,[2]Sheet1!$A:$D,4,0))-4,FIND(",",VLOOKUP($BS83,[2]Sheet1!$A:$D,4,0))-4))),"[]",MID(VLOOKUP($BS83,[2]Sheet1!$A:$D,4,0),3,IF(ISERROR(FIND(",",VLOOKUP($BS83,[2]Sheet1!$A:$D,4,0))),LEN(VLOOKUP($BS83,[2]Sheet1!$A:$D,4,0))-4,FIND(",",VLOOKUP($BS83,[2]Sheet1!$A:$D,4,0))-4)))</f>
        <v>[]</v>
      </c>
      <c r="BW83" s="68" t="str">
        <f t="shared" si="3"/>
        <v>4-2</v>
      </c>
    </row>
    <row r="84" spans="1:75" s="62" customFormat="1">
      <c r="A84" s="33">
        <v>1169</v>
      </c>
      <c r="B84" s="33" t="s">
        <v>185</v>
      </c>
      <c r="C84" s="33" t="s">
        <v>199</v>
      </c>
      <c r="D84" s="33">
        <v>1</v>
      </c>
      <c r="E84" s="33">
        <v>4</v>
      </c>
      <c r="F84" s="33">
        <v>4</v>
      </c>
      <c r="G84" s="33">
        <v>4</v>
      </c>
      <c r="H84" s="33" t="s">
        <v>1123</v>
      </c>
      <c r="I84" s="33">
        <v>150</v>
      </c>
      <c r="J84" s="33" t="s">
        <v>213</v>
      </c>
      <c r="K84" s="33">
        <v>10</v>
      </c>
      <c r="L84" s="43" t="s">
        <v>416</v>
      </c>
      <c r="M84" s="33" t="s">
        <v>779</v>
      </c>
      <c r="N84" s="33" t="s">
        <v>643</v>
      </c>
      <c r="O84" s="33" t="s">
        <v>80</v>
      </c>
      <c r="P84" s="33" t="s">
        <v>644</v>
      </c>
      <c r="Q84" s="33">
        <v>1</v>
      </c>
      <c r="R84" s="33" t="s">
        <v>21</v>
      </c>
      <c r="S84" s="33" t="s">
        <v>21</v>
      </c>
      <c r="T84" s="33" t="s">
        <v>21</v>
      </c>
      <c r="U84" s="33">
        <v>1</v>
      </c>
      <c r="V84" s="33">
        <v>2</v>
      </c>
      <c r="W84" s="33">
        <f>VLOOKUP(F84,Sheet3!$B$33:$E$37,3,0)</f>
        <v>3</v>
      </c>
      <c r="X84" s="33">
        <f>VLOOKUP(F84,Sheet3!$B$33:$E$37,2,0)</f>
        <v>15</v>
      </c>
      <c r="Y84" s="33">
        <f>VLOOKUP(F84,Sheet3!$B$33:$E$37,4,0)</f>
        <v>8</v>
      </c>
      <c r="Z84" s="33">
        <v>1</v>
      </c>
      <c r="AA84" s="97">
        <v>0</v>
      </c>
      <c r="AB84" s="97">
        <v>0</v>
      </c>
      <c r="AC84" s="35">
        <v>2000</v>
      </c>
      <c r="AD84" s="35">
        <v>80</v>
      </c>
      <c r="AE84" s="35">
        <v>40</v>
      </c>
      <c r="AF84" s="35">
        <v>40</v>
      </c>
      <c r="AG84" s="33">
        <v>1</v>
      </c>
      <c r="AH84" s="33">
        <v>0</v>
      </c>
      <c r="AI84" s="33">
        <v>0</v>
      </c>
      <c r="AJ84" s="33">
        <v>0</v>
      </c>
      <c r="AK84" s="33">
        <v>0</v>
      </c>
      <c r="AL84" s="33">
        <v>0</v>
      </c>
      <c r="AM84" s="33">
        <v>1</v>
      </c>
      <c r="AN84" s="97">
        <v>0</v>
      </c>
      <c r="AO84" s="97">
        <v>0</v>
      </c>
      <c r="AP84" s="35">
        <v>200</v>
      </c>
      <c r="AQ84" s="35">
        <v>8</v>
      </c>
      <c r="AR84" s="35">
        <v>4</v>
      </c>
      <c r="AS84" s="35">
        <v>4</v>
      </c>
      <c r="AT84" s="33">
        <v>0</v>
      </c>
      <c r="AU84" s="33">
        <v>0</v>
      </c>
      <c r="AV84" s="33">
        <v>0</v>
      </c>
      <c r="AW84" s="33">
        <v>0</v>
      </c>
      <c r="AX84" s="35" t="s">
        <v>1106</v>
      </c>
      <c r="AY84" s="33">
        <v>4</v>
      </c>
      <c r="AZ84" s="34" t="s">
        <v>734</v>
      </c>
      <c r="BA84" s="33" t="s">
        <v>220</v>
      </c>
      <c r="BB84" s="33">
        <v>50</v>
      </c>
      <c r="BC84" s="107" t="s">
        <v>21</v>
      </c>
      <c r="BD84" s="35" t="s">
        <v>21</v>
      </c>
      <c r="BE84" s="94" t="s">
        <v>21</v>
      </c>
      <c r="BF84" s="33">
        <v>20</v>
      </c>
      <c r="BG84" s="97">
        <v>500</v>
      </c>
      <c r="BH84" s="97">
        <v>100</v>
      </c>
      <c r="BI84" s="33">
        <v>10069</v>
      </c>
      <c r="BJ84" s="33" t="s">
        <v>21</v>
      </c>
      <c r="BK84" s="33">
        <v>0</v>
      </c>
      <c r="BL84" s="33">
        <f>VLOOKUP(F84,Sheet3!$B$33:$F$37,5,0)</f>
        <v>100000</v>
      </c>
      <c r="BM84" s="33">
        <v>10</v>
      </c>
      <c r="BN84" s="67">
        <v>100</v>
      </c>
      <c r="BO84" s="68" t="s">
        <v>776</v>
      </c>
      <c r="BP84" s="68">
        <v>1169</v>
      </c>
      <c r="BQ84" s="33" t="s">
        <v>21</v>
      </c>
      <c r="BR84" s="33" t="s">
        <v>21</v>
      </c>
      <c r="BS84" s="68" t="e">
        <f>INT(MID(VLOOKUP($BO84,[1]Sheet1!$A:$C,3,0),9,5))</f>
        <v>#N/A</v>
      </c>
      <c r="BT84" s="68" t="str">
        <f t="shared" si="4"/>
        <v>langren</v>
      </c>
      <c r="BU84" s="68" t="e">
        <f>MID(VLOOKUP($BS84,[2]Sheet1!$A:$C,3,0),3,IF(ISERROR(FIND(",",VLOOKUP($BS84,[2]Sheet1!$A:$C,3,0))),LEN(VLOOKUP($BS84,[2]Sheet1!$A:$C,3,0))-4,FIND(",",VLOOKUP($BS84,[2]Sheet1!$A:$C,3,0))-4))</f>
        <v>#N/A</v>
      </c>
      <c r="BV84" s="68" t="str">
        <f>IF(ISERROR(MID(VLOOKUP($BS84,[2]Sheet1!$A:$D,4,0),3,IF(ISERROR(FIND(",",VLOOKUP($BS84,[2]Sheet1!$A:$D,4,0))),LEN(VLOOKUP($BS84,[2]Sheet1!$A:$D,4,0))-4,FIND(",",VLOOKUP($BS84,[2]Sheet1!$A:$D,4,0))-4))),"[]",MID(VLOOKUP($BS84,[2]Sheet1!$A:$D,4,0),3,IF(ISERROR(FIND(",",VLOOKUP($BS84,[2]Sheet1!$A:$D,4,0))),LEN(VLOOKUP($BS84,[2]Sheet1!$A:$D,4,0))-4,FIND(",",VLOOKUP($BS84,[2]Sheet1!$A:$D,4,0))-4)))</f>
        <v>[]</v>
      </c>
      <c r="BW84" s="68" t="str">
        <f t="shared" si="3"/>
        <v>4-2</v>
      </c>
    </row>
    <row r="85" spans="1:75" s="62" customFormat="1">
      <c r="A85" s="33">
        <v>1170</v>
      </c>
      <c r="B85" s="33" t="s">
        <v>186</v>
      </c>
      <c r="C85" s="33" t="s">
        <v>199</v>
      </c>
      <c r="D85" s="33">
        <v>1</v>
      </c>
      <c r="E85" s="33">
        <v>4</v>
      </c>
      <c r="F85" s="33">
        <v>4</v>
      </c>
      <c r="G85" s="33">
        <v>4</v>
      </c>
      <c r="H85" s="33" t="s">
        <v>1123</v>
      </c>
      <c r="I85" s="33">
        <v>150</v>
      </c>
      <c r="J85" s="33" t="s">
        <v>213</v>
      </c>
      <c r="K85" s="33">
        <v>10</v>
      </c>
      <c r="L85" s="43" t="s">
        <v>421</v>
      </c>
      <c r="M85" s="33" t="s">
        <v>779</v>
      </c>
      <c r="N85" s="33" t="s">
        <v>645</v>
      </c>
      <c r="O85" s="33" t="s">
        <v>80</v>
      </c>
      <c r="P85" s="33" t="s">
        <v>646</v>
      </c>
      <c r="Q85" s="33">
        <v>1</v>
      </c>
      <c r="R85" s="33" t="s">
        <v>21</v>
      </c>
      <c r="S85" s="33" t="s">
        <v>21</v>
      </c>
      <c r="T85" s="33" t="s">
        <v>21</v>
      </c>
      <c r="U85" s="33">
        <v>1</v>
      </c>
      <c r="V85" s="33">
        <v>2</v>
      </c>
      <c r="W85" s="33">
        <f>VLOOKUP(F85,Sheet3!$B$33:$E$37,3,0)</f>
        <v>3</v>
      </c>
      <c r="X85" s="33">
        <f>VLOOKUP(F85,Sheet3!$B$33:$E$37,2,0)</f>
        <v>15</v>
      </c>
      <c r="Y85" s="33">
        <f>VLOOKUP(F85,Sheet3!$B$33:$E$37,4,0)</f>
        <v>8</v>
      </c>
      <c r="Z85" s="33">
        <v>1</v>
      </c>
      <c r="AA85" s="97">
        <v>0</v>
      </c>
      <c r="AB85" s="97">
        <v>0</v>
      </c>
      <c r="AC85" s="35">
        <v>2000</v>
      </c>
      <c r="AD85" s="35">
        <v>80</v>
      </c>
      <c r="AE85" s="35">
        <v>40</v>
      </c>
      <c r="AF85" s="35">
        <v>40</v>
      </c>
      <c r="AG85" s="33">
        <v>1</v>
      </c>
      <c r="AH85" s="33">
        <v>0</v>
      </c>
      <c r="AI85" s="33">
        <v>0</v>
      </c>
      <c r="AJ85" s="33">
        <v>0</v>
      </c>
      <c r="AK85" s="33">
        <v>0</v>
      </c>
      <c r="AL85" s="33">
        <v>0</v>
      </c>
      <c r="AM85" s="33">
        <v>1</v>
      </c>
      <c r="AN85" s="97">
        <v>0</v>
      </c>
      <c r="AO85" s="97">
        <v>0</v>
      </c>
      <c r="AP85" s="35">
        <v>200</v>
      </c>
      <c r="AQ85" s="35">
        <v>8</v>
      </c>
      <c r="AR85" s="35">
        <v>4</v>
      </c>
      <c r="AS85" s="35">
        <v>4</v>
      </c>
      <c r="AT85" s="33">
        <v>0</v>
      </c>
      <c r="AU85" s="33">
        <v>0</v>
      </c>
      <c r="AV85" s="33">
        <v>0</v>
      </c>
      <c r="AW85" s="33">
        <v>0</v>
      </c>
      <c r="AX85" s="35" t="s">
        <v>1106</v>
      </c>
      <c r="AY85" s="33">
        <v>4</v>
      </c>
      <c r="AZ85" s="34" t="s">
        <v>734</v>
      </c>
      <c r="BA85" s="33" t="s">
        <v>220</v>
      </c>
      <c r="BB85" s="33">
        <v>50</v>
      </c>
      <c r="BC85" s="107" t="s">
        <v>21</v>
      </c>
      <c r="BD85" s="35" t="s">
        <v>21</v>
      </c>
      <c r="BE85" s="94" t="s">
        <v>21</v>
      </c>
      <c r="BF85" s="33">
        <v>20</v>
      </c>
      <c r="BG85" s="97">
        <v>500</v>
      </c>
      <c r="BH85" s="97">
        <v>100</v>
      </c>
      <c r="BI85" s="33">
        <v>10070</v>
      </c>
      <c r="BJ85" s="33" t="s">
        <v>21</v>
      </c>
      <c r="BK85" s="33">
        <v>0</v>
      </c>
      <c r="BL85" s="33">
        <f>VLOOKUP(F85,Sheet3!$B$33:$F$37,5,0)</f>
        <v>100000</v>
      </c>
      <c r="BM85" s="33">
        <v>10</v>
      </c>
      <c r="BN85" s="67">
        <v>100</v>
      </c>
      <c r="BO85" s="68" t="s">
        <v>776</v>
      </c>
      <c r="BP85" s="68">
        <v>1170</v>
      </c>
      <c r="BQ85" s="33" t="s">
        <v>21</v>
      </c>
      <c r="BR85" s="33" t="s">
        <v>21</v>
      </c>
      <c r="BS85" s="68" t="e">
        <f>INT(MID(VLOOKUP($BO85,[1]Sheet1!$A:$C,3,0),9,5))</f>
        <v>#N/A</v>
      </c>
      <c r="BT85" s="68" t="str">
        <f t="shared" si="4"/>
        <v>langren</v>
      </c>
      <c r="BU85" s="68" t="e">
        <f>MID(VLOOKUP($BS85,[2]Sheet1!$A:$C,3,0),3,IF(ISERROR(FIND(",",VLOOKUP($BS85,[2]Sheet1!$A:$C,3,0))),LEN(VLOOKUP($BS85,[2]Sheet1!$A:$C,3,0))-4,FIND(",",VLOOKUP($BS85,[2]Sheet1!$A:$C,3,0))-4))</f>
        <v>#N/A</v>
      </c>
      <c r="BV85" s="68" t="str">
        <f>IF(ISERROR(MID(VLOOKUP($BS85,[2]Sheet1!$A:$D,4,0),3,IF(ISERROR(FIND(",",VLOOKUP($BS85,[2]Sheet1!$A:$D,4,0))),LEN(VLOOKUP($BS85,[2]Sheet1!$A:$D,4,0))-4,FIND(",",VLOOKUP($BS85,[2]Sheet1!$A:$D,4,0))-4))),"[]",MID(VLOOKUP($BS85,[2]Sheet1!$A:$D,4,0),3,IF(ISERROR(FIND(",",VLOOKUP($BS85,[2]Sheet1!$A:$D,4,0))),LEN(VLOOKUP($BS85,[2]Sheet1!$A:$D,4,0))-4,FIND(",",VLOOKUP($BS85,[2]Sheet1!$A:$D,4,0))-4)))</f>
        <v>[]</v>
      </c>
      <c r="BW85" s="68" t="str">
        <f t="shared" si="3"/>
        <v>4-2</v>
      </c>
    </row>
    <row r="86" spans="1:75" s="62" customFormat="1" ht="16.5" customHeight="1">
      <c r="A86" s="33">
        <v>1171</v>
      </c>
      <c r="B86" s="33" t="s">
        <v>187</v>
      </c>
      <c r="C86" s="33" t="s">
        <v>199</v>
      </c>
      <c r="D86" s="33">
        <v>1</v>
      </c>
      <c r="E86" s="33">
        <v>4</v>
      </c>
      <c r="F86" s="33">
        <v>4</v>
      </c>
      <c r="G86" s="33">
        <v>4</v>
      </c>
      <c r="H86" s="33" t="s">
        <v>1123</v>
      </c>
      <c r="I86" s="33">
        <v>150</v>
      </c>
      <c r="J86" s="33" t="s">
        <v>213</v>
      </c>
      <c r="K86" s="33">
        <v>10</v>
      </c>
      <c r="L86" s="43" t="s">
        <v>423</v>
      </c>
      <c r="M86" s="33" t="s">
        <v>779</v>
      </c>
      <c r="N86" s="33" t="s">
        <v>647</v>
      </c>
      <c r="O86" s="33" t="s">
        <v>80</v>
      </c>
      <c r="P86" s="33" t="s">
        <v>650</v>
      </c>
      <c r="Q86" s="33">
        <v>1</v>
      </c>
      <c r="R86" s="33" t="s">
        <v>21</v>
      </c>
      <c r="S86" s="33" t="s">
        <v>21</v>
      </c>
      <c r="T86" s="33" t="s">
        <v>21</v>
      </c>
      <c r="U86" s="33">
        <v>1</v>
      </c>
      <c r="V86" s="33">
        <v>2</v>
      </c>
      <c r="W86" s="33">
        <f>VLOOKUP(F86,Sheet3!$B$33:$E$37,3,0)</f>
        <v>3</v>
      </c>
      <c r="X86" s="33">
        <f>VLOOKUP(F86,Sheet3!$B$33:$E$37,2,0)</f>
        <v>15</v>
      </c>
      <c r="Y86" s="33">
        <f>VLOOKUP(F86,Sheet3!$B$33:$E$37,4,0)</f>
        <v>8</v>
      </c>
      <c r="Z86" s="33">
        <v>1</v>
      </c>
      <c r="AA86" s="97">
        <v>0</v>
      </c>
      <c r="AB86" s="97">
        <v>0</v>
      </c>
      <c r="AC86" s="35">
        <v>2000</v>
      </c>
      <c r="AD86" s="35">
        <v>80</v>
      </c>
      <c r="AE86" s="35">
        <v>40</v>
      </c>
      <c r="AF86" s="35">
        <v>40</v>
      </c>
      <c r="AG86" s="33">
        <v>1</v>
      </c>
      <c r="AH86" s="33">
        <v>0</v>
      </c>
      <c r="AI86" s="33">
        <v>0</v>
      </c>
      <c r="AJ86" s="33">
        <v>0</v>
      </c>
      <c r="AK86" s="33">
        <v>0</v>
      </c>
      <c r="AL86" s="33">
        <v>0</v>
      </c>
      <c r="AM86" s="33">
        <v>1</v>
      </c>
      <c r="AN86" s="97">
        <v>0</v>
      </c>
      <c r="AO86" s="97">
        <v>0</v>
      </c>
      <c r="AP86" s="35">
        <v>200</v>
      </c>
      <c r="AQ86" s="35">
        <v>8</v>
      </c>
      <c r="AR86" s="35">
        <v>4</v>
      </c>
      <c r="AS86" s="35">
        <v>4</v>
      </c>
      <c r="AT86" s="33">
        <v>0</v>
      </c>
      <c r="AU86" s="33">
        <v>0</v>
      </c>
      <c r="AV86" s="33">
        <v>0</v>
      </c>
      <c r="AW86" s="33">
        <v>0</v>
      </c>
      <c r="AX86" s="35" t="s">
        <v>1106</v>
      </c>
      <c r="AY86" s="33">
        <v>4</v>
      </c>
      <c r="AZ86" s="34" t="s">
        <v>734</v>
      </c>
      <c r="BA86" s="33" t="s">
        <v>220</v>
      </c>
      <c r="BB86" s="33">
        <v>50</v>
      </c>
      <c r="BC86" s="107" t="s">
        <v>21</v>
      </c>
      <c r="BD86" s="35" t="s">
        <v>21</v>
      </c>
      <c r="BE86" s="94" t="s">
        <v>21</v>
      </c>
      <c r="BF86" s="33">
        <v>20</v>
      </c>
      <c r="BG86" s="97">
        <v>500</v>
      </c>
      <c r="BH86" s="97">
        <v>100</v>
      </c>
      <c r="BI86" s="33">
        <v>10071</v>
      </c>
      <c r="BJ86" s="33" t="s">
        <v>21</v>
      </c>
      <c r="BK86" s="33">
        <v>0</v>
      </c>
      <c r="BL86" s="33">
        <f>VLOOKUP(F86,Sheet3!$B$33:$F$37,5,0)</f>
        <v>100000</v>
      </c>
      <c r="BM86" s="33">
        <v>10</v>
      </c>
      <c r="BN86" s="67">
        <v>100</v>
      </c>
      <c r="BO86" s="68" t="s">
        <v>776</v>
      </c>
      <c r="BP86" s="68">
        <v>1171</v>
      </c>
      <c r="BQ86" s="33" t="s">
        <v>21</v>
      </c>
      <c r="BR86" s="33" t="s">
        <v>21</v>
      </c>
      <c r="BS86" s="68" t="e">
        <f>INT(MID(VLOOKUP($BO86,[1]Sheet1!$A:$C,3,0),9,5))</f>
        <v>#N/A</v>
      </c>
      <c r="BT86" s="68" t="str">
        <f t="shared" si="4"/>
        <v>langren</v>
      </c>
      <c r="BU86" s="68" t="e">
        <f>MID(VLOOKUP($BS86,[2]Sheet1!$A:$C,3,0),3,IF(ISERROR(FIND(",",VLOOKUP($BS86,[2]Sheet1!$A:$C,3,0))),LEN(VLOOKUP($BS86,[2]Sheet1!$A:$C,3,0))-4,FIND(",",VLOOKUP($BS86,[2]Sheet1!$A:$C,3,0))-4))</f>
        <v>#N/A</v>
      </c>
      <c r="BV86" s="68" t="str">
        <f>IF(ISERROR(MID(VLOOKUP($BS86,[2]Sheet1!$A:$D,4,0),3,IF(ISERROR(FIND(",",VLOOKUP($BS86,[2]Sheet1!$A:$D,4,0))),LEN(VLOOKUP($BS86,[2]Sheet1!$A:$D,4,0))-4,FIND(",",VLOOKUP($BS86,[2]Sheet1!$A:$D,4,0))-4))),"[]",MID(VLOOKUP($BS86,[2]Sheet1!$A:$D,4,0),3,IF(ISERROR(FIND(",",VLOOKUP($BS86,[2]Sheet1!$A:$D,4,0))),LEN(VLOOKUP($BS86,[2]Sheet1!$A:$D,4,0))-4,FIND(",",VLOOKUP($BS86,[2]Sheet1!$A:$D,4,0))-4)))</f>
        <v>[]</v>
      </c>
      <c r="BW86" s="68" t="str">
        <f t="shared" si="3"/>
        <v>4-2</v>
      </c>
    </row>
    <row r="87" spans="1:75" s="62" customFormat="1">
      <c r="A87" s="33">
        <v>1176</v>
      </c>
      <c r="B87" s="33" t="s">
        <v>349</v>
      </c>
      <c r="C87" s="33" t="s">
        <v>195</v>
      </c>
      <c r="D87" s="33">
        <v>1</v>
      </c>
      <c r="E87" s="33">
        <v>4</v>
      </c>
      <c r="F87" s="33">
        <v>3</v>
      </c>
      <c r="G87" s="33">
        <v>3</v>
      </c>
      <c r="H87" s="33" t="s">
        <v>1122</v>
      </c>
      <c r="I87" s="33">
        <v>150</v>
      </c>
      <c r="J87" s="33" t="s">
        <v>218</v>
      </c>
      <c r="K87" s="33">
        <v>10</v>
      </c>
      <c r="L87" s="43" t="s">
        <v>412</v>
      </c>
      <c r="M87" s="33" t="s">
        <v>779</v>
      </c>
      <c r="N87" s="33" t="s">
        <v>648</v>
      </c>
      <c r="O87" s="33" t="s">
        <v>80</v>
      </c>
      <c r="P87" s="33" t="s">
        <v>649</v>
      </c>
      <c r="Q87" s="33">
        <v>1</v>
      </c>
      <c r="R87" s="33" t="s">
        <v>21</v>
      </c>
      <c r="S87" s="33" t="s">
        <v>21</v>
      </c>
      <c r="T87" s="33" t="s">
        <v>21</v>
      </c>
      <c r="U87" s="33">
        <v>1</v>
      </c>
      <c r="V87" s="33">
        <v>2</v>
      </c>
      <c r="W87" s="33">
        <f>VLOOKUP(F87,Sheet3!$B$33:$E$37,3,0)</f>
        <v>5</v>
      </c>
      <c r="X87" s="33">
        <f>VLOOKUP(F87,Sheet3!$B$33:$E$37,2,0)</f>
        <v>15</v>
      </c>
      <c r="Y87" s="33">
        <f>VLOOKUP(F87,Sheet3!$B$33:$E$37,4,0)</f>
        <v>8</v>
      </c>
      <c r="Z87" s="33">
        <v>1</v>
      </c>
      <c r="AA87" s="97">
        <v>0</v>
      </c>
      <c r="AB87" s="97">
        <v>0</v>
      </c>
      <c r="AC87" s="35">
        <v>2000</v>
      </c>
      <c r="AD87" s="35">
        <v>80</v>
      </c>
      <c r="AE87" s="35">
        <v>40</v>
      </c>
      <c r="AF87" s="35">
        <v>40</v>
      </c>
      <c r="AG87" s="33">
        <v>1</v>
      </c>
      <c r="AH87" s="33">
        <v>0</v>
      </c>
      <c r="AI87" s="33">
        <v>0</v>
      </c>
      <c r="AJ87" s="33">
        <v>0</v>
      </c>
      <c r="AK87" s="33">
        <v>0</v>
      </c>
      <c r="AL87" s="33">
        <v>0</v>
      </c>
      <c r="AM87" s="33">
        <v>1</v>
      </c>
      <c r="AN87" s="97">
        <v>0</v>
      </c>
      <c r="AO87" s="97">
        <v>0</v>
      </c>
      <c r="AP87" s="35">
        <v>200</v>
      </c>
      <c r="AQ87" s="35">
        <v>8</v>
      </c>
      <c r="AR87" s="35">
        <v>4</v>
      </c>
      <c r="AS87" s="35">
        <v>4</v>
      </c>
      <c r="AT87" s="33">
        <v>0</v>
      </c>
      <c r="AU87" s="33">
        <v>0</v>
      </c>
      <c r="AV87" s="33">
        <v>0</v>
      </c>
      <c r="AW87" s="33">
        <v>0</v>
      </c>
      <c r="AX87" s="35" t="s">
        <v>1106</v>
      </c>
      <c r="AY87" s="33">
        <v>4</v>
      </c>
      <c r="AZ87" s="34" t="s">
        <v>735</v>
      </c>
      <c r="BA87" s="33" t="s">
        <v>220</v>
      </c>
      <c r="BB87" s="33">
        <v>50</v>
      </c>
      <c r="BC87" s="107" t="s">
        <v>21</v>
      </c>
      <c r="BD87" s="35" t="s">
        <v>21</v>
      </c>
      <c r="BE87" s="94" t="s">
        <v>21</v>
      </c>
      <c r="BF87" s="33">
        <v>20</v>
      </c>
      <c r="BG87" s="97">
        <v>500</v>
      </c>
      <c r="BH87" s="97">
        <v>100</v>
      </c>
      <c r="BI87" s="33">
        <v>10076</v>
      </c>
      <c r="BJ87" s="33" t="s">
        <v>21</v>
      </c>
      <c r="BK87" s="33">
        <v>0</v>
      </c>
      <c r="BL87" s="33">
        <f>VLOOKUP(F87,Sheet3!$B$33:$F$37,5,0)</f>
        <v>50000</v>
      </c>
      <c r="BM87" s="33">
        <v>1.5</v>
      </c>
      <c r="BN87" s="67">
        <v>100</v>
      </c>
      <c r="BO87" s="68" t="s">
        <v>776</v>
      </c>
      <c r="BP87" s="68">
        <v>1176</v>
      </c>
      <c r="BQ87" s="33" t="s">
        <v>21</v>
      </c>
      <c r="BR87" s="33" t="s">
        <v>21</v>
      </c>
      <c r="BS87" s="68" t="e">
        <f>INT(MID(VLOOKUP($BO87,[1]Sheet1!$A:$C,3,0),9,5))</f>
        <v>#N/A</v>
      </c>
      <c r="BT87" s="68" t="str">
        <f t="shared" si="4"/>
        <v>kulou</v>
      </c>
      <c r="BU87" s="68" t="e">
        <f>MID(VLOOKUP($BS87,[2]Sheet1!$A:$C,3,0),3,IF(ISERROR(FIND(",",VLOOKUP($BS87,[2]Sheet1!$A:$C,3,0))),LEN(VLOOKUP($BS87,[2]Sheet1!$A:$C,3,0))-4,FIND(",",VLOOKUP($BS87,[2]Sheet1!$A:$C,3,0))-4))</f>
        <v>#N/A</v>
      </c>
      <c r="BV87" s="68" t="str">
        <f>IF(ISERROR(MID(VLOOKUP($BS87,[2]Sheet1!$A:$D,4,0),3,IF(ISERROR(FIND(",",VLOOKUP($BS87,[2]Sheet1!$A:$D,4,0))),LEN(VLOOKUP($BS87,[2]Sheet1!$A:$D,4,0))-4,FIND(",",VLOOKUP($BS87,[2]Sheet1!$A:$D,4,0))-4))),"[]",MID(VLOOKUP($BS87,[2]Sheet1!$A:$D,4,0),3,IF(ISERROR(FIND(",",VLOOKUP($BS87,[2]Sheet1!$A:$D,4,0))),LEN(VLOOKUP($BS87,[2]Sheet1!$A:$D,4,0))-4,FIND(",",VLOOKUP($BS87,[2]Sheet1!$A:$D,4,0))-4)))</f>
        <v>[]</v>
      </c>
      <c r="BW87" s="68" t="str">
        <f t="shared" si="3"/>
        <v>3-2</v>
      </c>
    </row>
    <row r="88" spans="1:75" s="62" customFormat="1">
      <c r="A88" s="33">
        <v>1177</v>
      </c>
      <c r="B88" s="33" t="s">
        <v>350</v>
      </c>
      <c r="C88" s="33" t="s">
        <v>195</v>
      </c>
      <c r="D88" s="33">
        <v>1</v>
      </c>
      <c r="E88" s="33">
        <v>4</v>
      </c>
      <c r="F88" s="33">
        <v>3</v>
      </c>
      <c r="G88" s="33">
        <v>3</v>
      </c>
      <c r="H88" s="33" t="s">
        <v>1122</v>
      </c>
      <c r="I88" s="33">
        <v>150</v>
      </c>
      <c r="J88" s="33" t="s">
        <v>218</v>
      </c>
      <c r="K88" s="33">
        <v>10</v>
      </c>
      <c r="L88" s="43" t="s">
        <v>418</v>
      </c>
      <c r="M88" s="33" t="s">
        <v>779</v>
      </c>
      <c r="N88" s="33" t="s">
        <v>651</v>
      </c>
      <c r="O88" s="33" t="s">
        <v>80</v>
      </c>
      <c r="P88" s="33" t="s">
        <v>652</v>
      </c>
      <c r="Q88" s="33">
        <v>1</v>
      </c>
      <c r="R88" s="33" t="s">
        <v>21</v>
      </c>
      <c r="S88" s="33" t="s">
        <v>21</v>
      </c>
      <c r="T88" s="33" t="s">
        <v>21</v>
      </c>
      <c r="U88" s="33">
        <v>1</v>
      </c>
      <c r="V88" s="33">
        <v>2</v>
      </c>
      <c r="W88" s="33">
        <f>VLOOKUP(F88,Sheet3!$B$33:$E$37,3,0)</f>
        <v>5</v>
      </c>
      <c r="X88" s="33">
        <f>VLOOKUP(F88,Sheet3!$B$33:$E$37,2,0)</f>
        <v>15</v>
      </c>
      <c r="Y88" s="33">
        <f>VLOOKUP(F88,Sheet3!$B$33:$E$37,4,0)</f>
        <v>8</v>
      </c>
      <c r="Z88" s="33">
        <v>1</v>
      </c>
      <c r="AA88" s="97">
        <v>0</v>
      </c>
      <c r="AB88" s="97">
        <v>0</v>
      </c>
      <c r="AC88" s="35">
        <v>2000</v>
      </c>
      <c r="AD88" s="35">
        <v>80</v>
      </c>
      <c r="AE88" s="35">
        <v>40</v>
      </c>
      <c r="AF88" s="35">
        <v>40</v>
      </c>
      <c r="AG88" s="33">
        <v>1</v>
      </c>
      <c r="AH88" s="33">
        <v>0</v>
      </c>
      <c r="AI88" s="33">
        <v>0</v>
      </c>
      <c r="AJ88" s="33">
        <v>0</v>
      </c>
      <c r="AK88" s="33">
        <v>0</v>
      </c>
      <c r="AL88" s="33">
        <v>0</v>
      </c>
      <c r="AM88" s="33">
        <v>1</v>
      </c>
      <c r="AN88" s="97">
        <v>0</v>
      </c>
      <c r="AO88" s="97">
        <v>0</v>
      </c>
      <c r="AP88" s="35">
        <v>200</v>
      </c>
      <c r="AQ88" s="35">
        <v>8</v>
      </c>
      <c r="AR88" s="35">
        <v>4</v>
      </c>
      <c r="AS88" s="35">
        <v>4</v>
      </c>
      <c r="AT88" s="33">
        <v>0</v>
      </c>
      <c r="AU88" s="33">
        <v>0</v>
      </c>
      <c r="AV88" s="33">
        <v>0</v>
      </c>
      <c r="AW88" s="33">
        <v>0</v>
      </c>
      <c r="AX88" s="35" t="s">
        <v>1106</v>
      </c>
      <c r="AY88" s="33">
        <v>4</v>
      </c>
      <c r="AZ88" s="34" t="s">
        <v>735</v>
      </c>
      <c r="BA88" s="33" t="s">
        <v>220</v>
      </c>
      <c r="BB88" s="33">
        <v>50</v>
      </c>
      <c r="BC88" s="107" t="s">
        <v>21</v>
      </c>
      <c r="BD88" s="35" t="s">
        <v>21</v>
      </c>
      <c r="BE88" s="94" t="s">
        <v>21</v>
      </c>
      <c r="BF88" s="33">
        <v>20</v>
      </c>
      <c r="BG88" s="97">
        <v>500</v>
      </c>
      <c r="BH88" s="97">
        <v>100</v>
      </c>
      <c r="BI88" s="33">
        <v>10077</v>
      </c>
      <c r="BJ88" s="33" t="s">
        <v>21</v>
      </c>
      <c r="BK88" s="33">
        <v>0</v>
      </c>
      <c r="BL88" s="33">
        <f>VLOOKUP(F88,Sheet3!$B$33:$F$37,5,0)</f>
        <v>50000</v>
      </c>
      <c r="BM88" s="33">
        <v>1.5</v>
      </c>
      <c r="BN88" s="67">
        <v>100</v>
      </c>
      <c r="BO88" s="68" t="s">
        <v>776</v>
      </c>
      <c r="BP88" s="68">
        <v>1177</v>
      </c>
      <c r="BQ88" s="33" t="s">
        <v>21</v>
      </c>
      <c r="BR88" s="33" t="s">
        <v>21</v>
      </c>
      <c r="BS88" s="68" t="e">
        <f>INT(MID(VLOOKUP($BO88,[1]Sheet1!$A:$C,3,0),9,5))</f>
        <v>#N/A</v>
      </c>
      <c r="BT88" s="68" t="str">
        <f t="shared" si="4"/>
        <v>kulou</v>
      </c>
      <c r="BU88" s="68" t="e">
        <f>MID(VLOOKUP($BS88,[2]Sheet1!$A:$C,3,0),3,IF(ISERROR(FIND(",",VLOOKUP($BS88,[2]Sheet1!$A:$C,3,0))),LEN(VLOOKUP($BS88,[2]Sheet1!$A:$C,3,0))-4,FIND(",",VLOOKUP($BS88,[2]Sheet1!$A:$C,3,0))-4))</f>
        <v>#N/A</v>
      </c>
      <c r="BV88" s="68" t="str">
        <f>IF(ISERROR(MID(VLOOKUP($BS88,[2]Sheet1!$A:$D,4,0),3,IF(ISERROR(FIND(",",VLOOKUP($BS88,[2]Sheet1!$A:$D,4,0))),LEN(VLOOKUP($BS88,[2]Sheet1!$A:$D,4,0))-4,FIND(",",VLOOKUP($BS88,[2]Sheet1!$A:$D,4,0))-4))),"[]",MID(VLOOKUP($BS88,[2]Sheet1!$A:$D,4,0),3,IF(ISERROR(FIND(",",VLOOKUP($BS88,[2]Sheet1!$A:$D,4,0))),LEN(VLOOKUP($BS88,[2]Sheet1!$A:$D,4,0))-4,FIND(",",VLOOKUP($BS88,[2]Sheet1!$A:$D,4,0))-4)))</f>
        <v>[]</v>
      </c>
      <c r="BW88" s="68" t="str">
        <f t="shared" si="3"/>
        <v>3-2</v>
      </c>
    </row>
    <row r="89" spans="1:75" s="62" customFormat="1" ht="16.5" customHeight="1">
      <c r="A89" s="33">
        <v>1178</v>
      </c>
      <c r="B89" s="33" t="s">
        <v>351</v>
      </c>
      <c r="C89" s="33" t="s">
        <v>195</v>
      </c>
      <c r="D89" s="33">
        <v>1</v>
      </c>
      <c r="E89" s="33">
        <v>4</v>
      </c>
      <c r="F89" s="33">
        <v>3</v>
      </c>
      <c r="G89" s="33">
        <v>3</v>
      </c>
      <c r="H89" s="33" t="s">
        <v>1122</v>
      </c>
      <c r="I89" s="33">
        <v>150</v>
      </c>
      <c r="J89" s="33" t="s">
        <v>218</v>
      </c>
      <c r="K89" s="33">
        <v>10</v>
      </c>
      <c r="L89" s="43" t="s">
        <v>421</v>
      </c>
      <c r="M89" s="33" t="s">
        <v>779</v>
      </c>
      <c r="N89" s="33" t="s">
        <v>653</v>
      </c>
      <c r="O89" s="33" t="s">
        <v>80</v>
      </c>
      <c r="P89" s="33" t="s">
        <v>654</v>
      </c>
      <c r="Q89" s="33">
        <v>1</v>
      </c>
      <c r="R89" s="33" t="s">
        <v>21</v>
      </c>
      <c r="S89" s="33" t="s">
        <v>21</v>
      </c>
      <c r="T89" s="33" t="s">
        <v>21</v>
      </c>
      <c r="U89" s="33">
        <v>1</v>
      </c>
      <c r="V89" s="33">
        <v>2</v>
      </c>
      <c r="W89" s="33">
        <f>VLOOKUP(F89,Sheet3!$B$33:$E$37,3,0)</f>
        <v>5</v>
      </c>
      <c r="X89" s="33">
        <f>VLOOKUP(F89,Sheet3!$B$33:$E$37,2,0)</f>
        <v>15</v>
      </c>
      <c r="Y89" s="33">
        <f>VLOOKUP(F89,Sheet3!$B$33:$E$37,4,0)</f>
        <v>8</v>
      </c>
      <c r="Z89" s="33">
        <v>1</v>
      </c>
      <c r="AA89" s="97">
        <v>0</v>
      </c>
      <c r="AB89" s="97">
        <v>0</v>
      </c>
      <c r="AC89" s="35">
        <v>2000</v>
      </c>
      <c r="AD89" s="35">
        <v>80</v>
      </c>
      <c r="AE89" s="35">
        <v>40</v>
      </c>
      <c r="AF89" s="35">
        <v>40</v>
      </c>
      <c r="AG89" s="33">
        <v>1</v>
      </c>
      <c r="AH89" s="33">
        <v>0</v>
      </c>
      <c r="AI89" s="33">
        <v>0</v>
      </c>
      <c r="AJ89" s="33">
        <v>0</v>
      </c>
      <c r="AK89" s="33">
        <v>0</v>
      </c>
      <c r="AL89" s="33">
        <v>0</v>
      </c>
      <c r="AM89" s="33">
        <v>1</v>
      </c>
      <c r="AN89" s="97">
        <v>0</v>
      </c>
      <c r="AO89" s="97">
        <v>0</v>
      </c>
      <c r="AP89" s="35">
        <v>200</v>
      </c>
      <c r="AQ89" s="35">
        <v>8</v>
      </c>
      <c r="AR89" s="35">
        <v>4</v>
      </c>
      <c r="AS89" s="35">
        <v>4</v>
      </c>
      <c r="AT89" s="33">
        <v>0</v>
      </c>
      <c r="AU89" s="33">
        <v>0</v>
      </c>
      <c r="AV89" s="33">
        <v>0</v>
      </c>
      <c r="AW89" s="33">
        <v>0</v>
      </c>
      <c r="AX89" s="35" t="s">
        <v>1106</v>
      </c>
      <c r="AY89" s="33">
        <v>4</v>
      </c>
      <c r="AZ89" s="34" t="s">
        <v>735</v>
      </c>
      <c r="BA89" s="33" t="s">
        <v>220</v>
      </c>
      <c r="BB89" s="33">
        <v>50</v>
      </c>
      <c r="BC89" s="107" t="s">
        <v>21</v>
      </c>
      <c r="BD89" s="35" t="s">
        <v>21</v>
      </c>
      <c r="BE89" s="94" t="s">
        <v>21</v>
      </c>
      <c r="BF89" s="33">
        <v>20</v>
      </c>
      <c r="BG89" s="97">
        <v>500</v>
      </c>
      <c r="BH89" s="97">
        <v>100</v>
      </c>
      <c r="BI89" s="33">
        <v>10078</v>
      </c>
      <c r="BJ89" s="33" t="s">
        <v>21</v>
      </c>
      <c r="BK89" s="33">
        <v>0</v>
      </c>
      <c r="BL89" s="33">
        <f>VLOOKUP(F89,Sheet3!$B$33:$F$37,5,0)</f>
        <v>50000</v>
      </c>
      <c r="BM89" s="33">
        <v>1.5</v>
      </c>
      <c r="BN89" s="67">
        <v>100</v>
      </c>
      <c r="BO89" s="68" t="s">
        <v>776</v>
      </c>
      <c r="BP89" s="68">
        <v>1178</v>
      </c>
      <c r="BQ89" s="33" t="s">
        <v>21</v>
      </c>
      <c r="BR89" s="33" t="s">
        <v>21</v>
      </c>
      <c r="BS89" s="68" t="e">
        <f>INT(MID(VLOOKUP($BO89,[1]Sheet1!$A:$C,3,0),9,5))</f>
        <v>#N/A</v>
      </c>
      <c r="BT89" s="68" t="str">
        <f t="shared" si="4"/>
        <v>kulou</v>
      </c>
      <c r="BU89" s="68" t="e">
        <f>MID(VLOOKUP($BS89,[2]Sheet1!$A:$C,3,0),3,IF(ISERROR(FIND(",",VLOOKUP($BS89,[2]Sheet1!$A:$C,3,0))),LEN(VLOOKUP($BS89,[2]Sheet1!$A:$C,3,0))-4,FIND(",",VLOOKUP($BS89,[2]Sheet1!$A:$C,3,0))-4))</f>
        <v>#N/A</v>
      </c>
      <c r="BV89" s="68" t="str">
        <f>IF(ISERROR(MID(VLOOKUP($BS89,[2]Sheet1!$A:$D,4,0),3,IF(ISERROR(FIND(",",VLOOKUP($BS89,[2]Sheet1!$A:$D,4,0))),LEN(VLOOKUP($BS89,[2]Sheet1!$A:$D,4,0))-4,FIND(",",VLOOKUP($BS89,[2]Sheet1!$A:$D,4,0))-4))),"[]",MID(VLOOKUP($BS89,[2]Sheet1!$A:$D,4,0),3,IF(ISERROR(FIND(",",VLOOKUP($BS89,[2]Sheet1!$A:$D,4,0))),LEN(VLOOKUP($BS89,[2]Sheet1!$A:$D,4,0))-4,FIND(",",VLOOKUP($BS89,[2]Sheet1!$A:$D,4,0))-4)))</f>
        <v>[]</v>
      </c>
      <c r="BW89" s="68" t="str">
        <f t="shared" si="3"/>
        <v>3-2</v>
      </c>
    </row>
    <row r="90" spans="1:75" s="62" customFormat="1" ht="16.5" customHeight="1">
      <c r="A90" s="33">
        <v>1179</v>
      </c>
      <c r="B90" s="33" t="s">
        <v>352</v>
      </c>
      <c r="C90" s="33" t="s">
        <v>195</v>
      </c>
      <c r="D90" s="33">
        <v>1</v>
      </c>
      <c r="E90" s="33">
        <v>4</v>
      </c>
      <c r="F90" s="33">
        <v>3</v>
      </c>
      <c r="G90" s="33">
        <v>3</v>
      </c>
      <c r="H90" s="33" t="s">
        <v>1122</v>
      </c>
      <c r="I90" s="33">
        <v>150</v>
      </c>
      <c r="J90" s="33" t="s">
        <v>218</v>
      </c>
      <c r="K90" s="33">
        <v>10</v>
      </c>
      <c r="L90" s="43" t="s">
        <v>425</v>
      </c>
      <c r="M90" s="33" t="s">
        <v>779</v>
      </c>
      <c r="N90" s="33" t="s">
        <v>655</v>
      </c>
      <c r="O90" s="33" t="s">
        <v>80</v>
      </c>
      <c r="P90" s="33" t="s">
        <v>656</v>
      </c>
      <c r="Q90" s="33">
        <v>1</v>
      </c>
      <c r="R90" s="33" t="s">
        <v>21</v>
      </c>
      <c r="S90" s="33" t="s">
        <v>21</v>
      </c>
      <c r="T90" s="33" t="s">
        <v>21</v>
      </c>
      <c r="U90" s="33">
        <v>1</v>
      </c>
      <c r="V90" s="33">
        <v>2</v>
      </c>
      <c r="W90" s="33">
        <f>VLOOKUP(F90,Sheet3!$B$33:$E$37,3,0)</f>
        <v>5</v>
      </c>
      <c r="X90" s="33">
        <f>VLOOKUP(F90,Sheet3!$B$33:$E$37,2,0)</f>
        <v>15</v>
      </c>
      <c r="Y90" s="33">
        <f>VLOOKUP(F90,Sheet3!$B$33:$E$37,4,0)</f>
        <v>8</v>
      </c>
      <c r="Z90" s="33">
        <v>1</v>
      </c>
      <c r="AA90" s="97">
        <v>0</v>
      </c>
      <c r="AB90" s="97">
        <v>0</v>
      </c>
      <c r="AC90" s="35">
        <v>2000</v>
      </c>
      <c r="AD90" s="35">
        <v>80</v>
      </c>
      <c r="AE90" s="35">
        <v>40</v>
      </c>
      <c r="AF90" s="35">
        <v>40</v>
      </c>
      <c r="AG90" s="33">
        <v>1</v>
      </c>
      <c r="AH90" s="33">
        <v>0</v>
      </c>
      <c r="AI90" s="33">
        <v>0</v>
      </c>
      <c r="AJ90" s="33">
        <v>0</v>
      </c>
      <c r="AK90" s="33">
        <v>0</v>
      </c>
      <c r="AL90" s="33">
        <v>0</v>
      </c>
      <c r="AM90" s="33">
        <v>1</v>
      </c>
      <c r="AN90" s="97">
        <v>0</v>
      </c>
      <c r="AO90" s="97">
        <v>0</v>
      </c>
      <c r="AP90" s="35">
        <v>200</v>
      </c>
      <c r="AQ90" s="35">
        <v>8</v>
      </c>
      <c r="AR90" s="35">
        <v>4</v>
      </c>
      <c r="AS90" s="35">
        <v>4</v>
      </c>
      <c r="AT90" s="33">
        <v>0</v>
      </c>
      <c r="AU90" s="33">
        <v>0</v>
      </c>
      <c r="AV90" s="33">
        <v>0</v>
      </c>
      <c r="AW90" s="33">
        <v>0</v>
      </c>
      <c r="AX90" s="35" t="s">
        <v>1106</v>
      </c>
      <c r="AY90" s="33">
        <v>4</v>
      </c>
      <c r="AZ90" s="34" t="s">
        <v>735</v>
      </c>
      <c r="BA90" s="33" t="s">
        <v>220</v>
      </c>
      <c r="BB90" s="33">
        <v>50</v>
      </c>
      <c r="BC90" s="107" t="s">
        <v>21</v>
      </c>
      <c r="BD90" s="35" t="s">
        <v>21</v>
      </c>
      <c r="BE90" s="94" t="s">
        <v>21</v>
      </c>
      <c r="BF90" s="33">
        <v>20</v>
      </c>
      <c r="BG90" s="97">
        <v>500</v>
      </c>
      <c r="BH90" s="97">
        <v>100</v>
      </c>
      <c r="BI90" s="33">
        <v>10079</v>
      </c>
      <c r="BJ90" s="33" t="s">
        <v>21</v>
      </c>
      <c r="BK90" s="33">
        <v>0</v>
      </c>
      <c r="BL90" s="33">
        <f>VLOOKUP(F90,Sheet3!$B$33:$F$37,5,0)</f>
        <v>50000</v>
      </c>
      <c r="BM90" s="33">
        <v>1.5</v>
      </c>
      <c r="BN90" s="67">
        <v>100</v>
      </c>
      <c r="BO90" s="68" t="s">
        <v>776</v>
      </c>
      <c r="BP90" s="68">
        <v>1179</v>
      </c>
      <c r="BQ90" s="33" t="s">
        <v>21</v>
      </c>
      <c r="BR90" s="33" t="s">
        <v>21</v>
      </c>
      <c r="BS90" s="68" t="e">
        <f>INT(MID(VLOOKUP($BO90,[1]Sheet1!$A:$C,3,0),9,5))</f>
        <v>#N/A</v>
      </c>
      <c r="BT90" s="68" t="str">
        <f t="shared" si="4"/>
        <v>kulou</v>
      </c>
      <c r="BU90" s="68" t="e">
        <f>MID(VLOOKUP($BS90,[2]Sheet1!$A:$C,3,0),3,IF(ISERROR(FIND(",",VLOOKUP($BS90,[2]Sheet1!$A:$C,3,0))),LEN(VLOOKUP($BS90,[2]Sheet1!$A:$C,3,0))-4,FIND(",",VLOOKUP($BS90,[2]Sheet1!$A:$C,3,0))-4))</f>
        <v>#N/A</v>
      </c>
      <c r="BV90" s="68" t="str">
        <f>IF(ISERROR(MID(VLOOKUP($BS90,[2]Sheet1!$A:$D,4,0),3,IF(ISERROR(FIND(",",VLOOKUP($BS90,[2]Sheet1!$A:$D,4,0))),LEN(VLOOKUP($BS90,[2]Sheet1!$A:$D,4,0))-4,FIND(",",VLOOKUP($BS90,[2]Sheet1!$A:$D,4,0))-4))),"[]",MID(VLOOKUP($BS90,[2]Sheet1!$A:$D,4,0),3,IF(ISERROR(FIND(",",VLOOKUP($BS90,[2]Sheet1!$A:$D,4,0))),LEN(VLOOKUP($BS90,[2]Sheet1!$A:$D,4,0))-4,FIND(",",VLOOKUP($BS90,[2]Sheet1!$A:$D,4,0))-4)))</f>
        <v>[]</v>
      </c>
      <c r="BW90" s="68" t="str">
        <f t="shared" si="3"/>
        <v>3-2</v>
      </c>
    </row>
    <row r="91" spans="1:75" s="62" customFormat="1" ht="16.5" customHeight="1">
      <c r="A91" s="33">
        <v>1180</v>
      </c>
      <c r="B91" s="33" t="s">
        <v>188</v>
      </c>
      <c r="C91" s="33" t="s">
        <v>196</v>
      </c>
      <c r="D91" s="33">
        <v>1</v>
      </c>
      <c r="E91" s="33">
        <v>4</v>
      </c>
      <c r="F91" s="33">
        <v>2</v>
      </c>
      <c r="G91" s="33">
        <v>2</v>
      </c>
      <c r="H91" s="33" t="s">
        <v>1124</v>
      </c>
      <c r="I91" s="33">
        <v>150</v>
      </c>
      <c r="J91" s="33" t="s">
        <v>215</v>
      </c>
      <c r="K91" s="33">
        <v>10</v>
      </c>
      <c r="L91" s="43" t="s">
        <v>406</v>
      </c>
      <c r="M91" s="33" t="s">
        <v>779</v>
      </c>
      <c r="N91" s="33" t="s">
        <v>657</v>
      </c>
      <c r="O91" s="33" t="s">
        <v>80</v>
      </c>
      <c r="P91" s="33" t="s">
        <v>658</v>
      </c>
      <c r="Q91" s="33">
        <v>1</v>
      </c>
      <c r="R91" s="33" t="s">
        <v>21</v>
      </c>
      <c r="S91" s="33" t="s">
        <v>21</v>
      </c>
      <c r="T91" s="33" t="s">
        <v>21</v>
      </c>
      <c r="U91" s="33">
        <v>1</v>
      </c>
      <c r="V91" s="33">
        <v>2</v>
      </c>
      <c r="W91" s="33">
        <f>VLOOKUP(F91,Sheet3!$B$33:$E$37,3,0)</f>
        <v>9</v>
      </c>
      <c r="X91" s="33">
        <f>VLOOKUP(F91,Sheet3!$B$33:$E$37,2,0)</f>
        <v>15</v>
      </c>
      <c r="Y91" s="33">
        <f>VLOOKUP(F91,Sheet3!$B$33:$E$37,4,0)</f>
        <v>8</v>
      </c>
      <c r="Z91" s="33">
        <v>0.8</v>
      </c>
      <c r="AA91" s="97">
        <v>0</v>
      </c>
      <c r="AB91" s="97">
        <v>0</v>
      </c>
      <c r="AC91" s="35">
        <v>2000</v>
      </c>
      <c r="AD91" s="35">
        <v>80</v>
      </c>
      <c r="AE91" s="35">
        <v>40</v>
      </c>
      <c r="AF91" s="35">
        <v>40</v>
      </c>
      <c r="AG91" s="33">
        <v>1</v>
      </c>
      <c r="AH91" s="33">
        <v>0</v>
      </c>
      <c r="AI91" s="33">
        <v>0</v>
      </c>
      <c r="AJ91" s="33">
        <v>0</v>
      </c>
      <c r="AK91" s="33">
        <v>0</v>
      </c>
      <c r="AL91" s="33">
        <v>0</v>
      </c>
      <c r="AM91" s="33">
        <v>1</v>
      </c>
      <c r="AN91" s="97">
        <v>0</v>
      </c>
      <c r="AO91" s="97">
        <v>0</v>
      </c>
      <c r="AP91" s="35">
        <v>200</v>
      </c>
      <c r="AQ91" s="35">
        <v>8</v>
      </c>
      <c r="AR91" s="35">
        <v>4</v>
      </c>
      <c r="AS91" s="35">
        <v>4</v>
      </c>
      <c r="AT91" s="33">
        <v>0</v>
      </c>
      <c r="AU91" s="33">
        <v>0</v>
      </c>
      <c r="AV91" s="33">
        <v>0</v>
      </c>
      <c r="AW91" s="33">
        <v>0</v>
      </c>
      <c r="AX91" s="35" t="s">
        <v>1106</v>
      </c>
      <c r="AY91" s="33">
        <v>4</v>
      </c>
      <c r="AZ91" s="34" t="s">
        <v>732</v>
      </c>
      <c r="BA91" s="33" t="s">
        <v>220</v>
      </c>
      <c r="BB91" s="33">
        <v>50</v>
      </c>
      <c r="BC91" s="107" t="s">
        <v>21</v>
      </c>
      <c r="BD91" s="35" t="s">
        <v>21</v>
      </c>
      <c r="BE91" s="94" t="s">
        <v>21</v>
      </c>
      <c r="BF91" s="33">
        <v>20</v>
      </c>
      <c r="BG91" s="97">
        <v>500</v>
      </c>
      <c r="BH91" s="97">
        <v>100</v>
      </c>
      <c r="BI91" s="33">
        <v>10080</v>
      </c>
      <c r="BJ91" s="33" t="s">
        <v>21</v>
      </c>
      <c r="BK91" s="33">
        <v>0</v>
      </c>
      <c r="BL91" s="33">
        <f>VLOOKUP(F91,Sheet3!$B$33:$F$37,5,0)</f>
        <v>10000</v>
      </c>
      <c r="BM91" s="33">
        <v>1</v>
      </c>
      <c r="BN91" s="67">
        <v>100</v>
      </c>
      <c r="BO91" s="68" t="s">
        <v>776</v>
      </c>
      <c r="BP91" s="68">
        <v>1180</v>
      </c>
      <c r="BQ91" s="33" t="s">
        <v>21</v>
      </c>
      <c r="BR91" s="33" t="s">
        <v>21</v>
      </c>
      <c r="BS91" s="68" t="e">
        <f>INT(MID(VLOOKUP($BO91,[1]Sheet1!$A:$C,3,0),9,5))</f>
        <v>#N/A</v>
      </c>
      <c r="BT91" s="68" t="str">
        <f t="shared" si="4"/>
        <v>zhizhu</v>
      </c>
      <c r="BU91" s="68" t="e">
        <f>MID(VLOOKUP($BS91,[2]Sheet1!$A:$C,3,0),3,IF(ISERROR(FIND(",",VLOOKUP($BS91,[2]Sheet1!$A:$C,3,0))),LEN(VLOOKUP($BS91,[2]Sheet1!$A:$C,3,0))-4,FIND(",",VLOOKUP($BS91,[2]Sheet1!$A:$C,3,0))-4))</f>
        <v>#N/A</v>
      </c>
      <c r="BV91" s="68" t="str">
        <f>IF(ISERROR(MID(VLOOKUP($BS91,[2]Sheet1!$A:$D,4,0),3,IF(ISERROR(FIND(",",VLOOKUP($BS91,[2]Sheet1!$A:$D,4,0))),LEN(VLOOKUP($BS91,[2]Sheet1!$A:$D,4,0))-4,FIND(",",VLOOKUP($BS91,[2]Sheet1!$A:$D,4,0))-4))),"[]",MID(VLOOKUP($BS91,[2]Sheet1!$A:$D,4,0),3,IF(ISERROR(FIND(",",VLOOKUP($BS91,[2]Sheet1!$A:$D,4,0))),LEN(VLOOKUP($BS91,[2]Sheet1!$A:$D,4,0))-4,FIND(",",VLOOKUP($BS91,[2]Sheet1!$A:$D,4,0))-4)))</f>
        <v>[]</v>
      </c>
      <c r="BW91" s="68" t="str">
        <f t="shared" si="3"/>
        <v>2-2</v>
      </c>
    </row>
    <row r="92" spans="1:75" s="68" customFormat="1" ht="16.5" customHeight="1">
      <c r="A92" s="33">
        <v>1181</v>
      </c>
      <c r="B92" s="33" t="s">
        <v>189</v>
      </c>
      <c r="C92" s="33" t="s">
        <v>196</v>
      </c>
      <c r="D92" s="33">
        <v>1</v>
      </c>
      <c r="E92" s="33">
        <v>4</v>
      </c>
      <c r="F92" s="33">
        <v>2</v>
      </c>
      <c r="G92" s="33">
        <v>2</v>
      </c>
      <c r="H92" s="33" t="s">
        <v>1124</v>
      </c>
      <c r="I92" s="33">
        <v>150</v>
      </c>
      <c r="J92" s="33" t="s">
        <v>215</v>
      </c>
      <c r="K92" s="33">
        <v>10</v>
      </c>
      <c r="L92" s="43" t="s">
        <v>417</v>
      </c>
      <c r="M92" s="33" t="s">
        <v>779</v>
      </c>
      <c r="N92" s="33" t="s">
        <v>659</v>
      </c>
      <c r="O92" s="33" t="s">
        <v>80</v>
      </c>
      <c r="P92" s="33" t="s">
        <v>660</v>
      </c>
      <c r="Q92" s="33">
        <v>1</v>
      </c>
      <c r="R92" s="33" t="s">
        <v>21</v>
      </c>
      <c r="S92" s="33" t="s">
        <v>21</v>
      </c>
      <c r="T92" s="33" t="s">
        <v>21</v>
      </c>
      <c r="U92" s="33">
        <v>1</v>
      </c>
      <c r="V92" s="33">
        <v>2</v>
      </c>
      <c r="W92" s="33">
        <f>VLOOKUP(F92,Sheet3!$B$33:$E$37,3,0)</f>
        <v>9</v>
      </c>
      <c r="X92" s="33">
        <f>VLOOKUP(F92,Sheet3!$B$33:$E$37,2,0)</f>
        <v>15</v>
      </c>
      <c r="Y92" s="33">
        <f>VLOOKUP(F92,Sheet3!$B$33:$E$37,4,0)</f>
        <v>8</v>
      </c>
      <c r="Z92" s="33">
        <v>0.8</v>
      </c>
      <c r="AA92" s="97">
        <v>0</v>
      </c>
      <c r="AB92" s="97">
        <v>0</v>
      </c>
      <c r="AC92" s="35">
        <v>2000</v>
      </c>
      <c r="AD92" s="35">
        <v>80</v>
      </c>
      <c r="AE92" s="35">
        <v>40</v>
      </c>
      <c r="AF92" s="35">
        <v>40</v>
      </c>
      <c r="AG92" s="33">
        <v>1</v>
      </c>
      <c r="AH92" s="33">
        <v>0</v>
      </c>
      <c r="AI92" s="33">
        <v>0</v>
      </c>
      <c r="AJ92" s="33">
        <v>0</v>
      </c>
      <c r="AK92" s="33">
        <v>0</v>
      </c>
      <c r="AL92" s="33">
        <v>0</v>
      </c>
      <c r="AM92" s="33">
        <v>1</v>
      </c>
      <c r="AN92" s="97">
        <v>0</v>
      </c>
      <c r="AO92" s="97">
        <v>0</v>
      </c>
      <c r="AP92" s="35">
        <v>200</v>
      </c>
      <c r="AQ92" s="35">
        <v>8</v>
      </c>
      <c r="AR92" s="35">
        <v>4</v>
      </c>
      <c r="AS92" s="35">
        <v>4</v>
      </c>
      <c r="AT92" s="33">
        <v>0</v>
      </c>
      <c r="AU92" s="33">
        <v>0</v>
      </c>
      <c r="AV92" s="33">
        <v>0</v>
      </c>
      <c r="AW92" s="33">
        <v>0</v>
      </c>
      <c r="AX92" s="35" t="s">
        <v>1106</v>
      </c>
      <c r="AY92" s="33">
        <v>4</v>
      </c>
      <c r="AZ92" s="34" t="s">
        <v>732</v>
      </c>
      <c r="BA92" s="33" t="s">
        <v>220</v>
      </c>
      <c r="BB92" s="33">
        <v>50</v>
      </c>
      <c r="BC92" s="107" t="s">
        <v>21</v>
      </c>
      <c r="BD92" s="35" t="s">
        <v>21</v>
      </c>
      <c r="BE92" s="94" t="s">
        <v>21</v>
      </c>
      <c r="BF92" s="33">
        <v>20</v>
      </c>
      <c r="BG92" s="97">
        <v>500</v>
      </c>
      <c r="BH92" s="97">
        <v>100</v>
      </c>
      <c r="BI92" s="33">
        <v>10081</v>
      </c>
      <c r="BJ92" s="33" t="s">
        <v>21</v>
      </c>
      <c r="BK92" s="33">
        <v>0</v>
      </c>
      <c r="BL92" s="33">
        <f>VLOOKUP(F92,Sheet3!$B$33:$F$37,5,0)</f>
        <v>10000</v>
      </c>
      <c r="BM92" s="33">
        <v>1</v>
      </c>
      <c r="BN92" s="67">
        <v>100</v>
      </c>
      <c r="BO92" s="68" t="s">
        <v>776</v>
      </c>
      <c r="BP92" s="68">
        <v>1181</v>
      </c>
      <c r="BQ92" s="33" t="s">
        <v>21</v>
      </c>
      <c r="BR92" s="33" t="s">
        <v>21</v>
      </c>
      <c r="BS92" s="68" t="e">
        <f>INT(MID(VLOOKUP($BO92,[1]Sheet1!$A:$C,3,0),9,5))</f>
        <v>#N/A</v>
      </c>
      <c r="BT92" s="68" t="str">
        <f t="shared" si="4"/>
        <v>zhizhu</v>
      </c>
      <c r="BU92" s="68" t="e">
        <f>MID(VLOOKUP($BS92,[2]Sheet1!$A:$C,3,0),3,IF(ISERROR(FIND(",",VLOOKUP($BS92,[2]Sheet1!$A:$C,3,0))),LEN(VLOOKUP($BS92,[2]Sheet1!$A:$C,3,0))-4,FIND(",",VLOOKUP($BS92,[2]Sheet1!$A:$C,3,0))-4))</f>
        <v>#N/A</v>
      </c>
      <c r="BV92" s="68" t="str">
        <f>IF(ISERROR(MID(VLOOKUP($BS92,[2]Sheet1!$A:$D,4,0),3,IF(ISERROR(FIND(",",VLOOKUP($BS92,[2]Sheet1!$A:$D,4,0))),LEN(VLOOKUP($BS92,[2]Sheet1!$A:$D,4,0))-4,FIND(",",VLOOKUP($BS92,[2]Sheet1!$A:$D,4,0))-4))),"[]",MID(VLOOKUP($BS92,[2]Sheet1!$A:$D,4,0),3,IF(ISERROR(FIND(",",VLOOKUP($BS92,[2]Sheet1!$A:$D,4,0))),LEN(VLOOKUP($BS92,[2]Sheet1!$A:$D,4,0))-4,FIND(",",VLOOKUP($BS92,[2]Sheet1!$A:$D,4,0))-4)))</f>
        <v>[]</v>
      </c>
      <c r="BW92" s="68" t="str">
        <f t="shared" si="3"/>
        <v>2-2</v>
      </c>
    </row>
    <row r="93" spans="1:75" s="62" customFormat="1" ht="16.5" customHeight="1">
      <c r="A93" s="33">
        <v>1182</v>
      </c>
      <c r="B93" s="33" t="s">
        <v>190</v>
      </c>
      <c r="C93" s="33" t="s">
        <v>196</v>
      </c>
      <c r="D93" s="33">
        <v>1</v>
      </c>
      <c r="E93" s="33">
        <v>4</v>
      </c>
      <c r="F93" s="33">
        <v>2</v>
      </c>
      <c r="G93" s="33">
        <v>2</v>
      </c>
      <c r="H93" s="33" t="s">
        <v>1124</v>
      </c>
      <c r="I93" s="33">
        <v>150</v>
      </c>
      <c r="J93" s="33" t="s">
        <v>215</v>
      </c>
      <c r="K93" s="33">
        <v>10</v>
      </c>
      <c r="L93" s="43" t="s">
        <v>423</v>
      </c>
      <c r="M93" s="33" t="s">
        <v>779</v>
      </c>
      <c r="N93" s="33" t="s">
        <v>662</v>
      </c>
      <c r="O93" s="33" t="s">
        <v>80</v>
      </c>
      <c r="P93" s="33" t="s">
        <v>661</v>
      </c>
      <c r="Q93" s="33">
        <v>1</v>
      </c>
      <c r="R93" s="33" t="s">
        <v>21</v>
      </c>
      <c r="S93" s="33" t="s">
        <v>21</v>
      </c>
      <c r="T93" s="33" t="s">
        <v>21</v>
      </c>
      <c r="U93" s="33">
        <v>1</v>
      </c>
      <c r="V93" s="33">
        <v>2</v>
      </c>
      <c r="W93" s="33">
        <f>VLOOKUP(F93,Sheet3!$B$33:$E$37,3,0)</f>
        <v>9</v>
      </c>
      <c r="X93" s="33">
        <f>VLOOKUP(F93,Sheet3!$B$33:$E$37,2,0)</f>
        <v>15</v>
      </c>
      <c r="Y93" s="33">
        <f>VLOOKUP(F93,Sheet3!$B$33:$E$37,4,0)</f>
        <v>8</v>
      </c>
      <c r="Z93" s="33">
        <v>0.8</v>
      </c>
      <c r="AA93" s="97">
        <v>0</v>
      </c>
      <c r="AB93" s="97">
        <v>0</v>
      </c>
      <c r="AC93" s="35">
        <v>2000</v>
      </c>
      <c r="AD93" s="35">
        <v>80</v>
      </c>
      <c r="AE93" s="35">
        <v>40</v>
      </c>
      <c r="AF93" s="35">
        <v>40</v>
      </c>
      <c r="AG93" s="33">
        <v>1</v>
      </c>
      <c r="AH93" s="33">
        <v>0</v>
      </c>
      <c r="AI93" s="33">
        <v>0</v>
      </c>
      <c r="AJ93" s="33">
        <v>0</v>
      </c>
      <c r="AK93" s="33">
        <v>0</v>
      </c>
      <c r="AL93" s="33">
        <v>0</v>
      </c>
      <c r="AM93" s="33">
        <v>1</v>
      </c>
      <c r="AN93" s="97">
        <v>0</v>
      </c>
      <c r="AO93" s="97">
        <v>0</v>
      </c>
      <c r="AP93" s="35">
        <v>200</v>
      </c>
      <c r="AQ93" s="35">
        <v>8</v>
      </c>
      <c r="AR93" s="35">
        <v>4</v>
      </c>
      <c r="AS93" s="35">
        <v>4</v>
      </c>
      <c r="AT93" s="33">
        <v>0</v>
      </c>
      <c r="AU93" s="33">
        <v>0</v>
      </c>
      <c r="AV93" s="33">
        <v>0</v>
      </c>
      <c r="AW93" s="33">
        <v>0</v>
      </c>
      <c r="AX93" s="35" t="s">
        <v>1106</v>
      </c>
      <c r="AY93" s="33">
        <v>4</v>
      </c>
      <c r="AZ93" s="34" t="s">
        <v>732</v>
      </c>
      <c r="BA93" s="33" t="s">
        <v>220</v>
      </c>
      <c r="BB93" s="33">
        <v>50</v>
      </c>
      <c r="BC93" s="107" t="s">
        <v>21</v>
      </c>
      <c r="BD93" s="35" t="s">
        <v>21</v>
      </c>
      <c r="BE93" s="94" t="s">
        <v>21</v>
      </c>
      <c r="BF93" s="33">
        <v>20</v>
      </c>
      <c r="BG93" s="97">
        <v>500</v>
      </c>
      <c r="BH93" s="97">
        <v>100</v>
      </c>
      <c r="BI93" s="33">
        <v>10082</v>
      </c>
      <c r="BJ93" s="33" t="s">
        <v>21</v>
      </c>
      <c r="BK93" s="33">
        <v>0</v>
      </c>
      <c r="BL93" s="33">
        <f>VLOOKUP(F93,Sheet3!$B$33:$F$37,5,0)</f>
        <v>10000</v>
      </c>
      <c r="BM93" s="33">
        <v>1</v>
      </c>
      <c r="BN93" s="67">
        <v>100</v>
      </c>
      <c r="BO93" s="68" t="s">
        <v>776</v>
      </c>
      <c r="BP93" s="68">
        <v>1182</v>
      </c>
      <c r="BQ93" s="33" t="s">
        <v>21</v>
      </c>
      <c r="BR93" s="33" t="s">
        <v>21</v>
      </c>
      <c r="BS93" s="68" t="e">
        <f>INT(MID(VLOOKUP($BO93,[1]Sheet1!$A:$C,3,0),9,5))</f>
        <v>#N/A</v>
      </c>
      <c r="BT93" s="68" t="str">
        <f t="shared" si="4"/>
        <v>zhizhu</v>
      </c>
      <c r="BU93" s="68" t="e">
        <f>MID(VLOOKUP($BS93,[2]Sheet1!$A:$C,3,0),3,IF(ISERROR(FIND(",",VLOOKUP($BS93,[2]Sheet1!$A:$C,3,0))),LEN(VLOOKUP($BS93,[2]Sheet1!$A:$C,3,0))-4,FIND(",",VLOOKUP($BS93,[2]Sheet1!$A:$C,3,0))-4))</f>
        <v>#N/A</v>
      </c>
      <c r="BV93" s="68" t="str">
        <f>IF(ISERROR(MID(VLOOKUP($BS93,[2]Sheet1!$A:$D,4,0),3,IF(ISERROR(FIND(",",VLOOKUP($BS93,[2]Sheet1!$A:$D,4,0))),LEN(VLOOKUP($BS93,[2]Sheet1!$A:$D,4,0))-4,FIND(",",VLOOKUP($BS93,[2]Sheet1!$A:$D,4,0))-4))),"[]",MID(VLOOKUP($BS93,[2]Sheet1!$A:$D,4,0),3,IF(ISERROR(FIND(",",VLOOKUP($BS93,[2]Sheet1!$A:$D,4,0))),LEN(VLOOKUP($BS93,[2]Sheet1!$A:$D,4,0))-4,FIND(",",VLOOKUP($BS93,[2]Sheet1!$A:$D,4,0))-4)))</f>
        <v>[]</v>
      </c>
      <c r="BW93" s="68" t="str">
        <f t="shared" si="3"/>
        <v>2-2</v>
      </c>
    </row>
    <row r="94" spans="1:75" s="62" customFormat="1" ht="16.5" customHeight="1">
      <c r="A94" s="33">
        <v>1185</v>
      </c>
      <c r="B94" s="33" t="s">
        <v>191</v>
      </c>
      <c r="C94" s="33" t="s">
        <v>197</v>
      </c>
      <c r="D94" s="33">
        <v>1</v>
      </c>
      <c r="E94" s="33">
        <v>4</v>
      </c>
      <c r="F94" s="33">
        <v>3</v>
      </c>
      <c r="G94" s="33">
        <v>3</v>
      </c>
      <c r="H94" s="33" t="s">
        <v>1122</v>
      </c>
      <c r="I94" s="33">
        <v>150</v>
      </c>
      <c r="J94" s="33" t="s">
        <v>216</v>
      </c>
      <c r="K94" s="33">
        <v>10</v>
      </c>
      <c r="L94" s="43" t="s">
        <v>408</v>
      </c>
      <c r="M94" s="33" t="s">
        <v>779</v>
      </c>
      <c r="N94" s="33" t="s">
        <v>663</v>
      </c>
      <c r="O94" s="33" t="s">
        <v>80</v>
      </c>
      <c r="P94" s="33" t="s">
        <v>664</v>
      </c>
      <c r="Q94" s="33">
        <v>1</v>
      </c>
      <c r="R94" s="33" t="s">
        <v>21</v>
      </c>
      <c r="S94" s="33" t="s">
        <v>21</v>
      </c>
      <c r="T94" s="33" t="s">
        <v>21</v>
      </c>
      <c r="U94" s="33">
        <v>1</v>
      </c>
      <c r="V94" s="33">
        <v>2</v>
      </c>
      <c r="W94" s="33">
        <f>VLOOKUP(F94,Sheet3!$B$33:$E$37,3,0)</f>
        <v>5</v>
      </c>
      <c r="X94" s="33">
        <f>VLOOKUP(F94,Sheet3!$B$33:$E$37,2,0)</f>
        <v>15</v>
      </c>
      <c r="Y94" s="33">
        <f>VLOOKUP(F94,Sheet3!$B$33:$E$37,4,0)</f>
        <v>8</v>
      </c>
      <c r="Z94" s="33">
        <v>1</v>
      </c>
      <c r="AA94" s="97">
        <v>0</v>
      </c>
      <c r="AB94" s="97">
        <v>0</v>
      </c>
      <c r="AC94" s="35">
        <v>2000</v>
      </c>
      <c r="AD94" s="35">
        <v>80</v>
      </c>
      <c r="AE94" s="35">
        <v>40</v>
      </c>
      <c r="AF94" s="35">
        <v>40</v>
      </c>
      <c r="AG94" s="33">
        <v>1</v>
      </c>
      <c r="AH94" s="33">
        <v>0</v>
      </c>
      <c r="AI94" s="33">
        <v>0</v>
      </c>
      <c r="AJ94" s="33">
        <v>0</v>
      </c>
      <c r="AK94" s="33">
        <v>0</v>
      </c>
      <c r="AL94" s="33">
        <v>0</v>
      </c>
      <c r="AM94" s="33">
        <v>1</v>
      </c>
      <c r="AN94" s="97">
        <v>0</v>
      </c>
      <c r="AO94" s="97">
        <v>0</v>
      </c>
      <c r="AP94" s="35">
        <v>200</v>
      </c>
      <c r="AQ94" s="35">
        <v>8</v>
      </c>
      <c r="AR94" s="35">
        <v>4</v>
      </c>
      <c r="AS94" s="35">
        <v>4</v>
      </c>
      <c r="AT94" s="33">
        <v>0</v>
      </c>
      <c r="AU94" s="33">
        <v>0</v>
      </c>
      <c r="AV94" s="33">
        <v>0</v>
      </c>
      <c r="AW94" s="33">
        <v>0</v>
      </c>
      <c r="AX94" s="35" t="s">
        <v>1106</v>
      </c>
      <c r="AY94" s="33">
        <v>4</v>
      </c>
      <c r="AZ94" s="34" t="s">
        <v>732</v>
      </c>
      <c r="BA94" s="33" t="s">
        <v>220</v>
      </c>
      <c r="BB94" s="33">
        <v>50</v>
      </c>
      <c r="BC94" s="107" t="s">
        <v>21</v>
      </c>
      <c r="BD94" s="35" t="s">
        <v>21</v>
      </c>
      <c r="BE94" s="94" t="s">
        <v>21</v>
      </c>
      <c r="BF94" s="33">
        <v>20</v>
      </c>
      <c r="BG94" s="97">
        <v>500</v>
      </c>
      <c r="BH94" s="97">
        <v>100</v>
      </c>
      <c r="BI94" s="33">
        <v>10085</v>
      </c>
      <c r="BJ94" s="33" t="s">
        <v>21</v>
      </c>
      <c r="BK94" s="33">
        <v>0</v>
      </c>
      <c r="BL94" s="33">
        <f>VLOOKUP(F94,Sheet3!$B$33:$F$37,5,0)</f>
        <v>50000</v>
      </c>
      <c r="BM94" s="33">
        <v>1.5</v>
      </c>
      <c r="BN94" s="67">
        <v>100</v>
      </c>
      <c r="BO94" s="68" t="s">
        <v>776</v>
      </c>
      <c r="BP94" s="68">
        <v>1185</v>
      </c>
      <c r="BQ94" s="33" t="s">
        <v>21</v>
      </c>
      <c r="BR94" s="33" t="s">
        <v>21</v>
      </c>
      <c r="BS94" s="68" t="e">
        <f>INT(MID(VLOOKUP($BO94,[1]Sheet1!$A:$C,3,0),9,5))</f>
        <v>#N/A</v>
      </c>
      <c r="BT94" s="68" t="str">
        <f t="shared" si="4"/>
        <v>nvgui</v>
      </c>
      <c r="BU94" s="68" t="e">
        <f>MID(VLOOKUP($BS94,[2]Sheet1!$A:$C,3,0),3,IF(ISERROR(FIND(",",VLOOKUP($BS94,[2]Sheet1!$A:$C,3,0))),LEN(VLOOKUP($BS94,[2]Sheet1!$A:$C,3,0))-4,FIND(",",VLOOKUP($BS94,[2]Sheet1!$A:$C,3,0))-4))</f>
        <v>#N/A</v>
      </c>
      <c r="BV94" s="68" t="str">
        <f>IF(ISERROR(MID(VLOOKUP($BS94,[2]Sheet1!$A:$D,4,0),3,IF(ISERROR(FIND(",",VLOOKUP($BS94,[2]Sheet1!$A:$D,4,0))),LEN(VLOOKUP($BS94,[2]Sheet1!$A:$D,4,0))-4,FIND(",",VLOOKUP($BS94,[2]Sheet1!$A:$D,4,0))-4))),"[]",MID(VLOOKUP($BS94,[2]Sheet1!$A:$D,4,0),3,IF(ISERROR(FIND(",",VLOOKUP($BS94,[2]Sheet1!$A:$D,4,0))),LEN(VLOOKUP($BS94,[2]Sheet1!$A:$D,4,0))-4,FIND(",",VLOOKUP($BS94,[2]Sheet1!$A:$D,4,0))-4)))</f>
        <v>[]</v>
      </c>
      <c r="BW94" s="68" t="str">
        <f t="shared" si="3"/>
        <v>3-2</v>
      </c>
    </row>
    <row r="95" spans="1:75" s="62" customFormat="1" ht="16.5" customHeight="1">
      <c r="A95" s="33">
        <v>1186</v>
      </c>
      <c r="B95" s="33" t="s">
        <v>192</v>
      </c>
      <c r="C95" s="33" t="s">
        <v>197</v>
      </c>
      <c r="D95" s="33">
        <v>1</v>
      </c>
      <c r="E95" s="33">
        <v>4</v>
      </c>
      <c r="F95" s="33">
        <v>3</v>
      </c>
      <c r="G95" s="33">
        <v>3</v>
      </c>
      <c r="H95" s="33" t="s">
        <v>1122</v>
      </c>
      <c r="I95" s="33">
        <v>150</v>
      </c>
      <c r="J95" s="33" t="s">
        <v>216</v>
      </c>
      <c r="K95" s="33">
        <v>10</v>
      </c>
      <c r="L95" s="43" t="s">
        <v>412</v>
      </c>
      <c r="M95" s="33" t="s">
        <v>779</v>
      </c>
      <c r="N95" s="33" t="s">
        <v>665</v>
      </c>
      <c r="O95" s="33" t="s">
        <v>80</v>
      </c>
      <c r="P95" s="33" t="s">
        <v>666</v>
      </c>
      <c r="Q95" s="33">
        <v>1</v>
      </c>
      <c r="R95" s="33" t="s">
        <v>21</v>
      </c>
      <c r="S95" s="33" t="s">
        <v>21</v>
      </c>
      <c r="T95" s="33" t="s">
        <v>21</v>
      </c>
      <c r="U95" s="33">
        <v>1</v>
      </c>
      <c r="V95" s="33">
        <v>2</v>
      </c>
      <c r="W95" s="33">
        <f>VLOOKUP(F95,Sheet3!$B$33:$E$37,3,0)</f>
        <v>5</v>
      </c>
      <c r="X95" s="33">
        <f>VLOOKUP(F95,Sheet3!$B$33:$E$37,2,0)</f>
        <v>15</v>
      </c>
      <c r="Y95" s="33">
        <f>VLOOKUP(F95,Sheet3!$B$33:$E$37,4,0)</f>
        <v>8</v>
      </c>
      <c r="Z95" s="33">
        <v>1</v>
      </c>
      <c r="AA95" s="97">
        <v>0</v>
      </c>
      <c r="AB95" s="97">
        <v>0</v>
      </c>
      <c r="AC95" s="35">
        <v>2000</v>
      </c>
      <c r="AD95" s="35">
        <v>80</v>
      </c>
      <c r="AE95" s="35">
        <v>40</v>
      </c>
      <c r="AF95" s="35">
        <v>40</v>
      </c>
      <c r="AG95" s="33">
        <v>1</v>
      </c>
      <c r="AH95" s="33">
        <v>0</v>
      </c>
      <c r="AI95" s="33">
        <v>0</v>
      </c>
      <c r="AJ95" s="33">
        <v>0</v>
      </c>
      <c r="AK95" s="33">
        <v>0</v>
      </c>
      <c r="AL95" s="33">
        <v>0</v>
      </c>
      <c r="AM95" s="33">
        <v>1</v>
      </c>
      <c r="AN95" s="97">
        <v>0</v>
      </c>
      <c r="AO95" s="97">
        <v>0</v>
      </c>
      <c r="AP95" s="35">
        <v>200</v>
      </c>
      <c r="AQ95" s="35">
        <v>8</v>
      </c>
      <c r="AR95" s="35">
        <v>4</v>
      </c>
      <c r="AS95" s="35">
        <v>4</v>
      </c>
      <c r="AT95" s="33">
        <v>0</v>
      </c>
      <c r="AU95" s="33">
        <v>0</v>
      </c>
      <c r="AV95" s="33">
        <v>0</v>
      </c>
      <c r="AW95" s="33">
        <v>0</v>
      </c>
      <c r="AX95" s="35" t="s">
        <v>1106</v>
      </c>
      <c r="AY95" s="33">
        <v>4</v>
      </c>
      <c r="AZ95" s="34" t="s">
        <v>732</v>
      </c>
      <c r="BA95" s="33" t="s">
        <v>220</v>
      </c>
      <c r="BB95" s="33">
        <v>50</v>
      </c>
      <c r="BC95" s="107" t="s">
        <v>21</v>
      </c>
      <c r="BD95" s="35" t="s">
        <v>21</v>
      </c>
      <c r="BE95" s="94" t="s">
        <v>21</v>
      </c>
      <c r="BF95" s="33">
        <v>20</v>
      </c>
      <c r="BG95" s="97">
        <v>500</v>
      </c>
      <c r="BH95" s="97">
        <v>100</v>
      </c>
      <c r="BI95" s="33">
        <v>10086</v>
      </c>
      <c r="BJ95" s="33" t="s">
        <v>21</v>
      </c>
      <c r="BK95" s="33">
        <v>0</v>
      </c>
      <c r="BL95" s="33">
        <f>VLOOKUP(F95,Sheet3!$B$33:$F$37,5,0)</f>
        <v>50000</v>
      </c>
      <c r="BM95" s="33">
        <v>1.5</v>
      </c>
      <c r="BN95" s="67">
        <v>100</v>
      </c>
      <c r="BO95" s="68" t="s">
        <v>776</v>
      </c>
      <c r="BP95" s="68">
        <v>1186</v>
      </c>
      <c r="BQ95" s="33" t="s">
        <v>21</v>
      </c>
      <c r="BR95" s="33" t="s">
        <v>21</v>
      </c>
      <c r="BS95" s="68" t="e">
        <f>INT(MID(VLOOKUP($BO95,[1]Sheet1!$A:$C,3,0),9,5))</f>
        <v>#N/A</v>
      </c>
      <c r="BT95" s="68" t="str">
        <f t="shared" si="4"/>
        <v>nvgui</v>
      </c>
      <c r="BU95" s="68" t="e">
        <f>MID(VLOOKUP($BS95,[2]Sheet1!$A:$C,3,0),3,IF(ISERROR(FIND(",",VLOOKUP($BS95,[2]Sheet1!$A:$C,3,0))),LEN(VLOOKUP($BS95,[2]Sheet1!$A:$C,3,0))-4,FIND(",",VLOOKUP($BS95,[2]Sheet1!$A:$C,3,0))-4))</f>
        <v>#N/A</v>
      </c>
      <c r="BV95" s="68" t="str">
        <f>IF(ISERROR(MID(VLOOKUP($BS95,[2]Sheet1!$A:$D,4,0),3,IF(ISERROR(FIND(",",VLOOKUP($BS95,[2]Sheet1!$A:$D,4,0))),LEN(VLOOKUP($BS95,[2]Sheet1!$A:$D,4,0))-4,FIND(",",VLOOKUP($BS95,[2]Sheet1!$A:$D,4,0))-4))),"[]",MID(VLOOKUP($BS95,[2]Sheet1!$A:$D,4,0),3,IF(ISERROR(FIND(",",VLOOKUP($BS95,[2]Sheet1!$A:$D,4,0))),LEN(VLOOKUP($BS95,[2]Sheet1!$A:$D,4,0))-4,FIND(",",VLOOKUP($BS95,[2]Sheet1!$A:$D,4,0))-4)))</f>
        <v>[]</v>
      </c>
      <c r="BW95" s="68" t="str">
        <f t="shared" si="3"/>
        <v>3-2</v>
      </c>
    </row>
    <row r="96" spans="1:75" s="62" customFormat="1" ht="16.5" customHeight="1">
      <c r="A96" s="33">
        <v>1187</v>
      </c>
      <c r="B96" s="33" t="s">
        <v>193</v>
      </c>
      <c r="C96" s="33" t="s">
        <v>197</v>
      </c>
      <c r="D96" s="33">
        <v>1</v>
      </c>
      <c r="E96" s="33">
        <v>4</v>
      </c>
      <c r="F96" s="33">
        <v>3</v>
      </c>
      <c r="G96" s="33">
        <v>3</v>
      </c>
      <c r="H96" s="33" t="s">
        <v>1122</v>
      </c>
      <c r="I96" s="33">
        <v>150</v>
      </c>
      <c r="J96" s="33" t="s">
        <v>216</v>
      </c>
      <c r="K96" s="33">
        <v>10</v>
      </c>
      <c r="L96" s="43" t="s">
        <v>413</v>
      </c>
      <c r="M96" s="33" t="s">
        <v>779</v>
      </c>
      <c r="N96" s="33" t="s">
        <v>669</v>
      </c>
      <c r="O96" s="33" t="s">
        <v>80</v>
      </c>
      <c r="P96" s="33" t="s">
        <v>670</v>
      </c>
      <c r="Q96" s="33">
        <v>1</v>
      </c>
      <c r="R96" s="33" t="s">
        <v>21</v>
      </c>
      <c r="S96" s="33" t="s">
        <v>21</v>
      </c>
      <c r="T96" s="33" t="s">
        <v>21</v>
      </c>
      <c r="U96" s="33">
        <v>1</v>
      </c>
      <c r="V96" s="33">
        <v>2</v>
      </c>
      <c r="W96" s="33">
        <f>VLOOKUP(F96,Sheet3!$B$33:$E$37,3,0)</f>
        <v>5</v>
      </c>
      <c r="X96" s="33">
        <f>VLOOKUP(F96,Sheet3!$B$33:$E$37,2,0)</f>
        <v>15</v>
      </c>
      <c r="Y96" s="33">
        <f>VLOOKUP(F96,Sheet3!$B$33:$E$37,4,0)</f>
        <v>8</v>
      </c>
      <c r="Z96" s="33">
        <v>1</v>
      </c>
      <c r="AA96" s="97">
        <v>0</v>
      </c>
      <c r="AB96" s="97">
        <v>0</v>
      </c>
      <c r="AC96" s="35">
        <v>2000</v>
      </c>
      <c r="AD96" s="35">
        <v>80</v>
      </c>
      <c r="AE96" s="35">
        <v>40</v>
      </c>
      <c r="AF96" s="35">
        <v>40</v>
      </c>
      <c r="AG96" s="33">
        <v>1</v>
      </c>
      <c r="AH96" s="33">
        <v>0</v>
      </c>
      <c r="AI96" s="33">
        <v>0</v>
      </c>
      <c r="AJ96" s="33">
        <v>0</v>
      </c>
      <c r="AK96" s="33">
        <v>0</v>
      </c>
      <c r="AL96" s="33">
        <v>0</v>
      </c>
      <c r="AM96" s="33">
        <v>1</v>
      </c>
      <c r="AN96" s="97">
        <v>0</v>
      </c>
      <c r="AO96" s="97">
        <v>0</v>
      </c>
      <c r="AP96" s="35">
        <v>200</v>
      </c>
      <c r="AQ96" s="35">
        <v>8</v>
      </c>
      <c r="AR96" s="35">
        <v>4</v>
      </c>
      <c r="AS96" s="35">
        <v>4</v>
      </c>
      <c r="AT96" s="33">
        <v>0</v>
      </c>
      <c r="AU96" s="33">
        <v>0</v>
      </c>
      <c r="AV96" s="33">
        <v>0</v>
      </c>
      <c r="AW96" s="33">
        <v>0</v>
      </c>
      <c r="AX96" s="35" t="s">
        <v>1106</v>
      </c>
      <c r="AY96" s="33">
        <v>4</v>
      </c>
      <c r="AZ96" s="34" t="s">
        <v>732</v>
      </c>
      <c r="BA96" s="33" t="s">
        <v>220</v>
      </c>
      <c r="BB96" s="33">
        <v>50</v>
      </c>
      <c r="BC96" s="107" t="s">
        <v>21</v>
      </c>
      <c r="BD96" s="35" t="s">
        <v>21</v>
      </c>
      <c r="BE96" s="94" t="s">
        <v>21</v>
      </c>
      <c r="BF96" s="33">
        <v>20</v>
      </c>
      <c r="BG96" s="97">
        <v>500</v>
      </c>
      <c r="BH96" s="97">
        <v>100</v>
      </c>
      <c r="BI96" s="33">
        <v>10087</v>
      </c>
      <c r="BJ96" s="33" t="s">
        <v>21</v>
      </c>
      <c r="BK96" s="33">
        <v>0</v>
      </c>
      <c r="BL96" s="33">
        <f>VLOOKUP(F96,Sheet3!$B$33:$F$37,5,0)</f>
        <v>50000</v>
      </c>
      <c r="BM96" s="33">
        <v>1.5</v>
      </c>
      <c r="BN96" s="67">
        <v>100</v>
      </c>
      <c r="BO96" s="68" t="s">
        <v>776</v>
      </c>
      <c r="BP96" s="68">
        <v>1187</v>
      </c>
      <c r="BQ96" s="33" t="s">
        <v>21</v>
      </c>
      <c r="BR96" s="33" t="s">
        <v>21</v>
      </c>
      <c r="BS96" s="68" t="e">
        <f>INT(MID(VLOOKUP($BO96,[1]Sheet1!$A:$C,3,0),9,5))</f>
        <v>#N/A</v>
      </c>
      <c r="BT96" s="68" t="str">
        <f t="shared" si="4"/>
        <v>nvgui</v>
      </c>
      <c r="BU96" s="68" t="e">
        <f>MID(VLOOKUP($BS96,[2]Sheet1!$A:$C,3,0),3,IF(ISERROR(FIND(",",VLOOKUP($BS96,[2]Sheet1!$A:$C,3,0))),LEN(VLOOKUP($BS96,[2]Sheet1!$A:$C,3,0))-4,FIND(",",VLOOKUP($BS96,[2]Sheet1!$A:$C,3,0))-4))</f>
        <v>#N/A</v>
      </c>
      <c r="BV96" s="68" t="str">
        <f>IF(ISERROR(MID(VLOOKUP($BS96,[2]Sheet1!$A:$D,4,0),3,IF(ISERROR(FIND(",",VLOOKUP($BS96,[2]Sheet1!$A:$D,4,0))),LEN(VLOOKUP($BS96,[2]Sheet1!$A:$D,4,0))-4,FIND(",",VLOOKUP($BS96,[2]Sheet1!$A:$D,4,0))-4))),"[]",MID(VLOOKUP($BS96,[2]Sheet1!$A:$D,4,0),3,IF(ISERROR(FIND(",",VLOOKUP($BS96,[2]Sheet1!$A:$D,4,0))),LEN(VLOOKUP($BS96,[2]Sheet1!$A:$D,4,0))-4,FIND(",",VLOOKUP($BS96,[2]Sheet1!$A:$D,4,0))-4)))</f>
        <v>[]</v>
      </c>
      <c r="BW96" s="68" t="str">
        <f t="shared" si="3"/>
        <v>3-2</v>
      </c>
    </row>
    <row r="97" spans="1:75" s="62" customFormat="1" ht="16.5" customHeight="1">
      <c r="A97" s="33">
        <v>1188</v>
      </c>
      <c r="B97" s="33" t="s">
        <v>194</v>
      </c>
      <c r="C97" s="33" t="s">
        <v>197</v>
      </c>
      <c r="D97" s="33">
        <v>1</v>
      </c>
      <c r="E97" s="33">
        <v>4</v>
      </c>
      <c r="F97" s="33">
        <v>3</v>
      </c>
      <c r="G97" s="33">
        <v>3</v>
      </c>
      <c r="H97" s="33" t="s">
        <v>1122</v>
      </c>
      <c r="I97" s="33">
        <v>150</v>
      </c>
      <c r="J97" s="33" t="s">
        <v>216</v>
      </c>
      <c r="K97" s="33">
        <v>10</v>
      </c>
      <c r="L97" s="43" t="s">
        <v>422</v>
      </c>
      <c r="M97" s="33" t="s">
        <v>779</v>
      </c>
      <c r="N97" s="33" t="s">
        <v>667</v>
      </c>
      <c r="O97" s="33" t="s">
        <v>80</v>
      </c>
      <c r="P97" s="33" t="s">
        <v>668</v>
      </c>
      <c r="Q97" s="33">
        <v>1</v>
      </c>
      <c r="R97" s="33" t="s">
        <v>21</v>
      </c>
      <c r="S97" s="33" t="s">
        <v>21</v>
      </c>
      <c r="T97" s="33" t="s">
        <v>21</v>
      </c>
      <c r="U97" s="33">
        <v>1</v>
      </c>
      <c r="V97" s="33">
        <v>2</v>
      </c>
      <c r="W97" s="33">
        <f>VLOOKUP(F97,Sheet3!$B$33:$E$37,3,0)</f>
        <v>5</v>
      </c>
      <c r="X97" s="33">
        <f>VLOOKUP(F97,Sheet3!$B$33:$E$37,2,0)</f>
        <v>15</v>
      </c>
      <c r="Y97" s="33">
        <f>VLOOKUP(F97,Sheet3!$B$33:$E$37,4,0)</f>
        <v>8</v>
      </c>
      <c r="Z97" s="33">
        <v>1</v>
      </c>
      <c r="AA97" s="97">
        <v>0</v>
      </c>
      <c r="AB97" s="97">
        <v>0</v>
      </c>
      <c r="AC97" s="35">
        <v>2000</v>
      </c>
      <c r="AD97" s="35">
        <v>80</v>
      </c>
      <c r="AE97" s="35">
        <v>40</v>
      </c>
      <c r="AF97" s="35">
        <v>40</v>
      </c>
      <c r="AG97" s="33">
        <v>1</v>
      </c>
      <c r="AH97" s="33">
        <v>0</v>
      </c>
      <c r="AI97" s="33">
        <v>0</v>
      </c>
      <c r="AJ97" s="33">
        <v>0</v>
      </c>
      <c r="AK97" s="33">
        <v>0</v>
      </c>
      <c r="AL97" s="33">
        <v>0</v>
      </c>
      <c r="AM97" s="33">
        <v>1</v>
      </c>
      <c r="AN97" s="97">
        <v>0</v>
      </c>
      <c r="AO97" s="97">
        <v>0</v>
      </c>
      <c r="AP97" s="35">
        <v>200</v>
      </c>
      <c r="AQ97" s="35">
        <v>8</v>
      </c>
      <c r="AR97" s="35">
        <v>4</v>
      </c>
      <c r="AS97" s="35">
        <v>4</v>
      </c>
      <c r="AT97" s="33">
        <v>0</v>
      </c>
      <c r="AU97" s="33">
        <v>0</v>
      </c>
      <c r="AV97" s="33">
        <v>0</v>
      </c>
      <c r="AW97" s="33">
        <v>0</v>
      </c>
      <c r="AX97" s="35" t="s">
        <v>1106</v>
      </c>
      <c r="AY97" s="33">
        <v>4</v>
      </c>
      <c r="AZ97" s="34" t="s">
        <v>732</v>
      </c>
      <c r="BA97" s="33" t="s">
        <v>220</v>
      </c>
      <c r="BB97" s="33">
        <v>50</v>
      </c>
      <c r="BC97" s="107" t="s">
        <v>21</v>
      </c>
      <c r="BD97" s="35" t="s">
        <v>21</v>
      </c>
      <c r="BE97" s="94" t="s">
        <v>21</v>
      </c>
      <c r="BF97" s="33">
        <v>20</v>
      </c>
      <c r="BG97" s="97">
        <v>500</v>
      </c>
      <c r="BH97" s="97">
        <v>100</v>
      </c>
      <c r="BI97" s="33">
        <v>10088</v>
      </c>
      <c r="BJ97" s="33" t="s">
        <v>21</v>
      </c>
      <c r="BK97" s="33">
        <v>0</v>
      </c>
      <c r="BL97" s="33">
        <f>VLOOKUP(F97,Sheet3!$B$33:$F$37,5,0)</f>
        <v>50000</v>
      </c>
      <c r="BM97" s="33">
        <v>1.5</v>
      </c>
      <c r="BN97" s="67">
        <v>100</v>
      </c>
      <c r="BO97" s="68" t="s">
        <v>776</v>
      </c>
      <c r="BP97" s="68">
        <v>1188</v>
      </c>
      <c r="BQ97" s="33" t="s">
        <v>21</v>
      </c>
      <c r="BR97" s="33" t="s">
        <v>21</v>
      </c>
      <c r="BS97" s="68" t="e">
        <f>INT(MID(VLOOKUP($BO97,[1]Sheet1!$A:$C,3,0),9,5))</f>
        <v>#N/A</v>
      </c>
      <c r="BT97" s="68" t="str">
        <f t="shared" si="4"/>
        <v>nvgui</v>
      </c>
      <c r="BU97" s="68" t="e">
        <f>MID(VLOOKUP($BS97,[2]Sheet1!$A:$C,3,0),3,IF(ISERROR(FIND(",",VLOOKUP($BS97,[2]Sheet1!$A:$C,3,0))),LEN(VLOOKUP($BS97,[2]Sheet1!$A:$C,3,0))-4,FIND(",",VLOOKUP($BS97,[2]Sheet1!$A:$C,3,0))-4))</f>
        <v>#N/A</v>
      </c>
      <c r="BV97" s="68" t="str">
        <f>IF(ISERROR(MID(VLOOKUP($BS97,[2]Sheet1!$A:$D,4,0),3,IF(ISERROR(FIND(",",VLOOKUP($BS97,[2]Sheet1!$A:$D,4,0))),LEN(VLOOKUP($BS97,[2]Sheet1!$A:$D,4,0))-4,FIND(",",VLOOKUP($BS97,[2]Sheet1!$A:$D,4,0))-4))),"[]",MID(VLOOKUP($BS97,[2]Sheet1!$A:$D,4,0),3,IF(ISERROR(FIND(",",VLOOKUP($BS97,[2]Sheet1!$A:$D,4,0))),LEN(VLOOKUP($BS97,[2]Sheet1!$A:$D,4,0))-4,FIND(",",VLOOKUP($BS97,[2]Sheet1!$A:$D,4,0))-4)))</f>
        <v>[]</v>
      </c>
      <c r="BW97" s="68" t="str">
        <f t="shared" si="3"/>
        <v>3-2</v>
      </c>
    </row>
    <row r="98" spans="1:75" s="62" customFormat="1" ht="16.5" customHeight="1">
      <c r="A98" s="33">
        <v>1193</v>
      </c>
      <c r="B98" s="33" t="s">
        <v>313</v>
      </c>
      <c r="C98" s="33" t="s">
        <v>314</v>
      </c>
      <c r="D98" s="33">
        <v>1</v>
      </c>
      <c r="E98" s="33">
        <v>4</v>
      </c>
      <c r="F98" s="33">
        <v>3</v>
      </c>
      <c r="G98" s="33">
        <v>3</v>
      </c>
      <c r="H98" s="33" t="s">
        <v>1122</v>
      </c>
      <c r="I98" s="33">
        <v>150</v>
      </c>
      <c r="J98" s="33" t="s">
        <v>315</v>
      </c>
      <c r="K98" s="33">
        <v>10</v>
      </c>
      <c r="L98" s="43" t="s">
        <v>424</v>
      </c>
      <c r="M98" s="33" t="s">
        <v>779</v>
      </c>
      <c r="N98" s="33" t="s">
        <v>316</v>
      </c>
      <c r="O98" s="33" t="s">
        <v>80</v>
      </c>
      <c r="P98" s="33" t="s">
        <v>398</v>
      </c>
      <c r="Q98" s="33">
        <v>1</v>
      </c>
      <c r="R98" s="33" t="s">
        <v>21</v>
      </c>
      <c r="S98" s="33" t="s">
        <v>21</v>
      </c>
      <c r="T98" s="33" t="s">
        <v>21</v>
      </c>
      <c r="U98" s="33">
        <v>1</v>
      </c>
      <c r="V98" s="33">
        <v>2</v>
      </c>
      <c r="W98" s="33">
        <f>VLOOKUP(F98,Sheet3!$B$33:$E$37,3,0)</f>
        <v>5</v>
      </c>
      <c r="X98" s="33">
        <f>VLOOKUP(F98,Sheet3!$B$33:$E$37,2,0)</f>
        <v>15</v>
      </c>
      <c r="Y98" s="33">
        <f>VLOOKUP(F98,Sheet3!$B$33:$E$37,4,0)</f>
        <v>8</v>
      </c>
      <c r="Z98" s="33">
        <v>1</v>
      </c>
      <c r="AA98" s="97">
        <v>0</v>
      </c>
      <c r="AB98" s="97">
        <v>0</v>
      </c>
      <c r="AC98" s="35">
        <v>2000</v>
      </c>
      <c r="AD98" s="35">
        <v>80</v>
      </c>
      <c r="AE98" s="35">
        <v>40</v>
      </c>
      <c r="AF98" s="35">
        <v>40</v>
      </c>
      <c r="AG98" s="33">
        <v>1</v>
      </c>
      <c r="AH98" s="33">
        <v>0</v>
      </c>
      <c r="AI98" s="33">
        <v>0</v>
      </c>
      <c r="AJ98" s="33">
        <v>0</v>
      </c>
      <c r="AK98" s="33">
        <v>0</v>
      </c>
      <c r="AL98" s="33">
        <v>0</v>
      </c>
      <c r="AM98" s="33">
        <v>1</v>
      </c>
      <c r="AN98" s="97">
        <v>0</v>
      </c>
      <c r="AO98" s="97">
        <v>0</v>
      </c>
      <c r="AP98" s="35">
        <v>200</v>
      </c>
      <c r="AQ98" s="35">
        <v>8</v>
      </c>
      <c r="AR98" s="35">
        <v>4</v>
      </c>
      <c r="AS98" s="35">
        <v>4</v>
      </c>
      <c r="AT98" s="33">
        <v>0</v>
      </c>
      <c r="AU98" s="33">
        <v>0</v>
      </c>
      <c r="AV98" s="33">
        <v>0</v>
      </c>
      <c r="AW98" s="33">
        <v>0</v>
      </c>
      <c r="AX98" s="35" t="s">
        <v>1106</v>
      </c>
      <c r="AY98" s="33">
        <v>4</v>
      </c>
      <c r="AZ98" s="34" t="s">
        <v>733</v>
      </c>
      <c r="BA98" s="33" t="s">
        <v>220</v>
      </c>
      <c r="BB98" s="33">
        <v>50</v>
      </c>
      <c r="BC98" s="107" t="s">
        <v>21</v>
      </c>
      <c r="BD98" s="35" t="s">
        <v>21</v>
      </c>
      <c r="BE98" s="94" t="s">
        <v>21</v>
      </c>
      <c r="BF98" s="33">
        <v>20</v>
      </c>
      <c r="BG98" s="97">
        <v>500</v>
      </c>
      <c r="BH98" s="97">
        <v>100</v>
      </c>
      <c r="BI98" s="33">
        <v>10093</v>
      </c>
      <c r="BJ98" s="33" t="s">
        <v>21</v>
      </c>
      <c r="BK98" s="33">
        <v>0</v>
      </c>
      <c r="BL98" s="33">
        <f>VLOOKUP(F98,Sheet3!$B$33:$F$37,5,0)</f>
        <v>50000</v>
      </c>
      <c r="BM98" s="33">
        <v>1.5</v>
      </c>
      <c r="BN98" s="67">
        <v>100</v>
      </c>
      <c r="BO98" s="68" t="s">
        <v>776</v>
      </c>
      <c r="BP98" s="68">
        <v>1193</v>
      </c>
      <c r="BQ98" s="33" t="s">
        <v>21</v>
      </c>
      <c r="BR98" s="33" t="s">
        <v>21</v>
      </c>
      <c r="BS98" s="68" t="e">
        <f>INT(MID(VLOOKUP($BO98,[1]Sheet1!$A:$C,3,0),9,5))</f>
        <v>#N/A</v>
      </c>
      <c r="BT98" s="68" t="str">
        <f t="shared" si="4"/>
        <v>houbing</v>
      </c>
      <c r="BU98" s="68" t="e">
        <f>MID(VLOOKUP($BS98,[2]Sheet1!$A:$C,3,0),3,IF(ISERROR(FIND(",",VLOOKUP($BS98,[2]Sheet1!$A:$C,3,0))),LEN(VLOOKUP($BS98,[2]Sheet1!$A:$C,3,0))-4,FIND(",",VLOOKUP($BS98,[2]Sheet1!$A:$C,3,0))-4))</f>
        <v>#N/A</v>
      </c>
      <c r="BV98" s="68" t="str">
        <f>IF(ISERROR(MID(VLOOKUP($BS98,[2]Sheet1!$A:$D,4,0),3,IF(ISERROR(FIND(",",VLOOKUP($BS98,[2]Sheet1!$A:$D,4,0))),LEN(VLOOKUP($BS98,[2]Sheet1!$A:$D,4,0))-4,FIND(",",VLOOKUP($BS98,[2]Sheet1!$A:$D,4,0))-4))),"[]",MID(VLOOKUP($BS98,[2]Sheet1!$A:$D,4,0),3,IF(ISERROR(FIND(",",VLOOKUP($BS98,[2]Sheet1!$A:$D,4,0))),LEN(VLOOKUP($BS98,[2]Sheet1!$A:$D,4,0))-4,FIND(",",VLOOKUP($BS98,[2]Sheet1!$A:$D,4,0))-4)))</f>
        <v>[]</v>
      </c>
      <c r="BW98" s="68" t="str">
        <f t="shared" si="3"/>
        <v>3-2</v>
      </c>
    </row>
    <row r="99" spans="1:75" s="62" customFormat="1" ht="16.5" customHeight="1">
      <c r="A99" s="33">
        <v>1194</v>
      </c>
      <c r="B99" s="33" t="s">
        <v>307</v>
      </c>
      <c r="C99" s="33" t="s">
        <v>198</v>
      </c>
      <c r="D99" s="33">
        <v>1</v>
      </c>
      <c r="E99" s="33">
        <v>4</v>
      </c>
      <c r="F99" s="33">
        <v>2</v>
      </c>
      <c r="G99" s="33">
        <v>3</v>
      </c>
      <c r="H99" s="33" t="s">
        <v>1122</v>
      </c>
      <c r="I99" s="33">
        <v>150</v>
      </c>
      <c r="J99" s="33" t="s">
        <v>214</v>
      </c>
      <c r="K99" s="33">
        <v>10</v>
      </c>
      <c r="L99" s="43" t="s">
        <v>428</v>
      </c>
      <c r="M99" s="33" t="s">
        <v>779</v>
      </c>
      <c r="N99" s="33" t="s">
        <v>308</v>
      </c>
      <c r="O99" s="33" t="s">
        <v>80</v>
      </c>
      <c r="P99" s="33" t="s">
        <v>399</v>
      </c>
      <c r="Q99" s="33">
        <v>1</v>
      </c>
      <c r="R99" s="33" t="s">
        <v>21</v>
      </c>
      <c r="S99" s="33" t="s">
        <v>21</v>
      </c>
      <c r="T99" s="33" t="s">
        <v>21</v>
      </c>
      <c r="U99" s="33">
        <v>1</v>
      </c>
      <c r="V99" s="33">
        <v>2</v>
      </c>
      <c r="W99" s="33">
        <f>VLOOKUP(F99,Sheet3!$B$33:$E$37,3,0)</f>
        <v>9</v>
      </c>
      <c r="X99" s="33">
        <f>VLOOKUP(F99,Sheet3!$B$33:$E$37,2,0)</f>
        <v>15</v>
      </c>
      <c r="Y99" s="33">
        <f>VLOOKUP(F99,Sheet3!$B$33:$E$37,4,0)</f>
        <v>8</v>
      </c>
      <c r="Z99" s="33">
        <v>1</v>
      </c>
      <c r="AA99" s="97">
        <v>0</v>
      </c>
      <c r="AB99" s="97">
        <v>0</v>
      </c>
      <c r="AC99" s="35">
        <v>2000</v>
      </c>
      <c r="AD99" s="35">
        <v>80</v>
      </c>
      <c r="AE99" s="35">
        <v>40</v>
      </c>
      <c r="AF99" s="35">
        <v>40</v>
      </c>
      <c r="AG99" s="33">
        <v>1</v>
      </c>
      <c r="AH99" s="33">
        <v>0</v>
      </c>
      <c r="AI99" s="33">
        <v>0</v>
      </c>
      <c r="AJ99" s="33">
        <v>0</v>
      </c>
      <c r="AK99" s="33">
        <v>0</v>
      </c>
      <c r="AL99" s="33">
        <v>0</v>
      </c>
      <c r="AM99" s="33">
        <v>1</v>
      </c>
      <c r="AN99" s="97">
        <v>0</v>
      </c>
      <c r="AO99" s="97">
        <v>0</v>
      </c>
      <c r="AP99" s="35">
        <v>200</v>
      </c>
      <c r="AQ99" s="35">
        <v>8</v>
      </c>
      <c r="AR99" s="35">
        <v>4</v>
      </c>
      <c r="AS99" s="35">
        <v>4</v>
      </c>
      <c r="AT99" s="33">
        <v>0</v>
      </c>
      <c r="AU99" s="33">
        <v>0</v>
      </c>
      <c r="AV99" s="33">
        <v>0</v>
      </c>
      <c r="AW99" s="33">
        <v>0</v>
      </c>
      <c r="AX99" s="35" t="s">
        <v>1106</v>
      </c>
      <c r="AY99" s="33">
        <v>4</v>
      </c>
      <c r="AZ99" s="34" t="s">
        <v>735</v>
      </c>
      <c r="BA99" s="33" t="s">
        <v>220</v>
      </c>
      <c r="BB99" s="33">
        <v>50</v>
      </c>
      <c r="BC99" s="107" t="s">
        <v>21</v>
      </c>
      <c r="BD99" s="35" t="s">
        <v>21</v>
      </c>
      <c r="BE99" s="94" t="s">
        <v>21</v>
      </c>
      <c r="BF99" s="33">
        <v>20</v>
      </c>
      <c r="BG99" s="97">
        <v>500</v>
      </c>
      <c r="BH99" s="97">
        <v>100</v>
      </c>
      <c r="BI99" s="33">
        <v>10094</v>
      </c>
      <c r="BJ99" s="33" t="s">
        <v>21</v>
      </c>
      <c r="BK99" s="33">
        <v>0</v>
      </c>
      <c r="BL99" s="33">
        <f>VLOOKUP(F99,Sheet3!$B$33:$F$37,5,0)</f>
        <v>10000</v>
      </c>
      <c r="BM99" s="33">
        <v>1</v>
      </c>
      <c r="BN99" s="67">
        <v>100</v>
      </c>
      <c r="BO99" s="68" t="s">
        <v>776</v>
      </c>
      <c r="BP99" s="68">
        <v>1194</v>
      </c>
      <c r="BQ99" s="33" t="s">
        <v>21</v>
      </c>
      <c r="BR99" s="33" t="s">
        <v>21</v>
      </c>
      <c r="BS99" s="68" t="e">
        <f>INT(MID(VLOOKUP($BO99,[1]Sheet1!$A:$C,3,0),9,5))</f>
        <v>#N/A</v>
      </c>
      <c r="BT99" s="68" t="str">
        <f t="shared" si="4"/>
        <v>shanzei</v>
      </c>
      <c r="BU99" s="68" t="e">
        <f>MID(VLOOKUP($BS99,[2]Sheet1!$A:$C,3,0),3,IF(ISERROR(FIND(",",VLOOKUP($BS99,[2]Sheet1!$A:$C,3,0))),LEN(VLOOKUP($BS99,[2]Sheet1!$A:$C,3,0))-4,FIND(",",VLOOKUP($BS99,[2]Sheet1!$A:$C,3,0))-4))</f>
        <v>#N/A</v>
      </c>
      <c r="BV99" s="68" t="str">
        <f>IF(ISERROR(MID(VLOOKUP($BS99,[2]Sheet1!$A:$D,4,0),3,IF(ISERROR(FIND(",",VLOOKUP($BS99,[2]Sheet1!$A:$D,4,0))),LEN(VLOOKUP($BS99,[2]Sheet1!$A:$D,4,0))-4,FIND(",",VLOOKUP($BS99,[2]Sheet1!$A:$D,4,0))-4))),"[]",MID(VLOOKUP($BS99,[2]Sheet1!$A:$D,4,0),3,IF(ISERROR(FIND(",",VLOOKUP($BS99,[2]Sheet1!$A:$D,4,0))),LEN(VLOOKUP($BS99,[2]Sheet1!$A:$D,4,0))-4,FIND(",",VLOOKUP($BS99,[2]Sheet1!$A:$D,4,0))-4)))</f>
        <v>[]</v>
      </c>
      <c r="BW99" s="68" t="str">
        <f t="shared" si="3"/>
        <v>3-2</v>
      </c>
    </row>
    <row r="100" spans="1:75" s="62" customFormat="1" ht="16.5" customHeight="1">
      <c r="A100" s="33">
        <v>1217</v>
      </c>
      <c r="B100" s="33" t="s">
        <v>319</v>
      </c>
      <c r="C100" s="33" t="s">
        <v>601</v>
      </c>
      <c r="D100" s="33">
        <v>1</v>
      </c>
      <c r="E100" s="33">
        <v>4</v>
      </c>
      <c r="F100" s="33">
        <v>3</v>
      </c>
      <c r="G100" s="33">
        <v>3</v>
      </c>
      <c r="H100" s="33" t="s">
        <v>1122</v>
      </c>
      <c r="I100" s="33">
        <v>150</v>
      </c>
      <c r="J100" s="33" t="s">
        <v>320</v>
      </c>
      <c r="K100" s="33">
        <v>10</v>
      </c>
      <c r="L100" s="43" t="s">
        <v>413</v>
      </c>
      <c r="M100" s="33" t="s">
        <v>779</v>
      </c>
      <c r="N100" s="41" t="s">
        <v>338</v>
      </c>
      <c r="O100" s="33" t="s">
        <v>80</v>
      </c>
      <c r="P100" s="33" t="s">
        <v>400</v>
      </c>
      <c r="Q100" s="33">
        <v>1</v>
      </c>
      <c r="R100" s="33" t="s">
        <v>21</v>
      </c>
      <c r="S100" s="33" t="s">
        <v>21</v>
      </c>
      <c r="T100" s="33" t="s">
        <v>21</v>
      </c>
      <c r="U100" s="33">
        <v>1</v>
      </c>
      <c r="V100" s="33">
        <v>2</v>
      </c>
      <c r="W100" s="33">
        <f>VLOOKUP(F100,Sheet3!$B$33:$E$37,3,0)</f>
        <v>5</v>
      </c>
      <c r="X100" s="33">
        <f>VLOOKUP(F100,Sheet3!$B$33:$E$37,2,0)</f>
        <v>15</v>
      </c>
      <c r="Y100" s="33">
        <f>VLOOKUP(F100,Sheet3!$B$33:$E$37,4,0)</f>
        <v>8</v>
      </c>
      <c r="Z100" s="33">
        <v>1</v>
      </c>
      <c r="AA100" s="97">
        <v>0</v>
      </c>
      <c r="AB100" s="97">
        <v>0</v>
      </c>
      <c r="AC100" s="35">
        <v>2000</v>
      </c>
      <c r="AD100" s="35">
        <v>80</v>
      </c>
      <c r="AE100" s="35">
        <v>40</v>
      </c>
      <c r="AF100" s="35">
        <v>40</v>
      </c>
      <c r="AG100" s="33">
        <v>1</v>
      </c>
      <c r="AH100" s="33">
        <v>0</v>
      </c>
      <c r="AI100" s="33">
        <v>0</v>
      </c>
      <c r="AJ100" s="33">
        <v>0</v>
      </c>
      <c r="AK100" s="33">
        <v>0</v>
      </c>
      <c r="AL100" s="33">
        <v>0</v>
      </c>
      <c r="AM100" s="33">
        <v>1</v>
      </c>
      <c r="AN100" s="97">
        <v>0</v>
      </c>
      <c r="AO100" s="97">
        <v>0</v>
      </c>
      <c r="AP100" s="35">
        <v>200</v>
      </c>
      <c r="AQ100" s="35">
        <v>8</v>
      </c>
      <c r="AR100" s="35">
        <v>4</v>
      </c>
      <c r="AS100" s="35">
        <v>4</v>
      </c>
      <c r="AT100" s="33">
        <v>0</v>
      </c>
      <c r="AU100" s="33">
        <v>0</v>
      </c>
      <c r="AV100" s="33">
        <v>0</v>
      </c>
      <c r="AW100" s="33">
        <v>0</v>
      </c>
      <c r="AX100" s="35" t="s">
        <v>1106</v>
      </c>
      <c r="AY100" s="33">
        <v>4</v>
      </c>
      <c r="AZ100" s="34" t="s">
        <v>733</v>
      </c>
      <c r="BA100" s="33" t="s">
        <v>220</v>
      </c>
      <c r="BB100" s="33">
        <v>50</v>
      </c>
      <c r="BC100" s="107" t="s">
        <v>21</v>
      </c>
      <c r="BD100" s="35" t="s">
        <v>21</v>
      </c>
      <c r="BE100" s="94" t="s">
        <v>21</v>
      </c>
      <c r="BF100" s="33">
        <v>20</v>
      </c>
      <c r="BG100" s="97">
        <v>500</v>
      </c>
      <c r="BH100" s="97">
        <v>100</v>
      </c>
      <c r="BI100" s="33">
        <v>10117</v>
      </c>
      <c r="BJ100" s="33" t="s">
        <v>21</v>
      </c>
      <c r="BK100" s="33">
        <v>0</v>
      </c>
      <c r="BL100" s="33">
        <f>VLOOKUP(F100,Sheet3!$B$33:$F$37,5,0)</f>
        <v>50000</v>
      </c>
      <c r="BM100" s="33">
        <v>1.5</v>
      </c>
      <c r="BN100" s="67">
        <v>100</v>
      </c>
      <c r="BO100" s="68" t="s">
        <v>776</v>
      </c>
      <c r="BP100" s="68">
        <v>1217</v>
      </c>
      <c r="BQ100" s="33" t="s">
        <v>21</v>
      </c>
      <c r="BR100" s="33" t="s">
        <v>21</v>
      </c>
      <c r="BS100" s="68" t="e">
        <f>INT(MID(VLOOKUP($BO100,[1]Sheet1!$A:$C,3,0),9,5))</f>
        <v>#N/A</v>
      </c>
      <c r="BT100" s="68" t="str">
        <f t="shared" si="4"/>
        <v>xiabing</v>
      </c>
      <c r="BU100" s="68" t="e">
        <f>MID(VLOOKUP($BS100,[2]Sheet1!$A:$C,3,0),3,IF(ISERROR(FIND(",",VLOOKUP($BS100,[2]Sheet1!$A:$C,3,0))),LEN(VLOOKUP($BS100,[2]Sheet1!$A:$C,3,0))-4,FIND(",",VLOOKUP($BS100,[2]Sheet1!$A:$C,3,0))-4))</f>
        <v>#N/A</v>
      </c>
      <c r="BV100" s="68" t="str">
        <f>IF(ISERROR(MID(VLOOKUP($BS100,[2]Sheet1!$A:$D,4,0),3,IF(ISERROR(FIND(",",VLOOKUP($BS100,[2]Sheet1!$A:$D,4,0))),LEN(VLOOKUP($BS100,[2]Sheet1!$A:$D,4,0))-4,FIND(",",VLOOKUP($BS100,[2]Sheet1!$A:$D,4,0))-4))),"[]",MID(VLOOKUP($BS100,[2]Sheet1!$A:$D,4,0),3,IF(ISERROR(FIND(",",VLOOKUP($BS100,[2]Sheet1!$A:$D,4,0))),LEN(VLOOKUP($BS100,[2]Sheet1!$A:$D,4,0))-4,FIND(",",VLOOKUP($BS100,[2]Sheet1!$A:$D,4,0))-4)))</f>
        <v>[]</v>
      </c>
      <c r="BW100" s="68" t="str">
        <f t="shared" si="3"/>
        <v>3-2</v>
      </c>
    </row>
    <row r="101" spans="1:75" s="33" customFormat="1">
      <c r="A101" s="33">
        <v>1501</v>
      </c>
      <c r="B101" s="33" t="s">
        <v>540</v>
      </c>
      <c r="C101" s="33" t="s">
        <v>541</v>
      </c>
      <c r="D101" s="33">
        <v>1</v>
      </c>
      <c r="E101" s="33">
        <v>4</v>
      </c>
      <c r="F101" s="33">
        <v>2</v>
      </c>
      <c r="G101" s="33">
        <v>2</v>
      </c>
      <c r="H101" s="33" t="s">
        <v>1124</v>
      </c>
      <c r="I101" s="33">
        <v>150</v>
      </c>
      <c r="J101" s="33" t="s">
        <v>542</v>
      </c>
      <c r="K101" s="33">
        <v>10</v>
      </c>
      <c r="L101" s="33" t="s">
        <v>411</v>
      </c>
      <c r="M101" s="33" t="s">
        <v>779</v>
      </c>
      <c r="N101" s="33" t="s">
        <v>543</v>
      </c>
      <c r="O101" s="33" t="s">
        <v>544</v>
      </c>
      <c r="P101" s="33" t="s">
        <v>545</v>
      </c>
      <c r="Q101" s="33">
        <v>1</v>
      </c>
      <c r="R101" s="33" t="s">
        <v>21</v>
      </c>
      <c r="S101" s="33" t="s">
        <v>21</v>
      </c>
      <c r="T101" s="33" t="s">
        <v>21</v>
      </c>
      <c r="U101" s="33">
        <v>1</v>
      </c>
      <c r="V101" s="33">
        <v>2</v>
      </c>
      <c r="W101" s="33">
        <f>VLOOKUP(F101,Sheet3!$B$33:$E$37,3,0)</f>
        <v>9</v>
      </c>
      <c r="X101" s="33">
        <f>VLOOKUP(F101,Sheet3!$B$33:$E$37,2,0)</f>
        <v>15</v>
      </c>
      <c r="Y101" s="33">
        <f>VLOOKUP(F101,Sheet3!$B$33:$E$37,4,0)</f>
        <v>8</v>
      </c>
      <c r="Z101" s="33">
        <v>0.8</v>
      </c>
      <c r="AA101" s="97">
        <v>0</v>
      </c>
      <c r="AB101" s="97">
        <v>0</v>
      </c>
      <c r="AC101" s="35">
        <v>2000</v>
      </c>
      <c r="AD101" s="35">
        <v>80</v>
      </c>
      <c r="AE101" s="35">
        <v>40</v>
      </c>
      <c r="AF101" s="35">
        <v>40</v>
      </c>
      <c r="AG101" s="33">
        <v>1</v>
      </c>
      <c r="AH101" s="33">
        <v>0</v>
      </c>
      <c r="AI101" s="33">
        <v>0</v>
      </c>
      <c r="AJ101" s="33">
        <v>0</v>
      </c>
      <c r="AK101" s="33">
        <v>0</v>
      </c>
      <c r="AL101" s="33">
        <v>0</v>
      </c>
      <c r="AM101" s="33">
        <v>1</v>
      </c>
      <c r="AN101" s="97">
        <v>0</v>
      </c>
      <c r="AO101" s="97">
        <v>0</v>
      </c>
      <c r="AP101" s="35">
        <v>200</v>
      </c>
      <c r="AQ101" s="35">
        <v>8</v>
      </c>
      <c r="AR101" s="35">
        <v>4</v>
      </c>
      <c r="AS101" s="35">
        <v>4</v>
      </c>
      <c r="AT101" s="33">
        <v>0</v>
      </c>
      <c r="AU101" s="33">
        <v>0</v>
      </c>
      <c r="AV101" s="33">
        <v>0</v>
      </c>
      <c r="AW101" s="33">
        <v>0</v>
      </c>
      <c r="AX101" s="35" t="s">
        <v>1106</v>
      </c>
      <c r="AY101" s="33">
        <v>4</v>
      </c>
      <c r="AZ101" s="34" t="s">
        <v>733</v>
      </c>
      <c r="BA101" s="33" t="s">
        <v>220</v>
      </c>
      <c r="BB101" s="33">
        <v>50</v>
      </c>
      <c r="BC101" s="107" t="s">
        <v>21</v>
      </c>
      <c r="BD101" s="35" t="s">
        <v>21</v>
      </c>
      <c r="BE101" s="94" t="s">
        <v>21</v>
      </c>
      <c r="BF101" s="33">
        <v>20</v>
      </c>
      <c r="BG101" s="97">
        <v>500</v>
      </c>
      <c r="BH101" s="97">
        <v>100</v>
      </c>
      <c r="BI101" s="33">
        <v>10401</v>
      </c>
      <c r="BJ101" s="33" t="s">
        <v>21</v>
      </c>
      <c r="BK101" s="33">
        <v>0</v>
      </c>
      <c r="BL101" s="33">
        <f>VLOOKUP(F101,Sheet3!$B$33:$F$37,5,0)</f>
        <v>10000</v>
      </c>
      <c r="BM101" s="33">
        <v>1</v>
      </c>
      <c r="BN101" s="69">
        <v>100</v>
      </c>
      <c r="BO101" s="68" t="s">
        <v>776</v>
      </c>
      <c r="BP101" s="68">
        <v>1501</v>
      </c>
      <c r="BQ101" s="33" t="s">
        <v>21</v>
      </c>
      <c r="BR101" s="33" t="s">
        <v>21</v>
      </c>
      <c r="BS101" s="33" t="e">
        <f>INT(MID(VLOOKUP($BO101,[1]Sheet1!$A:$C,3,0),9,5))</f>
        <v>#N/A</v>
      </c>
      <c r="BT101" s="33" t="str">
        <f t="shared" si="4"/>
        <v>shinv</v>
      </c>
      <c r="BU101" s="33" t="e">
        <f>MID(VLOOKUP($BS101,[2]Sheet1!$A:$C,3,0),3,IF(ISERROR(FIND(",",VLOOKUP($BS101,[2]Sheet1!$A:$C,3,0))),LEN(VLOOKUP($BS101,[2]Sheet1!$A:$C,3,0))-4,FIND(",",VLOOKUP($BS101,[2]Sheet1!$A:$C,3,0))-4))</f>
        <v>#N/A</v>
      </c>
      <c r="BV101" s="33" t="str">
        <f>IF(ISERROR(MID(VLOOKUP($BS101,[2]Sheet1!$A:$D,4,0),3,IF(ISERROR(FIND(",",VLOOKUP($BS101,[2]Sheet1!$A:$D,4,0))),LEN(VLOOKUP($BS101,[2]Sheet1!$A:$D,4,0))-4,FIND(",",VLOOKUP($BS101,[2]Sheet1!$A:$D,4,0))-4))),"[]",MID(VLOOKUP($BS101,[2]Sheet1!$A:$D,4,0),3,IF(ISERROR(FIND(",",VLOOKUP($BS101,[2]Sheet1!$A:$D,4,0))),LEN(VLOOKUP($BS101,[2]Sheet1!$A:$D,4,0))-4,FIND(",",VLOOKUP($BS101,[2]Sheet1!$A:$D,4,0))-4)))</f>
        <v>[]</v>
      </c>
      <c r="BW101" s="33" t="str">
        <f t="shared" si="3"/>
        <v>2-2</v>
      </c>
    </row>
    <row r="102" spans="1:75" s="33" customFormat="1">
      <c r="A102" s="33">
        <v>1502</v>
      </c>
      <c r="B102" s="33" t="s">
        <v>546</v>
      </c>
      <c r="C102" s="33" t="s">
        <v>547</v>
      </c>
      <c r="D102" s="33">
        <v>1</v>
      </c>
      <c r="E102" s="33">
        <v>4</v>
      </c>
      <c r="F102" s="33">
        <v>3</v>
      </c>
      <c r="G102" s="33">
        <v>3</v>
      </c>
      <c r="H102" s="33" t="s">
        <v>1122</v>
      </c>
      <c r="I102" s="33">
        <v>150</v>
      </c>
      <c r="J102" s="33" t="s">
        <v>548</v>
      </c>
      <c r="K102" s="33">
        <v>10</v>
      </c>
      <c r="L102" s="33" t="s">
        <v>780</v>
      </c>
      <c r="M102" s="33" t="s">
        <v>779</v>
      </c>
      <c r="N102" s="33" t="s">
        <v>549</v>
      </c>
      <c r="O102" s="33" t="s">
        <v>544</v>
      </c>
      <c r="P102" s="33" t="s">
        <v>550</v>
      </c>
      <c r="Q102" s="33">
        <v>1</v>
      </c>
      <c r="R102" s="33" t="s">
        <v>21</v>
      </c>
      <c r="S102" s="33" t="s">
        <v>21</v>
      </c>
      <c r="T102" s="33" t="s">
        <v>21</v>
      </c>
      <c r="U102" s="33">
        <v>1</v>
      </c>
      <c r="V102" s="33">
        <v>2</v>
      </c>
      <c r="W102" s="33">
        <f>VLOOKUP(F102,Sheet3!$B$33:$E$37,3,0)</f>
        <v>5</v>
      </c>
      <c r="X102" s="33">
        <f>VLOOKUP(F102,Sheet3!$B$33:$E$37,2,0)</f>
        <v>15</v>
      </c>
      <c r="Y102" s="33">
        <f>VLOOKUP(F102,Sheet3!$B$33:$E$37,4,0)</f>
        <v>8</v>
      </c>
      <c r="Z102" s="33">
        <v>1</v>
      </c>
      <c r="AA102" s="97">
        <v>0</v>
      </c>
      <c r="AB102" s="97">
        <v>0</v>
      </c>
      <c r="AC102" s="35">
        <v>2000</v>
      </c>
      <c r="AD102" s="35">
        <v>80</v>
      </c>
      <c r="AE102" s="35">
        <v>40</v>
      </c>
      <c r="AF102" s="35">
        <v>40</v>
      </c>
      <c r="AG102" s="33">
        <v>1</v>
      </c>
      <c r="AH102" s="33">
        <v>0</v>
      </c>
      <c r="AI102" s="33">
        <v>0</v>
      </c>
      <c r="AJ102" s="33">
        <v>0</v>
      </c>
      <c r="AK102" s="33">
        <v>0</v>
      </c>
      <c r="AL102" s="33">
        <v>0</v>
      </c>
      <c r="AM102" s="33">
        <v>1</v>
      </c>
      <c r="AN102" s="97">
        <v>0</v>
      </c>
      <c r="AO102" s="97">
        <v>0</v>
      </c>
      <c r="AP102" s="35">
        <v>200</v>
      </c>
      <c r="AQ102" s="35">
        <v>8</v>
      </c>
      <c r="AR102" s="35">
        <v>4</v>
      </c>
      <c r="AS102" s="35">
        <v>4</v>
      </c>
      <c r="AT102" s="33">
        <v>0</v>
      </c>
      <c r="AU102" s="33">
        <v>0</v>
      </c>
      <c r="AV102" s="33">
        <v>0</v>
      </c>
      <c r="AW102" s="33">
        <v>0</v>
      </c>
      <c r="AX102" s="35" t="s">
        <v>1106</v>
      </c>
      <c r="AY102" s="33">
        <v>4</v>
      </c>
      <c r="AZ102" s="34" t="s">
        <v>733</v>
      </c>
      <c r="BA102" s="33" t="s">
        <v>220</v>
      </c>
      <c r="BB102" s="33">
        <v>50</v>
      </c>
      <c r="BC102" s="107" t="s">
        <v>21</v>
      </c>
      <c r="BD102" s="35" t="s">
        <v>21</v>
      </c>
      <c r="BE102" s="94" t="s">
        <v>21</v>
      </c>
      <c r="BF102" s="33">
        <v>20</v>
      </c>
      <c r="BG102" s="97">
        <v>500</v>
      </c>
      <c r="BH102" s="97">
        <v>100</v>
      </c>
      <c r="BI102" s="33">
        <v>10402</v>
      </c>
      <c r="BJ102" s="33" t="s">
        <v>21</v>
      </c>
      <c r="BK102" s="33">
        <v>0</v>
      </c>
      <c r="BL102" s="33">
        <f>VLOOKUP(F102,Sheet3!$B$33:$F$37,5,0)</f>
        <v>50000</v>
      </c>
      <c r="BM102" s="33">
        <v>1.5</v>
      </c>
      <c r="BN102" s="69">
        <v>100</v>
      </c>
      <c r="BO102" s="68" t="s">
        <v>776</v>
      </c>
      <c r="BP102" s="68">
        <v>1502</v>
      </c>
      <c r="BQ102" s="33" t="s">
        <v>21</v>
      </c>
      <c r="BR102" s="33" t="s">
        <v>21</v>
      </c>
      <c r="BS102" s="33" t="e">
        <f>INT(MID(VLOOKUP($BO102,[1]Sheet1!$A:$C,3,0),9,5))</f>
        <v>#N/A</v>
      </c>
      <c r="BT102" s="33" t="str">
        <f t="shared" si="4"/>
        <v>qiangdao</v>
      </c>
      <c r="BU102" s="33" t="e">
        <f>MID(VLOOKUP($BS102,[2]Sheet1!$A:$C,3,0),3,IF(ISERROR(FIND(",",VLOOKUP($BS102,[2]Sheet1!$A:$C,3,0))),LEN(VLOOKUP($BS102,[2]Sheet1!$A:$C,3,0))-4,FIND(",",VLOOKUP($BS102,[2]Sheet1!$A:$C,3,0))-4))</f>
        <v>#N/A</v>
      </c>
      <c r="BV102" s="33" t="str">
        <f>IF(ISERROR(MID(VLOOKUP($BS102,[2]Sheet1!$A:$D,4,0),3,IF(ISERROR(FIND(",",VLOOKUP($BS102,[2]Sheet1!$A:$D,4,0))),LEN(VLOOKUP($BS102,[2]Sheet1!$A:$D,4,0))-4,FIND(",",VLOOKUP($BS102,[2]Sheet1!$A:$D,4,0))-4))),"[]",MID(VLOOKUP($BS102,[2]Sheet1!$A:$D,4,0),3,IF(ISERROR(FIND(",",VLOOKUP($BS102,[2]Sheet1!$A:$D,4,0))),LEN(VLOOKUP($BS102,[2]Sheet1!$A:$D,4,0))-4,FIND(",",VLOOKUP($BS102,[2]Sheet1!$A:$D,4,0))-4)))</f>
        <v>[]</v>
      </c>
      <c r="BW102" s="33" t="str">
        <f t="shared" si="3"/>
        <v>3-2</v>
      </c>
    </row>
    <row r="103" spans="1:75" s="33" customFormat="1">
      <c r="A103" s="33">
        <v>1503</v>
      </c>
      <c r="B103" s="33" t="s">
        <v>551</v>
      </c>
      <c r="C103" s="33" t="s">
        <v>725</v>
      </c>
      <c r="D103" s="33">
        <v>1</v>
      </c>
      <c r="E103" s="33">
        <v>4</v>
      </c>
      <c r="F103" s="33">
        <v>3</v>
      </c>
      <c r="G103" s="33">
        <v>3</v>
      </c>
      <c r="H103" s="33" t="s">
        <v>1122</v>
      </c>
      <c r="I103" s="33">
        <v>150</v>
      </c>
      <c r="J103" s="33" t="s">
        <v>552</v>
      </c>
      <c r="K103" s="33">
        <v>10</v>
      </c>
      <c r="L103" s="33" t="s">
        <v>783</v>
      </c>
      <c r="M103" s="33" t="s">
        <v>779</v>
      </c>
      <c r="N103" s="33" t="s">
        <v>553</v>
      </c>
      <c r="O103" s="33" t="s">
        <v>544</v>
      </c>
      <c r="P103" s="33" t="s">
        <v>554</v>
      </c>
      <c r="Q103" s="33">
        <v>1</v>
      </c>
      <c r="R103" s="33" t="s">
        <v>21</v>
      </c>
      <c r="S103" s="33" t="s">
        <v>21</v>
      </c>
      <c r="T103" s="33" t="s">
        <v>21</v>
      </c>
      <c r="U103" s="33">
        <v>1</v>
      </c>
      <c r="V103" s="33">
        <v>2</v>
      </c>
      <c r="W103" s="33">
        <f>VLOOKUP(F103,Sheet3!$B$33:$E$37,3,0)</f>
        <v>5</v>
      </c>
      <c r="X103" s="33">
        <f>VLOOKUP(F103,Sheet3!$B$33:$E$37,2,0)</f>
        <v>15</v>
      </c>
      <c r="Y103" s="33">
        <f>VLOOKUP(F103,Sheet3!$B$33:$E$37,4,0)</f>
        <v>8</v>
      </c>
      <c r="Z103" s="33">
        <v>1</v>
      </c>
      <c r="AA103" s="97">
        <v>0</v>
      </c>
      <c r="AB103" s="97">
        <v>0</v>
      </c>
      <c r="AC103" s="35">
        <v>2000</v>
      </c>
      <c r="AD103" s="35">
        <v>80</v>
      </c>
      <c r="AE103" s="35">
        <v>40</v>
      </c>
      <c r="AF103" s="35">
        <v>40</v>
      </c>
      <c r="AG103" s="33">
        <v>1</v>
      </c>
      <c r="AH103" s="33">
        <v>0</v>
      </c>
      <c r="AI103" s="33">
        <v>0</v>
      </c>
      <c r="AJ103" s="33">
        <v>0</v>
      </c>
      <c r="AK103" s="33">
        <v>0</v>
      </c>
      <c r="AL103" s="33">
        <v>0</v>
      </c>
      <c r="AM103" s="33">
        <v>1</v>
      </c>
      <c r="AN103" s="97">
        <v>0</v>
      </c>
      <c r="AO103" s="97">
        <v>0</v>
      </c>
      <c r="AP103" s="35">
        <v>200</v>
      </c>
      <c r="AQ103" s="35">
        <v>8</v>
      </c>
      <c r="AR103" s="35">
        <v>4</v>
      </c>
      <c r="AS103" s="35">
        <v>4</v>
      </c>
      <c r="AT103" s="33">
        <v>0</v>
      </c>
      <c r="AU103" s="33">
        <v>0</v>
      </c>
      <c r="AV103" s="33">
        <v>0</v>
      </c>
      <c r="AW103" s="33">
        <v>0</v>
      </c>
      <c r="AX103" s="35" t="s">
        <v>1106</v>
      </c>
      <c r="AY103" s="33">
        <v>4</v>
      </c>
      <c r="AZ103" s="34" t="s">
        <v>735</v>
      </c>
      <c r="BA103" s="33" t="s">
        <v>220</v>
      </c>
      <c r="BB103" s="33">
        <v>50</v>
      </c>
      <c r="BC103" s="107" t="s">
        <v>21</v>
      </c>
      <c r="BD103" s="35" t="s">
        <v>21</v>
      </c>
      <c r="BE103" s="94" t="s">
        <v>21</v>
      </c>
      <c r="BF103" s="33">
        <v>20</v>
      </c>
      <c r="BG103" s="97">
        <v>500</v>
      </c>
      <c r="BH103" s="97">
        <v>100</v>
      </c>
      <c r="BI103" s="33">
        <v>10403</v>
      </c>
      <c r="BJ103" s="33" t="s">
        <v>21</v>
      </c>
      <c r="BK103" s="33">
        <v>0</v>
      </c>
      <c r="BL103" s="33">
        <f>VLOOKUP(F103,Sheet3!$B$33:$F$37,5,0)</f>
        <v>50000</v>
      </c>
      <c r="BM103" s="33">
        <v>1.5</v>
      </c>
      <c r="BN103" s="69">
        <v>100</v>
      </c>
      <c r="BO103" s="68" t="s">
        <v>776</v>
      </c>
      <c r="BP103" s="68">
        <v>1503</v>
      </c>
      <c r="BQ103" s="33" t="s">
        <v>21</v>
      </c>
      <c r="BR103" s="33" t="s">
        <v>21</v>
      </c>
      <c r="BS103" s="33" t="e">
        <f>INT(MID(VLOOKUP($BO103,[1]Sheet1!$A:$C,3,0),9,5))</f>
        <v>#N/A</v>
      </c>
      <c r="BT103" s="33" t="str">
        <f t="shared" si="4"/>
        <v>yezhuguai</v>
      </c>
      <c r="BU103" s="33" t="e">
        <f>MID(VLOOKUP($BS103,[2]Sheet1!$A:$C,3,0),3,IF(ISERROR(FIND(",",VLOOKUP($BS103,[2]Sheet1!$A:$C,3,0))),LEN(VLOOKUP($BS103,[2]Sheet1!$A:$C,3,0))-4,FIND(",",VLOOKUP($BS103,[2]Sheet1!$A:$C,3,0))-4))</f>
        <v>#N/A</v>
      </c>
      <c r="BV103" s="33" t="str">
        <f>IF(ISERROR(MID(VLOOKUP($BS103,[2]Sheet1!$A:$D,4,0),3,IF(ISERROR(FIND(",",VLOOKUP($BS103,[2]Sheet1!$A:$D,4,0))),LEN(VLOOKUP($BS103,[2]Sheet1!$A:$D,4,0))-4,FIND(",",VLOOKUP($BS103,[2]Sheet1!$A:$D,4,0))-4))),"[]",MID(VLOOKUP($BS103,[2]Sheet1!$A:$D,4,0),3,IF(ISERROR(FIND(",",VLOOKUP($BS103,[2]Sheet1!$A:$D,4,0))),LEN(VLOOKUP($BS103,[2]Sheet1!$A:$D,4,0))-4,FIND(",",VLOOKUP($BS103,[2]Sheet1!$A:$D,4,0))-4)))</f>
        <v>[]</v>
      </c>
      <c r="BW103" s="33" t="str">
        <f t="shared" si="3"/>
        <v>3-2</v>
      </c>
    </row>
    <row r="104" spans="1:75" s="33" customFormat="1">
      <c r="A104" s="33">
        <v>1505</v>
      </c>
      <c r="B104" s="33" t="s">
        <v>560</v>
      </c>
      <c r="C104" s="33" t="s">
        <v>602</v>
      </c>
      <c r="D104" s="33">
        <v>1</v>
      </c>
      <c r="E104" s="33">
        <v>4</v>
      </c>
      <c r="F104" s="33">
        <v>3</v>
      </c>
      <c r="G104" s="33">
        <v>3</v>
      </c>
      <c r="H104" s="33" t="s">
        <v>1122</v>
      </c>
      <c r="I104" s="33">
        <v>150</v>
      </c>
      <c r="J104" s="33" t="s">
        <v>561</v>
      </c>
      <c r="K104" s="33">
        <v>10</v>
      </c>
      <c r="L104" s="33" t="s">
        <v>421</v>
      </c>
      <c r="M104" s="33" t="s">
        <v>779</v>
      </c>
      <c r="N104" s="33" t="s">
        <v>562</v>
      </c>
      <c r="O104" s="33" t="s">
        <v>78</v>
      </c>
      <c r="P104" s="33" t="s">
        <v>563</v>
      </c>
      <c r="Q104" s="33">
        <v>1</v>
      </c>
      <c r="R104" s="33" t="s">
        <v>21</v>
      </c>
      <c r="S104" s="33" t="s">
        <v>21</v>
      </c>
      <c r="T104" s="33" t="s">
        <v>21</v>
      </c>
      <c r="U104" s="33">
        <v>2</v>
      </c>
      <c r="V104" s="33">
        <v>6</v>
      </c>
      <c r="W104" s="33">
        <f>VLOOKUP(F104,Sheet3!$B$33:$E$37,3,0)</f>
        <v>5</v>
      </c>
      <c r="X104" s="33">
        <f>VLOOKUP(F104,Sheet3!$B$33:$E$37,2,0)</f>
        <v>15</v>
      </c>
      <c r="Y104" s="33">
        <f>VLOOKUP(F104,Sheet3!$B$33:$E$37,4,0)</f>
        <v>8</v>
      </c>
      <c r="Z104" s="33">
        <v>1</v>
      </c>
      <c r="AA104" s="97">
        <v>0</v>
      </c>
      <c r="AB104" s="97">
        <v>0</v>
      </c>
      <c r="AC104" s="35">
        <v>3000</v>
      </c>
      <c r="AD104" s="35">
        <v>120</v>
      </c>
      <c r="AE104" s="35">
        <v>60</v>
      </c>
      <c r="AF104" s="35">
        <v>60</v>
      </c>
      <c r="AG104" s="33">
        <v>1</v>
      </c>
      <c r="AH104" s="33">
        <v>0</v>
      </c>
      <c r="AI104" s="33">
        <v>0</v>
      </c>
      <c r="AJ104" s="33">
        <v>0</v>
      </c>
      <c r="AK104" s="33">
        <v>0</v>
      </c>
      <c r="AL104" s="33">
        <v>0</v>
      </c>
      <c r="AM104" s="33">
        <v>1</v>
      </c>
      <c r="AN104" s="97">
        <v>0</v>
      </c>
      <c r="AO104" s="97">
        <v>0</v>
      </c>
      <c r="AP104" s="35">
        <v>300</v>
      </c>
      <c r="AQ104" s="35">
        <v>12</v>
      </c>
      <c r="AR104" s="35">
        <v>6</v>
      </c>
      <c r="AS104" s="35">
        <v>6</v>
      </c>
      <c r="AT104" s="33">
        <v>0</v>
      </c>
      <c r="AU104" s="33">
        <v>0</v>
      </c>
      <c r="AV104" s="33">
        <v>0</v>
      </c>
      <c r="AW104" s="33">
        <v>0</v>
      </c>
      <c r="AX104" s="35" t="s">
        <v>1105</v>
      </c>
      <c r="AY104" s="33">
        <v>6</v>
      </c>
      <c r="AZ104" s="34" t="s">
        <v>731</v>
      </c>
      <c r="BA104" s="33" t="s">
        <v>224</v>
      </c>
      <c r="BB104" s="33">
        <v>50</v>
      </c>
      <c r="BC104" s="107" t="s">
        <v>21</v>
      </c>
      <c r="BD104" s="35" t="s">
        <v>21</v>
      </c>
      <c r="BE104" s="94" t="s">
        <v>21</v>
      </c>
      <c r="BF104" s="33">
        <v>40</v>
      </c>
      <c r="BG104" s="97">
        <v>2000</v>
      </c>
      <c r="BH104" s="97">
        <v>400</v>
      </c>
      <c r="BI104" s="33">
        <v>10405</v>
      </c>
      <c r="BJ104" s="33" t="s">
        <v>21</v>
      </c>
      <c r="BK104" s="33">
        <v>0</v>
      </c>
      <c r="BL104" s="33">
        <f>VLOOKUP(F104,Sheet3!$B$33:$F$37,5,0)</f>
        <v>50000</v>
      </c>
      <c r="BM104" s="33">
        <v>1.5</v>
      </c>
      <c r="BN104" s="69">
        <v>100</v>
      </c>
      <c r="BO104" s="68" t="s">
        <v>776</v>
      </c>
      <c r="BP104" s="68">
        <v>1505</v>
      </c>
      <c r="BQ104" s="33" t="s">
        <v>21</v>
      </c>
      <c r="BR104" s="33" t="s">
        <v>21</v>
      </c>
      <c r="BS104" s="33" t="e">
        <f>INT(MID(VLOOKUP($BO104,[1]Sheet1!$A:$C,3,0),9,5))</f>
        <v>#N/A</v>
      </c>
      <c r="BT104" s="33" t="str">
        <f t="shared" si="4"/>
        <v>kuangbao</v>
      </c>
      <c r="BU104" s="33" t="e">
        <f>MID(VLOOKUP($BS104,[2]Sheet1!$A:$C,3,0),3,IF(ISERROR(FIND(",",VLOOKUP($BS104,[2]Sheet1!$A:$C,3,0))),LEN(VLOOKUP($BS104,[2]Sheet1!$A:$C,3,0))-4,FIND(",",VLOOKUP($BS104,[2]Sheet1!$A:$C,3,0))-4))</f>
        <v>#N/A</v>
      </c>
      <c r="BV104" s="33" t="str">
        <f>IF(ISERROR(MID(VLOOKUP($BS104,[2]Sheet1!$A:$D,4,0),3,IF(ISERROR(FIND(",",VLOOKUP($BS104,[2]Sheet1!$A:$D,4,0))),LEN(VLOOKUP($BS104,[2]Sheet1!$A:$D,4,0))-4,FIND(",",VLOOKUP($BS104,[2]Sheet1!$A:$D,4,0))-4))),"[]",MID(VLOOKUP($BS104,[2]Sheet1!$A:$D,4,0),3,IF(ISERROR(FIND(",",VLOOKUP($BS104,[2]Sheet1!$A:$D,4,0))),LEN(VLOOKUP($BS104,[2]Sheet1!$A:$D,4,0))-4,FIND(",",VLOOKUP($BS104,[2]Sheet1!$A:$D,4,0))-4)))</f>
        <v>[]</v>
      </c>
      <c r="BW104" s="33" t="str">
        <f t="shared" si="3"/>
        <v>3-6</v>
      </c>
    </row>
    <row r="105" spans="1:75" s="33" customFormat="1">
      <c r="A105" s="33">
        <v>1506</v>
      </c>
      <c r="B105" s="33" t="s">
        <v>564</v>
      </c>
      <c r="C105" s="33" t="s">
        <v>565</v>
      </c>
      <c r="D105" s="33">
        <v>1</v>
      </c>
      <c r="E105" s="33">
        <v>4</v>
      </c>
      <c r="F105" s="33">
        <v>3</v>
      </c>
      <c r="G105" s="33">
        <v>3</v>
      </c>
      <c r="H105" s="33" t="s">
        <v>1122</v>
      </c>
      <c r="I105" s="33">
        <v>150</v>
      </c>
      <c r="J105" s="33" t="s">
        <v>566</v>
      </c>
      <c r="K105" s="33">
        <v>10</v>
      </c>
      <c r="L105" s="33" t="s">
        <v>423</v>
      </c>
      <c r="M105" s="33" t="s">
        <v>779</v>
      </c>
      <c r="N105" s="33" t="s">
        <v>567</v>
      </c>
      <c r="O105" s="33" t="s">
        <v>78</v>
      </c>
      <c r="P105" s="33" t="s">
        <v>568</v>
      </c>
      <c r="Q105" s="33">
        <v>1</v>
      </c>
      <c r="R105" s="33" t="s">
        <v>21</v>
      </c>
      <c r="S105" s="33" t="s">
        <v>21</v>
      </c>
      <c r="T105" s="33" t="s">
        <v>21</v>
      </c>
      <c r="U105" s="33">
        <v>2</v>
      </c>
      <c r="V105" s="33">
        <v>6</v>
      </c>
      <c r="W105" s="33">
        <f>VLOOKUP(F105,Sheet3!$B$33:$E$37,3,0)</f>
        <v>5</v>
      </c>
      <c r="X105" s="33">
        <f>VLOOKUP(F105,Sheet3!$B$33:$E$37,2,0)</f>
        <v>15</v>
      </c>
      <c r="Y105" s="33">
        <f>VLOOKUP(F105,Sheet3!$B$33:$E$37,4,0)</f>
        <v>8</v>
      </c>
      <c r="Z105" s="33">
        <v>1</v>
      </c>
      <c r="AA105" s="97">
        <v>0</v>
      </c>
      <c r="AB105" s="97">
        <v>0</v>
      </c>
      <c r="AC105" s="35">
        <v>3000</v>
      </c>
      <c r="AD105" s="35">
        <v>120</v>
      </c>
      <c r="AE105" s="35">
        <v>60</v>
      </c>
      <c r="AF105" s="35">
        <v>60</v>
      </c>
      <c r="AG105" s="33">
        <v>1</v>
      </c>
      <c r="AH105" s="33">
        <v>0</v>
      </c>
      <c r="AI105" s="33">
        <v>0</v>
      </c>
      <c r="AJ105" s="33">
        <v>0</v>
      </c>
      <c r="AK105" s="33">
        <v>0</v>
      </c>
      <c r="AL105" s="33">
        <v>0</v>
      </c>
      <c r="AM105" s="33">
        <v>1</v>
      </c>
      <c r="AN105" s="97">
        <v>0</v>
      </c>
      <c r="AO105" s="97">
        <v>0</v>
      </c>
      <c r="AP105" s="35">
        <v>300</v>
      </c>
      <c r="AQ105" s="35">
        <v>12</v>
      </c>
      <c r="AR105" s="35">
        <v>6</v>
      </c>
      <c r="AS105" s="35">
        <v>6</v>
      </c>
      <c r="AT105" s="33">
        <v>0</v>
      </c>
      <c r="AU105" s="33">
        <v>0</v>
      </c>
      <c r="AV105" s="33">
        <v>0</v>
      </c>
      <c r="AW105" s="33">
        <v>0</v>
      </c>
      <c r="AX105" s="35" t="s">
        <v>1105</v>
      </c>
      <c r="AY105" s="33">
        <v>6</v>
      </c>
      <c r="AZ105" s="34" t="s">
        <v>730</v>
      </c>
      <c r="BA105" s="33" t="s">
        <v>224</v>
      </c>
      <c r="BB105" s="33">
        <v>50</v>
      </c>
      <c r="BC105" s="107" t="s">
        <v>21</v>
      </c>
      <c r="BD105" s="35" t="s">
        <v>21</v>
      </c>
      <c r="BE105" s="94" t="s">
        <v>21</v>
      </c>
      <c r="BF105" s="33">
        <v>40</v>
      </c>
      <c r="BG105" s="97">
        <v>2000</v>
      </c>
      <c r="BH105" s="97">
        <v>400</v>
      </c>
      <c r="BI105" s="33">
        <v>10406</v>
      </c>
      <c r="BJ105" s="33" t="s">
        <v>21</v>
      </c>
      <c r="BK105" s="33">
        <v>0</v>
      </c>
      <c r="BL105" s="33">
        <f>VLOOKUP(F105,Sheet3!$B$33:$F$37,5,0)</f>
        <v>50000</v>
      </c>
      <c r="BM105" s="33">
        <v>1.5</v>
      </c>
      <c r="BN105" s="69">
        <v>100</v>
      </c>
      <c r="BO105" s="68" t="s">
        <v>776</v>
      </c>
      <c r="BP105" s="68">
        <v>1506</v>
      </c>
      <c r="BQ105" s="33" t="s">
        <v>21</v>
      </c>
      <c r="BR105" s="33" t="s">
        <v>21</v>
      </c>
      <c r="BS105" s="33" t="e">
        <f>INT(MID(VLOOKUP($BO105,[1]Sheet1!$A:$C,3,0),9,5))</f>
        <v>#N/A</v>
      </c>
      <c r="BT105" s="33" t="str">
        <f t="shared" si="4"/>
        <v>huwei</v>
      </c>
      <c r="BU105" s="33" t="e">
        <f>MID(VLOOKUP($BS105,[2]Sheet1!$A:$C,3,0),3,IF(ISERROR(FIND(",",VLOOKUP($BS105,[2]Sheet1!$A:$C,3,0))),LEN(VLOOKUP($BS105,[2]Sheet1!$A:$C,3,0))-4,FIND(",",VLOOKUP($BS105,[2]Sheet1!$A:$C,3,0))-4))</f>
        <v>#N/A</v>
      </c>
      <c r="BV105" s="33" t="str">
        <f>IF(ISERROR(MID(VLOOKUP($BS105,[2]Sheet1!$A:$D,4,0),3,IF(ISERROR(FIND(",",VLOOKUP($BS105,[2]Sheet1!$A:$D,4,0))),LEN(VLOOKUP($BS105,[2]Sheet1!$A:$D,4,0))-4,FIND(",",VLOOKUP($BS105,[2]Sheet1!$A:$D,4,0))-4))),"[]",MID(VLOOKUP($BS105,[2]Sheet1!$A:$D,4,0),3,IF(ISERROR(FIND(",",VLOOKUP($BS105,[2]Sheet1!$A:$D,4,0))),LEN(VLOOKUP($BS105,[2]Sheet1!$A:$D,4,0))-4,FIND(",",VLOOKUP($BS105,[2]Sheet1!$A:$D,4,0))-4)))</f>
        <v>[]</v>
      </c>
      <c r="BW105" s="33" t="str">
        <f t="shared" si="3"/>
        <v>3-6</v>
      </c>
    </row>
    <row r="106" spans="1:75" s="33" customFormat="1">
      <c r="A106" s="33">
        <v>1507</v>
      </c>
      <c r="B106" s="33" t="s">
        <v>569</v>
      </c>
      <c r="C106" s="33" t="s">
        <v>598</v>
      </c>
      <c r="D106" s="33">
        <v>1</v>
      </c>
      <c r="E106" s="33">
        <v>4</v>
      </c>
      <c r="F106" s="33">
        <v>2</v>
      </c>
      <c r="G106" s="33">
        <v>2</v>
      </c>
      <c r="H106" s="33" t="s">
        <v>1124</v>
      </c>
      <c r="I106" s="33">
        <v>150</v>
      </c>
      <c r="J106" s="33" t="s">
        <v>570</v>
      </c>
      <c r="K106" s="33">
        <v>10</v>
      </c>
      <c r="L106" s="43" t="s">
        <v>413</v>
      </c>
      <c r="M106" s="33" t="s">
        <v>779</v>
      </c>
      <c r="N106" s="33" t="s">
        <v>571</v>
      </c>
      <c r="O106" s="33" t="s">
        <v>78</v>
      </c>
      <c r="P106" s="33" t="s">
        <v>572</v>
      </c>
      <c r="Q106" s="33">
        <v>1</v>
      </c>
      <c r="R106" s="33" t="s">
        <v>21</v>
      </c>
      <c r="S106" s="33" t="s">
        <v>21</v>
      </c>
      <c r="T106" s="33" t="s">
        <v>21</v>
      </c>
      <c r="U106" s="33">
        <v>2</v>
      </c>
      <c r="V106" s="33">
        <v>6</v>
      </c>
      <c r="W106" s="33">
        <f>VLOOKUP(F106,Sheet3!$B$33:$E$37,3,0)</f>
        <v>9</v>
      </c>
      <c r="X106" s="33">
        <f>VLOOKUP(F106,Sheet3!$B$33:$E$37,2,0)</f>
        <v>15</v>
      </c>
      <c r="Y106" s="33">
        <f>VLOOKUP(F106,Sheet3!$B$33:$E$37,4,0)</f>
        <v>8</v>
      </c>
      <c r="Z106" s="33">
        <v>0.8</v>
      </c>
      <c r="AA106" s="97">
        <v>0</v>
      </c>
      <c r="AB106" s="97">
        <v>0</v>
      </c>
      <c r="AC106" s="35">
        <v>3000</v>
      </c>
      <c r="AD106" s="35">
        <v>120</v>
      </c>
      <c r="AE106" s="35">
        <v>60</v>
      </c>
      <c r="AF106" s="35">
        <v>60</v>
      </c>
      <c r="AG106" s="33">
        <v>1</v>
      </c>
      <c r="AH106" s="33">
        <v>0</v>
      </c>
      <c r="AI106" s="33">
        <v>0</v>
      </c>
      <c r="AJ106" s="33">
        <v>0</v>
      </c>
      <c r="AK106" s="33">
        <v>0</v>
      </c>
      <c r="AL106" s="33">
        <v>0</v>
      </c>
      <c r="AM106" s="33">
        <v>1</v>
      </c>
      <c r="AN106" s="97">
        <v>0</v>
      </c>
      <c r="AO106" s="97">
        <v>0</v>
      </c>
      <c r="AP106" s="35">
        <v>300</v>
      </c>
      <c r="AQ106" s="35">
        <v>12</v>
      </c>
      <c r="AR106" s="35">
        <v>6</v>
      </c>
      <c r="AS106" s="35">
        <v>6</v>
      </c>
      <c r="AT106" s="33">
        <v>0</v>
      </c>
      <c r="AU106" s="33">
        <v>0</v>
      </c>
      <c r="AV106" s="33">
        <v>0</v>
      </c>
      <c r="AW106" s="33">
        <v>0</v>
      </c>
      <c r="AX106" s="35" t="s">
        <v>1105</v>
      </c>
      <c r="AY106" s="33">
        <v>6</v>
      </c>
      <c r="AZ106" s="34" t="s">
        <v>730</v>
      </c>
      <c r="BA106" s="33" t="s">
        <v>224</v>
      </c>
      <c r="BB106" s="33">
        <v>50</v>
      </c>
      <c r="BC106" s="107" t="s">
        <v>21</v>
      </c>
      <c r="BD106" s="35" t="s">
        <v>21</v>
      </c>
      <c r="BE106" s="94" t="s">
        <v>21</v>
      </c>
      <c r="BF106" s="33">
        <v>40</v>
      </c>
      <c r="BG106" s="97">
        <v>2000</v>
      </c>
      <c r="BH106" s="97">
        <v>400</v>
      </c>
      <c r="BI106" s="33">
        <v>10407</v>
      </c>
      <c r="BJ106" s="33" t="s">
        <v>21</v>
      </c>
      <c r="BK106" s="33">
        <v>0</v>
      </c>
      <c r="BL106" s="33">
        <f>VLOOKUP(F106,Sheet3!$B$33:$F$37,5,0)</f>
        <v>10000</v>
      </c>
      <c r="BM106" s="33">
        <v>1</v>
      </c>
      <c r="BN106" s="69">
        <v>100</v>
      </c>
      <c r="BO106" s="68" t="s">
        <v>776</v>
      </c>
      <c r="BP106" s="68">
        <v>1507</v>
      </c>
      <c r="BQ106" s="33" t="s">
        <v>21</v>
      </c>
      <c r="BR106" s="33" t="s">
        <v>21</v>
      </c>
      <c r="BS106" s="33" t="e">
        <f>INT(MID(VLOOKUP($BO106,[1]Sheet1!$A:$C,3,0),9,5))</f>
        <v>#N/A</v>
      </c>
      <c r="BT106" s="33" t="str">
        <f t="shared" si="4"/>
        <v>guichengxiang</v>
      </c>
      <c r="BU106" s="33" t="e">
        <f>MID(VLOOKUP($BS106,[2]Sheet1!$A:$C,3,0),3,IF(ISERROR(FIND(",",VLOOKUP($BS106,[2]Sheet1!$A:$C,3,0))),LEN(VLOOKUP($BS106,[2]Sheet1!$A:$C,3,0))-4,FIND(",",VLOOKUP($BS106,[2]Sheet1!$A:$C,3,0))-4))</f>
        <v>#N/A</v>
      </c>
      <c r="BV106" s="33" t="str">
        <f>IF(ISERROR(MID(VLOOKUP($BS106,[2]Sheet1!$A:$D,4,0),3,IF(ISERROR(FIND(",",VLOOKUP($BS106,[2]Sheet1!$A:$D,4,0))),LEN(VLOOKUP($BS106,[2]Sheet1!$A:$D,4,0))-4,FIND(",",VLOOKUP($BS106,[2]Sheet1!$A:$D,4,0))-4))),"[]",MID(VLOOKUP($BS106,[2]Sheet1!$A:$D,4,0),3,IF(ISERROR(FIND(",",VLOOKUP($BS106,[2]Sheet1!$A:$D,4,0))),LEN(VLOOKUP($BS106,[2]Sheet1!$A:$D,4,0))-4,FIND(",",VLOOKUP($BS106,[2]Sheet1!$A:$D,4,0))-4)))</f>
        <v>[]</v>
      </c>
      <c r="BW106" s="33" t="str">
        <f t="shared" si="3"/>
        <v>2-6</v>
      </c>
    </row>
    <row r="107" spans="1:75" s="33" customFormat="1">
      <c r="A107" s="33">
        <v>1508</v>
      </c>
      <c r="B107" s="33" t="s">
        <v>573</v>
      </c>
      <c r="C107" s="33" t="s">
        <v>599</v>
      </c>
      <c r="D107" s="33">
        <v>1</v>
      </c>
      <c r="E107" s="33">
        <v>4</v>
      </c>
      <c r="F107" s="33">
        <v>3</v>
      </c>
      <c r="G107" s="33">
        <v>3</v>
      </c>
      <c r="H107" s="33" t="s">
        <v>1122</v>
      </c>
      <c r="I107" s="33">
        <v>150</v>
      </c>
      <c r="J107" s="33" t="s">
        <v>574</v>
      </c>
      <c r="K107" s="33">
        <v>10</v>
      </c>
      <c r="L107" s="33" t="s">
        <v>781</v>
      </c>
      <c r="M107" s="33" t="s">
        <v>779</v>
      </c>
      <c r="N107" s="33" t="s">
        <v>575</v>
      </c>
      <c r="O107" s="33" t="s">
        <v>78</v>
      </c>
      <c r="P107" s="33" t="s">
        <v>576</v>
      </c>
      <c r="Q107" s="33">
        <v>1</v>
      </c>
      <c r="R107" s="33" t="s">
        <v>21</v>
      </c>
      <c r="S107" s="33" t="s">
        <v>21</v>
      </c>
      <c r="T107" s="33" t="s">
        <v>21</v>
      </c>
      <c r="U107" s="33">
        <v>2</v>
      </c>
      <c r="V107" s="33">
        <v>6</v>
      </c>
      <c r="W107" s="33">
        <f>VLOOKUP(F107,Sheet3!$B$33:$E$37,3,0)</f>
        <v>5</v>
      </c>
      <c r="X107" s="33">
        <f>VLOOKUP(F107,Sheet3!$B$33:$E$37,2,0)</f>
        <v>15</v>
      </c>
      <c r="Y107" s="33">
        <f>VLOOKUP(F107,Sheet3!$B$33:$E$37,4,0)</f>
        <v>8</v>
      </c>
      <c r="Z107" s="33">
        <v>1</v>
      </c>
      <c r="AA107" s="97">
        <v>0</v>
      </c>
      <c r="AB107" s="97">
        <v>0</v>
      </c>
      <c r="AC107" s="35">
        <v>3000</v>
      </c>
      <c r="AD107" s="35">
        <v>120</v>
      </c>
      <c r="AE107" s="35">
        <v>60</v>
      </c>
      <c r="AF107" s="35">
        <v>60</v>
      </c>
      <c r="AG107" s="33">
        <v>1</v>
      </c>
      <c r="AH107" s="33">
        <v>0</v>
      </c>
      <c r="AI107" s="33">
        <v>0</v>
      </c>
      <c r="AJ107" s="33">
        <v>0</v>
      </c>
      <c r="AK107" s="33">
        <v>0</v>
      </c>
      <c r="AL107" s="33">
        <v>0</v>
      </c>
      <c r="AM107" s="33">
        <v>1</v>
      </c>
      <c r="AN107" s="97">
        <v>0</v>
      </c>
      <c r="AO107" s="97">
        <v>0</v>
      </c>
      <c r="AP107" s="35">
        <v>300</v>
      </c>
      <c r="AQ107" s="35">
        <v>12</v>
      </c>
      <c r="AR107" s="35">
        <v>6</v>
      </c>
      <c r="AS107" s="35">
        <v>6</v>
      </c>
      <c r="AT107" s="33">
        <v>0</v>
      </c>
      <c r="AU107" s="33">
        <v>0</v>
      </c>
      <c r="AV107" s="33">
        <v>0</v>
      </c>
      <c r="AW107" s="33">
        <v>0</v>
      </c>
      <c r="AX107" s="35" t="s">
        <v>1105</v>
      </c>
      <c r="AY107" s="33">
        <v>6</v>
      </c>
      <c r="AZ107" s="34" t="s">
        <v>736</v>
      </c>
      <c r="BA107" s="33" t="s">
        <v>224</v>
      </c>
      <c r="BB107" s="33">
        <v>50</v>
      </c>
      <c r="BC107" s="107" t="s">
        <v>21</v>
      </c>
      <c r="BD107" s="35" t="s">
        <v>21</v>
      </c>
      <c r="BE107" s="94" t="s">
        <v>21</v>
      </c>
      <c r="BF107" s="33">
        <v>40</v>
      </c>
      <c r="BG107" s="97">
        <v>2000</v>
      </c>
      <c r="BH107" s="97">
        <v>400</v>
      </c>
      <c r="BI107" s="33">
        <v>10408</v>
      </c>
      <c r="BJ107" s="33" t="s">
        <v>21</v>
      </c>
      <c r="BK107" s="33">
        <v>0</v>
      </c>
      <c r="BL107" s="33">
        <f>VLOOKUP(F107,Sheet3!$B$33:$F$37,5,0)</f>
        <v>50000</v>
      </c>
      <c r="BM107" s="33">
        <v>1.5</v>
      </c>
      <c r="BN107" s="69">
        <v>100</v>
      </c>
      <c r="BO107" s="68" t="s">
        <v>776</v>
      </c>
      <c r="BP107" s="68">
        <v>1508</v>
      </c>
      <c r="BQ107" s="33" t="s">
        <v>21</v>
      </c>
      <c r="BR107" s="33" t="s">
        <v>21</v>
      </c>
      <c r="BS107" s="33" t="e">
        <f>INT(MID(VLOOKUP($BO107,[1]Sheet1!$A:$C,3,0),9,5))</f>
        <v>#N/A</v>
      </c>
      <c r="BT107" s="33" t="str">
        <f t="shared" si="4"/>
        <v>yanmo</v>
      </c>
      <c r="BU107" s="33" t="e">
        <f>MID(VLOOKUP($BS107,[2]Sheet1!$A:$C,3,0),3,IF(ISERROR(FIND(",",VLOOKUP($BS107,[2]Sheet1!$A:$C,3,0))),LEN(VLOOKUP($BS107,[2]Sheet1!$A:$C,3,0))-4,FIND(",",VLOOKUP($BS107,[2]Sheet1!$A:$C,3,0))-4))</f>
        <v>#N/A</v>
      </c>
      <c r="BV107" s="33" t="str">
        <f>IF(ISERROR(MID(VLOOKUP($BS107,[2]Sheet1!$A:$D,4,0),3,IF(ISERROR(FIND(",",VLOOKUP($BS107,[2]Sheet1!$A:$D,4,0))),LEN(VLOOKUP($BS107,[2]Sheet1!$A:$D,4,0))-4,FIND(",",VLOOKUP($BS107,[2]Sheet1!$A:$D,4,0))-4))),"[]",MID(VLOOKUP($BS107,[2]Sheet1!$A:$D,4,0),3,IF(ISERROR(FIND(",",VLOOKUP($BS107,[2]Sheet1!$A:$D,4,0))),LEN(VLOOKUP($BS107,[2]Sheet1!$A:$D,4,0))-4,FIND(",",VLOOKUP($BS107,[2]Sheet1!$A:$D,4,0))-4)))</f>
        <v>[]</v>
      </c>
      <c r="BW107" s="33" t="str">
        <f t="shared" si="3"/>
        <v>3-6</v>
      </c>
    </row>
    <row r="108" spans="1:75" s="33" customFormat="1">
      <c r="A108" s="33">
        <v>2018</v>
      </c>
      <c r="B108" s="33" t="s">
        <v>577</v>
      </c>
      <c r="C108" s="33" t="s">
        <v>604</v>
      </c>
      <c r="D108" s="33">
        <v>1</v>
      </c>
      <c r="E108" s="33">
        <v>4</v>
      </c>
      <c r="F108" s="33">
        <v>3</v>
      </c>
      <c r="G108" s="33">
        <v>3</v>
      </c>
      <c r="H108" s="33" t="s">
        <v>1122</v>
      </c>
      <c r="I108" s="33">
        <v>150</v>
      </c>
      <c r="J108" s="33" t="s">
        <v>578</v>
      </c>
      <c r="K108" s="33">
        <v>10</v>
      </c>
      <c r="L108" s="33" t="s">
        <v>782</v>
      </c>
      <c r="M108" s="33" t="s">
        <v>779</v>
      </c>
      <c r="N108" s="33" t="s">
        <v>341</v>
      </c>
      <c r="O108" s="33" t="s">
        <v>78</v>
      </c>
      <c r="P108" s="33" t="s">
        <v>395</v>
      </c>
      <c r="Q108" s="33">
        <v>1</v>
      </c>
      <c r="R108" s="33" t="s">
        <v>21</v>
      </c>
      <c r="S108" s="33" t="s">
        <v>21</v>
      </c>
      <c r="T108" s="33" t="s">
        <v>21</v>
      </c>
      <c r="U108" s="33">
        <v>2</v>
      </c>
      <c r="V108" s="33">
        <v>6</v>
      </c>
      <c r="W108" s="33">
        <f>VLOOKUP(F108,Sheet3!$B$33:$E$37,3,0)</f>
        <v>5</v>
      </c>
      <c r="X108" s="33">
        <f>VLOOKUP(F108,Sheet3!$B$33:$E$37,2,0)</f>
        <v>15</v>
      </c>
      <c r="Y108" s="33">
        <f>VLOOKUP(F108,Sheet3!$B$33:$E$37,4,0)</f>
        <v>8</v>
      </c>
      <c r="Z108" s="33">
        <v>1</v>
      </c>
      <c r="AA108" s="97">
        <v>0</v>
      </c>
      <c r="AB108" s="97">
        <v>0</v>
      </c>
      <c r="AC108" s="35">
        <v>3000</v>
      </c>
      <c r="AD108" s="35">
        <v>120</v>
      </c>
      <c r="AE108" s="35">
        <v>60</v>
      </c>
      <c r="AF108" s="35">
        <v>60</v>
      </c>
      <c r="AG108" s="33">
        <v>1</v>
      </c>
      <c r="AH108" s="33">
        <v>0</v>
      </c>
      <c r="AI108" s="33">
        <v>0</v>
      </c>
      <c r="AJ108" s="33">
        <v>0</v>
      </c>
      <c r="AK108" s="33">
        <v>0</v>
      </c>
      <c r="AL108" s="33">
        <v>0</v>
      </c>
      <c r="AM108" s="33">
        <v>1</v>
      </c>
      <c r="AN108" s="97">
        <v>0</v>
      </c>
      <c r="AO108" s="97">
        <v>0</v>
      </c>
      <c r="AP108" s="35">
        <v>300</v>
      </c>
      <c r="AQ108" s="35">
        <v>12</v>
      </c>
      <c r="AR108" s="35">
        <v>6</v>
      </c>
      <c r="AS108" s="35">
        <v>6</v>
      </c>
      <c r="AT108" s="33">
        <v>0</v>
      </c>
      <c r="AU108" s="33">
        <v>0</v>
      </c>
      <c r="AV108" s="33">
        <v>0</v>
      </c>
      <c r="AW108" s="33">
        <v>0</v>
      </c>
      <c r="AX108" s="35" t="s">
        <v>1105</v>
      </c>
      <c r="AY108" s="33">
        <v>6</v>
      </c>
      <c r="AZ108" s="34" t="s">
        <v>731</v>
      </c>
      <c r="BA108" s="33" t="s">
        <v>224</v>
      </c>
      <c r="BB108" s="33">
        <v>50</v>
      </c>
      <c r="BC108" s="107" t="s">
        <v>21</v>
      </c>
      <c r="BD108" s="35" t="s">
        <v>21</v>
      </c>
      <c r="BE108" s="94" t="s">
        <v>21</v>
      </c>
      <c r="BF108" s="33">
        <v>40</v>
      </c>
      <c r="BG108" s="97">
        <v>2000</v>
      </c>
      <c r="BH108" s="97">
        <v>400</v>
      </c>
      <c r="BI108" s="33">
        <v>10918</v>
      </c>
      <c r="BJ108" s="33" t="s">
        <v>21</v>
      </c>
      <c r="BK108" s="33">
        <v>0</v>
      </c>
      <c r="BL108" s="33">
        <f>VLOOKUP(F108,Sheet3!$B$33:$F$37,5,0)</f>
        <v>50000</v>
      </c>
      <c r="BM108" s="33">
        <v>1.5</v>
      </c>
      <c r="BN108" s="69">
        <v>100</v>
      </c>
      <c r="BO108" s="68" t="s">
        <v>776</v>
      </c>
      <c r="BP108" s="68">
        <v>2018</v>
      </c>
      <c r="BQ108" s="33" t="s">
        <v>21</v>
      </c>
      <c r="BR108" s="33" t="s">
        <v>21</v>
      </c>
      <c r="BS108" s="33" t="e">
        <f>INT(MID(VLOOKUP($BO108,[1]Sheet1!$A:$C,3,0),9,5))</f>
        <v>#N/A</v>
      </c>
      <c r="BT108" s="33" t="str">
        <f t="shared" si="4"/>
        <v>tianjiang</v>
      </c>
      <c r="BU108" s="33" t="e">
        <f>MID(VLOOKUP($BS108,[2]Sheet1!$A:$C,3,0),3,IF(ISERROR(FIND(",",VLOOKUP($BS108,[2]Sheet1!$A:$C,3,0))),LEN(VLOOKUP($BS108,[2]Sheet1!$A:$C,3,0))-4,FIND(",",VLOOKUP($BS108,[2]Sheet1!$A:$C,3,0))-4))</f>
        <v>#N/A</v>
      </c>
      <c r="BV108" s="33" t="str">
        <f>IF(ISERROR(MID(VLOOKUP($BS108,[2]Sheet1!$A:$D,4,0),3,IF(ISERROR(FIND(",",VLOOKUP($BS108,[2]Sheet1!$A:$D,4,0))),LEN(VLOOKUP($BS108,[2]Sheet1!$A:$D,4,0))-4,FIND(",",VLOOKUP($BS108,[2]Sheet1!$A:$D,4,0))-4))),"[]",MID(VLOOKUP($BS108,[2]Sheet1!$A:$D,4,0),3,IF(ISERROR(FIND(",",VLOOKUP($BS108,[2]Sheet1!$A:$D,4,0))),LEN(VLOOKUP($BS108,[2]Sheet1!$A:$D,4,0))-4,FIND(",",VLOOKUP($BS108,[2]Sheet1!$A:$D,4,0))-4)))</f>
        <v>[]</v>
      </c>
      <c r="BW108" s="33" t="str">
        <f t="shared" si="3"/>
        <v>3-6</v>
      </c>
    </row>
    <row r="109" spans="1:75" s="62" customFormat="1" ht="16.5" customHeight="1">
      <c r="A109" s="44">
        <v>1220</v>
      </c>
      <c r="B109" s="44" t="s">
        <v>448</v>
      </c>
      <c r="C109" s="44" t="s">
        <v>317</v>
      </c>
      <c r="D109" s="44">
        <v>1</v>
      </c>
      <c r="E109" s="44">
        <v>4</v>
      </c>
      <c r="F109" s="44">
        <v>2</v>
      </c>
      <c r="G109" s="44">
        <v>2</v>
      </c>
      <c r="H109" s="44" t="s">
        <v>1124</v>
      </c>
      <c r="I109" s="44">
        <v>150</v>
      </c>
      <c r="J109" s="44" t="s">
        <v>148</v>
      </c>
      <c r="K109" s="44">
        <v>10</v>
      </c>
      <c r="L109" s="44" t="s">
        <v>149</v>
      </c>
      <c r="M109" s="33" t="s">
        <v>779</v>
      </c>
      <c r="N109" s="33" t="s">
        <v>121</v>
      </c>
      <c r="O109" s="44" t="s">
        <v>40</v>
      </c>
      <c r="P109" s="44" t="s">
        <v>370</v>
      </c>
      <c r="Q109" s="44">
        <v>1</v>
      </c>
      <c r="R109" s="44" t="s">
        <v>21</v>
      </c>
      <c r="S109" s="44" t="s">
        <v>21</v>
      </c>
      <c r="T109" s="44" t="s">
        <v>21</v>
      </c>
      <c r="U109" s="44">
        <v>6</v>
      </c>
      <c r="V109" s="44">
        <v>20</v>
      </c>
      <c r="W109" s="44">
        <v>12</v>
      </c>
      <c r="X109" s="44">
        <v>14</v>
      </c>
      <c r="Y109" s="44">
        <v>8</v>
      </c>
      <c r="Z109" s="44">
        <v>0.8</v>
      </c>
      <c r="AA109" s="99">
        <v>0</v>
      </c>
      <c r="AB109" s="99">
        <v>0</v>
      </c>
      <c r="AC109" s="35">
        <v>20000</v>
      </c>
      <c r="AD109" s="35">
        <v>800</v>
      </c>
      <c r="AE109" s="35">
        <v>400</v>
      </c>
      <c r="AF109" s="35">
        <v>400</v>
      </c>
      <c r="AG109" s="44">
        <v>1</v>
      </c>
      <c r="AH109" s="44">
        <v>0</v>
      </c>
      <c r="AI109" s="44">
        <v>0</v>
      </c>
      <c r="AJ109" s="44">
        <v>0</v>
      </c>
      <c r="AK109" s="44">
        <v>0</v>
      </c>
      <c r="AL109" s="44">
        <v>0</v>
      </c>
      <c r="AM109" s="33">
        <v>1</v>
      </c>
      <c r="AN109" s="99">
        <v>0</v>
      </c>
      <c r="AO109" s="99">
        <v>0</v>
      </c>
      <c r="AP109" s="35">
        <v>1500</v>
      </c>
      <c r="AQ109" s="35">
        <v>60</v>
      </c>
      <c r="AR109" s="35">
        <v>30</v>
      </c>
      <c r="AS109" s="35">
        <v>30</v>
      </c>
      <c r="AT109" s="44">
        <v>0</v>
      </c>
      <c r="AU109" s="44">
        <v>0</v>
      </c>
      <c r="AV109" s="44">
        <v>0</v>
      </c>
      <c r="AW109" s="44">
        <v>0</v>
      </c>
      <c r="AX109" s="110" t="s">
        <v>1098</v>
      </c>
      <c r="AY109" s="46">
        <v>10</v>
      </c>
      <c r="AZ109" s="47" t="s">
        <v>21</v>
      </c>
      <c r="BA109" s="44" t="s">
        <v>222</v>
      </c>
      <c r="BB109" s="44">
        <v>50</v>
      </c>
      <c r="BC109" s="107" t="s">
        <v>21</v>
      </c>
      <c r="BD109" s="35" t="s">
        <v>21</v>
      </c>
      <c r="BE109" s="94" t="s">
        <v>21</v>
      </c>
      <c r="BF109" s="44">
        <v>3000</v>
      </c>
      <c r="BG109" s="99">
        <v>20000</v>
      </c>
      <c r="BH109" s="99">
        <v>4000</v>
      </c>
      <c r="BI109" s="33">
        <v>10120</v>
      </c>
      <c r="BJ109" s="44" t="s">
        <v>21</v>
      </c>
      <c r="BK109" s="44">
        <v>0</v>
      </c>
      <c r="BL109" s="44">
        <v>6000</v>
      </c>
      <c r="BM109" s="44">
        <v>1</v>
      </c>
      <c r="BN109" s="76">
        <v>102</v>
      </c>
      <c r="BO109" s="68" t="s">
        <v>776</v>
      </c>
      <c r="BP109" s="68">
        <v>1220</v>
      </c>
      <c r="BQ109" s="44" t="s">
        <v>21</v>
      </c>
      <c r="BR109" s="44" t="s">
        <v>21</v>
      </c>
      <c r="BS109" s="68" t="e">
        <f>INT(MID(VLOOKUP($BO109,[1]Sheet1!$A:$C,3,0),9,5))</f>
        <v>#N/A</v>
      </c>
      <c r="BT109" s="68" t="str">
        <f t="shared" si="4"/>
        <v>jiaye</v>
      </c>
      <c r="BU109" s="68" t="e">
        <f>MID(VLOOKUP($BS109,[2]Sheet1!$A:$C,3,0),3,IF(ISERROR(FIND(",",VLOOKUP($BS109,[2]Sheet1!$A:$C,3,0))),LEN(VLOOKUP($BS109,[2]Sheet1!$A:$C,3,0))-4,FIND(",",VLOOKUP($BS109,[2]Sheet1!$A:$C,3,0))-4))</f>
        <v>#N/A</v>
      </c>
      <c r="BV109" s="68" t="str">
        <f>IF(ISERROR(MID(VLOOKUP($BS109,[2]Sheet1!$A:$D,4,0),3,IF(ISERROR(FIND(",",VLOOKUP($BS109,[2]Sheet1!$A:$D,4,0))),LEN(VLOOKUP($BS109,[2]Sheet1!$A:$D,4,0))-4,FIND(",",VLOOKUP($BS109,[2]Sheet1!$A:$D,4,0))-4))),"[]",MID(VLOOKUP($BS109,[2]Sheet1!$A:$D,4,0),3,IF(ISERROR(FIND(",",VLOOKUP($BS109,[2]Sheet1!$A:$D,4,0))),LEN(VLOOKUP($BS109,[2]Sheet1!$A:$D,4,0))-4,FIND(",",VLOOKUP($BS109,[2]Sheet1!$A:$D,4,0))-4)))</f>
        <v>[]</v>
      </c>
      <c r="BW109" s="68" t="str">
        <f t="shared" si="3"/>
        <v>2-20</v>
      </c>
    </row>
    <row r="110" spans="1:75" s="62" customFormat="1" ht="16.5" customHeight="1">
      <c r="A110" s="44">
        <v>1221</v>
      </c>
      <c r="B110" s="44" t="s">
        <v>586</v>
      </c>
      <c r="C110" s="44" t="s">
        <v>317</v>
      </c>
      <c r="D110" s="44">
        <v>1</v>
      </c>
      <c r="E110" s="44">
        <v>4</v>
      </c>
      <c r="F110" s="44">
        <v>2</v>
      </c>
      <c r="G110" s="44">
        <v>2</v>
      </c>
      <c r="H110" s="44" t="s">
        <v>1124</v>
      </c>
      <c r="I110" s="44">
        <v>150</v>
      </c>
      <c r="J110" s="44" t="s">
        <v>148</v>
      </c>
      <c r="K110" s="44">
        <v>10</v>
      </c>
      <c r="L110" s="44" t="s">
        <v>149</v>
      </c>
      <c r="M110" s="33" t="s">
        <v>779</v>
      </c>
      <c r="N110" s="33" t="s">
        <v>121</v>
      </c>
      <c r="O110" s="44" t="s">
        <v>40</v>
      </c>
      <c r="P110" s="44" t="s">
        <v>370</v>
      </c>
      <c r="Q110" s="44">
        <v>1</v>
      </c>
      <c r="R110" s="44" t="s">
        <v>21</v>
      </c>
      <c r="S110" s="44" t="s">
        <v>21</v>
      </c>
      <c r="T110" s="44" t="s">
        <v>21</v>
      </c>
      <c r="U110" s="44">
        <v>6</v>
      </c>
      <c r="V110" s="44">
        <v>20</v>
      </c>
      <c r="W110" s="44">
        <v>12</v>
      </c>
      <c r="X110" s="44">
        <v>14</v>
      </c>
      <c r="Y110" s="44">
        <v>8</v>
      </c>
      <c r="Z110" s="44">
        <v>0.8</v>
      </c>
      <c r="AA110" s="99">
        <v>0</v>
      </c>
      <c r="AB110" s="99">
        <v>0</v>
      </c>
      <c r="AC110" s="35">
        <v>20000</v>
      </c>
      <c r="AD110" s="35">
        <v>800</v>
      </c>
      <c r="AE110" s="35">
        <v>400</v>
      </c>
      <c r="AF110" s="35">
        <v>400</v>
      </c>
      <c r="AG110" s="44">
        <v>1</v>
      </c>
      <c r="AH110" s="44">
        <v>0</v>
      </c>
      <c r="AI110" s="44">
        <v>0</v>
      </c>
      <c r="AJ110" s="44">
        <v>0</v>
      </c>
      <c r="AK110" s="44">
        <v>0</v>
      </c>
      <c r="AL110" s="44">
        <v>0</v>
      </c>
      <c r="AM110" s="33">
        <v>1</v>
      </c>
      <c r="AN110" s="99">
        <v>0</v>
      </c>
      <c r="AO110" s="99">
        <v>0</v>
      </c>
      <c r="AP110" s="35">
        <v>1500</v>
      </c>
      <c r="AQ110" s="35">
        <v>60</v>
      </c>
      <c r="AR110" s="35">
        <v>30</v>
      </c>
      <c r="AS110" s="35">
        <v>30</v>
      </c>
      <c r="AT110" s="44">
        <v>0</v>
      </c>
      <c r="AU110" s="44">
        <v>0</v>
      </c>
      <c r="AV110" s="44">
        <v>0</v>
      </c>
      <c r="AW110" s="44">
        <v>0</v>
      </c>
      <c r="AX110" s="110" t="s">
        <v>1098</v>
      </c>
      <c r="AY110" s="46">
        <v>10</v>
      </c>
      <c r="AZ110" s="47" t="s">
        <v>21</v>
      </c>
      <c r="BA110" s="44" t="s">
        <v>222</v>
      </c>
      <c r="BB110" s="44">
        <v>50</v>
      </c>
      <c r="BC110" s="107" t="s">
        <v>21</v>
      </c>
      <c r="BD110" s="35" t="s">
        <v>21</v>
      </c>
      <c r="BE110" s="94" t="s">
        <v>21</v>
      </c>
      <c r="BF110" s="44">
        <v>3000</v>
      </c>
      <c r="BG110" s="99">
        <v>20000</v>
      </c>
      <c r="BH110" s="99">
        <v>4000</v>
      </c>
      <c r="BI110" s="33">
        <v>10121</v>
      </c>
      <c r="BJ110" s="44" t="s">
        <v>21</v>
      </c>
      <c r="BK110" s="44">
        <v>0</v>
      </c>
      <c r="BL110" s="44">
        <v>6000</v>
      </c>
      <c r="BM110" s="44">
        <v>1</v>
      </c>
      <c r="BN110" s="76">
        <v>102</v>
      </c>
      <c r="BO110" s="68" t="s">
        <v>776</v>
      </c>
      <c r="BP110" s="68">
        <v>1221</v>
      </c>
      <c r="BQ110" s="44" t="s">
        <v>21</v>
      </c>
      <c r="BR110" s="44" t="s">
        <v>21</v>
      </c>
      <c r="BS110" s="68" t="e">
        <f>INT(MID(VLOOKUP($BO110,[1]Sheet1!$A:$C,3,0),9,5))</f>
        <v>#N/A</v>
      </c>
      <c r="BT110" s="68" t="str">
        <f t="shared" si="4"/>
        <v>jiaye</v>
      </c>
      <c r="BU110" s="68" t="e">
        <f>MID(VLOOKUP($BS110,[2]Sheet1!$A:$C,3,0),3,IF(ISERROR(FIND(",",VLOOKUP($BS110,[2]Sheet1!$A:$C,3,0))),LEN(VLOOKUP($BS110,[2]Sheet1!$A:$C,3,0))-4,FIND(",",VLOOKUP($BS110,[2]Sheet1!$A:$C,3,0))-4))</f>
        <v>#N/A</v>
      </c>
      <c r="BV110" s="68" t="str">
        <f>IF(ISERROR(MID(VLOOKUP($BS110,[2]Sheet1!$A:$D,4,0),3,IF(ISERROR(FIND(",",VLOOKUP($BS110,[2]Sheet1!$A:$D,4,0))),LEN(VLOOKUP($BS110,[2]Sheet1!$A:$D,4,0))-4,FIND(",",VLOOKUP($BS110,[2]Sheet1!$A:$D,4,0))-4))),"[]",MID(VLOOKUP($BS110,[2]Sheet1!$A:$D,4,0),3,IF(ISERROR(FIND(",",VLOOKUP($BS110,[2]Sheet1!$A:$D,4,0))),LEN(VLOOKUP($BS110,[2]Sheet1!$A:$D,4,0))-4,FIND(",",VLOOKUP($BS110,[2]Sheet1!$A:$D,4,0))-4)))</f>
        <v>[]</v>
      </c>
      <c r="BW110" s="68" t="str">
        <f t="shared" si="3"/>
        <v>2-20</v>
      </c>
    </row>
    <row r="111" spans="1:75" s="62" customFormat="1" ht="16.5" customHeight="1">
      <c r="A111" s="44">
        <v>1222</v>
      </c>
      <c r="B111" s="44" t="s">
        <v>449</v>
      </c>
      <c r="C111" s="44" t="s">
        <v>317</v>
      </c>
      <c r="D111" s="44">
        <v>1</v>
      </c>
      <c r="E111" s="44">
        <v>4</v>
      </c>
      <c r="F111" s="44">
        <v>2</v>
      </c>
      <c r="G111" s="44">
        <v>2</v>
      </c>
      <c r="H111" s="44" t="s">
        <v>1124</v>
      </c>
      <c r="I111" s="44">
        <v>150</v>
      </c>
      <c r="J111" s="44" t="s">
        <v>148</v>
      </c>
      <c r="K111" s="44">
        <v>10</v>
      </c>
      <c r="L111" s="44" t="s">
        <v>149</v>
      </c>
      <c r="M111" s="33" t="s">
        <v>779</v>
      </c>
      <c r="N111" s="33" t="s">
        <v>121</v>
      </c>
      <c r="O111" s="44" t="s">
        <v>40</v>
      </c>
      <c r="P111" s="44" t="s">
        <v>370</v>
      </c>
      <c r="Q111" s="44">
        <v>1</v>
      </c>
      <c r="R111" s="44" t="s">
        <v>21</v>
      </c>
      <c r="S111" s="44" t="s">
        <v>21</v>
      </c>
      <c r="T111" s="44" t="s">
        <v>21</v>
      </c>
      <c r="U111" s="44">
        <v>6</v>
      </c>
      <c r="V111" s="44">
        <v>20</v>
      </c>
      <c r="W111" s="44">
        <v>12</v>
      </c>
      <c r="X111" s="44">
        <v>14</v>
      </c>
      <c r="Y111" s="44">
        <v>8</v>
      </c>
      <c r="Z111" s="44">
        <v>0.8</v>
      </c>
      <c r="AA111" s="99">
        <v>0</v>
      </c>
      <c r="AB111" s="99">
        <v>0</v>
      </c>
      <c r="AC111" s="35">
        <v>20000</v>
      </c>
      <c r="AD111" s="35">
        <v>800</v>
      </c>
      <c r="AE111" s="35">
        <v>400</v>
      </c>
      <c r="AF111" s="35">
        <v>400</v>
      </c>
      <c r="AG111" s="44">
        <v>1</v>
      </c>
      <c r="AH111" s="44">
        <v>0</v>
      </c>
      <c r="AI111" s="44">
        <v>0</v>
      </c>
      <c r="AJ111" s="44">
        <v>0</v>
      </c>
      <c r="AK111" s="44">
        <v>0</v>
      </c>
      <c r="AL111" s="44">
        <v>0</v>
      </c>
      <c r="AM111" s="33">
        <v>1</v>
      </c>
      <c r="AN111" s="99">
        <v>0</v>
      </c>
      <c r="AO111" s="99">
        <v>0</v>
      </c>
      <c r="AP111" s="35">
        <v>1500</v>
      </c>
      <c r="AQ111" s="35">
        <v>60</v>
      </c>
      <c r="AR111" s="35">
        <v>30</v>
      </c>
      <c r="AS111" s="35">
        <v>30</v>
      </c>
      <c r="AT111" s="44">
        <v>0</v>
      </c>
      <c r="AU111" s="44">
        <v>0</v>
      </c>
      <c r="AV111" s="44">
        <v>0</v>
      </c>
      <c r="AW111" s="44">
        <v>0</v>
      </c>
      <c r="AX111" s="110" t="s">
        <v>1098</v>
      </c>
      <c r="AY111" s="46">
        <v>10</v>
      </c>
      <c r="AZ111" s="47" t="s">
        <v>21</v>
      </c>
      <c r="BA111" s="44" t="s">
        <v>222</v>
      </c>
      <c r="BB111" s="44">
        <v>50</v>
      </c>
      <c r="BC111" s="107" t="s">
        <v>21</v>
      </c>
      <c r="BD111" s="35" t="s">
        <v>21</v>
      </c>
      <c r="BE111" s="94" t="s">
        <v>21</v>
      </c>
      <c r="BF111" s="44">
        <v>3000</v>
      </c>
      <c r="BG111" s="99">
        <v>20000</v>
      </c>
      <c r="BH111" s="99">
        <v>4000</v>
      </c>
      <c r="BI111" s="33">
        <v>10122</v>
      </c>
      <c r="BJ111" s="44" t="s">
        <v>21</v>
      </c>
      <c r="BK111" s="44">
        <v>0</v>
      </c>
      <c r="BL111" s="44">
        <v>6000</v>
      </c>
      <c r="BM111" s="44">
        <v>1</v>
      </c>
      <c r="BN111" s="76">
        <v>102</v>
      </c>
      <c r="BO111" s="68" t="s">
        <v>776</v>
      </c>
      <c r="BP111" s="68">
        <v>1222</v>
      </c>
      <c r="BQ111" s="44" t="s">
        <v>21</v>
      </c>
      <c r="BR111" s="44" t="s">
        <v>21</v>
      </c>
      <c r="BS111" s="68" t="e">
        <f>INT(MID(VLOOKUP($BO111,[1]Sheet1!$A:$C,3,0),9,5))</f>
        <v>#N/A</v>
      </c>
      <c r="BT111" s="68" t="str">
        <f t="shared" si="4"/>
        <v>jiaye</v>
      </c>
      <c r="BU111" s="68" t="e">
        <f>MID(VLOOKUP($BS111,[2]Sheet1!$A:$C,3,0),3,IF(ISERROR(FIND(",",VLOOKUP($BS111,[2]Sheet1!$A:$C,3,0))),LEN(VLOOKUP($BS111,[2]Sheet1!$A:$C,3,0))-4,FIND(",",VLOOKUP($BS111,[2]Sheet1!$A:$C,3,0))-4))</f>
        <v>#N/A</v>
      </c>
      <c r="BV111" s="68" t="str">
        <f>IF(ISERROR(MID(VLOOKUP($BS111,[2]Sheet1!$A:$D,4,0),3,IF(ISERROR(FIND(",",VLOOKUP($BS111,[2]Sheet1!$A:$D,4,0))),LEN(VLOOKUP($BS111,[2]Sheet1!$A:$D,4,0))-4,FIND(",",VLOOKUP($BS111,[2]Sheet1!$A:$D,4,0))-4))),"[]",MID(VLOOKUP($BS111,[2]Sheet1!$A:$D,4,0),3,IF(ISERROR(FIND(",",VLOOKUP($BS111,[2]Sheet1!$A:$D,4,0))),LEN(VLOOKUP($BS111,[2]Sheet1!$A:$D,4,0))-4,FIND(",",VLOOKUP($BS111,[2]Sheet1!$A:$D,4,0))-4)))</f>
        <v>[]</v>
      </c>
      <c r="BW111" s="68" t="str">
        <f t="shared" si="3"/>
        <v>2-20</v>
      </c>
    </row>
    <row r="112" spans="1:75" s="62" customFormat="1" ht="16.5" customHeight="1">
      <c r="A112" s="37">
        <v>1223</v>
      </c>
      <c r="B112" s="37" t="s">
        <v>451</v>
      </c>
      <c r="C112" s="37" t="s">
        <v>21</v>
      </c>
      <c r="D112" s="37">
        <v>1</v>
      </c>
      <c r="E112" s="37">
        <v>4</v>
      </c>
      <c r="F112" s="37">
        <v>5</v>
      </c>
      <c r="G112" s="37">
        <v>2</v>
      </c>
      <c r="H112" s="37" t="s">
        <v>1124</v>
      </c>
      <c r="I112" s="37">
        <v>150</v>
      </c>
      <c r="J112" s="37" t="s">
        <v>83</v>
      </c>
      <c r="K112" s="37">
        <v>10</v>
      </c>
      <c r="L112" s="37" t="s">
        <v>452</v>
      </c>
      <c r="M112" s="33" t="s">
        <v>779</v>
      </c>
      <c r="N112" s="45" t="s">
        <v>605</v>
      </c>
      <c r="O112" s="33" t="s">
        <v>40</v>
      </c>
      <c r="P112" s="45" t="s">
        <v>606</v>
      </c>
      <c r="Q112" s="45">
        <v>1</v>
      </c>
      <c r="R112" s="37" t="s">
        <v>21</v>
      </c>
      <c r="S112" s="37" t="s">
        <v>21</v>
      </c>
      <c r="T112" s="37" t="s">
        <v>21</v>
      </c>
      <c r="U112" s="37">
        <v>6</v>
      </c>
      <c r="V112" s="37">
        <v>20</v>
      </c>
      <c r="W112" s="37">
        <v>11</v>
      </c>
      <c r="X112" s="37">
        <v>14</v>
      </c>
      <c r="Y112" s="37">
        <v>8</v>
      </c>
      <c r="Z112" s="37">
        <v>0.8</v>
      </c>
      <c r="AA112" s="98">
        <v>0</v>
      </c>
      <c r="AB112" s="98">
        <v>0</v>
      </c>
      <c r="AC112" s="35">
        <v>20000</v>
      </c>
      <c r="AD112" s="35">
        <v>800</v>
      </c>
      <c r="AE112" s="35">
        <v>400</v>
      </c>
      <c r="AF112" s="35">
        <v>400</v>
      </c>
      <c r="AG112" s="37">
        <v>1</v>
      </c>
      <c r="AH112" s="37">
        <v>0</v>
      </c>
      <c r="AI112" s="37">
        <v>0</v>
      </c>
      <c r="AJ112" s="37">
        <v>0</v>
      </c>
      <c r="AK112" s="37">
        <v>0</v>
      </c>
      <c r="AL112" s="37">
        <v>0</v>
      </c>
      <c r="AM112" s="33">
        <v>1</v>
      </c>
      <c r="AN112" s="98">
        <v>0</v>
      </c>
      <c r="AO112" s="98">
        <v>0</v>
      </c>
      <c r="AP112" s="35">
        <v>1500</v>
      </c>
      <c r="AQ112" s="35">
        <v>60</v>
      </c>
      <c r="AR112" s="35">
        <v>30</v>
      </c>
      <c r="AS112" s="35">
        <v>30</v>
      </c>
      <c r="AT112" s="37">
        <v>0</v>
      </c>
      <c r="AU112" s="37">
        <v>0</v>
      </c>
      <c r="AV112" s="37">
        <v>0</v>
      </c>
      <c r="AW112" s="37">
        <v>0</v>
      </c>
      <c r="AX112" s="35" t="s">
        <v>1098</v>
      </c>
      <c r="AY112" s="37">
        <v>10</v>
      </c>
      <c r="AZ112" s="34" t="s">
        <v>21</v>
      </c>
      <c r="BA112" s="37" t="s">
        <v>223</v>
      </c>
      <c r="BB112" s="37">
        <v>50</v>
      </c>
      <c r="BC112" s="107" t="s">
        <v>21</v>
      </c>
      <c r="BD112" s="35" t="s">
        <v>21</v>
      </c>
      <c r="BE112" s="94" t="s">
        <v>21</v>
      </c>
      <c r="BF112" s="37">
        <v>3000</v>
      </c>
      <c r="BG112" s="98" t="s">
        <v>81</v>
      </c>
      <c r="BH112" s="98" t="s">
        <v>81</v>
      </c>
      <c r="BI112" s="33">
        <v>10123</v>
      </c>
      <c r="BJ112" s="37" t="s">
        <v>21</v>
      </c>
      <c r="BK112" s="37">
        <v>0</v>
      </c>
      <c r="BL112" s="33">
        <v>1000</v>
      </c>
      <c r="BM112" s="33">
        <v>0</v>
      </c>
      <c r="BN112" s="75">
        <v>102</v>
      </c>
      <c r="BO112" s="68" t="s">
        <v>776</v>
      </c>
      <c r="BP112" s="68">
        <v>1223</v>
      </c>
      <c r="BQ112" s="37" t="s">
        <v>21</v>
      </c>
      <c r="BR112" s="37" t="s">
        <v>21</v>
      </c>
      <c r="BS112" s="68" t="e">
        <f>INT(MID(VLOOKUP($BO112,[1]Sheet1!$A:$C,3,0),9,5))</f>
        <v>#N/A</v>
      </c>
      <c r="BT112" s="68" t="str">
        <f t="shared" si="4"/>
        <v>kongquedamingwang</v>
      </c>
      <c r="BU112" s="68" t="e">
        <f>MID(VLOOKUP($BS112,[2]Sheet1!$A:$C,3,0),3,IF(ISERROR(FIND(",",VLOOKUP($BS112,[2]Sheet1!$A:$C,3,0))),LEN(VLOOKUP($BS112,[2]Sheet1!$A:$C,3,0))-4,FIND(",",VLOOKUP($BS112,[2]Sheet1!$A:$C,3,0))-4))</f>
        <v>#N/A</v>
      </c>
      <c r="BV112" s="68" t="str">
        <f>IF(ISERROR(MID(VLOOKUP($BS112,[2]Sheet1!$A:$D,4,0),3,IF(ISERROR(FIND(",",VLOOKUP($BS112,[2]Sheet1!$A:$D,4,0))),LEN(VLOOKUP($BS112,[2]Sheet1!$A:$D,4,0))-4,FIND(",",VLOOKUP($BS112,[2]Sheet1!$A:$D,4,0))-4))),"[]",MID(VLOOKUP($BS112,[2]Sheet1!$A:$D,4,0),3,IF(ISERROR(FIND(",",VLOOKUP($BS112,[2]Sheet1!$A:$D,4,0))),LEN(VLOOKUP($BS112,[2]Sheet1!$A:$D,4,0))-4,FIND(",",VLOOKUP($BS112,[2]Sheet1!$A:$D,4,0))-4)))</f>
        <v>[]</v>
      </c>
      <c r="BW112" s="68" t="str">
        <f t="shared" si="3"/>
        <v>2-20</v>
      </c>
    </row>
    <row r="113" spans="1:84" s="62" customFormat="1" ht="16.5" customHeight="1">
      <c r="A113" s="44">
        <v>1224</v>
      </c>
      <c r="B113" s="44" t="s">
        <v>1135</v>
      </c>
      <c r="C113" s="44" t="s">
        <v>317</v>
      </c>
      <c r="D113" s="44">
        <v>1</v>
      </c>
      <c r="E113" s="44">
        <v>4</v>
      </c>
      <c r="F113" s="44">
        <v>2</v>
      </c>
      <c r="G113" s="44">
        <v>2</v>
      </c>
      <c r="H113" s="44" t="s">
        <v>1124</v>
      </c>
      <c r="I113" s="44">
        <v>150</v>
      </c>
      <c r="J113" s="44" t="s">
        <v>148</v>
      </c>
      <c r="K113" s="44">
        <v>10</v>
      </c>
      <c r="L113" s="44" t="s">
        <v>149</v>
      </c>
      <c r="M113" s="33" t="s">
        <v>779</v>
      </c>
      <c r="N113" s="33" t="s">
        <v>121</v>
      </c>
      <c r="O113" s="44" t="s">
        <v>40</v>
      </c>
      <c r="P113" s="44" t="s">
        <v>370</v>
      </c>
      <c r="Q113" s="44">
        <v>1</v>
      </c>
      <c r="R113" s="44" t="s">
        <v>21</v>
      </c>
      <c r="S113" s="44" t="s">
        <v>21</v>
      </c>
      <c r="T113" s="44" t="s">
        <v>21</v>
      </c>
      <c r="U113" s="44">
        <v>5</v>
      </c>
      <c r="V113" s="44">
        <v>16</v>
      </c>
      <c r="W113" s="44">
        <v>12</v>
      </c>
      <c r="X113" s="44">
        <v>14</v>
      </c>
      <c r="Y113" s="44">
        <v>8</v>
      </c>
      <c r="Z113" s="44">
        <v>0.8</v>
      </c>
      <c r="AA113" s="99">
        <v>0</v>
      </c>
      <c r="AB113" s="99">
        <v>0</v>
      </c>
      <c r="AC113" s="35">
        <v>12500</v>
      </c>
      <c r="AD113" s="35">
        <v>500</v>
      </c>
      <c r="AE113" s="35">
        <v>250</v>
      </c>
      <c r="AF113" s="35">
        <v>250</v>
      </c>
      <c r="AG113" s="44">
        <v>1</v>
      </c>
      <c r="AH113" s="44">
        <v>0</v>
      </c>
      <c r="AI113" s="44">
        <v>0</v>
      </c>
      <c r="AJ113" s="44">
        <v>0</v>
      </c>
      <c r="AK113" s="44">
        <v>0</v>
      </c>
      <c r="AL113" s="44">
        <v>0</v>
      </c>
      <c r="AM113" s="33">
        <v>1</v>
      </c>
      <c r="AN113" s="99">
        <v>0</v>
      </c>
      <c r="AO113" s="99">
        <v>0</v>
      </c>
      <c r="AP113" s="35">
        <v>750</v>
      </c>
      <c r="AQ113" s="35">
        <v>30</v>
      </c>
      <c r="AR113" s="35">
        <v>15</v>
      </c>
      <c r="AS113" s="35">
        <v>15</v>
      </c>
      <c r="AT113" s="44">
        <v>0</v>
      </c>
      <c r="AU113" s="44">
        <v>0</v>
      </c>
      <c r="AV113" s="44">
        <v>0</v>
      </c>
      <c r="AW113" s="44">
        <v>0</v>
      </c>
      <c r="AX113" s="110" t="s">
        <v>1099</v>
      </c>
      <c r="AY113" s="46">
        <v>10</v>
      </c>
      <c r="AZ113" s="47" t="s">
        <v>21</v>
      </c>
      <c r="BA113" s="44" t="s">
        <v>222</v>
      </c>
      <c r="BB113" s="44">
        <v>50</v>
      </c>
      <c r="BC113" s="107" t="s">
        <v>1055</v>
      </c>
      <c r="BD113" s="35" t="s">
        <v>21</v>
      </c>
      <c r="BE113" s="94" t="s">
        <v>21</v>
      </c>
      <c r="BF113" s="44">
        <v>2000</v>
      </c>
      <c r="BG113" s="99">
        <v>20000</v>
      </c>
      <c r="BH113" s="99">
        <v>4000</v>
      </c>
      <c r="BI113" s="33">
        <v>10124</v>
      </c>
      <c r="BJ113" s="44" t="s">
        <v>21</v>
      </c>
      <c r="BK113" s="44">
        <v>0</v>
      </c>
      <c r="BL113" s="44">
        <v>6000</v>
      </c>
      <c r="BM113" s="44">
        <v>1</v>
      </c>
      <c r="BN113" s="76">
        <v>101</v>
      </c>
      <c r="BO113" s="68" t="s">
        <v>776</v>
      </c>
      <c r="BP113" s="68">
        <v>1224</v>
      </c>
      <c r="BQ113" s="44" t="s">
        <v>791</v>
      </c>
      <c r="BR113" s="44" t="s">
        <v>21</v>
      </c>
      <c r="BS113" s="68" t="e">
        <f>INT(MID(VLOOKUP($BO113,[1]Sheet1!$A:$C,3,0),9,5))</f>
        <v>#N/A</v>
      </c>
      <c r="BT113" s="68" t="str">
        <f t="shared" si="4"/>
        <v>jiaye</v>
      </c>
      <c r="BU113" s="68" t="e">
        <f>MID(VLOOKUP($BS113,[2]Sheet1!$A:$C,3,0),3,IF(ISERROR(FIND(",",VLOOKUP($BS113,[2]Sheet1!$A:$C,3,0))),LEN(VLOOKUP($BS113,[2]Sheet1!$A:$C,3,0))-4,FIND(",",VLOOKUP($BS113,[2]Sheet1!$A:$C,3,0))-4))</f>
        <v>#N/A</v>
      </c>
      <c r="BV113" s="68" t="str">
        <f>IF(ISERROR(MID(VLOOKUP($BS113,[2]Sheet1!$A:$D,4,0),3,IF(ISERROR(FIND(",",VLOOKUP($BS113,[2]Sheet1!$A:$D,4,0))),LEN(VLOOKUP($BS113,[2]Sheet1!$A:$D,4,0))-4,FIND(",",VLOOKUP($BS113,[2]Sheet1!$A:$D,4,0))-4))),"[]",MID(VLOOKUP($BS113,[2]Sheet1!$A:$D,4,0),3,IF(ISERROR(FIND(",",VLOOKUP($BS113,[2]Sheet1!$A:$D,4,0))),LEN(VLOOKUP($BS113,[2]Sheet1!$A:$D,4,0))-4,FIND(",",VLOOKUP($BS113,[2]Sheet1!$A:$D,4,0))-4)))</f>
        <v>[]</v>
      </c>
      <c r="BW113" s="68" t="str">
        <f t="shared" si="3"/>
        <v>2-16</v>
      </c>
    </row>
    <row r="114" spans="1:84" s="62" customFormat="1" ht="16.5" customHeight="1">
      <c r="A114" s="44">
        <v>1225</v>
      </c>
      <c r="B114" s="44" t="s">
        <v>453</v>
      </c>
      <c r="C114" s="44" t="s">
        <v>317</v>
      </c>
      <c r="D114" s="44">
        <v>1</v>
      </c>
      <c r="E114" s="44">
        <v>4</v>
      </c>
      <c r="F114" s="44">
        <v>2</v>
      </c>
      <c r="G114" s="44">
        <v>2</v>
      </c>
      <c r="H114" s="44" t="s">
        <v>1124</v>
      </c>
      <c r="I114" s="44">
        <v>150</v>
      </c>
      <c r="J114" s="44" t="s">
        <v>148</v>
      </c>
      <c r="K114" s="44">
        <v>10</v>
      </c>
      <c r="L114" s="44" t="s">
        <v>149</v>
      </c>
      <c r="M114" s="33" t="s">
        <v>779</v>
      </c>
      <c r="N114" s="33" t="s">
        <v>121</v>
      </c>
      <c r="O114" s="44" t="s">
        <v>40</v>
      </c>
      <c r="P114" s="44" t="s">
        <v>370</v>
      </c>
      <c r="Q114" s="44">
        <v>1</v>
      </c>
      <c r="R114" s="44" t="s">
        <v>21</v>
      </c>
      <c r="S114" s="44" t="s">
        <v>21</v>
      </c>
      <c r="T114" s="44" t="s">
        <v>21</v>
      </c>
      <c r="U114" s="44">
        <v>6</v>
      </c>
      <c r="V114" s="44">
        <v>20</v>
      </c>
      <c r="W114" s="44">
        <v>12</v>
      </c>
      <c r="X114" s="44">
        <v>14</v>
      </c>
      <c r="Y114" s="44">
        <v>8</v>
      </c>
      <c r="Z114" s="44">
        <v>0.8</v>
      </c>
      <c r="AA114" s="99">
        <v>0</v>
      </c>
      <c r="AB114" s="99">
        <v>0</v>
      </c>
      <c r="AC114" s="35">
        <v>20000</v>
      </c>
      <c r="AD114" s="35">
        <v>800</v>
      </c>
      <c r="AE114" s="35">
        <v>400</v>
      </c>
      <c r="AF114" s="35">
        <v>400</v>
      </c>
      <c r="AG114" s="44">
        <v>1</v>
      </c>
      <c r="AH114" s="44">
        <v>0</v>
      </c>
      <c r="AI114" s="44">
        <v>0</v>
      </c>
      <c r="AJ114" s="44">
        <v>0</v>
      </c>
      <c r="AK114" s="44">
        <v>0</v>
      </c>
      <c r="AL114" s="44">
        <v>0</v>
      </c>
      <c r="AM114" s="33">
        <v>1</v>
      </c>
      <c r="AN114" s="99">
        <v>0</v>
      </c>
      <c r="AO114" s="99">
        <v>0</v>
      </c>
      <c r="AP114" s="35">
        <v>1500</v>
      </c>
      <c r="AQ114" s="35">
        <v>60</v>
      </c>
      <c r="AR114" s="35">
        <v>30</v>
      </c>
      <c r="AS114" s="35">
        <v>30</v>
      </c>
      <c r="AT114" s="44">
        <v>0</v>
      </c>
      <c r="AU114" s="44">
        <v>0</v>
      </c>
      <c r="AV114" s="44">
        <v>0</v>
      </c>
      <c r="AW114" s="44">
        <v>0</v>
      </c>
      <c r="AX114" s="110" t="s">
        <v>1098</v>
      </c>
      <c r="AY114" s="46">
        <v>10</v>
      </c>
      <c r="AZ114" s="47" t="s">
        <v>21</v>
      </c>
      <c r="BA114" s="44" t="s">
        <v>222</v>
      </c>
      <c r="BB114" s="44">
        <v>50</v>
      </c>
      <c r="BC114" s="107" t="s">
        <v>21</v>
      </c>
      <c r="BD114" s="35" t="s">
        <v>21</v>
      </c>
      <c r="BE114" s="94" t="s">
        <v>21</v>
      </c>
      <c r="BF114" s="44">
        <v>3000</v>
      </c>
      <c r="BG114" s="99">
        <v>20000</v>
      </c>
      <c r="BH114" s="99">
        <v>4000</v>
      </c>
      <c r="BI114" s="33">
        <v>10125</v>
      </c>
      <c r="BJ114" s="44" t="s">
        <v>21</v>
      </c>
      <c r="BK114" s="44">
        <v>0</v>
      </c>
      <c r="BL114" s="44">
        <v>6000</v>
      </c>
      <c r="BM114" s="44">
        <v>1</v>
      </c>
      <c r="BN114" s="76">
        <v>102</v>
      </c>
      <c r="BO114" s="68" t="s">
        <v>776</v>
      </c>
      <c r="BP114" s="68">
        <v>1225</v>
      </c>
      <c r="BQ114" s="44" t="s">
        <v>21</v>
      </c>
      <c r="BR114" s="44" t="s">
        <v>21</v>
      </c>
      <c r="BS114" s="68" t="e">
        <f>INT(MID(VLOOKUP($BO114,[1]Sheet1!$A:$C,3,0),9,5))</f>
        <v>#N/A</v>
      </c>
      <c r="BT114" s="68" t="str">
        <f t="shared" si="4"/>
        <v>jiaye</v>
      </c>
      <c r="BU114" s="68" t="e">
        <f>MID(VLOOKUP($BS114,[2]Sheet1!$A:$C,3,0),3,IF(ISERROR(FIND(",",VLOOKUP($BS114,[2]Sheet1!$A:$C,3,0))),LEN(VLOOKUP($BS114,[2]Sheet1!$A:$C,3,0))-4,FIND(",",VLOOKUP($BS114,[2]Sheet1!$A:$C,3,0))-4))</f>
        <v>#N/A</v>
      </c>
      <c r="BV114" s="68" t="str">
        <f>IF(ISERROR(MID(VLOOKUP($BS114,[2]Sheet1!$A:$D,4,0),3,IF(ISERROR(FIND(",",VLOOKUP($BS114,[2]Sheet1!$A:$D,4,0))),LEN(VLOOKUP($BS114,[2]Sheet1!$A:$D,4,0))-4,FIND(",",VLOOKUP($BS114,[2]Sheet1!$A:$D,4,0))-4))),"[]",MID(VLOOKUP($BS114,[2]Sheet1!$A:$D,4,0),3,IF(ISERROR(FIND(",",VLOOKUP($BS114,[2]Sheet1!$A:$D,4,0))),LEN(VLOOKUP($BS114,[2]Sheet1!$A:$D,4,0))-4,FIND(",",VLOOKUP($BS114,[2]Sheet1!$A:$D,4,0))-4)))</f>
        <v>[]</v>
      </c>
      <c r="BW114" s="68" t="str">
        <f t="shared" si="3"/>
        <v>2-20</v>
      </c>
    </row>
    <row r="115" spans="1:84" s="62" customFormat="1" ht="16.5" customHeight="1">
      <c r="A115" s="33">
        <v>1226</v>
      </c>
      <c r="B115" s="33" t="s">
        <v>727</v>
      </c>
      <c r="C115" s="33" t="s">
        <v>861</v>
      </c>
      <c r="D115" s="33">
        <v>1</v>
      </c>
      <c r="E115" s="33">
        <v>2</v>
      </c>
      <c r="F115" s="33">
        <v>2</v>
      </c>
      <c r="G115" s="33">
        <v>2</v>
      </c>
      <c r="H115" s="33" t="s">
        <v>1124</v>
      </c>
      <c r="I115" s="33">
        <v>150</v>
      </c>
      <c r="J115" s="33" t="s">
        <v>737</v>
      </c>
      <c r="K115" s="33">
        <v>10</v>
      </c>
      <c r="L115" s="33" t="s">
        <v>738</v>
      </c>
      <c r="M115" s="33" t="s">
        <v>779</v>
      </c>
      <c r="N115" s="33" t="s">
        <v>741</v>
      </c>
      <c r="O115" s="33" t="s">
        <v>739</v>
      </c>
      <c r="P115" s="33" t="s">
        <v>740</v>
      </c>
      <c r="Q115" s="33">
        <v>1</v>
      </c>
      <c r="R115" s="33" t="s">
        <v>21</v>
      </c>
      <c r="S115" s="33" t="s">
        <v>21</v>
      </c>
      <c r="T115" s="33" t="s">
        <v>21</v>
      </c>
      <c r="U115" s="33">
        <v>3</v>
      </c>
      <c r="V115" s="33">
        <v>11</v>
      </c>
      <c r="W115" s="33">
        <v>12</v>
      </c>
      <c r="X115" s="33">
        <v>14</v>
      </c>
      <c r="Y115" s="33">
        <v>8</v>
      </c>
      <c r="Z115" s="33">
        <v>1</v>
      </c>
      <c r="AA115" s="97">
        <v>0</v>
      </c>
      <c r="AB115" s="97">
        <v>0</v>
      </c>
      <c r="AC115" s="35">
        <v>4000</v>
      </c>
      <c r="AD115" s="35">
        <v>160</v>
      </c>
      <c r="AE115" s="35">
        <v>80</v>
      </c>
      <c r="AF115" s="35">
        <v>80</v>
      </c>
      <c r="AG115" s="33">
        <v>1</v>
      </c>
      <c r="AH115" s="33">
        <v>0</v>
      </c>
      <c r="AI115" s="33">
        <v>0</v>
      </c>
      <c r="AJ115" s="33">
        <v>0</v>
      </c>
      <c r="AK115" s="33">
        <v>0</v>
      </c>
      <c r="AL115" s="33">
        <v>0</v>
      </c>
      <c r="AM115" s="33">
        <v>1</v>
      </c>
      <c r="AN115" s="97">
        <v>0</v>
      </c>
      <c r="AO115" s="97">
        <v>0</v>
      </c>
      <c r="AP115" s="35">
        <v>400</v>
      </c>
      <c r="AQ115" s="35">
        <v>16</v>
      </c>
      <c r="AR115" s="35">
        <v>8</v>
      </c>
      <c r="AS115" s="35">
        <v>8</v>
      </c>
      <c r="AT115" s="33">
        <v>0</v>
      </c>
      <c r="AU115" s="33">
        <v>0</v>
      </c>
      <c r="AV115" s="33">
        <v>0</v>
      </c>
      <c r="AW115" s="33">
        <v>0</v>
      </c>
      <c r="AX115" s="35" t="s">
        <v>1108</v>
      </c>
      <c r="AY115" s="33">
        <v>8</v>
      </c>
      <c r="AZ115" s="34" t="s">
        <v>923</v>
      </c>
      <c r="BA115" s="33" t="s">
        <v>222</v>
      </c>
      <c r="BB115" s="33">
        <v>50</v>
      </c>
      <c r="BC115" s="107" t="s">
        <v>1087</v>
      </c>
      <c r="BD115" s="35" t="s">
        <v>21</v>
      </c>
      <c r="BE115" s="94" t="s">
        <v>1019</v>
      </c>
      <c r="BF115" s="33">
        <v>400</v>
      </c>
      <c r="BG115" s="97">
        <v>20000</v>
      </c>
      <c r="BH115" s="97">
        <v>4000</v>
      </c>
      <c r="BI115" s="33">
        <v>10126</v>
      </c>
      <c r="BJ115" s="33" t="s">
        <v>21</v>
      </c>
      <c r="BK115" s="33">
        <v>0</v>
      </c>
      <c r="BL115" s="33">
        <v>6000</v>
      </c>
      <c r="BM115" s="33">
        <v>1</v>
      </c>
      <c r="BN115" s="67">
        <v>100</v>
      </c>
      <c r="BO115" s="68" t="s">
        <v>776</v>
      </c>
      <c r="BP115" s="68">
        <v>1226</v>
      </c>
      <c r="BQ115" s="33" t="s">
        <v>1021</v>
      </c>
      <c r="BR115" s="33" t="s">
        <v>21</v>
      </c>
      <c r="BS115" s="68" t="e">
        <f>INT(MID(VLOOKUP($BO115,[1]Sheet1!$A:$C,3,0),9,5))</f>
        <v>#N/A</v>
      </c>
      <c r="BT115" s="68" t="str">
        <f t="shared" si="4"/>
        <v>shanzijing</v>
      </c>
      <c r="BU115" s="68" t="e">
        <f>MID(VLOOKUP($BS115,[2]Sheet1!$A:$C,3,0),3,IF(ISERROR(FIND(",",VLOOKUP($BS115,[2]Sheet1!$A:$C,3,0))),LEN(VLOOKUP($BS115,[2]Sheet1!$A:$C,3,0))-4,FIND(",",VLOOKUP($BS115,[2]Sheet1!$A:$C,3,0))-4))</f>
        <v>#N/A</v>
      </c>
      <c r="BV115" s="68" t="str">
        <f>IF(ISERROR(MID(VLOOKUP($BS115,[2]Sheet1!$A:$D,4,0),3,IF(ISERROR(FIND(",",VLOOKUP($BS115,[2]Sheet1!$A:$D,4,0))),LEN(VLOOKUP($BS115,[2]Sheet1!$A:$D,4,0))-4,FIND(",",VLOOKUP($BS115,[2]Sheet1!$A:$D,4,0))-4))),"[]",MID(VLOOKUP($BS115,[2]Sheet1!$A:$D,4,0),3,IF(ISERROR(FIND(",",VLOOKUP($BS115,[2]Sheet1!$A:$D,4,0))),LEN(VLOOKUP($BS115,[2]Sheet1!$A:$D,4,0))-4,FIND(",",VLOOKUP($BS115,[2]Sheet1!$A:$D,4,0))-4)))</f>
        <v>[]</v>
      </c>
      <c r="BW115" s="68" t="str">
        <f t="shared" si="3"/>
        <v>2-11</v>
      </c>
    </row>
    <row r="116" spans="1:84" s="62" customFormat="1" ht="16.5" customHeight="1">
      <c r="A116" s="44">
        <v>1227</v>
      </c>
      <c r="B116" s="44" t="s">
        <v>728</v>
      </c>
      <c r="C116" s="44" t="s">
        <v>21</v>
      </c>
      <c r="D116" s="44">
        <v>1</v>
      </c>
      <c r="E116" s="44">
        <v>4</v>
      </c>
      <c r="F116" s="44">
        <v>2</v>
      </c>
      <c r="G116" s="44">
        <v>2</v>
      </c>
      <c r="H116" s="44" t="s">
        <v>1124</v>
      </c>
      <c r="I116" s="44">
        <v>150</v>
      </c>
      <c r="J116" s="44" t="s">
        <v>148</v>
      </c>
      <c r="K116" s="44">
        <v>10</v>
      </c>
      <c r="L116" s="44" t="s">
        <v>149</v>
      </c>
      <c r="M116" s="33" t="s">
        <v>779</v>
      </c>
      <c r="N116" s="33" t="s">
        <v>121</v>
      </c>
      <c r="O116" s="44" t="s">
        <v>40</v>
      </c>
      <c r="P116" s="44" t="s">
        <v>370</v>
      </c>
      <c r="Q116" s="44">
        <v>1</v>
      </c>
      <c r="R116" s="44" t="s">
        <v>21</v>
      </c>
      <c r="S116" s="44" t="s">
        <v>21</v>
      </c>
      <c r="T116" s="44" t="s">
        <v>21</v>
      </c>
      <c r="U116" s="44">
        <v>6</v>
      </c>
      <c r="V116" s="44">
        <v>20</v>
      </c>
      <c r="W116" s="44">
        <v>12</v>
      </c>
      <c r="X116" s="44">
        <v>14</v>
      </c>
      <c r="Y116" s="44">
        <v>8</v>
      </c>
      <c r="Z116" s="44">
        <v>0.8</v>
      </c>
      <c r="AA116" s="99">
        <v>0</v>
      </c>
      <c r="AB116" s="99">
        <v>0</v>
      </c>
      <c r="AC116" s="35">
        <v>20000</v>
      </c>
      <c r="AD116" s="35">
        <v>800</v>
      </c>
      <c r="AE116" s="35">
        <v>400</v>
      </c>
      <c r="AF116" s="35">
        <v>400</v>
      </c>
      <c r="AG116" s="44">
        <v>1</v>
      </c>
      <c r="AH116" s="44">
        <v>0</v>
      </c>
      <c r="AI116" s="44">
        <v>0</v>
      </c>
      <c r="AJ116" s="44">
        <v>0</v>
      </c>
      <c r="AK116" s="44">
        <v>0</v>
      </c>
      <c r="AL116" s="44">
        <v>0</v>
      </c>
      <c r="AM116" s="33">
        <v>1</v>
      </c>
      <c r="AN116" s="99">
        <v>0</v>
      </c>
      <c r="AO116" s="99">
        <v>0</v>
      </c>
      <c r="AP116" s="35">
        <v>1500</v>
      </c>
      <c r="AQ116" s="35">
        <v>60</v>
      </c>
      <c r="AR116" s="35">
        <v>30</v>
      </c>
      <c r="AS116" s="35">
        <v>30</v>
      </c>
      <c r="AT116" s="44">
        <v>0</v>
      </c>
      <c r="AU116" s="44">
        <v>0</v>
      </c>
      <c r="AV116" s="44">
        <v>0</v>
      </c>
      <c r="AW116" s="44">
        <v>0</v>
      </c>
      <c r="AX116" s="110" t="s">
        <v>1098</v>
      </c>
      <c r="AY116" s="46">
        <v>10</v>
      </c>
      <c r="AZ116" s="47" t="s">
        <v>21</v>
      </c>
      <c r="BA116" s="44" t="s">
        <v>222</v>
      </c>
      <c r="BB116" s="44">
        <v>50</v>
      </c>
      <c r="BC116" s="107" t="s">
        <v>21</v>
      </c>
      <c r="BD116" s="35" t="s">
        <v>21</v>
      </c>
      <c r="BE116" s="94" t="s">
        <v>21</v>
      </c>
      <c r="BF116" s="44">
        <v>3000</v>
      </c>
      <c r="BG116" s="99">
        <v>20000</v>
      </c>
      <c r="BH116" s="99">
        <v>4000</v>
      </c>
      <c r="BI116" s="33">
        <v>10127</v>
      </c>
      <c r="BJ116" s="44" t="s">
        <v>21</v>
      </c>
      <c r="BK116" s="44">
        <v>0</v>
      </c>
      <c r="BL116" s="44">
        <v>6000</v>
      </c>
      <c r="BM116" s="44">
        <v>1</v>
      </c>
      <c r="BN116" s="76">
        <v>102</v>
      </c>
      <c r="BO116" s="68" t="s">
        <v>776</v>
      </c>
      <c r="BP116" s="68">
        <v>1227</v>
      </c>
      <c r="BQ116" s="44" t="s">
        <v>21</v>
      </c>
      <c r="BR116" s="44" t="s">
        <v>21</v>
      </c>
      <c r="BS116" s="68" t="e">
        <f>INT(MID(VLOOKUP($BO116,[1]Sheet1!$A:$C,3,0),9,5))</f>
        <v>#N/A</v>
      </c>
      <c r="BT116" s="68" t="str">
        <f t="shared" si="4"/>
        <v>jiaye</v>
      </c>
      <c r="BU116" s="68" t="e">
        <f>MID(VLOOKUP($BS116,[2]Sheet1!$A:$C,3,0),3,IF(ISERROR(FIND(",",VLOOKUP($BS116,[2]Sheet1!$A:$C,3,0))),LEN(VLOOKUP($BS116,[2]Sheet1!$A:$C,3,0))-4,FIND(",",VLOOKUP($BS116,[2]Sheet1!$A:$C,3,0))-4))</f>
        <v>#N/A</v>
      </c>
      <c r="BV116" s="68" t="str">
        <f>IF(ISERROR(MID(VLOOKUP($BS116,[2]Sheet1!$A:$D,4,0),3,IF(ISERROR(FIND(",",VLOOKUP($BS116,[2]Sheet1!$A:$D,4,0))),LEN(VLOOKUP($BS116,[2]Sheet1!$A:$D,4,0))-4,FIND(",",VLOOKUP($BS116,[2]Sheet1!$A:$D,4,0))-4))),"[]",MID(VLOOKUP($BS116,[2]Sheet1!$A:$D,4,0),3,IF(ISERROR(FIND(",",VLOOKUP($BS116,[2]Sheet1!$A:$D,4,0))),LEN(VLOOKUP($BS116,[2]Sheet1!$A:$D,4,0))-4,FIND(",",VLOOKUP($BS116,[2]Sheet1!$A:$D,4,0))-4)))</f>
        <v>[]</v>
      </c>
      <c r="BW116" s="68" t="str">
        <f t="shared" si="3"/>
        <v>2-20</v>
      </c>
    </row>
    <row r="117" spans="1:84" s="122" customFormat="1" ht="16.5" customHeight="1">
      <c r="A117" s="115">
        <v>1801</v>
      </c>
      <c r="B117" s="115" t="s">
        <v>862</v>
      </c>
      <c r="C117" s="115" t="s">
        <v>587</v>
      </c>
      <c r="D117" s="115">
        <v>1</v>
      </c>
      <c r="E117" s="115">
        <v>4</v>
      </c>
      <c r="F117" s="115">
        <v>3</v>
      </c>
      <c r="G117" s="115">
        <v>3</v>
      </c>
      <c r="H117" s="115" t="s">
        <v>1122</v>
      </c>
      <c r="I117" s="115">
        <v>150</v>
      </c>
      <c r="J117" s="115" t="s">
        <v>137</v>
      </c>
      <c r="K117" s="115">
        <v>10</v>
      </c>
      <c r="L117" s="115" t="s">
        <v>855</v>
      </c>
      <c r="M117" s="115" t="s">
        <v>779</v>
      </c>
      <c r="N117" s="115" t="s">
        <v>138</v>
      </c>
      <c r="O117" s="115" t="s">
        <v>40</v>
      </c>
      <c r="P117" s="115" t="s">
        <v>369</v>
      </c>
      <c r="Q117" s="115">
        <v>1</v>
      </c>
      <c r="R117" s="115" t="s">
        <v>21</v>
      </c>
      <c r="S117" s="115" t="s">
        <v>21</v>
      </c>
      <c r="T117" s="115" t="s">
        <v>21</v>
      </c>
      <c r="U117" s="115">
        <v>6</v>
      </c>
      <c r="V117" s="115">
        <v>20</v>
      </c>
      <c r="W117" s="115">
        <v>4</v>
      </c>
      <c r="X117" s="115">
        <v>12</v>
      </c>
      <c r="Y117" s="115">
        <v>8</v>
      </c>
      <c r="Z117" s="115">
        <v>1</v>
      </c>
      <c r="AA117" s="115">
        <v>0</v>
      </c>
      <c r="AB117" s="115">
        <v>0</v>
      </c>
      <c r="AC117" s="35">
        <v>30000</v>
      </c>
      <c r="AD117" s="35">
        <v>800</v>
      </c>
      <c r="AE117" s="35">
        <v>400</v>
      </c>
      <c r="AF117" s="35">
        <v>400</v>
      </c>
      <c r="AG117" s="115">
        <v>1.5</v>
      </c>
      <c r="AH117" s="115">
        <v>0</v>
      </c>
      <c r="AI117" s="115">
        <v>0</v>
      </c>
      <c r="AJ117" s="115">
        <v>0</v>
      </c>
      <c r="AK117" s="115">
        <v>0</v>
      </c>
      <c r="AL117" s="115">
        <v>0</v>
      </c>
      <c r="AM117" s="115">
        <v>1</v>
      </c>
      <c r="AN117" s="115">
        <v>0</v>
      </c>
      <c r="AO117" s="115">
        <v>0</v>
      </c>
      <c r="AP117" s="35">
        <v>1500</v>
      </c>
      <c r="AQ117" s="35">
        <v>60</v>
      </c>
      <c r="AR117" s="35">
        <v>30</v>
      </c>
      <c r="AS117" s="35">
        <v>30</v>
      </c>
      <c r="AT117" s="115">
        <v>0</v>
      </c>
      <c r="AU117" s="115">
        <v>0</v>
      </c>
      <c r="AV117" s="115">
        <v>0</v>
      </c>
      <c r="AW117" s="115">
        <v>0</v>
      </c>
      <c r="AX117" s="116" t="s">
        <v>1096</v>
      </c>
      <c r="AY117" s="115">
        <v>10</v>
      </c>
      <c r="AZ117" s="117" t="s">
        <v>21</v>
      </c>
      <c r="BA117" s="115" t="s">
        <v>221</v>
      </c>
      <c r="BB117" s="115">
        <v>50</v>
      </c>
      <c r="BC117" s="118" t="s">
        <v>1118</v>
      </c>
      <c r="BD117" s="115" t="s">
        <v>21</v>
      </c>
      <c r="BE117" s="119" t="s">
        <v>21</v>
      </c>
      <c r="BF117" s="115">
        <v>0</v>
      </c>
      <c r="BG117" s="115">
        <v>20000</v>
      </c>
      <c r="BH117" s="115">
        <v>4000</v>
      </c>
      <c r="BI117" s="115" t="s">
        <v>430</v>
      </c>
      <c r="BJ117" s="115" t="s">
        <v>21</v>
      </c>
      <c r="BK117" s="115">
        <v>0</v>
      </c>
      <c r="BL117" s="115">
        <v>12000</v>
      </c>
      <c r="BM117" s="123">
        <v>12</v>
      </c>
      <c r="BN117" s="120">
        <v>102</v>
      </c>
      <c r="BO117" s="116">
        <v>1121</v>
      </c>
      <c r="BP117" s="121" t="s">
        <v>317</v>
      </c>
      <c r="BQ117" s="115" t="s">
        <v>21</v>
      </c>
      <c r="BR117" s="115" t="s">
        <v>21</v>
      </c>
      <c r="BS117" s="121" t="e">
        <f>INT(MID(VLOOKUP($BO117,[1]Sheet1!$A:$C,3,0),9,5))</f>
        <v>#VALUE!</v>
      </c>
      <c r="BT117" s="121" t="str">
        <f t="shared" si="4"/>
        <v>zixiaxianzi</v>
      </c>
      <c r="BU117" s="121" t="e">
        <f>MID(VLOOKUP($BS117,[2]Sheet1!$A:$C,3,0),3,IF(ISERROR(FIND(",",VLOOKUP($BS117,[2]Sheet1!$A:$C,3,0))),LEN(VLOOKUP($BS117,[2]Sheet1!$A:$C,3,0))-4,FIND(",",VLOOKUP($BS117,[2]Sheet1!$A:$C,3,0))-4))</f>
        <v>#VALUE!</v>
      </c>
      <c r="BV117" s="121" t="str">
        <f>IF(ISERROR(MID(VLOOKUP($BS117,[2]Sheet1!$A:$D,4,0),3,IF(ISERROR(FIND(",",VLOOKUP($BS117,[2]Sheet1!$A:$D,4,0))),LEN(VLOOKUP($BS117,[2]Sheet1!$A:$D,4,0))-4,FIND(",",VLOOKUP($BS117,[2]Sheet1!$A:$D,4,0))-4))),"[]",MID(VLOOKUP($BS117,[2]Sheet1!$A:$D,4,0),3,IF(ISERROR(FIND(",",VLOOKUP($BS117,[2]Sheet1!$A:$D,4,0))),LEN(VLOOKUP($BS117,[2]Sheet1!$A:$D,4,0))-4,FIND(",",VLOOKUP($BS117,[2]Sheet1!$A:$D,4,0))-4)))</f>
        <v>[]</v>
      </c>
      <c r="BW117" s="121" t="str">
        <f t="shared" si="3"/>
        <v>3-20</v>
      </c>
    </row>
    <row r="118" spans="1:84" s="122" customFormat="1" ht="16.5" customHeight="1">
      <c r="A118" s="115">
        <v>1802</v>
      </c>
      <c r="B118" s="115" t="s">
        <v>863</v>
      </c>
      <c r="C118" s="115" t="s">
        <v>833</v>
      </c>
      <c r="D118" s="115">
        <v>1</v>
      </c>
      <c r="E118" s="115">
        <v>4</v>
      </c>
      <c r="F118" s="115">
        <v>3</v>
      </c>
      <c r="G118" s="115">
        <v>3</v>
      </c>
      <c r="H118" s="115" t="s">
        <v>1122</v>
      </c>
      <c r="I118" s="115">
        <v>150</v>
      </c>
      <c r="J118" s="115" t="s">
        <v>55</v>
      </c>
      <c r="K118" s="115">
        <v>10</v>
      </c>
      <c r="L118" s="115" t="s">
        <v>834</v>
      </c>
      <c r="M118" s="115" t="s">
        <v>779</v>
      </c>
      <c r="N118" s="115" t="s">
        <v>57</v>
      </c>
      <c r="O118" s="115" t="s">
        <v>40</v>
      </c>
      <c r="P118" s="115" t="s">
        <v>363</v>
      </c>
      <c r="Q118" s="115">
        <v>1</v>
      </c>
      <c r="R118" s="115" t="s">
        <v>21</v>
      </c>
      <c r="S118" s="115" t="s">
        <v>21</v>
      </c>
      <c r="T118" s="115" t="s">
        <v>21</v>
      </c>
      <c r="U118" s="115">
        <v>6</v>
      </c>
      <c r="V118" s="115">
        <v>20</v>
      </c>
      <c r="W118" s="115">
        <v>12</v>
      </c>
      <c r="X118" s="115">
        <v>12</v>
      </c>
      <c r="Y118" s="115">
        <v>8</v>
      </c>
      <c r="Z118" s="115">
        <v>1</v>
      </c>
      <c r="AA118" s="115">
        <v>0</v>
      </c>
      <c r="AB118" s="115">
        <v>0</v>
      </c>
      <c r="AC118" s="35">
        <v>20000</v>
      </c>
      <c r="AD118" s="35">
        <v>800</v>
      </c>
      <c r="AE118" s="35">
        <v>400</v>
      </c>
      <c r="AF118" s="35">
        <v>400</v>
      </c>
      <c r="AG118" s="115">
        <v>1.5</v>
      </c>
      <c r="AH118" s="115">
        <v>0</v>
      </c>
      <c r="AI118" s="115">
        <v>0</v>
      </c>
      <c r="AJ118" s="115">
        <v>0</v>
      </c>
      <c r="AK118" s="115">
        <v>0</v>
      </c>
      <c r="AL118" s="115">
        <v>0</v>
      </c>
      <c r="AM118" s="115">
        <v>1</v>
      </c>
      <c r="AN118" s="115">
        <v>0</v>
      </c>
      <c r="AO118" s="115">
        <v>0</v>
      </c>
      <c r="AP118" s="35">
        <v>1500</v>
      </c>
      <c r="AQ118" s="35">
        <v>60</v>
      </c>
      <c r="AR118" s="35">
        <v>30</v>
      </c>
      <c r="AS118" s="35">
        <v>30</v>
      </c>
      <c r="AT118" s="115">
        <v>0</v>
      </c>
      <c r="AU118" s="115">
        <v>0</v>
      </c>
      <c r="AV118" s="115">
        <v>0</v>
      </c>
      <c r="AW118" s="115">
        <v>0</v>
      </c>
      <c r="AX118" s="116" t="s">
        <v>1096</v>
      </c>
      <c r="AY118" s="115">
        <v>10</v>
      </c>
      <c r="AZ118" s="117" t="s">
        <v>21</v>
      </c>
      <c r="BA118" s="115" t="s">
        <v>221</v>
      </c>
      <c r="BB118" s="115">
        <v>50</v>
      </c>
      <c r="BC118" s="118" t="s">
        <v>1118</v>
      </c>
      <c r="BD118" s="115" t="s">
        <v>21</v>
      </c>
      <c r="BE118" s="119" t="s">
        <v>21</v>
      </c>
      <c r="BF118" s="115">
        <v>0</v>
      </c>
      <c r="BG118" s="115">
        <v>20000</v>
      </c>
      <c r="BH118" s="115">
        <v>4000</v>
      </c>
      <c r="BI118" s="115" t="s">
        <v>21</v>
      </c>
      <c r="BJ118" s="115" t="s">
        <v>21</v>
      </c>
      <c r="BK118" s="115">
        <v>0</v>
      </c>
      <c r="BL118" s="115">
        <v>800</v>
      </c>
      <c r="BM118" s="115">
        <v>0</v>
      </c>
      <c r="BN118" s="120">
        <v>102</v>
      </c>
      <c r="BO118" s="121">
        <v>1111</v>
      </c>
      <c r="BP118" s="121" t="s">
        <v>21</v>
      </c>
      <c r="BQ118" s="115" t="s">
        <v>831</v>
      </c>
      <c r="BR118" s="115" t="s">
        <v>21</v>
      </c>
      <c r="BS118" s="121" t="e">
        <v>#N/A</v>
      </c>
      <c r="BT118" s="121" t="s">
        <v>832</v>
      </c>
      <c r="BU118" s="121" t="e">
        <v>#N/A</v>
      </c>
      <c r="BV118" s="121" t="s">
        <v>21</v>
      </c>
      <c r="BW118" s="121" t="str">
        <f t="shared" si="3"/>
        <v>3-20</v>
      </c>
    </row>
    <row r="119" spans="1:84" s="122" customFormat="1">
      <c r="A119" s="123">
        <v>1803</v>
      </c>
      <c r="B119" s="123" t="s">
        <v>132</v>
      </c>
      <c r="C119" s="115" t="s">
        <v>587</v>
      </c>
      <c r="D119" s="123">
        <v>1</v>
      </c>
      <c r="E119" s="123">
        <v>4</v>
      </c>
      <c r="F119" s="123">
        <v>3</v>
      </c>
      <c r="G119" s="123">
        <v>3</v>
      </c>
      <c r="H119" s="123" t="s">
        <v>1122</v>
      </c>
      <c r="I119" s="123">
        <v>150</v>
      </c>
      <c r="J119" s="123" t="s">
        <v>133</v>
      </c>
      <c r="K119" s="123">
        <v>10</v>
      </c>
      <c r="L119" s="123" t="s">
        <v>1119</v>
      </c>
      <c r="M119" s="115" t="s">
        <v>779</v>
      </c>
      <c r="N119" s="123" t="s">
        <v>134</v>
      </c>
      <c r="O119" s="123" t="s">
        <v>40</v>
      </c>
      <c r="P119" s="123" t="s">
        <v>367</v>
      </c>
      <c r="Q119" s="123">
        <v>1</v>
      </c>
      <c r="R119" s="123" t="s">
        <v>21</v>
      </c>
      <c r="S119" s="123" t="s">
        <v>21</v>
      </c>
      <c r="T119" s="123" t="s">
        <v>21</v>
      </c>
      <c r="U119" s="123">
        <v>6</v>
      </c>
      <c r="V119" s="123">
        <v>20</v>
      </c>
      <c r="W119" s="123">
        <v>4</v>
      </c>
      <c r="X119" s="123">
        <v>12</v>
      </c>
      <c r="Y119" s="123">
        <v>8</v>
      </c>
      <c r="Z119" s="123">
        <v>1</v>
      </c>
      <c r="AA119" s="123">
        <v>0</v>
      </c>
      <c r="AB119" s="123">
        <v>0</v>
      </c>
      <c r="AC119" s="35">
        <v>20000</v>
      </c>
      <c r="AD119" s="35">
        <v>800</v>
      </c>
      <c r="AE119" s="35">
        <v>400</v>
      </c>
      <c r="AF119" s="35">
        <v>400</v>
      </c>
      <c r="AG119" s="123">
        <v>1.5</v>
      </c>
      <c r="AH119" s="123">
        <v>0</v>
      </c>
      <c r="AI119" s="123">
        <v>0</v>
      </c>
      <c r="AJ119" s="123">
        <v>0</v>
      </c>
      <c r="AK119" s="123">
        <v>0</v>
      </c>
      <c r="AL119" s="123">
        <v>0</v>
      </c>
      <c r="AM119" s="115">
        <v>1</v>
      </c>
      <c r="AN119" s="123">
        <v>0</v>
      </c>
      <c r="AO119" s="123">
        <v>0</v>
      </c>
      <c r="AP119" s="35">
        <v>1500</v>
      </c>
      <c r="AQ119" s="35">
        <v>60</v>
      </c>
      <c r="AR119" s="35">
        <v>30</v>
      </c>
      <c r="AS119" s="35">
        <v>30</v>
      </c>
      <c r="AT119" s="115">
        <v>0</v>
      </c>
      <c r="AU119" s="115">
        <v>0</v>
      </c>
      <c r="AV119" s="115">
        <v>0</v>
      </c>
      <c r="AW119" s="115">
        <v>0</v>
      </c>
      <c r="AX119" s="116" t="s">
        <v>1096</v>
      </c>
      <c r="AY119" s="123">
        <v>10</v>
      </c>
      <c r="AZ119" s="117" t="s">
        <v>21</v>
      </c>
      <c r="BA119" s="123" t="s">
        <v>221</v>
      </c>
      <c r="BB119" s="124">
        <v>50</v>
      </c>
      <c r="BC119" s="118" t="s">
        <v>1118</v>
      </c>
      <c r="BD119" s="125" t="s">
        <v>21</v>
      </c>
      <c r="BE119" s="119" t="s">
        <v>21</v>
      </c>
      <c r="BF119" s="115">
        <v>0</v>
      </c>
      <c r="BG119" s="115">
        <v>20000</v>
      </c>
      <c r="BH119" s="115">
        <v>4000</v>
      </c>
      <c r="BI119" s="125" t="s">
        <v>430</v>
      </c>
      <c r="BJ119" s="125" t="s">
        <v>21</v>
      </c>
      <c r="BK119" s="123">
        <v>0</v>
      </c>
      <c r="BL119" s="123">
        <v>800</v>
      </c>
      <c r="BM119" s="123">
        <v>0</v>
      </c>
      <c r="BN119" s="126">
        <v>102</v>
      </c>
      <c r="BO119" s="116">
        <v>1119</v>
      </c>
      <c r="BP119" s="121" t="s">
        <v>317</v>
      </c>
      <c r="BQ119" s="123" t="s">
        <v>21</v>
      </c>
      <c r="BR119" s="123" t="s">
        <v>21</v>
      </c>
      <c r="BS119" s="121" t="e">
        <f>INT(MID(VLOOKUP($BO119,[1]Sheet1!$A:$C,3,0),9,5))</f>
        <v>#VALUE!</v>
      </c>
      <c r="BT119" s="121" t="str">
        <f t="shared" si="4"/>
        <v>sunwukong</v>
      </c>
      <c r="BU119" s="121" t="e">
        <f>MID(VLOOKUP($BS119,[2]Sheet1!$A:$C,3,0),3,IF(ISERROR(FIND(",",VLOOKUP($BS119,[2]Sheet1!$A:$C,3,0))),LEN(VLOOKUP($BS119,[2]Sheet1!$A:$C,3,0))-4,FIND(",",VLOOKUP($BS119,[2]Sheet1!$A:$C,3,0))-4))</f>
        <v>#VALUE!</v>
      </c>
      <c r="BV119" s="121" t="str">
        <f>IF(ISERROR(MID(VLOOKUP($BS119,[2]Sheet1!$A:$D,4,0),3,IF(ISERROR(FIND(",",VLOOKUP($BS119,[2]Sheet1!$A:$D,4,0))),LEN(VLOOKUP($BS119,[2]Sheet1!$A:$D,4,0))-4,FIND(",",VLOOKUP($BS119,[2]Sheet1!$A:$D,4,0))-4))),"[]",MID(VLOOKUP($BS119,[2]Sheet1!$A:$D,4,0),3,IF(ISERROR(FIND(",",VLOOKUP($BS119,[2]Sheet1!$A:$D,4,0))),LEN(VLOOKUP($BS119,[2]Sheet1!$A:$D,4,0))-4,FIND(",",VLOOKUP($BS119,[2]Sheet1!$A:$D,4,0))-4)))</f>
        <v>[]</v>
      </c>
      <c r="BW119" s="121" t="str">
        <f t="shared" si="3"/>
        <v>3-20</v>
      </c>
    </row>
    <row r="120" spans="1:84" s="63" customFormat="1" ht="18" customHeight="1">
      <c r="A120" s="33">
        <v>1301</v>
      </c>
      <c r="B120" s="33" t="s">
        <v>28</v>
      </c>
      <c r="C120" s="33" t="s">
        <v>503</v>
      </c>
      <c r="D120" s="33">
        <v>1</v>
      </c>
      <c r="E120" s="33">
        <v>3</v>
      </c>
      <c r="F120" s="33">
        <v>2</v>
      </c>
      <c r="G120" s="33">
        <v>2</v>
      </c>
      <c r="H120" s="33" t="s">
        <v>1124</v>
      </c>
      <c r="I120" s="33">
        <v>150</v>
      </c>
      <c r="J120" s="33" t="s">
        <v>137</v>
      </c>
      <c r="K120" s="33">
        <v>10</v>
      </c>
      <c r="L120" s="33" t="s">
        <v>1150</v>
      </c>
      <c r="M120" s="33" t="s">
        <v>779</v>
      </c>
      <c r="N120" s="33" t="s">
        <v>138</v>
      </c>
      <c r="O120" s="33" t="s">
        <v>40</v>
      </c>
      <c r="P120" s="33" t="s">
        <v>854</v>
      </c>
      <c r="Q120" s="33">
        <v>1.1000000000000001</v>
      </c>
      <c r="R120" s="33" t="s">
        <v>21</v>
      </c>
      <c r="S120" s="33" t="s">
        <v>21</v>
      </c>
      <c r="T120" s="33" t="s">
        <v>21</v>
      </c>
      <c r="U120" s="33">
        <v>6</v>
      </c>
      <c r="V120" s="33">
        <v>20</v>
      </c>
      <c r="W120" s="33">
        <v>6</v>
      </c>
      <c r="X120" s="33">
        <f>VLOOKUP(F120,Sheet3!$B$33:$E$37,2,0)</f>
        <v>15</v>
      </c>
      <c r="Y120" s="33">
        <f>VLOOKUP(F120,Sheet3!$B$33:$E$37,4,0)</f>
        <v>8</v>
      </c>
      <c r="Z120" s="33">
        <v>0.8</v>
      </c>
      <c r="AA120" s="97">
        <v>0</v>
      </c>
      <c r="AB120" s="97">
        <v>0</v>
      </c>
      <c r="AC120" s="35">
        <v>20000</v>
      </c>
      <c r="AD120" s="35">
        <v>800</v>
      </c>
      <c r="AE120" s="35">
        <v>400</v>
      </c>
      <c r="AF120" s="35">
        <v>400</v>
      </c>
      <c r="AG120" s="33">
        <v>1</v>
      </c>
      <c r="AH120" s="33">
        <v>0</v>
      </c>
      <c r="AI120" s="33">
        <v>0</v>
      </c>
      <c r="AJ120" s="33">
        <v>0</v>
      </c>
      <c r="AK120" s="33">
        <v>0</v>
      </c>
      <c r="AL120" s="33">
        <v>0</v>
      </c>
      <c r="AM120" s="33">
        <v>1</v>
      </c>
      <c r="AN120" s="97">
        <v>0</v>
      </c>
      <c r="AO120" s="97">
        <v>0</v>
      </c>
      <c r="AP120" s="35">
        <v>1500</v>
      </c>
      <c r="AQ120" s="35">
        <v>60</v>
      </c>
      <c r="AR120" s="35">
        <v>30</v>
      </c>
      <c r="AS120" s="35">
        <v>30</v>
      </c>
      <c r="AT120" s="33">
        <v>0</v>
      </c>
      <c r="AU120" s="33">
        <v>0</v>
      </c>
      <c r="AV120" s="33">
        <v>0</v>
      </c>
      <c r="AW120" s="33">
        <v>0</v>
      </c>
      <c r="AX120" s="35" t="s">
        <v>1098</v>
      </c>
      <c r="AY120" s="33">
        <v>10</v>
      </c>
      <c r="AZ120" s="34" t="s">
        <v>902</v>
      </c>
      <c r="BA120" s="33" t="s">
        <v>221</v>
      </c>
      <c r="BB120" s="33">
        <v>50</v>
      </c>
      <c r="BC120" s="107" t="s">
        <v>1054</v>
      </c>
      <c r="BD120" s="35" t="s">
        <v>21</v>
      </c>
      <c r="BE120" s="94" t="s">
        <v>1003</v>
      </c>
      <c r="BF120" s="33">
        <v>3000</v>
      </c>
      <c r="BG120" s="97">
        <v>20000</v>
      </c>
      <c r="BH120" s="97">
        <v>4000</v>
      </c>
      <c r="BI120" s="33">
        <v>10021</v>
      </c>
      <c r="BJ120" s="33" t="s">
        <v>21</v>
      </c>
      <c r="BK120" s="33">
        <v>0</v>
      </c>
      <c r="BL120" s="33">
        <f>VLOOKUP(F120,Sheet3!$B$33:$F$37,5,0)</f>
        <v>10000</v>
      </c>
      <c r="BM120" s="33">
        <v>1</v>
      </c>
      <c r="BN120" s="67">
        <v>102</v>
      </c>
      <c r="BO120" s="90">
        <v>1121</v>
      </c>
      <c r="BP120" s="68">
        <v>1121</v>
      </c>
      <c r="BQ120" s="33" t="s">
        <v>830</v>
      </c>
      <c r="BR120" s="33" t="s">
        <v>21</v>
      </c>
      <c r="BS120" s="77" t="e">
        <f>INT(MID(VLOOKUP($BO120,[1]Sheet1!$A:$C,3,0),9,5))</f>
        <v>#VALUE!</v>
      </c>
      <c r="BT120" s="77" t="str">
        <f t="shared" si="4"/>
        <v>zixiaxianzi</v>
      </c>
      <c r="BU120" s="77" t="e">
        <f>MID(VLOOKUP($BS120,[2]Sheet1!$A:$C,3,0),3,IF(ISERROR(FIND(",",VLOOKUP($BS120,[2]Sheet1!$A:$C,3,0))),LEN(VLOOKUP($BS120,[2]Sheet1!$A:$C,3,0))-4,FIND(",",VLOOKUP($BS120,[2]Sheet1!$A:$C,3,0))-4))</f>
        <v>#VALUE!</v>
      </c>
      <c r="BV120" s="77" t="str">
        <f>IF(ISERROR(MID(VLOOKUP($BS120,[2]Sheet1!$A:$D,4,0),3,IF(ISERROR(FIND(",",VLOOKUP($BS120,[2]Sheet1!$A:$D,4,0))),LEN(VLOOKUP($BS120,[2]Sheet1!$A:$D,4,0))-4,FIND(",",VLOOKUP($BS120,[2]Sheet1!$A:$D,4,0))-4))),"[]",MID(VLOOKUP($BS120,[2]Sheet1!$A:$D,4,0),3,IF(ISERROR(FIND(",",VLOOKUP($BS120,[2]Sheet1!$A:$D,4,0))),LEN(VLOOKUP($BS120,[2]Sheet1!$A:$D,4,0))-4,FIND(",",VLOOKUP($BS120,[2]Sheet1!$A:$D,4,0))-4)))</f>
        <v>[]</v>
      </c>
      <c r="BW120" s="77" t="str">
        <f t="shared" si="3"/>
        <v>2-20</v>
      </c>
    </row>
    <row r="121" spans="1:84" s="62" customFormat="1">
      <c r="A121" s="33">
        <v>1302</v>
      </c>
      <c r="B121" s="33" t="s">
        <v>321</v>
      </c>
      <c r="C121" s="33" t="s">
        <v>495</v>
      </c>
      <c r="D121" s="33">
        <v>1</v>
      </c>
      <c r="E121" s="33">
        <v>3</v>
      </c>
      <c r="F121" s="33">
        <v>3</v>
      </c>
      <c r="G121" s="33">
        <v>3</v>
      </c>
      <c r="H121" s="33" t="s">
        <v>1122</v>
      </c>
      <c r="I121" s="33">
        <v>150</v>
      </c>
      <c r="J121" s="33" t="s">
        <v>342</v>
      </c>
      <c r="K121" s="33">
        <v>10</v>
      </c>
      <c r="L121" s="33" t="s">
        <v>1151</v>
      </c>
      <c r="M121" s="33" t="s">
        <v>779</v>
      </c>
      <c r="N121" s="33" t="s">
        <v>322</v>
      </c>
      <c r="O121" s="33" t="s">
        <v>40</v>
      </c>
      <c r="P121" s="33" t="s">
        <v>371</v>
      </c>
      <c r="Q121" s="33">
        <v>1</v>
      </c>
      <c r="R121" s="33" t="s">
        <v>21</v>
      </c>
      <c r="S121" s="33" t="s">
        <v>21</v>
      </c>
      <c r="T121" s="33" t="s">
        <v>21</v>
      </c>
      <c r="U121" s="33">
        <v>6</v>
      </c>
      <c r="V121" s="33">
        <v>20</v>
      </c>
      <c r="W121" s="33">
        <f>VLOOKUP(F121,Sheet3!$B$33:$E$37,3,0)</f>
        <v>5</v>
      </c>
      <c r="X121" s="33">
        <f>VLOOKUP(F121,Sheet3!$B$33:$E$37,2,0)</f>
        <v>15</v>
      </c>
      <c r="Y121" s="33">
        <f>VLOOKUP(F121,Sheet3!$B$33:$E$37,4,0)</f>
        <v>8</v>
      </c>
      <c r="Z121" s="33">
        <v>1.25</v>
      </c>
      <c r="AA121" s="97">
        <v>0</v>
      </c>
      <c r="AB121" s="97">
        <v>0</v>
      </c>
      <c r="AC121" s="35">
        <v>20000</v>
      </c>
      <c r="AD121" s="35">
        <v>800</v>
      </c>
      <c r="AE121" s="35">
        <v>400</v>
      </c>
      <c r="AF121" s="35">
        <v>400</v>
      </c>
      <c r="AG121" s="33">
        <v>1</v>
      </c>
      <c r="AH121" s="33">
        <v>0</v>
      </c>
      <c r="AI121" s="33">
        <v>0</v>
      </c>
      <c r="AJ121" s="33">
        <v>0</v>
      </c>
      <c r="AK121" s="33">
        <v>0</v>
      </c>
      <c r="AL121" s="33">
        <v>0</v>
      </c>
      <c r="AM121" s="33">
        <v>1</v>
      </c>
      <c r="AN121" s="97">
        <v>0</v>
      </c>
      <c r="AO121" s="97">
        <v>0</v>
      </c>
      <c r="AP121" s="35">
        <v>1500</v>
      </c>
      <c r="AQ121" s="35">
        <v>60</v>
      </c>
      <c r="AR121" s="35">
        <v>30</v>
      </c>
      <c r="AS121" s="35">
        <v>30</v>
      </c>
      <c r="AT121" s="33">
        <v>0</v>
      </c>
      <c r="AU121" s="33">
        <v>0</v>
      </c>
      <c r="AV121" s="33">
        <v>0</v>
      </c>
      <c r="AW121" s="33">
        <v>0</v>
      </c>
      <c r="AX121" s="35" t="s">
        <v>1096</v>
      </c>
      <c r="AY121" s="33">
        <v>10</v>
      </c>
      <c r="AZ121" s="34" t="s">
        <v>882</v>
      </c>
      <c r="BA121" s="33" t="s">
        <v>222</v>
      </c>
      <c r="BB121" s="33">
        <v>50</v>
      </c>
      <c r="BC121" s="107" t="s">
        <v>1041</v>
      </c>
      <c r="BD121" s="35" t="s">
        <v>21</v>
      </c>
      <c r="BE121" s="94" t="s">
        <v>1003</v>
      </c>
      <c r="BF121" s="33">
        <v>3000</v>
      </c>
      <c r="BG121" s="97">
        <v>20000</v>
      </c>
      <c r="BH121" s="97">
        <v>4000</v>
      </c>
      <c r="BI121" s="33">
        <v>10111</v>
      </c>
      <c r="BJ121" s="33" t="s">
        <v>21</v>
      </c>
      <c r="BK121" s="33">
        <v>0</v>
      </c>
      <c r="BL121" s="33">
        <f>VLOOKUP(F121,Sheet3!$B$33:$F$37,5,0)</f>
        <v>50000</v>
      </c>
      <c r="BM121" s="33">
        <v>1.5</v>
      </c>
      <c r="BN121" s="67">
        <v>102</v>
      </c>
      <c r="BO121" s="90">
        <v>1211</v>
      </c>
      <c r="BP121" s="68">
        <v>1211</v>
      </c>
      <c r="BQ121" s="33" t="s">
        <v>789</v>
      </c>
      <c r="BR121" s="33" t="s">
        <v>21</v>
      </c>
      <c r="BS121" s="68" t="e">
        <f>INT(MID(VLOOKUP($BO121,[1]Sheet1!$A:$C,3,0),9,5))</f>
        <v>#VALUE!</v>
      </c>
      <c r="BT121" s="68" t="str">
        <f t="shared" si="4"/>
        <v>douzhanshengfo</v>
      </c>
      <c r="BU121" s="68" t="e">
        <f>MID(VLOOKUP($BS121,[2]Sheet1!$A:$C,3,0),3,IF(ISERROR(FIND(",",VLOOKUP($BS121,[2]Sheet1!$A:$C,3,0))),LEN(VLOOKUP($BS121,[2]Sheet1!$A:$C,3,0))-4,FIND(",",VLOOKUP($BS121,[2]Sheet1!$A:$C,3,0))-4))</f>
        <v>#VALUE!</v>
      </c>
      <c r="BV121" s="68" t="str">
        <f>IF(ISERROR(MID(VLOOKUP($BS121,[2]Sheet1!$A:$D,4,0),3,IF(ISERROR(FIND(",",VLOOKUP($BS121,[2]Sheet1!$A:$D,4,0))),LEN(VLOOKUP($BS121,[2]Sheet1!$A:$D,4,0))-4,FIND(",",VLOOKUP($BS121,[2]Sheet1!$A:$D,4,0))-4))),"[]",MID(VLOOKUP($BS121,[2]Sheet1!$A:$D,4,0),3,IF(ISERROR(FIND(",",VLOOKUP($BS121,[2]Sheet1!$A:$D,4,0))),LEN(VLOOKUP($BS121,[2]Sheet1!$A:$D,4,0))-4,FIND(",",VLOOKUP($BS121,[2]Sheet1!$A:$D,4,0))-4)))</f>
        <v>[]</v>
      </c>
      <c r="BW121" s="68" t="str">
        <f t="shared" si="3"/>
        <v>3-20</v>
      </c>
    </row>
    <row r="122" spans="1:84" s="62" customFormat="1">
      <c r="A122" s="33">
        <v>1303</v>
      </c>
      <c r="B122" s="33" t="s">
        <v>34</v>
      </c>
      <c r="C122" s="33" t="s">
        <v>502</v>
      </c>
      <c r="D122" s="33">
        <v>1</v>
      </c>
      <c r="E122" s="33">
        <v>2</v>
      </c>
      <c r="F122" s="33">
        <v>4</v>
      </c>
      <c r="G122" s="33">
        <v>4</v>
      </c>
      <c r="H122" s="33" t="s">
        <v>1123</v>
      </c>
      <c r="I122" s="33">
        <v>150</v>
      </c>
      <c r="J122" s="33" t="s">
        <v>135</v>
      </c>
      <c r="K122" s="33">
        <v>10</v>
      </c>
      <c r="L122" s="33" t="s">
        <v>1153</v>
      </c>
      <c r="M122" s="33" t="s">
        <v>779</v>
      </c>
      <c r="N122" s="33" t="s">
        <v>136</v>
      </c>
      <c r="O122" s="33" t="s">
        <v>40</v>
      </c>
      <c r="P122" s="33" t="s">
        <v>368</v>
      </c>
      <c r="Q122" s="33">
        <v>1</v>
      </c>
      <c r="R122" s="33" t="s">
        <v>21</v>
      </c>
      <c r="S122" s="33" t="s">
        <v>21</v>
      </c>
      <c r="T122" s="33" t="s">
        <v>21</v>
      </c>
      <c r="U122" s="33">
        <v>5</v>
      </c>
      <c r="V122" s="33">
        <v>16</v>
      </c>
      <c r="W122" s="33">
        <f>VLOOKUP(F122,Sheet3!$B$33:$E$37,3,0)</f>
        <v>3</v>
      </c>
      <c r="X122" s="33">
        <f>VLOOKUP(F122,Sheet3!$B$33:$E$37,2,0)</f>
        <v>15</v>
      </c>
      <c r="Y122" s="33">
        <f>VLOOKUP(F122,Sheet3!$B$33:$E$37,4,0)</f>
        <v>8</v>
      </c>
      <c r="Z122" s="33">
        <v>1</v>
      </c>
      <c r="AA122" s="97">
        <v>0</v>
      </c>
      <c r="AB122" s="97">
        <v>0</v>
      </c>
      <c r="AC122" s="35">
        <v>12500</v>
      </c>
      <c r="AD122" s="35">
        <v>500</v>
      </c>
      <c r="AE122" s="35">
        <v>250</v>
      </c>
      <c r="AF122" s="35">
        <v>250</v>
      </c>
      <c r="AG122" s="33">
        <v>1</v>
      </c>
      <c r="AH122" s="33">
        <v>0</v>
      </c>
      <c r="AI122" s="33">
        <v>0</v>
      </c>
      <c r="AJ122" s="33">
        <v>0</v>
      </c>
      <c r="AK122" s="33">
        <v>0</v>
      </c>
      <c r="AL122" s="33">
        <v>0</v>
      </c>
      <c r="AM122" s="33">
        <v>1</v>
      </c>
      <c r="AN122" s="97">
        <v>0</v>
      </c>
      <c r="AO122" s="97">
        <v>0</v>
      </c>
      <c r="AP122" s="35">
        <v>750</v>
      </c>
      <c r="AQ122" s="35">
        <v>30</v>
      </c>
      <c r="AR122" s="35">
        <v>15</v>
      </c>
      <c r="AS122" s="35">
        <v>15</v>
      </c>
      <c r="AT122" s="33">
        <v>0</v>
      </c>
      <c r="AU122" s="33">
        <v>0</v>
      </c>
      <c r="AV122" s="33">
        <v>0</v>
      </c>
      <c r="AW122" s="33">
        <v>0</v>
      </c>
      <c r="AX122" s="35" t="s">
        <v>1097</v>
      </c>
      <c r="AY122" s="33">
        <v>10</v>
      </c>
      <c r="AZ122" s="34" t="s">
        <v>886</v>
      </c>
      <c r="BA122" s="33" t="s">
        <v>221</v>
      </c>
      <c r="BB122" s="33">
        <v>50</v>
      </c>
      <c r="BC122" s="107" t="s">
        <v>872</v>
      </c>
      <c r="BD122" s="35" t="s">
        <v>21</v>
      </c>
      <c r="BE122" s="94" t="s">
        <v>1017</v>
      </c>
      <c r="BF122" s="33">
        <v>2000</v>
      </c>
      <c r="BG122" s="97">
        <v>20000</v>
      </c>
      <c r="BH122" s="97">
        <v>4000</v>
      </c>
      <c r="BI122" s="33">
        <v>10020</v>
      </c>
      <c r="BJ122" s="33" t="s">
        <v>21</v>
      </c>
      <c r="BK122" s="33">
        <v>0</v>
      </c>
      <c r="BL122" s="33">
        <f>VLOOKUP(F122,Sheet3!$B$33:$F$37,5,0)</f>
        <v>100000</v>
      </c>
      <c r="BM122" s="33">
        <v>10</v>
      </c>
      <c r="BN122" s="67">
        <v>101</v>
      </c>
      <c r="BO122" s="90">
        <v>1120</v>
      </c>
      <c r="BP122" s="68">
        <v>1120</v>
      </c>
      <c r="BQ122" s="33" t="s">
        <v>829</v>
      </c>
      <c r="BR122" s="33" t="s">
        <v>21</v>
      </c>
      <c r="BS122" s="68" t="e">
        <f>INT(MID(VLOOKUP($BO122,[1]Sheet1!$A:$C,3,0),9,5))</f>
        <v>#VALUE!</v>
      </c>
      <c r="BT122" s="68" t="str">
        <f t="shared" si="4"/>
        <v>zhubajie</v>
      </c>
      <c r="BU122" s="68" t="e">
        <f>MID(VLOOKUP($BS122,[2]Sheet1!$A:$C,3,0),3,IF(ISERROR(FIND(",",VLOOKUP($BS122,[2]Sheet1!$A:$C,3,0))),LEN(VLOOKUP($BS122,[2]Sheet1!$A:$C,3,0))-4,FIND(",",VLOOKUP($BS122,[2]Sheet1!$A:$C,3,0))-4))</f>
        <v>#VALUE!</v>
      </c>
      <c r="BV122" s="68" t="str">
        <f>IF(ISERROR(MID(VLOOKUP($BS122,[2]Sheet1!$A:$D,4,0),3,IF(ISERROR(FIND(",",VLOOKUP($BS122,[2]Sheet1!$A:$D,4,0))),LEN(VLOOKUP($BS122,[2]Sheet1!$A:$D,4,0))-4,FIND(",",VLOOKUP($BS122,[2]Sheet1!$A:$D,4,0))-4))),"[]",MID(VLOOKUP($BS122,[2]Sheet1!$A:$D,4,0),3,IF(ISERROR(FIND(",",VLOOKUP($BS122,[2]Sheet1!$A:$D,4,0))),LEN(VLOOKUP($BS122,[2]Sheet1!$A:$D,4,0))-4,FIND(",",VLOOKUP($BS122,[2]Sheet1!$A:$D,4,0))-4)))</f>
        <v>[]</v>
      </c>
      <c r="BW122" s="68" t="str">
        <f t="shared" si="3"/>
        <v>4-16</v>
      </c>
      <c r="BX122" s="62">
        <v>13</v>
      </c>
      <c r="BY122" s="62">
        <v>1400</v>
      </c>
      <c r="BZ122" s="62">
        <v>4</v>
      </c>
      <c r="CA122" s="62">
        <v>100</v>
      </c>
      <c r="CC122" s="62">
        <v>3</v>
      </c>
      <c r="CD122" s="62" t="s">
        <v>1132</v>
      </c>
      <c r="CE122" s="62">
        <v>10000</v>
      </c>
      <c r="CF122" s="62">
        <v>1.5</v>
      </c>
    </row>
    <row r="123" spans="1:84" s="64" customFormat="1">
      <c r="A123" s="33">
        <v>1304</v>
      </c>
      <c r="B123" s="36" t="s">
        <v>226</v>
      </c>
      <c r="C123" s="33" t="s">
        <v>506</v>
      </c>
      <c r="D123" s="33">
        <v>1</v>
      </c>
      <c r="E123" s="33">
        <v>3</v>
      </c>
      <c r="F123" s="33">
        <v>2</v>
      </c>
      <c r="G123" s="33">
        <v>2</v>
      </c>
      <c r="H123" s="33" t="s">
        <v>1124</v>
      </c>
      <c r="I123" s="33">
        <v>150</v>
      </c>
      <c r="J123" s="33" t="s">
        <v>490</v>
      </c>
      <c r="K123" s="33">
        <v>10</v>
      </c>
      <c r="L123" s="33" t="s">
        <v>1152</v>
      </c>
      <c r="M123" s="33" t="s">
        <v>779</v>
      </c>
      <c r="N123" s="41" t="s">
        <v>324</v>
      </c>
      <c r="O123" s="33" t="s">
        <v>40</v>
      </c>
      <c r="P123" s="33" t="s">
        <v>492</v>
      </c>
      <c r="Q123" s="33">
        <v>1</v>
      </c>
      <c r="R123" s="33" t="s">
        <v>21</v>
      </c>
      <c r="S123" s="33" t="s">
        <v>21</v>
      </c>
      <c r="T123" s="33" t="s">
        <v>21</v>
      </c>
      <c r="U123" s="33">
        <v>5</v>
      </c>
      <c r="V123" s="33">
        <v>16</v>
      </c>
      <c r="W123" s="33">
        <f>VLOOKUP(F123,Sheet3!$B$33:$E$37,3,0)</f>
        <v>9</v>
      </c>
      <c r="X123" s="33">
        <f>VLOOKUP(F123,Sheet3!$B$33:$E$37,2,0)</f>
        <v>15</v>
      </c>
      <c r="Y123" s="33">
        <f>VLOOKUP(F123,Sheet3!$B$33:$E$37,4,0)</f>
        <v>8</v>
      </c>
      <c r="Z123" s="33">
        <v>0.8</v>
      </c>
      <c r="AA123" s="97">
        <v>0</v>
      </c>
      <c r="AB123" s="97">
        <v>0</v>
      </c>
      <c r="AC123" s="35">
        <v>12500</v>
      </c>
      <c r="AD123" s="35">
        <v>500</v>
      </c>
      <c r="AE123" s="35">
        <v>250</v>
      </c>
      <c r="AF123" s="35">
        <v>250</v>
      </c>
      <c r="AG123" s="33">
        <v>1</v>
      </c>
      <c r="AH123" s="33">
        <v>0</v>
      </c>
      <c r="AI123" s="33">
        <v>0</v>
      </c>
      <c r="AJ123" s="33">
        <v>0</v>
      </c>
      <c r="AK123" s="33">
        <v>0</v>
      </c>
      <c r="AL123" s="33">
        <v>0</v>
      </c>
      <c r="AM123" s="33">
        <v>1</v>
      </c>
      <c r="AN123" s="97">
        <v>0</v>
      </c>
      <c r="AO123" s="97">
        <v>0</v>
      </c>
      <c r="AP123" s="35">
        <v>750</v>
      </c>
      <c r="AQ123" s="35">
        <v>30</v>
      </c>
      <c r="AR123" s="35">
        <v>15</v>
      </c>
      <c r="AS123" s="35">
        <v>15</v>
      </c>
      <c r="AT123" s="33">
        <v>0</v>
      </c>
      <c r="AU123" s="33">
        <v>0</v>
      </c>
      <c r="AV123" s="33">
        <v>0</v>
      </c>
      <c r="AW123" s="33">
        <v>0</v>
      </c>
      <c r="AX123" s="35" t="s">
        <v>1099</v>
      </c>
      <c r="AY123" s="33">
        <v>10</v>
      </c>
      <c r="AZ123" s="34" t="s">
        <v>896</v>
      </c>
      <c r="BA123" s="33" t="s">
        <v>222</v>
      </c>
      <c r="BB123" s="33">
        <v>50</v>
      </c>
      <c r="BC123" s="107" t="s">
        <v>1050</v>
      </c>
      <c r="BD123" s="35" t="s">
        <v>21</v>
      </c>
      <c r="BE123" s="94" t="s">
        <v>1003</v>
      </c>
      <c r="BF123" s="33">
        <v>2000</v>
      </c>
      <c r="BG123" s="97">
        <v>20000</v>
      </c>
      <c r="BH123" s="97">
        <v>4000</v>
      </c>
      <c r="BI123" s="33">
        <v>10113</v>
      </c>
      <c r="BJ123" s="33" t="s">
        <v>21</v>
      </c>
      <c r="BK123" s="33">
        <v>0</v>
      </c>
      <c r="BL123" s="33">
        <f>VLOOKUP(F123,Sheet3!$B$33:$F$37,5,0)</f>
        <v>10000</v>
      </c>
      <c r="BM123" s="33">
        <v>1</v>
      </c>
      <c r="BN123" s="75">
        <v>101</v>
      </c>
      <c r="BO123" s="90">
        <v>1213</v>
      </c>
      <c r="BP123" s="68">
        <v>1213</v>
      </c>
      <c r="BQ123" s="36" t="s">
        <v>804</v>
      </c>
      <c r="BR123" s="36" t="s">
        <v>21</v>
      </c>
      <c r="BS123" s="78" t="e">
        <f>INT(MID(VLOOKUP($BO123,[1]Sheet1!$A:$C,3,0),9,5))</f>
        <v>#VALUE!</v>
      </c>
      <c r="BT123" s="78" t="str">
        <f t="shared" si="4"/>
        <v>longdi</v>
      </c>
      <c r="BU123" s="78" t="e">
        <f>MID(VLOOKUP($BS123,[2]Sheet1!$A:$C,3,0),3,IF(ISERROR(FIND(",",VLOOKUP($BS123,[2]Sheet1!$A:$C,3,0))),LEN(VLOOKUP($BS123,[2]Sheet1!$A:$C,3,0))-4,FIND(",",VLOOKUP($BS123,[2]Sheet1!$A:$C,3,0))-4))</f>
        <v>#VALUE!</v>
      </c>
      <c r="BV123" s="78" t="str">
        <f>IF(ISERROR(MID(VLOOKUP($BS123,[2]Sheet1!$A:$D,4,0),3,IF(ISERROR(FIND(",",VLOOKUP($BS123,[2]Sheet1!$A:$D,4,0))),LEN(VLOOKUP($BS123,[2]Sheet1!$A:$D,4,0))-4,FIND(",",VLOOKUP($BS123,[2]Sheet1!$A:$D,4,0))-4))),"[]",MID(VLOOKUP($BS123,[2]Sheet1!$A:$D,4,0),3,IF(ISERROR(FIND(",",VLOOKUP($BS123,[2]Sheet1!$A:$D,4,0))),LEN(VLOOKUP($BS123,[2]Sheet1!$A:$D,4,0))-4,FIND(",",VLOOKUP($BS123,[2]Sheet1!$A:$D,4,0))-4)))</f>
        <v>[]</v>
      </c>
      <c r="BW123" s="78" t="str">
        <f t="shared" si="3"/>
        <v>2-16</v>
      </c>
    </row>
    <row r="124" spans="1:84" s="70" customFormat="1">
      <c r="C124" s="71"/>
      <c r="L124" s="72"/>
      <c r="AA124" s="101"/>
      <c r="AB124" s="101"/>
      <c r="AC124" s="111"/>
      <c r="AD124" s="111"/>
      <c r="AE124" s="111"/>
      <c r="AF124" s="111"/>
      <c r="AN124" s="101"/>
      <c r="AO124" s="101"/>
      <c r="AX124" s="114"/>
      <c r="AZ124" s="15"/>
      <c r="BC124" s="92"/>
      <c r="BE124" s="92"/>
      <c r="BG124" s="101"/>
      <c r="BH124" s="101"/>
      <c r="BN124" s="73"/>
      <c r="BO124" s="74"/>
    </row>
    <row r="125" spans="1:84" s="70" customFormat="1">
      <c r="C125" s="71"/>
      <c r="L125" s="72"/>
      <c r="AA125" s="101"/>
      <c r="AB125" s="101"/>
      <c r="AC125" s="111"/>
      <c r="AD125" s="111"/>
      <c r="AE125" s="111"/>
      <c r="AF125" s="111"/>
      <c r="AN125" s="101"/>
      <c r="AO125" s="101"/>
      <c r="AX125" s="114"/>
      <c r="AZ125" s="15"/>
      <c r="BC125" s="92"/>
      <c r="BE125" s="92"/>
      <c r="BG125" s="101"/>
      <c r="BH125" s="101"/>
      <c r="BN125" s="73"/>
      <c r="BO125" s="74"/>
    </row>
    <row r="126" spans="1:84" s="70" customFormat="1">
      <c r="C126" s="71"/>
      <c r="L126" s="72"/>
      <c r="AA126" s="101"/>
      <c r="AB126" s="101"/>
      <c r="AC126" s="111"/>
      <c r="AD126" s="111"/>
      <c r="AE126" s="111"/>
      <c r="AF126" s="111"/>
      <c r="AN126" s="101"/>
      <c r="AO126" s="101"/>
      <c r="AX126" s="114"/>
      <c r="AZ126" s="15"/>
      <c r="BC126" s="92"/>
      <c r="BE126" s="92"/>
      <c r="BG126" s="101"/>
      <c r="BH126" s="101"/>
      <c r="BN126" s="73"/>
      <c r="BO126" s="74"/>
    </row>
    <row r="127" spans="1:84" s="70" customFormat="1">
      <c r="C127" s="71"/>
      <c r="L127" s="72"/>
      <c r="AA127" s="101"/>
      <c r="AB127" s="101"/>
      <c r="AC127" s="111"/>
      <c r="AD127" s="111"/>
      <c r="AE127" s="111"/>
      <c r="AF127" s="111"/>
      <c r="AN127" s="101"/>
      <c r="AO127" s="101"/>
      <c r="AX127" s="114"/>
      <c r="AZ127" s="15"/>
      <c r="BC127" s="92"/>
      <c r="BE127" s="92"/>
      <c r="BG127" s="101"/>
      <c r="BH127" s="101"/>
      <c r="BN127" s="73"/>
      <c r="BO127" s="74"/>
    </row>
    <row r="128" spans="1:84" s="70" customFormat="1">
      <c r="C128" s="71"/>
      <c r="L128" s="72"/>
      <c r="AA128" s="101"/>
      <c r="AB128" s="101"/>
      <c r="AC128" s="111"/>
      <c r="AD128" s="111"/>
      <c r="AE128" s="111"/>
      <c r="AF128" s="111"/>
      <c r="AN128" s="101"/>
      <c r="AO128" s="101"/>
      <c r="AX128" s="114"/>
      <c r="AZ128" s="15"/>
      <c r="BC128" s="92"/>
      <c r="BE128" s="92"/>
      <c r="BG128" s="101"/>
      <c r="BH128" s="101"/>
      <c r="BN128" s="73"/>
      <c r="BO128" s="74"/>
    </row>
    <row r="129" spans="3:67" s="70" customFormat="1">
      <c r="C129" s="71"/>
      <c r="L129" s="72"/>
      <c r="AA129" s="101"/>
      <c r="AB129" s="101"/>
      <c r="AC129" s="111"/>
      <c r="AD129" s="111"/>
      <c r="AE129" s="111"/>
      <c r="AF129" s="111"/>
      <c r="AN129" s="101"/>
      <c r="AO129" s="101"/>
      <c r="AX129" s="114"/>
      <c r="AZ129" s="15"/>
      <c r="BC129" s="92"/>
      <c r="BE129" s="92"/>
      <c r="BG129" s="101"/>
      <c r="BH129" s="101"/>
      <c r="BN129" s="73"/>
      <c r="BO129" s="74"/>
    </row>
    <row r="130" spans="3:67" s="70" customFormat="1">
      <c r="C130" s="71"/>
      <c r="L130" s="72"/>
      <c r="AA130" s="101"/>
      <c r="AB130" s="101"/>
      <c r="AC130" s="111"/>
      <c r="AD130" s="111"/>
      <c r="AE130" s="111"/>
      <c r="AF130" s="111"/>
      <c r="AN130" s="101"/>
      <c r="AO130" s="101"/>
      <c r="AX130" s="114"/>
      <c r="AZ130" s="15"/>
      <c r="BC130" s="92"/>
      <c r="BE130" s="92"/>
      <c r="BG130" s="101"/>
      <c r="BH130" s="101"/>
      <c r="BN130" s="73"/>
      <c r="BO130" s="74"/>
    </row>
  </sheetData>
  <autoFilter ref="A3:BV119"/>
  <sortState ref="A7:BU61">
    <sortCondition descending="1" ref="V7:V61"/>
    <sortCondition descending="1" ref="G7:G61"/>
    <sortCondition ref="E7:E61"/>
  </sortState>
  <phoneticPr fontId="6" type="noConversion"/>
  <pageMargins left="0.69930555555555596" right="0.69930555555555596" top="0.75" bottom="0.75" header="0.3" footer="0.3"/>
  <pageSetup paperSize="9" orientation="portrait" r:id="rId1"/>
  <headerFooter alignWithMargins="0"/>
  <ignoredErrors>
    <ignoredError sqref="AZ3:AZ48 AZ50:AZ115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O37"/>
  <sheetViews>
    <sheetView topLeftCell="A10" workbookViewId="0">
      <selection activeCell="E33" sqref="E33"/>
    </sheetView>
  </sheetViews>
  <sheetFormatPr defaultRowHeight="13.5"/>
  <cols>
    <col min="1" max="1" width="9.125" bestFit="1" customWidth="1"/>
    <col min="2" max="2" width="11" bestFit="1" customWidth="1"/>
    <col min="3" max="3" width="13" bestFit="1" customWidth="1"/>
    <col min="4" max="4" width="15.125" bestFit="1" customWidth="1"/>
    <col min="5" max="5" width="13.625" customWidth="1"/>
    <col min="6" max="6" width="15.125" bestFit="1" customWidth="1"/>
    <col min="7" max="7" width="13" bestFit="1" customWidth="1"/>
    <col min="13" max="13" width="10.75" customWidth="1"/>
  </cols>
  <sheetData>
    <row r="1" spans="1:15" ht="40.5">
      <c r="A1" s="19" t="s">
        <v>431</v>
      </c>
      <c r="B1" s="19" t="s">
        <v>432</v>
      </c>
      <c r="C1" s="19" t="s">
        <v>433</v>
      </c>
      <c r="D1" s="19" t="s">
        <v>434</v>
      </c>
      <c r="E1" s="19" t="s">
        <v>435</v>
      </c>
      <c r="F1" s="19" t="s">
        <v>437</v>
      </c>
      <c r="G1" s="19" t="s">
        <v>438</v>
      </c>
      <c r="H1" s="16" t="s">
        <v>439</v>
      </c>
      <c r="I1" s="20" t="s">
        <v>440</v>
      </c>
      <c r="J1" s="21" t="s">
        <v>441</v>
      </c>
      <c r="K1" s="21" t="s">
        <v>444</v>
      </c>
      <c r="L1" s="21" t="s">
        <v>443</v>
      </c>
      <c r="M1" s="21" t="s">
        <v>442</v>
      </c>
      <c r="N1" s="21" t="s">
        <v>446</v>
      </c>
    </row>
    <row r="2" spans="1:15">
      <c r="A2" s="21" t="s">
        <v>445</v>
      </c>
      <c r="B2" s="19">
        <v>15000</v>
      </c>
      <c r="C2" s="19">
        <v>2033</v>
      </c>
      <c r="D2" s="19">
        <v>315</v>
      </c>
      <c r="E2" s="19">
        <v>315</v>
      </c>
      <c r="F2" s="19">
        <v>0</v>
      </c>
      <c r="G2" s="19">
        <v>0</v>
      </c>
      <c r="H2" s="16"/>
      <c r="I2" s="20"/>
      <c r="J2" s="21"/>
      <c r="K2" s="21"/>
      <c r="L2" s="21"/>
      <c r="M2" s="21"/>
    </row>
    <row r="3" spans="1:15">
      <c r="A3" s="18" t="s">
        <v>34</v>
      </c>
      <c r="B3" s="18">
        <v>12000</v>
      </c>
      <c r="C3" s="18">
        <v>2263</v>
      </c>
      <c r="D3" s="18">
        <v>200</v>
      </c>
      <c r="E3" s="18">
        <v>200</v>
      </c>
      <c r="F3" s="18">
        <v>20000</v>
      </c>
      <c r="G3" s="18">
        <v>0</v>
      </c>
      <c r="H3">
        <f>C3-E$8</f>
        <v>1000</v>
      </c>
      <c r="I3">
        <f>C7-D3</f>
        <v>300</v>
      </c>
      <c r="J3">
        <f t="shared" ref="J3:J8" si="0">I3*5</f>
        <v>1500</v>
      </c>
      <c r="K3">
        <f t="shared" ref="K3:K8" si="1">H3*G3</f>
        <v>0</v>
      </c>
      <c r="L3">
        <f t="shared" ref="L3:L8" si="2">H3*5*G3</f>
        <v>0</v>
      </c>
      <c r="M3" s="22">
        <f t="shared" ref="M3:M8" si="3">J3/B3</f>
        <v>0.125</v>
      </c>
      <c r="O3">
        <f>J3+9000</f>
        <v>10500</v>
      </c>
    </row>
    <row r="4" spans="1:15">
      <c r="A4" s="18" t="s">
        <v>28</v>
      </c>
      <c r="B4" s="18">
        <v>15000</v>
      </c>
      <c r="C4" s="18">
        <v>2763</v>
      </c>
      <c r="D4" s="18">
        <v>536</v>
      </c>
      <c r="E4" s="18">
        <v>536</v>
      </c>
      <c r="F4" s="18">
        <v>800</v>
      </c>
      <c r="G4" s="18">
        <v>0</v>
      </c>
      <c r="H4">
        <f>C4-E$8</f>
        <v>1500</v>
      </c>
      <c r="I4">
        <f>0</f>
        <v>0</v>
      </c>
      <c r="J4">
        <f t="shared" si="0"/>
        <v>0</v>
      </c>
      <c r="K4">
        <f t="shared" si="1"/>
        <v>0</v>
      </c>
      <c r="L4">
        <f t="shared" si="2"/>
        <v>0</v>
      </c>
      <c r="M4" s="22">
        <f t="shared" si="3"/>
        <v>0</v>
      </c>
      <c r="O4">
        <f>J4+9000</f>
        <v>9000</v>
      </c>
    </row>
    <row r="5" spans="1:15">
      <c r="A5" s="18" t="s">
        <v>132</v>
      </c>
      <c r="B5" s="18">
        <v>17000</v>
      </c>
      <c r="C5" s="18">
        <v>3263</v>
      </c>
      <c r="D5" s="18">
        <v>200</v>
      </c>
      <c r="E5" s="18">
        <v>200</v>
      </c>
      <c r="F5" s="18">
        <v>800</v>
      </c>
      <c r="G5" s="18">
        <v>12</v>
      </c>
      <c r="H5">
        <f>C5-E$8</f>
        <v>2000</v>
      </c>
      <c r="I5">
        <f>H6*2+H7+H8</f>
        <v>1672</v>
      </c>
      <c r="J5">
        <f t="shared" si="0"/>
        <v>8360</v>
      </c>
      <c r="K5">
        <f t="shared" si="1"/>
        <v>24000</v>
      </c>
      <c r="L5">
        <f t="shared" si="2"/>
        <v>120000</v>
      </c>
      <c r="M5" s="22">
        <f t="shared" si="3"/>
        <v>0.49176470588235294</v>
      </c>
      <c r="O5">
        <f>J5+9000</f>
        <v>17360</v>
      </c>
    </row>
    <row r="6" spans="1:15" ht="16.5">
      <c r="A6" s="17" t="s">
        <v>436</v>
      </c>
      <c r="B6" s="17">
        <v>100000</v>
      </c>
      <c r="C6" s="17">
        <v>400</v>
      </c>
      <c r="D6" s="17">
        <v>2000</v>
      </c>
      <c r="E6" s="17">
        <v>2000</v>
      </c>
      <c r="F6" s="17">
        <v>100</v>
      </c>
      <c r="G6" s="17">
        <v>0</v>
      </c>
      <c r="H6">
        <f>C6-D$3</f>
        <v>200</v>
      </c>
      <c r="I6">
        <f>0</f>
        <v>0</v>
      </c>
      <c r="J6">
        <f t="shared" si="0"/>
        <v>0</v>
      </c>
      <c r="K6">
        <f t="shared" si="1"/>
        <v>0</v>
      </c>
      <c r="L6">
        <f t="shared" si="2"/>
        <v>0</v>
      </c>
      <c r="M6" s="22">
        <f t="shared" si="3"/>
        <v>0</v>
      </c>
      <c r="O6">
        <f>J6+9000</f>
        <v>9000</v>
      </c>
    </row>
    <row r="7" spans="1:15" ht="16.5">
      <c r="A7" s="17" t="s">
        <v>303</v>
      </c>
      <c r="B7" s="17">
        <v>100000</v>
      </c>
      <c r="C7" s="17">
        <v>500</v>
      </c>
      <c r="D7" s="17">
        <v>2000</v>
      </c>
      <c r="E7" s="17">
        <v>2000</v>
      </c>
      <c r="F7" s="17">
        <v>100</v>
      </c>
      <c r="G7" s="17">
        <v>0</v>
      </c>
      <c r="H7">
        <f>C7-D$3</f>
        <v>300</v>
      </c>
      <c r="I7">
        <f>0</f>
        <v>0</v>
      </c>
      <c r="J7">
        <f t="shared" si="0"/>
        <v>0</v>
      </c>
      <c r="K7">
        <f t="shared" si="1"/>
        <v>0</v>
      </c>
      <c r="L7">
        <f t="shared" si="2"/>
        <v>0</v>
      </c>
      <c r="M7" s="22">
        <f t="shared" si="3"/>
        <v>0</v>
      </c>
      <c r="O7">
        <f>J7+9000</f>
        <v>9000</v>
      </c>
    </row>
    <row r="8" spans="1:15" ht="16.5">
      <c r="A8" s="17" t="s">
        <v>58</v>
      </c>
      <c r="B8" s="17">
        <v>1000000</v>
      </c>
      <c r="C8" s="17">
        <v>1172</v>
      </c>
      <c r="D8" s="17">
        <v>1263</v>
      </c>
      <c r="E8" s="17">
        <v>1263</v>
      </c>
      <c r="F8" s="17">
        <v>50000</v>
      </c>
      <c r="G8" s="17">
        <v>6</v>
      </c>
      <c r="H8">
        <f>C8-D5</f>
        <v>972</v>
      </c>
      <c r="I8">
        <f>H3+H4+H5</f>
        <v>4500</v>
      </c>
      <c r="J8">
        <f t="shared" si="0"/>
        <v>22500</v>
      </c>
      <c r="K8">
        <f t="shared" si="1"/>
        <v>5832</v>
      </c>
      <c r="L8">
        <f t="shared" si="2"/>
        <v>29160</v>
      </c>
      <c r="M8" s="22">
        <f t="shared" si="3"/>
        <v>2.2499999999999999E-2</v>
      </c>
      <c r="N8">
        <v>9000</v>
      </c>
    </row>
    <row r="17" spans="2:10">
      <c r="G17" t="s">
        <v>1032</v>
      </c>
      <c r="H17" t="s">
        <v>1033</v>
      </c>
    </row>
    <row r="18" spans="2:10" ht="16.5">
      <c r="B18" t="s">
        <v>1006</v>
      </c>
      <c r="D18" s="33">
        <v>1</v>
      </c>
      <c r="E18" s="33" t="s">
        <v>1015</v>
      </c>
      <c r="F18" s="56"/>
      <c r="G18" s="56">
        <v>1000</v>
      </c>
      <c r="H18">
        <f t="shared" ref="H18:H23" si="4">1/J18</f>
        <v>1</v>
      </c>
      <c r="J18">
        <v>1</v>
      </c>
    </row>
    <row r="19" spans="2:10" ht="16.5">
      <c r="B19" t="s">
        <v>1007</v>
      </c>
      <c r="D19" s="33">
        <v>2</v>
      </c>
      <c r="E19" s="33" t="s">
        <v>1013</v>
      </c>
      <c r="F19" s="56"/>
      <c r="G19" s="56">
        <v>3000</v>
      </c>
      <c r="H19">
        <f t="shared" si="4"/>
        <v>0.8</v>
      </c>
      <c r="J19">
        <v>1.25</v>
      </c>
    </row>
    <row r="20" spans="2:10" ht="16.5">
      <c r="B20" t="s">
        <v>1008</v>
      </c>
      <c r="D20" s="33">
        <v>3</v>
      </c>
      <c r="E20" s="33" t="s">
        <v>1014</v>
      </c>
      <c r="F20" s="56"/>
      <c r="G20" s="56">
        <v>6000</v>
      </c>
      <c r="H20">
        <f t="shared" si="4"/>
        <v>1</v>
      </c>
      <c r="J20">
        <v>1</v>
      </c>
    </row>
    <row r="21" spans="2:10" ht="16.5">
      <c r="B21" t="s">
        <v>1009</v>
      </c>
      <c r="D21" s="33">
        <v>4</v>
      </c>
      <c r="E21" s="33" t="s">
        <v>585</v>
      </c>
      <c r="F21" s="56"/>
      <c r="G21" s="56">
        <v>20000</v>
      </c>
      <c r="H21">
        <f t="shared" si="4"/>
        <v>1</v>
      </c>
      <c r="J21">
        <v>1</v>
      </c>
    </row>
    <row r="22" spans="2:10" ht="16.5">
      <c r="B22" t="s">
        <v>1010</v>
      </c>
      <c r="D22" s="33">
        <v>5</v>
      </c>
      <c r="E22" s="33" t="s">
        <v>584</v>
      </c>
      <c r="F22" s="56"/>
      <c r="G22" s="56">
        <v>6000</v>
      </c>
      <c r="H22">
        <f t="shared" si="4"/>
        <v>1.25</v>
      </c>
      <c r="J22">
        <v>0.8</v>
      </c>
    </row>
    <row r="23" spans="2:10" ht="16.5">
      <c r="B23" t="s">
        <v>1011</v>
      </c>
      <c r="D23" s="33">
        <v>6</v>
      </c>
      <c r="E23" s="33" t="s">
        <v>1012</v>
      </c>
      <c r="F23" s="56"/>
      <c r="G23" s="56">
        <v>0</v>
      </c>
      <c r="H23">
        <f t="shared" si="4"/>
        <v>0.8</v>
      </c>
      <c r="J23">
        <v>1.25</v>
      </c>
    </row>
    <row r="26" spans="2:10" ht="16.5">
      <c r="D26" s="105">
        <v>20</v>
      </c>
      <c r="E26">
        <v>6001</v>
      </c>
    </row>
    <row r="27" spans="2:10" ht="16.5">
      <c r="D27" s="105">
        <v>16</v>
      </c>
      <c r="E27">
        <v>5001</v>
      </c>
    </row>
    <row r="28" spans="2:10" ht="16.5">
      <c r="D28" s="105">
        <v>13</v>
      </c>
      <c r="E28">
        <v>4001</v>
      </c>
    </row>
    <row r="29" spans="2:10" ht="16.5">
      <c r="D29" s="105">
        <v>11</v>
      </c>
      <c r="E29">
        <v>3001</v>
      </c>
    </row>
    <row r="30" spans="2:10" ht="16.5">
      <c r="D30" s="105">
        <v>6</v>
      </c>
      <c r="E30">
        <v>2001</v>
      </c>
    </row>
    <row r="31" spans="2:10" ht="16.5">
      <c r="D31" s="105">
        <v>2</v>
      </c>
      <c r="E31">
        <v>1001</v>
      </c>
    </row>
    <row r="32" spans="2:10" ht="22.5" customHeight="1">
      <c r="C32" t="s">
        <v>1143</v>
      </c>
      <c r="D32" t="s">
        <v>1144</v>
      </c>
      <c r="E32" t="s">
        <v>1145</v>
      </c>
      <c r="F32" t="s">
        <v>1148</v>
      </c>
    </row>
    <row r="33" spans="1:6" ht="23.25" customHeight="1">
      <c r="A33" t="s">
        <v>1141</v>
      </c>
      <c r="B33">
        <v>1</v>
      </c>
      <c r="C33">
        <v>15</v>
      </c>
      <c r="D33" s="105">
        <v>9</v>
      </c>
      <c r="E33">
        <v>8</v>
      </c>
      <c r="F33">
        <v>3000</v>
      </c>
    </row>
    <row r="34" spans="1:6" ht="18.75" customHeight="1">
      <c r="A34" t="s">
        <v>1146</v>
      </c>
      <c r="B34">
        <v>2</v>
      </c>
      <c r="C34">
        <v>15</v>
      </c>
      <c r="D34" s="105">
        <v>9</v>
      </c>
      <c r="E34">
        <v>8</v>
      </c>
      <c r="F34">
        <v>10000</v>
      </c>
    </row>
    <row r="35" spans="1:6" ht="21" customHeight="1">
      <c r="A35" t="s">
        <v>1147</v>
      </c>
      <c r="B35">
        <v>3</v>
      </c>
      <c r="C35">
        <v>15</v>
      </c>
      <c r="D35" s="105">
        <v>5</v>
      </c>
      <c r="E35">
        <v>8</v>
      </c>
      <c r="F35">
        <v>50000</v>
      </c>
    </row>
    <row r="36" spans="1:6" ht="24.75" customHeight="1">
      <c r="A36" t="s">
        <v>1009</v>
      </c>
      <c r="B36">
        <v>4</v>
      </c>
      <c r="C36">
        <v>15</v>
      </c>
      <c r="D36" s="105">
        <v>3</v>
      </c>
      <c r="E36">
        <v>8</v>
      </c>
      <c r="F36">
        <v>100000</v>
      </c>
    </row>
    <row r="37" spans="1:6" ht="19.5" customHeight="1">
      <c r="A37" t="s">
        <v>1142</v>
      </c>
      <c r="B37">
        <v>5</v>
      </c>
      <c r="C37">
        <v>15</v>
      </c>
      <c r="D37" s="105">
        <v>12</v>
      </c>
      <c r="E37">
        <v>8</v>
      </c>
      <c r="F37">
        <v>1000</v>
      </c>
    </row>
  </sheetData>
  <phoneticPr fontId="1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dimension ref="A1:AW114"/>
  <sheetViews>
    <sheetView workbookViewId="0">
      <pane xSplit="3" ySplit="3" topLeftCell="AG91" activePane="bottomRight" state="frozen"/>
      <selection pane="topRight" activeCell="D1" sqref="D1"/>
      <selection pane="bottomLeft" activeCell="A4" sqref="A4"/>
      <selection pane="bottomRight" activeCell="AI105" sqref="AI105"/>
    </sheetView>
  </sheetViews>
  <sheetFormatPr defaultRowHeight="16.5"/>
  <cols>
    <col min="1" max="1" width="21.375" style="50" bestFit="1" customWidth="1"/>
    <col min="2" max="2" width="11" style="50" bestFit="1" customWidth="1"/>
    <col min="3" max="3" width="10" style="50" bestFit="1" customWidth="1"/>
    <col min="4" max="4" width="13.125" style="50" bestFit="1" customWidth="1"/>
    <col min="5" max="5" width="13.5" style="50" customWidth="1"/>
    <col min="6" max="6" width="13.375" style="50" bestFit="1" customWidth="1"/>
    <col min="7" max="7" width="10.625" style="50" bestFit="1" customWidth="1"/>
    <col min="8" max="8" width="11.625" style="50" bestFit="1" customWidth="1"/>
    <col min="9" max="9" width="10.5" style="50" bestFit="1" customWidth="1"/>
    <col min="10" max="10" width="15" style="50" bestFit="1" customWidth="1"/>
    <col min="11" max="11" width="11.625" style="50" bestFit="1" customWidth="1"/>
    <col min="12" max="12" width="10.5" style="50" bestFit="1" customWidth="1"/>
    <col min="13" max="13" width="10.5" style="50" customWidth="1"/>
    <col min="14" max="14" width="12.75" style="50" bestFit="1" customWidth="1"/>
    <col min="15" max="15" width="8.25" style="50" bestFit="1" customWidth="1"/>
    <col min="16" max="16" width="7.25" style="50" bestFit="1" customWidth="1"/>
    <col min="17" max="17" width="15.125" style="50" bestFit="1" customWidth="1"/>
    <col min="18" max="18" width="7.5" style="50" bestFit="1" customWidth="1"/>
    <col min="19" max="20" width="10.5" style="50" bestFit="1" customWidth="1"/>
    <col min="21" max="21" width="11" style="50" bestFit="1" customWidth="1"/>
    <col min="22" max="22" width="11.625" style="50" bestFit="1" customWidth="1"/>
    <col min="23" max="23" width="11" style="50" bestFit="1" customWidth="1"/>
    <col min="24" max="24" width="12.75" style="50" bestFit="1" customWidth="1"/>
    <col min="25" max="26" width="11" style="50" bestFit="1" customWidth="1"/>
    <col min="27" max="28" width="9.125" style="50" bestFit="1" customWidth="1"/>
    <col min="29" max="29" width="15.125" style="50" bestFit="1" customWidth="1"/>
    <col min="30" max="30" width="17.375" style="50" bestFit="1" customWidth="1"/>
    <col min="31" max="32" width="15" style="50" bestFit="1" customWidth="1"/>
    <col min="33" max="33" width="13.875" style="50" bestFit="1" customWidth="1"/>
    <col min="34" max="34" width="16.125" style="50" bestFit="1" customWidth="1"/>
    <col min="35" max="35" width="15" style="50" bestFit="1" customWidth="1"/>
    <col min="36" max="36" width="17.25" style="50" bestFit="1" customWidth="1"/>
    <col min="37" max="37" width="21.25" style="50" bestFit="1" customWidth="1"/>
    <col min="38" max="38" width="11.625" style="50" bestFit="1" customWidth="1"/>
    <col min="39" max="39" width="66" style="50" bestFit="1" customWidth="1"/>
    <col min="40" max="40" width="22.25" style="50" bestFit="1" customWidth="1"/>
    <col min="41" max="41" width="12.75" style="50" bestFit="1" customWidth="1"/>
    <col min="42" max="43" width="26.125" style="50" bestFit="1" customWidth="1"/>
    <col min="44" max="44" width="20.125" style="50" bestFit="1" customWidth="1"/>
    <col min="45" max="45" width="13" style="50" bestFit="1" customWidth="1"/>
    <col min="46" max="46" width="21.375" style="50" bestFit="1" customWidth="1"/>
    <col min="47" max="47" width="19.25" style="50" bestFit="1" customWidth="1"/>
    <col min="48" max="48" width="21.125" style="50" bestFit="1" customWidth="1"/>
    <col min="49" max="49" width="17.375" style="50" bestFit="1" customWidth="1"/>
    <col min="50" max="16384" width="9" style="50"/>
  </cols>
  <sheetData>
    <row r="1" spans="1:49" s="48" customFormat="1" ht="138" customHeight="1">
      <c r="A1" s="52" t="s">
        <v>677</v>
      </c>
      <c r="B1" s="52" t="s">
        <v>0</v>
      </c>
      <c r="C1" s="52" t="s">
        <v>682</v>
      </c>
      <c r="D1" s="52" t="s">
        <v>717</v>
      </c>
      <c r="E1" s="52" t="s">
        <v>678</v>
      </c>
      <c r="F1" s="52" t="s">
        <v>718</v>
      </c>
      <c r="G1" s="52" t="s">
        <v>719</v>
      </c>
      <c r="H1" s="52" t="s">
        <v>683</v>
      </c>
      <c r="I1" s="53" t="s">
        <v>684</v>
      </c>
      <c r="J1" s="53" t="s">
        <v>685</v>
      </c>
      <c r="K1" s="53" t="s">
        <v>686</v>
      </c>
      <c r="L1" s="53" t="s">
        <v>687</v>
      </c>
      <c r="M1" s="53" t="s">
        <v>724</v>
      </c>
      <c r="N1" s="53" t="s">
        <v>722</v>
      </c>
      <c r="O1" s="53" t="s">
        <v>688</v>
      </c>
      <c r="P1" s="53" t="s">
        <v>689</v>
      </c>
      <c r="Q1" s="53" t="s">
        <v>690</v>
      </c>
      <c r="R1" s="53" t="s">
        <v>691</v>
      </c>
      <c r="S1" s="53" t="s">
        <v>692</v>
      </c>
      <c r="T1" s="53" t="s">
        <v>693</v>
      </c>
      <c r="U1" s="53" t="s">
        <v>694</v>
      </c>
      <c r="V1" s="53" t="s">
        <v>695</v>
      </c>
      <c r="W1" s="53" t="s">
        <v>696</v>
      </c>
      <c r="X1" s="53" t="s">
        <v>697</v>
      </c>
      <c r="Y1" s="53" t="s">
        <v>698</v>
      </c>
      <c r="Z1" s="53" t="s">
        <v>699</v>
      </c>
      <c r="AA1" s="53" t="s">
        <v>700</v>
      </c>
      <c r="AB1" s="53" t="s">
        <v>679</v>
      </c>
      <c r="AC1" s="53" t="s">
        <v>701</v>
      </c>
      <c r="AD1" s="53" t="s">
        <v>680</v>
      </c>
      <c r="AE1" s="53" t="s">
        <v>702</v>
      </c>
      <c r="AF1" s="53" t="s">
        <v>703</v>
      </c>
      <c r="AG1" s="53" t="s">
        <v>704</v>
      </c>
      <c r="AH1" s="53" t="s">
        <v>705</v>
      </c>
      <c r="AI1" s="53" t="s">
        <v>706</v>
      </c>
      <c r="AJ1" s="53" t="s">
        <v>707</v>
      </c>
      <c r="AK1" s="53" t="s">
        <v>708</v>
      </c>
      <c r="AL1" s="53" t="s">
        <v>237</v>
      </c>
      <c r="AM1" s="53" t="s">
        <v>709</v>
      </c>
      <c r="AN1" s="53" t="s">
        <v>710</v>
      </c>
      <c r="AO1" s="53" t="s">
        <v>711</v>
      </c>
      <c r="AP1" s="53" t="s">
        <v>681</v>
      </c>
      <c r="AQ1" s="53" t="s">
        <v>712</v>
      </c>
      <c r="AR1" s="53" t="s">
        <v>713</v>
      </c>
      <c r="AS1" s="53" t="s">
        <v>714</v>
      </c>
      <c r="AT1" s="53" t="s">
        <v>715</v>
      </c>
      <c r="AU1" s="53" t="s">
        <v>245</v>
      </c>
      <c r="AV1" s="53" t="s">
        <v>716</v>
      </c>
      <c r="AW1" s="53" t="s">
        <v>676</v>
      </c>
    </row>
    <row r="2" spans="1:49">
      <c r="A2" s="54" t="str">
        <f>Sheet1!A2</f>
        <v>npc_id</v>
      </c>
      <c r="B2" s="54" t="str">
        <f>Sheet1!B2</f>
        <v>name</v>
      </c>
      <c r="C2" s="54" t="str">
        <f>Sheet1!D2</f>
        <v>hidden</v>
      </c>
      <c r="D2" s="54" t="str">
        <f>Sheet1!E2</f>
        <v>character_type</v>
      </c>
      <c r="E2" s="54" t="str">
        <f>Sheet1!F2</f>
        <v>combat_positioning</v>
      </c>
      <c r="F2" s="54" t="str">
        <f>Sheet1!G2</f>
        <v>hero_jobs</v>
      </c>
      <c r="G2" s="54" t="str">
        <f>Sheet1!U2</f>
        <v>pinzhi</v>
      </c>
      <c r="H2" s="54" t="str">
        <f>Sheet1!V2</f>
        <v>zizhi</v>
      </c>
      <c r="I2" s="54" t="s">
        <v>256</v>
      </c>
      <c r="J2" s="54" t="str">
        <f>Sheet1!X2</f>
        <v>warning_range</v>
      </c>
      <c r="K2" s="54" t="str">
        <f>Sheet1!Y2</f>
        <v>move_speed</v>
      </c>
      <c r="L2" s="54" t="str">
        <f>Sheet1!Z2</f>
        <v>atk_speed</v>
      </c>
      <c r="M2" s="54"/>
      <c r="N2" s="54"/>
      <c r="O2" s="54" t="str">
        <f>Sheet1!AC2</f>
        <v>hp</v>
      </c>
      <c r="P2" s="54" t="str">
        <f>Sheet1!AA2</f>
        <v>mp</v>
      </c>
      <c r="Q2" s="54" t="str">
        <f>Sheet1!AB2</f>
        <v>mp_r</v>
      </c>
      <c r="R2" s="54" t="str">
        <f>Sheet1!AD2</f>
        <v>attack</v>
      </c>
      <c r="S2" s="54" t="str">
        <f>Sheet1!AE2</f>
        <v>defense_p</v>
      </c>
      <c r="T2" s="54" t="str">
        <f>Sheet1!AF2</f>
        <v>defense_m</v>
      </c>
      <c r="U2" s="54" t="str">
        <f>Sheet1!AG2</f>
        <v>hit_prop</v>
      </c>
      <c r="V2" s="54" t="str">
        <f>Sheet1!AH2</f>
        <v>dodge_prop</v>
      </c>
      <c r="W2" s="54" t="str">
        <f>Sheet1!AI2</f>
        <v>crit_prop</v>
      </c>
      <c r="X2" s="54" t="str">
        <f>Sheet1!AJ2</f>
        <v>uncrit_prop</v>
      </c>
      <c r="Y2" s="54" t="str">
        <f>Sheet1!AK2</f>
        <v>damage_r</v>
      </c>
      <c r="Z2" s="54" t="str">
        <f>Sheet1!AL2</f>
        <v>damage_b</v>
      </c>
      <c r="AA2" s="54" t="str">
        <f>Sheet1!AP2</f>
        <v>hp_lvl</v>
      </c>
      <c r="AB2" s="54" t="str">
        <f>Sheet1!AN2</f>
        <v>mp_lvl</v>
      </c>
      <c r="AC2" s="54" t="str">
        <f>Sheet1!AO2</f>
        <v>mp_r_lvl</v>
      </c>
      <c r="AD2" s="54" t="str">
        <f>Sheet1!AQ2</f>
        <v>attack_lvl</v>
      </c>
      <c r="AE2" s="54" t="str">
        <f>Sheet1!AR2</f>
        <v>defense_p_lvl</v>
      </c>
      <c r="AF2" s="54" t="str">
        <f>Sheet1!AS2</f>
        <v>defense_m_lvl</v>
      </c>
      <c r="AG2" s="54" t="str">
        <f>Sheet1!AT2</f>
        <v>hit_prop_lvl</v>
      </c>
      <c r="AH2" s="54" t="str">
        <f>Sheet1!AU2</f>
        <v>dodge_prop_lvl</v>
      </c>
      <c r="AI2" s="54" t="str">
        <f>Sheet1!AV2</f>
        <v>crit_prop_lvl</v>
      </c>
      <c r="AJ2" s="54" t="str">
        <f>Sheet1!AW2</f>
        <v>uncrit_prop_lvl</v>
      </c>
      <c r="AK2" s="54" t="str">
        <f>Sheet1!AX2</f>
        <v>jinjie_id</v>
      </c>
      <c r="AL2" s="54" t="str">
        <f>Sheet1!AY2</f>
        <v>jinjie_max</v>
      </c>
      <c r="AM2" s="54" t="e">
        <f>Sheet1!#REF!</f>
        <v>#REF!</v>
      </c>
      <c r="AN2" s="54" t="str">
        <f>Sheet1!BA2</f>
        <v>juexing_id</v>
      </c>
      <c r="AO2" s="54" t="str">
        <f>Sheet1!BB2</f>
        <v>juexing_max</v>
      </c>
      <c r="AP2" s="54" t="str">
        <f>Sheet1!BC2</f>
        <v>jiban_npc</v>
      </c>
      <c r="AQ2" s="54" t="str">
        <f>Sheet1!BD2</f>
        <v>jiban_equip</v>
      </c>
      <c r="AR2" s="54" t="str">
        <f>Sheet1!BE2</f>
        <v>jiban_fabao</v>
      </c>
      <c r="AS2" s="54" t="str">
        <f>Sheet1!BF2</f>
        <v>npc_fenjie</v>
      </c>
      <c r="AT2" s="54" t="str">
        <f>Sheet1!BL2</f>
        <v>hero_hatepoint</v>
      </c>
      <c r="AU2" s="54" t="str">
        <f>Sheet1!BM2</f>
        <v>hate_coefficient</v>
      </c>
      <c r="AV2" s="54" t="str">
        <f>Sheet1!BN2</f>
        <v>peiyang</v>
      </c>
      <c r="AW2" s="54" t="str">
        <f>Sheet1!BO2</f>
        <v>shenbing</v>
      </c>
    </row>
    <row r="3" spans="1:49">
      <c r="A3" s="54" t="str">
        <f>Sheet1!A3</f>
        <v>s</v>
      </c>
      <c r="B3" s="54" t="str">
        <f>Sheet1!B3</f>
        <v>s</v>
      </c>
      <c r="C3" s="54" t="str">
        <f>Sheet1!D3</f>
        <v>i</v>
      </c>
      <c r="D3" s="54" t="str">
        <f>Sheet1!E3</f>
        <v>i</v>
      </c>
      <c r="E3" s="54" t="str">
        <f>Sheet1!F3</f>
        <v>i</v>
      </c>
      <c r="F3" s="54" t="str">
        <f>Sheet1!G3</f>
        <v>s</v>
      </c>
      <c r="G3" s="54" t="str">
        <f>Sheet1!U3</f>
        <v>i</v>
      </c>
      <c r="H3" s="54" t="str">
        <f>Sheet1!V3</f>
        <v>i</v>
      </c>
      <c r="I3" s="54" t="s">
        <v>19</v>
      </c>
      <c r="J3" s="54" t="str">
        <f>Sheet1!X3</f>
        <v>i</v>
      </c>
      <c r="K3" s="54" t="str">
        <f>Sheet1!Y3</f>
        <v>n</v>
      </c>
      <c r="L3" s="54" t="str">
        <f>Sheet1!Z3</f>
        <v>n</v>
      </c>
      <c r="M3" s="54"/>
      <c r="N3" s="54"/>
      <c r="O3" s="54" t="str">
        <f>Sheet1!AC3</f>
        <v>i</v>
      </c>
      <c r="P3" s="54" t="str">
        <f>Sheet1!AA3</f>
        <v>i</v>
      </c>
      <c r="Q3" s="54" t="str">
        <f>Sheet1!AB3</f>
        <v>i</v>
      </c>
      <c r="R3" s="54" t="str">
        <f>Sheet1!AD3</f>
        <v>i</v>
      </c>
      <c r="S3" s="54" t="str">
        <f>Sheet1!AE3</f>
        <v>i</v>
      </c>
      <c r="T3" s="54" t="str">
        <f>Sheet1!AF3</f>
        <v>i</v>
      </c>
      <c r="U3" s="54" t="str">
        <f>Sheet1!AG3</f>
        <v>n</v>
      </c>
      <c r="V3" s="54" t="str">
        <f>Sheet1!AH3</f>
        <v>n</v>
      </c>
      <c r="W3" s="54" t="str">
        <f>Sheet1!AI3</f>
        <v>n</v>
      </c>
      <c r="X3" s="54" t="str">
        <f>Sheet1!AJ3</f>
        <v>n</v>
      </c>
      <c r="Y3" s="54" t="str">
        <f>Sheet1!AK3</f>
        <v>n</v>
      </c>
      <c r="Z3" s="54" t="str">
        <f>Sheet1!AL3</f>
        <v>n</v>
      </c>
      <c r="AA3" s="54" t="str">
        <f>Sheet1!AP3</f>
        <v>n</v>
      </c>
      <c r="AB3" s="54" t="str">
        <f>Sheet1!AN3</f>
        <v>n</v>
      </c>
      <c r="AC3" s="54" t="str">
        <f>Sheet1!AO3</f>
        <v>n</v>
      </c>
      <c r="AD3" s="54" t="str">
        <f>Sheet1!AQ3</f>
        <v>n</v>
      </c>
      <c r="AE3" s="54" t="str">
        <f>Sheet1!AR3</f>
        <v>n</v>
      </c>
      <c r="AF3" s="54" t="str">
        <f>Sheet1!AS3</f>
        <v>n</v>
      </c>
      <c r="AG3" s="54" t="str">
        <f>Sheet1!AT3</f>
        <v>n</v>
      </c>
      <c r="AH3" s="54" t="str">
        <f>Sheet1!AU3</f>
        <v>n</v>
      </c>
      <c r="AI3" s="54" t="str">
        <f>Sheet1!AV3</f>
        <v>n</v>
      </c>
      <c r="AJ3" s="54" t="str">
        <f>Sheet1!AW3</f>
        <v>n</v>
      </c>
      <c r="AK3" s="54" t="str">
        <f>Sheet1!AX3</f>
        <v>s</v>
      </c>
      <c r="AL3" s="54">
        <f>Sheet1!AY4</f>
        <v>10</v>
      </c>
      <c r="AM3" s="54" t="e">
        <f>Sheet1!#REF!</f>
        <v>#REF!</v>
      </c>
      <c r="AN3" s="54" t="str">
        <f>Sheet1!BA3</f>
        <v>s</v>
      </c>
      <c r="AO3" s="54" t="str">
        <f>Sheet1!BB3</f>
        <v>i</v>
      </c>
      <c r="AP3" s="54" t="str">
        <f>Sheet1!BC3</f>
        <v>s</v>
      </c>
      <c r="AQ3" s="54" t="str">
        <f>Sheet1!BD3</f>
        <v>s</v>
      </c>
      <c r="AR3" s="54" t="str">
        <f>Sheet1!BE3</f>
        <v>s</v>
      </c>
      <c r="AS3" s="54" t="str">
        <f>Sheet1!BF3</f>
        <v>i</v>
      </c>
      <c r="AT3" s="54" t="str">
        <f>Sheet1!BL3</f>
        <v>i</v>
      </c>
      <c r="AU3" s="54" t="str">
        <f>Sheet1!BM3</f>
        <v>n</v>
      </c>
      <c r="AV3" s="54" t="str">
        <f>Sheet1!BN3</f>
        <v>s</v>
      </c>
      <c r="AW3" s="54" t="str">
        <f>Sheet1!BO3</f>
        <v>s</v>
      </c>
    </row>
    <row r="4" spans="1:49">
      <c r="A4" s="49" t="str">
        <f>Sheet1!A4</f>
        <v>player</v>
      </c>
      <c r="B4" s="49" t="str">
        <f>Sheet1!B4</f>
        <v>女主角</v>
      </c>
      <c r="C4" s="49">
        <f>Sheet1!D4</f>
        <v>1</v>
      </c>
      <c r="D4" s="49">
        <f>Sheet1!E4</f>
        <v>6</v>
      </c>
      <c r="E4" s="49">
        <f>Sheet1!F4</f>
        <v>5</v>
      </c>
      <c r="F4" s="49">
        <f>Sheet1!G4</f>
        <v>2</v>
      </c>
      <c r="G4" s="49">
        <f>Sheet1!U4</f>
        <v>4</v>
      </c>
      <c r="H4" s="49">
        <f>Sheet1!V4</f>
        <v>13</v>
      </c>
      <c r="I4" s="49">
        <v>7</v>
      </c>
      <c r="J4" s="49">
        <v>12</v>
      </c>
      <c r="K4" s="49">
        <f>Sheet1!Y4</f>
        <v>8</v>
      </c>
      <c r="L4" s="49">
        <f>Sheet1!Z4</f>
        <v>0.8</v>
      </c>
      <c r="M4" s="49">
        <v>1</v>
      </c>
      <c r="N4" s="49">
        <f ca="1">RAND()/20+0.975</f>
        <v>1.0241707534535669</v>
      </c>
      <c r="O4" s="51">
        <f>INT(M4*VLOOKUP($H4,Sheet4!$A$1:$B$7,2,FALSE)*Sheet4!D$2)</f>
        <v>5400</v>
      </c>
      <c r="P4" s="51">
        <f>M4*VLOOKUP($H4,Sheet4!$A$1:$B$7,2,FALSE)*Sheet4!E$2</f>
        <v>0</v>
      </c>
      <c r="Q4" s="51">
        <f>M4*VLOOKUP($H4,Sheet4!$A$1:$B$7,2,FALSE)*Sheet4!F$2</f>
        <v>0</v>
      </c>
      <c r="R4" s="51">
        <f>M4*VLOOKUP($H4,Sheet4!$A$1:$B$7,2,FALSE)*Sheet4!G$2</f>
        <v>180</v>
      </c>
      <c r="S4" s="51">
        <f>M4*VLOOKUP($H4,Sheet4!$A$1:$B$7,2,FALSE)*Sheet4!H$2</f>
        <v>90</v>
      </c>
      <c r="T4" s="51">
        <f>M4*VLOOKUP($H4,Sheet4!$A$1:$B$7,2,FALSE)*Sheet4!I$2</f>
        <v>90</v>
      </c>
      <c r="U4" s="51"/>
      <c r="V4" s="51"/>
      <c r="W4" s="51"/>
      <c r="X4" s="51"/>
      <c r="Y4" s="51"/>
      <c r="Z4" s="51"/>
      <c r="AA4" s="51">
        <f>ROUND(O4*0.1,0)</f>
        <v>540</v>
      </c>
      <c r="AB4" s="51">
        <f t="shared" ref="AB4:AF14" si="0">ROUND(P4*0.1,0)</f>
        <v>0</v>
      </c>
      <c r="AC4" s="51">
        <f t="shared" si="0"/>
        <v>0</v>
      </c>
      <c r="AD4" s="51">
        <f t="shared" si="0"/>
        <v>18</v>
      </c>
      <c r="AE4" s="51">
        <f t="shared" si="0"/>
        <v>9</v>
      </c>
      <c r="AF4" s="51">
        <f t="shared" si="0"/>
        <v>9</v>
      </c>
      <c r="AG4" s="51"/>
      <c r="AH4" s="51"/>
      <c r="AI4" s="51"/>
      <c r="AJ4" s="51"/>
      <c r="AK4" s="49" t="str">
        <f t="shared" ref="AK4:AK46" si="1">H4*1000+F4*100&amp;"|"&amp;AL4</f>
        <v>13200|10</v>
      </c>
      <c r="AL4" s="49">
        <v>10</v>
      </c>
      <c r="AM4" s="49"/>
      <c r="AN4" s="49"/>
      <c r="AO4" s="49">
        <f>Sheet1!BB4</f>
        <v>50</v>
      </c>
      <c r="AP4" s="49" t="str">
        <f>Sheet1!BC4</f>
        <v>[]</v>
      </c>
      <c r="AQ4" s="49" t="str">
        <f>Sheet1!BD4</f>
        <v>20012,20011,20010,20009,20005,20006,20007,20008</v>
      </c>
      <c r="AR4" s="49" t="str">
        <f>Sheet1!BE4</f>
        <v>20101,20102,20103,20104</v>
      </c>
      <c r="AS4" s="49" t="str">
        <f>Sheet1!BF4</f>
        <v>0</v>
      </c>
      <c r="AT4" s="49">
        <f>Sheet1!BL4</f>
        <v>1000</v>
      </c>
      <c r="AU4" s="49">
        <f>Sheet1!BM4</f>
        <v>0</v>
      </c>
      <c r="AV4" s="49">
        <f>Sheet1!BN4</f>
        <v>100</v>
      </c>
      <c r="AW4" s="49">
        <f>Sheet1!BO4</f>
        <v>1001</v>
      </c>
    </row>
    <row r="5" spans="1:49">
      <c r="A5" s="49" t="str">
        <f>Sheet1!A5</f>
        <v>player2</v>
      </c>
      <c r="B5" s="49" t="str">
        <f>Sheet1!B5</f>
        <v>男主角</v>
      </c>
      <c r="C5" s="49">
        <f>Sheet1!D5</f>
        <v>1</v>
      </c>
      <c r="D5" s="49">
        <f>Sheet1!E5</f>
        <v>6</v>
      </c>
      <c r="E5" s="49">
        <f>Sheet1!F5</f>
        <v>5</v>
      </c>
      <c r="F5" s="49">
        <f>Sheet1!G5</f>
        <v>2</v>
      </c>
      <c r="G5" s="49">
        <f>Sheet1!U5</f>
        <v>4</v>
      </c>
      <c r="H5" s="49">
        <f>Sheet1!V5</f>
        <v>13</v>
      </c>
      <c r="I5" s="49">
        <v>7</v>
      </c>
      <c r="J5" s="49">
        <v>12</v>
      </c>
      <c r="K5" s="49">
        <f>Sheet1!Y5</f>
        <v>8</v>
      </c>
      <c r="L5" s="49">
        <f>Sheet1!Z5</f>
        <v>0.8</v>
      </c>
      <c r="M5" s="49">
        <v>1</v>
      </c>
      <c r="N5" s="49">
        <f t="shared" ref="N5:N68" ca="1" si="2">RAND()/20+0.975</f>
        <v>1.0032476194454691</v>
      </c>
      <c r="O5" s="51">
        <f>INT(M5*VLOOKUP($H5,Sheet4!$A$1:$B$7,2,FALSE)*Sheet4!D$2)</f>
        <v>5400</v>
      </c>
      <c r="P5" s="51">
        <f>M5*VLOOKUP($H5,Sheet4!$A$1:$B$7,2,FALSE)*Sheet4!E$2</f>
        <v>0</v>
      </c>
      <c r="Q5" s="51">
        <f>M5*VLOOKUP($H5,Sheet4!$A$1:$B$7,2,FALSE)*Sheet4!F$2</f>
        <v>0</v>
      </c>
      <c r="R5" s="51">
        <f>M5*VLOOKUP($H5,Sheet4!$A$1:$B$7,2,FALSE)*Sheet4!G$2</f>
        <v>180</v>
      </c>
      <c r="S5" s="51">
        <f>M5*VLOOKUP($H5,Sheet4!$A$1:$B$7,2,FALSE)*Sheet4!H$2</f>
        <v>90</v>
      </c>
      <c r="T5" s="51">
        <f>M5*VLOOKUP($H5,Sheet4!$A$1:$B$7,2,FALSE)*Sheet4!I$2</f>
        <v>90</v>
      </c>
      <c r="U5" s="51"/>
      <c r="V5" s="51"/>
      <c r="W5" s="51"/>
      <c r="X5" s="51"/>
      <c r="Y5" s="51"/>
      <c r="Z5" s="51"/>
      <c r="AA5" s="51">
        <f t="shared" ref="AA5:AA15" si="3">ROUND(O5*0.1,0)</f>
        <v>540</v>
      </c>
      <c r="AB5" s="51">
        <f t="shared" si="0"/>
        <v>0</v>
      </c>
      <c r="AC5" s="51">
        <f t="shared" si="0"/>
        <v>0</v>
      </c>
      <c r="AD5" s="51">
        <f t="shared" si="0"/>
        <v>18</v>
      </c>
      <c r="AE5" s="51">
        <f t="shared" si="0"/>
        <v>9</v>
      </c>
      <c r="AF5" s="51">
        <f t="shared" si="0"/>
        <v>9</v>
      </c>
      <c r="AG5" s="51"/>
      <c r="AH5" s="51"/>
      <c r="AI5" s="51"/>
      <c r="AJ5" s="51"/>
      <c r="AK5" s="49" t="str">
        <f t="shared" si="1"/>
        <v>13200|10</v>
      </c>
      <c r="AL5" s="49">
        <v>10</v>
      </c>
      <c r="AM5" s="49"/>
      <c r="AN5" s="49"/>
      <c r="AO5" s="49">
        <f>Sheet1!BB5</f>
        <v>50</v>
      </c>
      <c r="AP5" s="49" t="str">
        <f>Sheet1!BC5</f>
        <v>[]</v>
      </c>
      <c r="AQ5" s="49" t="str">
        <f>Sheet1!BD5</f>
        <v>20012,20011,20010,20009,20005,20006,20007,20008</v>
      </c>
      <c r="AR5" s="49" t="str">
        <f>Sheet1!BE5</f>
        <v>20101,20102,20103,20104</v>
      </c>
      <c r="AS5" s="49" t="str">
        <f>Sheet1!BF5</f>
        <v>0</v>
      </c>
      <c r="AT5" s="49">
        <f>Sheet1!BL5</f>
        <v>1000</v>
      </c>
      <c r="AU5" s="49">
        <f>Sheet1!BM5</f>
        <v>0</v>
      </c>
      <c r="AV5" s="49">
        <f>Sheet1!BN5</f>
        <v>100</v>
      </c>
      <c r="AW5" s="49">
        <f>Sheet1!BO5</f>
        <v>1002</v>
      </c>
    </row>
    <row r="6" spans="1:49">
      <c r="A6" s="49">
        <f>Sheet1!A6</f>
        <v>1102</v>
      </c>
      <c r="B6" s="49" t="str">
        <f>Sheet1!B6</f>
        <v>哪吒</v>
      </c>
      <c r="C6" s="49">
        <f>Sheet1!D6</f>
        <v>1</v>
      </c>
      <c r="D6" s="49">
        <f>Sheet1!E6</f>
        <v>1</v>
      </c>
      <c r="E6" s="49">
        <f>Sheet1!F6</f>
        <v>3</v>
      </c>
      <c r="F6" s="49">
        <f>Sheet1!G6</f>
        <v>3</v>
      </c>
      <c r="G6" s="49">
        <f>Sheet1!U6</f>
        <v>5</v>
      </c>
      <c r="H6" s="49">
        <f>Sheet1!V6</f>
        <v>16</v>
      </c>
      <c r="I6" s="49">
        <v>2</v>
      </c>
      <c r="J6" s="49">
        <v>12</v>
      </c>
      <c r="K6" s="49">
        <f>Sheet1!Y6</f>
        <v>8</v>
      </c>
      <c r="L6" s="49">
        <f>Sheet1!Z6</f>
        <v>1.25</v>
      </c>
      <c r="M6" s="49">
        <v>1</v>
      </c>
      <c r="N6" s="49">
        <f t="shared" ca="1" si="2"/>
        <v>0.99564685657772689</v>
      </c>
      <c r="O6" s="51">
        <f>INT(M6*VLOOKUP($H6,Sheet4!$A$1:$B$7,2,FALSE)*Sheet4!D$2)</f>
        <v>6000</v>
      </c>
      <c r="P6" s="51">
        <f>M6*VLOOKUP($H6,Sheet4!$A$1:$B$7,2,FALSE)*Sheet4!E$2</f>
        <v>0</v>
      </c>
      <c r="Q6" s="51">
        <f>M6*VLOOKUP($H6,Sheet4!$A$1:$B$7,2,FALSE)*Sheet4!F$2</f>
        <v>0</v>
      </c>
      <c r="R6" s="51">
        <f>M6*VLOOKUP($H6,Sheet4!$A$1:$B$7,2,FALSE)*Sheet4!G$2</f>
        <v>200</v>
      </c>
      <c r="S6" s="51">
        <f>M6*VLOOKUP($H6,Sheet4!$A$1:$B$7,2,FALSE)*Sheet4!H$2</f>
        <v>100</v>
      </c>
      <c r="T6" s="51">
        <f>M6*VLOOKUP($H6,Sheet4!$A$1:$B$7,2,FALSE)*Sheet4!I$2</f>
        <v>100</v>
      </c>
      <c r="U6" s="51"/>
      <c r="V6" s="51"/>
      <c r="W6" s="51"/>
      <c r="X6" s="51"/>
      <c r="Y6" s="51"/>
      <c r="Z6" s="51"/>
      <c r="AA6" s="51">
        <f t="shared" si="3"/>
        <v>600</v>
      </c>
      <c r="AB6" s="51">
        <f t="shared" si="0"/>
        <v>0</v>
      </c>
      <c r="AC6" s="51">
        <f t="shared" si="0"/>
        <v>0</v>
      </c>
      <c r="AD6" s="51">
        <f t="shared" si="0"/>
        <v>20</v>
      </c>
      <c r="AE6" s="51">
        <f t="shared" si="0"/>
        <v>10</v>
      </c>
      <c r="AF6" s="51">
        <f t="shared" si="0"/>
        <v>10</v>
      </c>
      <c r="AG6" s="51"/>
      <c r="AH6" s="51"/>
      <c r="AI6" s="51"/>
      <c r="AJ6" s="51"/>
      <c r="AK6" s="49" t="str">
        <f t="shared" si="1"/>
        <v>16300|10</v>
      </c>
      <c r="AL6" s="49">
        <v>10</v>
      </c>
      <c r="AM6" s="49"/>
      <c r="AN6" s="49"/>
      <c r="AO6" s="49">
        <f>Sheet1!BB6</f>
        <v>50</v>
      </c>
      <c r="AP6" s="49" t="str">
        <f>Sheet1!BC6</f>
        <v>11112,11114,11123,11131,11135,11140</v>
      </c>
      <c r="AQ6" s="49" t="str">
        <f>Sheet1!BD6</f>
        <v>[]</v>
      </c>
      <c r="AR6" s="49" t="str">
        <f>Sheet1!BE6</f>
        <v>12017,12019,12021,12023</v>
      </c>
      <c r="AS6" s="49">
        <f>Sheet1!BF6</f>
        <v>2000</v>
      </c>
      <c r="AT6" s="49">
        <f>Sheet1!BL6</f>
        <v>50000</v>
      </c>
      <c r="AU6" s="49">
        <f>Sheet1!BM6</f>
        <v>1.5</v>
      </c>
      <c r="AV6" s="49">
        <f>Sheet1!BN6</f>
        <v>101</v>
      </c>
      <c r="AW6" s="49">
        <f>Sheet1!BO6</f>
        <v>1102</v>
      </c>
    </row>
    <row r="7" spans="1:49">
      <c r="A7" s="49">
        <f>Sheet1!A7</f>
        <v>1211</v>
      </c>
      <c r="B7" s="49" t="str">
        <f>Sheet1!B7</f>
        <v>斗战胜佛</v>
      </c>
      <c r="C7" s="49">
        <f>Sheet1!D7</f>
        <v>1</v>
      </c>
      <c r="D7" s="49">
        <f>Sheet1!E7</f>
        <v>3</v>
      </c>
      <c r="E7" s="49">
        <f>Sheet1!F7</f>
        <v>3</v>
      </c>
      <c r="F7" s="49">
        <f>Sheet1!G7</f>
        <v>3</v>
      </c>
      <c r="G7" s="49">
        <f>Sheet1!U7</f>
        <v>6</v>
      </c>
      <c r="H7" s="49">
        <f>Sheet1!V7</f>
        <v>20</v>
      </c>
      <c r="I7" s="49">
        <v>2</v>
      </c>
      <c r="J7" s="49">
        <v>12</v>
      </c>
      <c r="K7" s="49">
        <f>Sheet1!Y7</f>
        <v>8</v>
      </c>
      <c r="L7" s="49">
        <f>Sheet1!Z7</f>
        <v>1.25</v>
      </c>
      <c r="M7" s="49">
        <v>1</v>
      </c>
      <c r="N7" s="49">
        <f t="shared" ca="1" si="2"/>
        <v>0.99852932600147148</v>
      </c>
      <c r="O7" s="51">
        <f>INT(M7*VLOOKUP($H7,Sheet4!$A$1:$B$7,2,FALSE)*Sheet4!D$2)</f>
        <v>7200</v>
      </c>
      <c r="P7" s="51">
        <f>M7*VLOOKUP($H7,Sheet4!$A$1:$B$7,2,FALSE)*Sheet4!E$2</f>
        <v>0</v>
      </c>
      <c r="Q7" s="51">
        <f>M7*VLOOKUP($H7,Sheet4!$A$1:$B$7,2,FALSE)*Sheet4!F$2</f>
        <v>0</v>
      </c>
      <c r="R7" s="51">
        <f>M7*VLOOKUP($H7,Sheet4!$A$1:$B$7,2,FALSE)*Sheet4!G$2</f>
        <v>240</v>
      </c>
      <c r="S7" s="51">
        <f>M7*VLOOKUP($H7,Sheet4!$A$1:$B$7,2,FALSE)*Sheet4!H$2</f>
        <v>120</v>
      </c>
      <c r="T7" s="51">
        <f>M7*VLOOKUP($H7,Sheet4!$A$1:$B$7,2,FALSE)*Sheet4!I$2</f>
        <v>120</v>
      </c>
      <c r="U7" s="51"/>
      <c r="V7" s="51"/>
      <c r="W7" s="51"/>
      <c r="X7" s="51"/>
      <c r="Y7" s="51"/>
      <c r="Z7" s="51"/>
      <c r="AA7" s="51">
        <f t="shared" si="3"/>
        <v>720</v>
      </c>
      <c r="AB7" s="51">
        <f t="shared" si="0"/>
        <v>0</v>
      </c>
      <c r="AC7" s="51">
        <f t="shared" si="0"/>
        <v>0</v>
      </c>
      <c r="AD7" s="51">
        <f t="shared" si="0"/>
        <v>24</v>
      </c>
      <c r="AE7" s="51">
        <f t="shared" si="0"/>
        <v>12</v>
      </c>
      <c r="AF7" s="51">
        <f t="shared" si="0"/>
        <v>12</v>
      </c>
      <c r="AG7" s="51"/>
      <c r="AH7" s="51"/>
      <c r="AI7" s="51"/>
      <c r="AJ7" s="51"/>
      <c r="AK7" s="49" t="str">
        <f t="shared" si="1"/>
        <v>20300|10</v>
      </c>
      <c r="AL7" s="49">
        <v>10</v>
      </c>
      <c r="AM7" s="49"/>
      <c r="AN7" s="49"/>
      <c r="AO7" s="49">
        <f>Sheet1!BB7</f>
        <v>50</v>
      </c>
      <c r="AP7" s="49" t="str">
        <f>Sheet1!BC7</f>
        <v>11211,11213,11221,11230,11234,11238</v>
      </c>
      <c r="AQ7" s="49" t="str">
        <f>Sheet1!BD7</f>
        <v>[]</v>
      </c>
      <c r="AR7" s="49" t="str">
        <f>Sheet1!BE7</f>
        <v>12017,12019,12021,12023</v>
      </c>
      <c r="AS7" s="49">
        <f>Sheet1!BF7</f>
        <v>3000</v>
      </c>
      <c r="AT7" s="49">
        <f>Sheet1!BL7</f>
        <v>50000</v>
      </c>
      <c r="AU7" s="49">
        <f>Sheet1!BM7</f>
        <v>1.5</v>
      </c>
      <c r="AV7" s="49">
        <f>Sheet1!BN7</f>
        <v>102</v>
      </c>
      <c r="AW7" s="49">
        <f>Sheet1!BO7</f>
        <v>1211</v>
      </c>
    </row>
    <row r="8" spans="1:49">
      <c r="A8" s="49">
        <f>Sheet1!A8</f>
        <v>1101</v>
      </c>
      <c r="B8" s="49" t="str">
        <f>Sheet1!B8</f>
        <v>二郎神</v>
      </c>
      <c r="C8" s="49">
        <f>Sheet1!D8</f>
        <v>1</v>
      </c>
      <c r="D8" s="49">
        <f>Sheet1!E8</f>
        <v>1</v>
      </c>
      <c r="E8" s="49">
        <f>Sheet1!F8</f>
        <v>3</v>
      </c>
      <c r="F8" s="49">
        <f>Sheet1!G8</f>
        <v>3</v>
      </c>
      <c r="G8" s="49">
        <f>Sheet1!U8</f>
        <v>6</v>
      </c>
      <c r="H8" s="49">
        <f>Sheet1!V8</f>
        <v>20</v>
      </c>
      <c r="I8" s="49">
        <v>4</v>
      </c>
      <c r="J8" s="49">
        <v>12</v>
      </c>
      <c r="K8" s="49">
        <f>Sheet1!Y8</f>
        <v>8</v>
      </c>
      <c r="L8" s="49">
        <f>Sheet1!Z8</f>
        <v>1</v>
      </c>
      <c r="M8" s="49">
        <v>1</v>
      </c>
      <c r="N8" s="49">
        <f t="shared" ca="1" si="2"/>
        <v>1.0180475931156798</v>
      </c>
      <c r="O8" s="51">
        <f>INT(M8*VLOOKUP($H8,Sheet4!$A$1:$B$7,2,FALSE)*Sheet4!D$2)</f>
        <v>7200</v>
      </c>
      <c r="P8" s="51">
        <f>M8*VLOOKUP($H8,Sheet4!$A$1:$B$7,2,FALSE)*Sheet4!E$2</f>
        <v>0</v>
      </c>
      <c r="Q8" s="51">
        <f>M8*VLOOKUP($H8,Sheet4!$A$1:$B$7,2,FALSE)*Sheet4!F$2</f>
        <v>0</v>
      </c>
      <c r="R8" s="51">
        <f>M8*VLOOKUP($H8,Sheet4!$A$1:$B$7,2,FALSE)*Sheet4!G$2</f>
        <v>240</v>
      </c>
      <c r="S8" s="51">
        <f>M8*VLOOKUP($H8,Sheet4!$A$1:$B$7,2,FALSE)*Sheet4!H$2</f>
        <v>120</v>
      </c>
      <c r="T8" s="51">
        <f>M8*VLOOKUP($H8,Sheet4!$A$1:$B$7,2,FALSE)*Sheet4!I$2</f>
        <v>120</v>
      </c>
      <c r="U8" s="51"/>
      <c r="V8" s="51"/>
      <c r="W8" s="51"/>
      <c r="X8" s="51"/>
      <c r="Y8" s="51"/>
      <c r="Z8" s="51"/>
      <c r="AA8" s="51">
        <f t="shared" si="3"/>
        <v>720</v>
      </c>
      <c r="AB8" s="51">
        <f t="shared" si="0"/>
        <v>0</v>
      </c>
      <c r="AC8" s="51">
        <f t="shared" si="0"/>
        <v>0</v>
      </c>
      <c r="AD8" s="51">
        <f t="shared" si="0"/>
        <v>24</v>
      </c>
      <c r="AE8" s="51">
        <f t="shared" si="0"/>
        <v>12</v>
      </c>
      <c r="AF8" s="51">
        <f t="shared" si="0"/>
        <v>12</v>
      </c>
      <c r="AG8" s="51"/>
      <c r="AH8" s="51"/>
      <c r="AI8" s="51"/>
      <c r="AJ8" s="51"/>
      <c r="AK8" s="49" t="str">
        <f t="shared" si="1"/>
        <v>20300|10</v>
      </c>
      <c r="AL8" s="49">
        <v>10</v>
      </c>
      <c r="AM8" s="49"/>
      <c r="AN8" s="49"/>
      <c r="AO8" s="49">
        <f>Sheet1!BB8</f>
        <v>50</v>
      </c>
      <c r="AP8" s="49" t="str">
        <f>Sheet1!BC8</f>
        <v>11111,11113,11121,11130,11134,11138</v>
      </c>
      <c r="AQ8" s="49" t="str">
        <f>Sheet1!BD8</f>
        <v>[]</v>
      </c>
      <c r="AR8" s="49" t="str">
        <f>Sheet1!BE8</f>
        <v>12017,12019,12021,12023</v>
      </c>
      <c r="AS8" s="49">
        <f>Sheet1!BF8</f>
        <v>3000</v>
      </c>
      <c r="AT8" s="49">
        <f>Sheet1!BL8</f>
        <v>50000</v>
      </c>
      <c r="AU8" s="49">
        <f>Sheet1!BM8</f>
        <v>1.5</v>
      </c>
      <c r="AV8" s="49">
        <f>Sheet1!BN8</f>
        <v>102</v>
      </c>
      <c r="AW8" s="49">
        <f>Sheet1!BO8</f>
        <v>1101</v>
      </c>
    </row>
    <row r="9" spans="1:49">
      <c r="A9" s="49">
        <f>Sheet1!A9</f>
        <v>1108</v>
      </c>
      <c r="B9" s="49" t="str">
        <f>Sheet1!B9</f>
        <v>托塔天王</v>
      </c>
      <c r="C9" s="49">
        <f>Sheet1!D9</f>
        <v>1</v>
      </c>
      <c r="D9" s="49">
        <f>Sheet1!E9</f>
        <v>1</v>
      </c>
      <c r="E9" s="49">
        <f>Sheet1!F9</f>
        <v>4</v>
      </c>
      <c r="F9" s="49">
        <f>Sheet1!G9</f>
        <v>4</v>
      </c>
      <c r="G9" s="49">
        <f>Sheet1!U9</f>
        <v>5</v>
      </c>
      <c r="H9" s="49">
        <f>Sheet1!V9</f>
        <v>16</v>
      </c>
      <c r="I9" s="49">
        <v>4</v>
      </c>
      <c r="J9" s="49">
        <v>12</v>
      </c>
      <c r="K9" s="49">
        <f>Sheet1!Y9</f>
        <v>8</v>
      </c>
      <c r="L9" s="49">
        <f>Sheet1!Z9</f>
        <v>1</v>
      </c>
      <c r="M9" s="49">
        <v>1</v>
      </c>
      <c r="N9" s="49">
        <f t="shared" ca="1" si="2"/>
        <v>0.9988497174533284</v>
      </c>
      <c r="O9" s="51">
        <f>INT(M9*VLOOKUP($H9,Sheet4!$A$1:$B$7,2,FALSE)*Sheet4!D$2)</f>
        <v>6000</v>
      </c>
      <c r="P9" s="51">
        <f>M9*VLOOKUP($H9,Sheet4!$A$1:$B$7,2,FALSE)*Sheet4!E$2</f>
        <v>0</v>
      </c>
      <c r="Q9" s="51">
        <f>M9*VLOOKUP($H9,Sheet4!$A$1:$B$7,2,FALSE)*Sheet4!F$2</f>
        <v>0</v>
      </c>
      <c r="R9" s="51">
        <f>M9*VLOOKUP($H9,Sheet4!$A$1:$B$7,2,FALSE)*Sheet4!G$2</f>
        <v>200</v>
      </c>
      <c r="S9" s="51">
        <f>M9*VLOOKUP($H9,Sheet4!$A$1:$B$7,2,FALSE)*Sheet4!H$2</f>
        <v>100</v>
      </c>
      <c r="T9" s="51">
        <f>M9*VLOOKUP($H9,Sheet4!$A$1:$B$7,2,FALSE)*Sheet4!I$2</f>
        <v>100</v>
      </c>
      <c r="U9" s="51"/>
      <c r="V9" s="51"/>
      <c r="W9" s="51"/>
      <c r="X9" s="51"/>
      <c r="Y9" s="51"/>
      <c r="Z9" s="51"/>
      <c r="AA9" s="51">
        <f t="shared" si="3"/>
        <v>600</v>
      </c>
      <c r="AB9" s="51">
        <f t="shared" si="0"/>
        <v>0</v>
      </c>
      <c r="AC9" s="51">
        <f t="shared" si="0"/>
        <v>0</v>
      </c>
      <c r="AD9" s="51">
        <f t="shared" si="0"/>
        <v>20</v>
      </c>
      <c r="AE9" s="51">
        <f t="shared" si="0"/>
        <v>10</v>
      </c>
      <c r="AF9" s="51">
        <f t="shared" si="0"/>
        <v>10</v>
      </c>
      <c r="AG9" s="51"/>
      <c r="AH9" s="51"/>
      <c r="AI9" s="51"/>
      <c r="AJ9" s="51"/>
      <c r="AK9" s="49" t="str">
        <f t="shared" si="1"/>
        <v>16400|10</v>
      </c>
      <c r="AL9" s="49">
        <v>10</v>
      </c>
      <c r="AM9" s="49"/>
      <c r="AN9" s="49"/>
      <c r="AO9" s="49">
        <f>Sheet1!BB9</f>
        <v>50</v>
      </c>
      <c r="AP9" s="49" t="str">
        <f>Sheet1!BC9</f>
        <v>11112,11113,11115,11125,11127,11129</v>
      </c>
      <c r="AQ9" s="49" t="str">
        <f>Sheet1!BD9</f>
        <v>[]</v>
      </c>
      <c r="AR9" s="49" t="str">
        <f>Sheet1!BE9</f>
        <v>12020,12018,12022,12024</v>
      </c>
      <c r="AS9" s="49">
        <f>Sheet1!BF9</f>
        <v>2000</v>
      </c>
      <c r="AT9" s="49">
        <f>Sheet1!BL9</f>
        <v>100000</v>
      </c>
      <c r="AU9" s="49">
        <f>Sheet1!BM9</f>
        <v>10</v>
      </c>
      <c r="AV9" s="49">
        <f>Sheet1!BN9</f>
        <v>101</v>
      </c>
      <c r="AW9" s="49">
        <f>Sheet1!BO9</f>
        <v>1108</v>
      </c>
    </row>
    <row r="10" spans="1:49">
      <c r="A10" s="49">
        <f>Sheet1!A10</f>
        <v>1113</v>
      </c>
      <c r="B10" s="49" t="str">
        <f>Sheet1!B10</f>
        <v>虎力大仙</v>
      </c>
      <c r="C10" s="49">
        <f>Sheet1!D10</f>
        <v>1</v>
      </c>
      <c r="D10" s="49">
        <f>Sheet1!E10</f>
        <v>2</v>
      </c>
      <c r="E10" s="49">
        <f>Sheet1!F10</f>
        <v>4</v>
      </c>
      <c r="F10" s="49">
        <f>Sheet1!G10</f>
        <v>4</v>
      </c>
      <c r="G10" s="49">
        <f>Sheet1!U10</f>
        <v>5</v>
      </c>
      <c r="H10" s="49">
        <f>Sheet1!V10</f>
        <v>16</v>
      </c>
      <c r="I10" s="49">
        <v>4</v>
      </c>
      <c r="J10" s="49">
        <v>12</v>
      </c>
      <c r="K10" s="49">
        <f>Sheet1!Y10</f>
        <v>8</v>
      </c>
      <c r="L10" s="49">
        <f>Sheet1!Z10</f>
        <v>1</v>
      </c>
      <c r="M10" s="49">
        <v>1</v>
      </c>
      <c r="N10" s="49">
        <f t="shared" ca="1" si="2"/>
        <v>1.0154729295685563</v>
      </c>
      <c r="O10" s="51">
        <f>INT(M10*VLOOKUP($H10,Sheet4!$A$1:$B$7,2,FALSE)*Sheet4!D$2)</f>
        <v>6000</v>
      </c>
      <c r="P10" s="51">
        <f>M10*VLOOKUP($H10,Sheet4!$A$1:$B$7,2,FALSE)*Sheet4!E$2</f>
        <v>0</v>
      </c>
      <c r="Q10" s="51">
        <f>M10*VLOOKUP($H10,Sheet4!$A$1:$B$7,2,FALSE)*Sheet4!F$2</f>
        <v>0</v>
      </c>
      <c r="R10" s="51">
        <f>M10*VLOOKUP($H10,Sheet4!$A$1:$B$7,2,FALSE)*Sheet4!G$2</f>
        <v>200</v>
      </c>
      <c r="S10" s="51">
        <f>M10*VLOOKUP($H10,Sheet4!$A$1:$B$7,2,FALSE)*Sheet4!H$2</f>
        <v>100</v>
      </c>
      <c r="T10" s="51">
        <f>M10*VLOOKUP($H10,Sheet4!$A$1:$B$7,2,FALSE)*Sheet4!I$2</f>
        <v>100</v>
      </c>
      <c r="U10" s="51"/>
      <c r="V10" s="51"/>
      <c r="W10" s="51"/>
      <c r="X10" s="51"/>
      <c r="Y10" s="51"/>
      <c r="Z10" s="51"/>
      <c r="AA10" s="51">
        <f t="shared" si="3"/>
        <v>600</v>
      </c>
      <c r="AB10" s="51">
        <f t="shared" si="0"/>
        <v>0</v>
      </c>
      <c r="AC10" s="51">
        <f t="shared" si="0"/>
        <v>0</v>
      </c>
      <c r="AD10" s="51">
        <f t="shared" si="0"/>
        <v>20</v>
      </c>
      <c r="AE10" s="51">
        <f t="shared" si="0"/>
        <v>10</v>
      </c>
      <c r="AF10" s="51">
        <f t="shared" si="0"/>
        <v>10</v>
      </c>
      <c r="AG10" s="51"/>
      <c r="AH10" s="51"/>
      <c r="AI10" s="51"/>
      <c r="AJ10" s="51"/>
      <c r="AK10" s="49" t="str">
        <f t="shared" si="1"/>
        <v>16400|10</v>
      </c>
      <c r="AL10" s="49">
        <v>10</v>
      </c>
      <c r="AM10" s="49"/>
      <c r="AN10" s="49"/>
      <c r="AO10" s="49">
        <f>Sheet1!BB10</f>
        <v>50</v>
      </c>
      <c r="AP10" s="49" t="str">
        <f>Sheet1!BC10</f>
        <v>11011,11014,11016,11026,11028,11029</v>
      </c>
      <c r="AQ10" s="49" t="str">
        <f>Sheet1!BD10</f>
        <v>[]</v>
      </c>
      <c r="AR10" s="49" t="str">
        <f>Sheet1!BE10</f>
        <v>12020,12018,12022,12024</v>
      </c>
      <c r="AS10" s="49">
        <f>Sheet1!BF10</f>
        <v>2000</v>
      </c>
      <c r="AT10" s="49">
        <f>Sheet1!BL10</f>
        <v>100000</v>
      </c>
      <c r="AU10" s="49">
        <f>Sheet1!BM10</f>
        <v>10</v>
      </c>
      <c r="AV10" s="49">
        <f>Sheet1!BN10</f>
        <v>101</v>
      </c>
      <c r="AW10" s="49">
        <f>Sheet1!BO10</f>
        <v>1113</v>
      </c>
    </row>
    <row r="11" spans="1:49">
      <c r="A11" s="49">
        <f>Sheet1!A11</f>
        <v>1120</v>
      </c>
      <c r="B11" s="49" t="str">
        <f>Sheet1!B11</f>
        <v>猪八戒</v>
      </c>
      <c r="C11" s="49">
        <f>Sheet1!D11</f>
        <v>1</v>
      </c>
      <c r="D11" s="49">
        <f>Sheet1!E11</f>
        <v>2</v>
      </c>
      <c r="E11" s="49">
        <f>Sheet1!F11</f>
        <v>4</v>
      </c>
      <c r="F11" s="49">
        <f>Sheet1!G11</f>
        <v>4</v>
      </c>
      <c r="G11" s="49">
        <f>Sheet1!U11</f>
        <v>5</v>
      </c>
      <c r="H11" s="49">
        <f>Sheet1!V11</f>
        <v>16</v>
      </c>
      <c r="I11" s="49">
        <v>4</v>
      </c>
      <c r="J11" s="49">
        <v>12</v>
      </c>
      <c r="K11" s="49">
        <f>Sheet1!Y11</f>
        <v>8</v>
      </c>
      <c r="L11" s="49">
        <f>Sheet1!Z11</f>
        <v>1</v>
      </c>
      <c r="M11" s="49">
        <v>1</v>
      </c>
      <c r="N11" s="49">
        <f t="shared" ca="1" si="2"/>
        <v>0.98516732233477911</v>
      </c>
      <c r="O11" s="51">
        <f>INT(M11*VLOOKUP($H11,Sheet4!$A$1:$B$7,2,FALSE)*Sheet4!D$2)</f>
        <v>6000</v>
      </c>
      <c r="P11" s="51">
        <f>M11*VLOOKUP($H11,Sheet4!$A$1:$B$7,2,FALSE)*Sheet4!E$2</f>
        <v>0</v>
      </c>
      <c r="Q11" s="51">
        <f>M11*VLOOKUP($H11,Sheet4!$A$1:$B$7,2,FALSE)*Sheet4!F$2</f>
        <v>0</v>
      </c>
      <c r="R11" s="51">
        <f>M11*VLOOKUP($H11,Sheet4!$A$1:$B$7,2,FALSE)*Sheet4!G$2</f>
        <v>200</v>
      </c>
      <c r="S11" s="51">
        <f>M11*VLOOKUP($H11,Sheet4!$A$1:$B$7,2,FALSE)*Sheet4!H$2</f>
        <v>100</v>
      </c>
      <c r="T11" s="51">
        <f>M11*VLOOKUP($H11,Sheet4!$A$1:$B$7,2,FALSE)*Sheet4!I$2</f>
        <v>100</v>
      </c>
      <c r="U11" s="51"/>
      <c r="V11" s="51"/>
      <c r="W11" s="51"/>
      <c r="X11" s="51"/>
      <c r="Y11" s="51"/>
      <c r="Z11" s="51"/>
      <c r="AA11" s="51">
        <f t="shared" si="3"/>
        <v>600</v>
      </c>
      <c r="AB11" s="51">
        <f t="shared" si="0"/>
        <v>0</v>
      </c>
      <c r="AC11" s="51">
        <f t="shared" si="0"/>
        <v>0</v>
      </c>
      <c r="AD11" s="51">
        <f t="shared" si="0"/>
        <v>20</v>
      </c>
      <c r="AE11" s="51">
        <f t="shared" si="0"/>
        <v>10</v>
      </c>
      <c r="AF11" s="51">
        <f t="shared" si="0"/>
        <v>10</v>
      </c>
      <c r="AG11" s="51"/>
      <c r="AH11" s="51"/>
      <c r="AI11" s="51"/>
      <c r="AJ11" s="51"/>
      <c r="AK11" s="49" t="str">
        <f t="shared" si="1"/>
        <v>16400|10</v>
      </c>
      <c r="AL11" s="49">
        <v>10</v>
      </c>
      <c r="AM11" s="49"/>
      <c r="AN11" s="49"/>
      <c r="AO11" s="49">
        <f>Sheet1!BB11</f>
        <v>50</v>
      </c>
      <c r="AP11" s="49" t="str">
        <f>Sheet1!BC11</f>
        <v>11012,11013,11015,11025,11027,11029</v>
      </c>
      <c r="AQ11" s="49" t="str">
        <f>Sheet1!BD11</f>
        <v>[]</v>
      </c>
      <c r="AR11" s="49" t="str">
        <f>Sheet1!BE11</f>
        <v>12020,12018,12022,12024</v>
      </c>
      <c r="AS11" s="49">
        <f>Sheet1!BF11</f>
        <v>2000</v>
      </c>
      <c r="AT11" s="49">
        <f>Sheet1!BL11</f>
        <v>100000</v>
      </c>
      <c r="AU11" s="49">
        <f>Sheet1!BM11</f>
        <v>10</v>
      </c>
      <c r="AV11" s="49">
        <f>Sheet1!BN11</f>
        <v>101</v>
      </c>
      <c r="AW11" s="49">
        <f>Sheet1!BO11</f>
        <v>1120</v>
      </c>
    </row>
    <row r="12" spans="1:49">
      <c r="A12" s="49">
        <f>Sheet1!A12</f>
        <v>1127</v>
      </c>
      <c r="B12" s="49" t="str">
        <f>Sheet1!B12</f>
        <v>弥勒佛</v>
      </c>
      <c r="C12" s="49">
        <f>Sheet1!D12</f>
        <v>1</v>
      </c>
      <c r="D12" s="49">
        <f>Sheet1!E12</f>
        <v>3</v>
      </c>
      <c r="E12" s="49">
        <f>Sheet1!F12</f>
        <v>4</v>
      </c>
      <c r="F12" s="49">
        <f>Sheet1!G12</f>
        <v>4</v>
      </c>
      <c r="G12" s="49">
        <f>Sheet1!U12</f>
        <v>5</v>
      </c>
      <c r="H12" s="49">
        <f>Sheet1!V12</f>
        <v>16</v>
      </c>
      <c r="I12" s="49">
        <v>4</v>
      </c>
      <c r="J12" s="49">
        <v>12</v>
      </c>
      <c r="K12" s="49">
        <f>Sheet1!Y12</f>
        <v>8</v>
      </c>
      <c r="L12" s="49">
        <f>Sheet1!Z12</f>
        <v>1</v>
      </c>
      <c r="M12" s="49">
        <v>1</v>
      </c>
      <c r="N12" s="49">
        <f t="shared" ca="1" si="2"/>
        <v>1.008835027513824</v>
      </c>
      <c r="O12" s="51">
        <f>INT(M12*VLOOKUP($H12,Sheet4!$A$1:$B$7,2,FALSE)*Sheet4!D$2)</f>
        <v>6000</v>
      </c>
      <c r="P12" s="51">
        <f>M12*VLOOKUP($H12,Sheet4!$A$1:$B$7,2,FALSE)*Sheet4!E$2</f>
        <v>0</v>
      </c>
      <c r="Q12" s="51">
        <f>M12*VLOOKUP($H12,Sheet4!$A$1:$B$7,2,FALSE)*Sheet4!F$2</f>
        <v>0</v>
      </c>
      <c r="R12" s="51">
        <f>M12*VLOOKUP($H12,Sheet4!$A$1:$B$7,2,FALSE)*Sheet4!G$2</f>
        <v>200</v>
      </c>
      <c r="S12" s="51">
        <f>M12*VLOOKUP($H12,Sheet4!$A$1:$B$7,2,FALSE)*Sheet4!H$2</f>
        <v>100</v>
      </c>
      <c r="T12" s="51">
        <f>M12*VLOOKUP($H12,Sheet4!$A$1:$B$7,2,FALSE)*Sheet4!I$2</f>
        <v>100</v>
      </c>
      <c r="U12" s="51"/>
      <c r="V12" s="51"/>
      <c r="W12" s="51"/>
      <c r="X12" s="51"/>
      <c r="Y12" s="51"/>
      <c r="Z12" s="51"/>
      <c r="AA12" s="51">
        <f t="shared" si="3"/>
        <v>600</v>
      </c>
      <c r="AB12" s="51">
        <f t="shared" si="0"/>
        <v>0</v>
      </c>
      <c r="AC12" s="51">
        <f t="shared" si="0"/>
        <v>0</v>
      </c>
      <c r="AD12" s="51">
        <f t="shared" si="0"/>
        <v>20</v>
      </c>
      <c r="AE12" s="51">
        <f t="shared" si="0"/>
        <v>10</v>
      </c>
      <c r="AF12" s="51">
        <f t="shared" si="0"/>
        <v>10</v>
      </c>
      <c r="AG12" s="51"/>
      <c r="AH12" s="51"/>
      <c r="AI12" s="51"/>
      <c r="AJ12" s="51"/>
      <c r="AK12" s="49" t="str">
        <f t="shared" si="1"/>
        <v>16400|10</v>
      </c>
      <c r="AL12" s="49">
        <v>10</v>
      </c>
      <c r="AM12" s="49"/>
      <c r="AN12" s="49"/>
      <c r="AO12" s="49">
        <f>Sheet1!BB12</f>
        <v>50</v>
      </c>
      <c r="AP12" s="49" t="str">
        <f>Sheet1!BC12</f>
        <v>11211,11214,11216,11226,11228,11229</v>
      </c>
      <c r="AQ12" s="49" t="str">
        <f>Sheet1!BD12</f>
        <v>[]</v>
      </c>
      <c r="AR12" s="49" t="str">
        <f>Sheet1!BE12</f>
        <v>12020,12018,12022,12024</v>
      </c>
      <c r="AS12" s="49">
        <f>Sheet1!BF12</f>
        <v>2000</v>
      </c>
      <c r="AT12" s="49">
        <f>Sheet1!BL12</f>
        <v>100000</v>
      </c>
      <c r="AU12" s="49">
        <f>Sheet1!BM12</f>
        <v>10</v>
      </c>
      <c r="AV12" s="49">
        <f>Sheet1!BN12</f>
        <v>101</v>
      </c>
      <c r="AW12" s="49">
        <f>Sheet1!BO12</f>
        <v>1127</v>
      </c>
    </row>
    <row r="13" spans="1:49">
      <c r="A13" s="49">
        <f>Sheet1!A13</f>
        <v>1212</v>
      </c>
      <c r="B13" s="49" t="str">
        <f>Sheet1!B13</f>
        <v>金蝉子</v>
      </c>
      <c r="C13" s="49">
        <f>Sheet1!D13</f>
        <v>1</v>
      </c>
      <c r="D13" s="49">
        <f>Sheet1!E13</f>
        <v>3</v>
      </c>
      <c r="E13" s="49">
        <f>Sheet1!F13</f>
        <v>4</v>
      </c>
      <c r="F13" s="49">
        <f>Sheet1!G13</f>
        <v>4</v>
      </c>
      <c r="G13" s="49">
        <f>Sheet1!U13</f>
        <v>5</v>
      </c>
      <c r="H13" s="49">
        <f>Sheet1!V13</f>
        <v>16</v>
      </c>
      <c r="I13" s="49">
        <v>4</v>
      </c>
      <c r="J13" s="49">
        <v>12</v>
      </c>
      <c r="K13" s="49">
        <f>Sheet1!Y13</f>
        <v>8</v>
      </c>
      <c r="L13" s="49">
        <f>Sheet1!Z13</f>
        <v>1</v>
      </c>
      <c r="M13" s="49">
        <v>1</v>
      </c>
      <c r="N13" s="49">
        <f t="shared" ca="1" si="2"/>
        <v>1.0231520972348058</v>
      </c>
      <c r="O13" s="51">
        <f>M13*VLOOKUP($H13,Sheet4!$A$1:$B$7,2,FALSE)*Sheet4!D$2</f>
        <v>6000</v>
      </c>
      <c r="P13" s="51">
        <f>M13*VLOOKUP($H13,Sheet4!$A$1:$B$7,2,FALSE)*Sheet4!E$2</f>
        <v>0</v>
      </c>
      <c r="Q13" s="51">
        <f>M13*VLOOKUP($H13,Sheet4!$A$1:$B$7,2,FALSE)*Sheet4!F$2</f>
        <v>0</v>
      </c>
      <c r="R13" s="51">
        <f>M13*VLOOKUP($H13,Sheet4!$A$1:$B$7,2,FALSE)*Sheet4!G$2</f>
        <v>200</v>
      </c>
      <c r="S13" s="51">
        <f>M13*VLOOKUP($H13,Sheet4!$A$1:$B$7,2,FALSE)*Sheet4!H$2</f>
        <v>100</v>
      </c>
      <c r="T13" s="51">
        <f>M13*VLOOKUP($H13,Sheet4!$A$1:$B$7,2,FALSE)*Sheet4!I$2</f>
        <v>100</v>
      </c>
      <c r="U13" s="51"/>
      <c r="V13" s="51"/>
      <c r="W13" s="51"/>
      <c r="X13" s="51"/>
      <c r="Y13" s="51"/>
      <c r="Z13" s="51"/>
      <c r="AA13" s="51">
        <f t="shared" si="3"/>
        <v>600</v>
      </c>
      <c r="AB13" s="51">
        <f t="shared" si="0"/>
        <v>0</v>
      </c>
      <c r="AC13" s="51">
        <f t="shared" si="0"/>
        <v>0</v>
      </c>
      <c r="AD13" s="51">
        <f t="shared" si="0"/>
        <v>20</v>
      </c>
      <c r="AE13" s="51">
        <f t="shared" si="0"/>
        <v>10</v>
      </c>
      <c r="AF13" s="51">
        <f t="shared" si="0"/>
        <v>10</v>
      </c>
      <c r="AG13" s="51"/>
      <c r="AH13" s="51"/>
      <c r="AI13" s="51"/>
      <c r="AJ13" s="51"/>
      <c r="AK13" s="49" t="str">
        <f t="shared" si="1"/>
        <v>16400|10</v>
      </c>
      <c r="AL13" s="49">
        <v>10</v>
      </c>
      <c r="AM13" s="49"/>
      <c r="AN13" s="49"/>
      <c r="AO13" s="49">
        <f>Sheet1!BB13</f>
        <v>50</v>
      </c>
      <c r="AP13" s="49" t="str">
        <f>Sheet1!BC13</f>
        <v>11212,11213,11215,11225,11227,11229</v>
      </c>
      <c r="AQ13" s="49" t="str">
        <f>Sheet1!BD13</f>
        <v>[]</v>
      </c>
      <c r="AR13" s="49" t="str">
        <f>Sheet1!BE13</f>
        <v>12020,12018,12022,12024</v>
      </c>
      <c r="AS13" s="49">
        <f>Sheet1!BF13</f>
        <v>2000</v>
      </c>
      <c r="AT13" s="49">
        <f>Sheet1!BL13</f>
        <v>100000</v>
      </c>
      <c r="AU13" s="49">
        <f>Sheet1!BM13</f>
        <v>10</v>
      </c>
      <c r="AV13" s="49">
        <f>Sheet1!BN13</f>
        <v>101</v>
      </c>
      <c r="AW13" s="49">
        <f>Sheet1!BO13</f>
        <v>1212</v>
      </c>
    </row>
    <row r="14" spans="1:49">
      <c r="A14" s="49">
        <f>Sheet1!A14</f>
        <v>1219</v>
      </c>
      <c r="B14" s="49" t="str">
        <f>Sheet1!B14</f>
        <v>黑无常</v>
      </c>
      <c r="C14" s="49">
        <f>Sheet1!D14</f>
        <v>1</v>
      </c>
      <c r="D14" s="49">
        <f>Sheet1!E14</f>
        <v>1</v>
      </c>
      <c r="E14" s="49">
        <f>Sheet1!F14</f>
        <v>4</v>
      </c>
      <c r="F14" s="49">
        <f>Sheet1!G14</f>
        <v>4</v>
      </c>
      <c r="G14" s="49">
        <f>Sheet1!U14</f>
        <v>5</v>
      </c>
      <c r="H14" s="49">
        <f>Sheet1!V14</f>
        <v>16</v>
      </c>
      <c r="I14" s="49">
        <v>2</v>
      </c>
      <c r="J14" s="49">
        <v>12</v>
      </c>
      <c r="K14" s="49">
        <f>Sheet1!Y14</f>
        <v>8</v>
      </c>
      <c r="L14" s="49">
        <f>Sheet1!Z14</f>
        <v>1</v>
      </c>
      <c r="M14" s="49">
        <v>1</v>
      </c>
      <c r="N14" s="49">
        <f t="shared" ca="1" si="2"/>
        <v>0.98815573166577209</v>
      </c>
      <c r="O14" s="51">
        <f>M14*VLOOKUP($H14,Sheet4!$A$1:$B$7,2,FALSE)*Sheet4!D$2</f>
        <v>6000</v>
      </c>
      <c r="P14" s="51">
        <f>M14*VLOOKUP($H14,Sheet4!$A$1:$B$7,2,FALSE)*Sheet4!E$2</f>
        <v>0</v>
      </c>
      <c r="Q14" s="51">
        <f>M14*VLOOKUP($H14,Sheet4!$A$1:$B$7,2,FALSE)*Sheet4!F$2</f>
        <v>0</v>
      </c>
      <c r="R14" s="51">
        <f>M14*VLOOKUP($H14,Sheet4!$A$1:$B$7,2,FALSE)*Sheet4!G$2</f>
        <v>200</v>
      </c>
      <c r="S14" s="51">
        <f>M14*VLOOKUP($H14,Sheet4!$A$1:$B$7,2,FALSE)*Sheet4!H$2</f>
        <v>100</v>
      </c>
      <c r="T14" s="51">
        <f>M14*VLOOKUP($H14,Sheet4!$A$1:$B$7,2,FALSE)*Sheet4!I$2</f>
        <v>100</v>
      </c>
      <c r="U14" s="51"/>
      <c r="V14" s="51"/>
      <c r="W14" s="51"/>
      <c r="X14" s="51"/>
      <c r="Y14" s="51"/>
      <c r="Z14" s="51"/>
      <c r="AA14" s="51">
        <f t="shared" si="3"/>
        <v>600</v>
      </c>
      <c r="AB14" s="51">
        <f t="shared" si="0"/>
        <v>0</v>
      </c>
      <c r="AC14" s="51">
        <f t="shared" si="0"/>
        <v>0</v>
      </c>
      <c r="AD14" s="51">
        <f t="shared" si="0"/>
        <v>20</v>
      </c>
      <c r="AE14" s="51">
        <f t="shared" si="0"/>
        <v>10</v>
      </c>
      <c r="AF14" s="51">
        <f t="shared" si="0"/>
        <v>10</v>
      </c>
      <c r="AG14" s="51"/>
      <c r="AH14" s="51"/>
      <c r="AI14" s="51"/>
      <c r="AJ14" s="51"/>
      <c r="AK14" s="49" t="str">
        <f t="shared" si="1"/>
        <v>16400|10</v>
      </c>
      <c r="AL14" s="49">
        <v>10</v>
      </c>
      <c r="AM14" s="49"/>
      <c r="AN14" s="49"/>
      <c r="AO14" s="49">
        <f>Sheet1!BB14</f>
        <v>50</v>
      </c>
      <c r="AP14" s="49" t="str">
        <f>Sheet1!BC14</f>
        <v>11111,11114,11116,11126,11128,11129</v>
      </c>
      <c r="AQ14" s="49" t="str">
        <f>Sheet1!BD14</f>
        <v>[]</v>
      </c>
      <c r="AR14" s="49" t="str">
        <f>Sheet1!BE14</f>
        <v>12020,12018,12022,12024</v>
      </c>
      <c r="AS14" s="49">
        <f>Sheet1!BF14</f>
        <v>2000</v>
      </c>
      <c r="AT14" s="49">
        <f>Sheet1!BL14</f>
        <v>100000</v>
      </c>
      <c r="AU14" s="49">
        <f>Sheet1!BM14</f>
        <v>10</v>
      </c>
      <c r="AV14" s="49">
        <f>Sheet1!BN14</f>
        <v>101</v>
      </c>
      <c r="AW14" s="49">
        <f>Sheet1!BO14</f>
        <v>1219</v>
      </c>
    </row>
    <row r="15" spans="1:49">
      <c r="A15" s="49">
        <f>Sheet1!A15</f>
        <v>1112</v>
      </c>
      <c r="B15" s="49" t="str">
        <f>Sheet1!B15</f>
        <v>牛魔王</v>
      </c>
      <c r="C15" s="49">
        <f>Sheet1!D15</f>
        <v>1</v>
      </c>
      <c r="D15" s="49">
        <f>Sheet1!E15</f>
        <v>2</v>
      </c>
      <c r="E15" s="49">
        <f>Sheet1!F15</f>
        <v>3</v>
      </c>
      <c r="F15" s="49">
        <f>Sheet1!G15</f>
        <v>3</v>
      </c>
      <c r="G15" s="49">
        <f>Sheet1!U15</f>
        <v>5</v>
      </c>
      <c r="H15" s="49">
        <f>Sheet1!V15</f>
        <v>16</v>
      </c>
      <c r="I15" s="49">
        <v>2</v>
      </c>
      <c r="J15" s="49">
        <v>12</v>
      </c>
      <c r="K15" s="49">
        <f>Sheet1!Y15</f>
        <v>8</v>
      </c>
      <c r="L15" s="49">
        <f>Sheet1!Z15</f>
        <v>1</v>
      </c>
      <c r="M15" s="49">
        <v>1</v>
      </c>
      <c r="N15" s="49">
        <f t="shared" ca="1" si="2"/>
        <v>0.97607445639440626</v>
      </c>
      <c r="O15" s="51">
        <f>M15*VLOOKUP($H15,Sheet4!$A$1:$B$7,2,FALSE)*Sheet4!D$2</f>
        <v>6000</v>
      </c>
      <c r="P15" s="51">
        <f>M15*VLOOKUP($H15,Sheet4!$A$1:$B$7,2,FALSE)*Sheet4!E$2</f>
        <v>0</v>
      </c>
      <c r="Q15" s="51">
        <f>M15*VLOOKUP($H15,Sheet4!$A$1:$B$7,2,FALSE)*Sheet4!F$2</f>
        <v>0</v>
      </c>
      <c r="R15" s="51">
        <f>M15*VLOOKUP($H15,Sheet4!$A$1:$B$7,2,FALSE)*Sheet4!G$2</f>
        <v>200</v>
      </c>
      <c r="S15" s="51">
        <f>M15*VLOOKUP($H15,Sheet4!$A$1:$B$7,2,FALSE)*Sheet4!H$2</f>
        <v>100</v>
      </c>
      <c r="T15" s="51">
        <f>M15*VLOOKUP($H15,Sheet4!$A$1:$B$7,2,FALSE)*Sheet4!I$2</f>
        <v>100</v>
      </c>
      <c r="U15" s="51"/>
      <c r="V15" s="51"/>
      <c r="W15" s="51"/>
      <c r="X15" s="51"/>
      <c r="Y15" s="51"/>
      <c r="Z15" s="51"/>
      <c r="AA15" s="51">
        <f t="shared" si="3"/>
        <v>600</v>
      </c>
      <c r="AB15" s="51">
        <f t="shared" ref="AB15:AB78" si="4">ROUND(P15*0.1,0)</f>
        <v>0</v>
      </c>
      <c r="AC15" s="51">
        <f t="shared" ref="AC15:AC78" si="5">ROUND(Q15*0.1,0)</f>
        <v>0</v>
      </c>
      <c r="AD15" s="51">
        <f t="shared" ref="AD15:AD78" si="6">ROUND(R15*0.1,0)</f>
        <v>20</v>
      </c>
      <c r="AE15" s="51">
        <f t="shared" ref="AE15:AE78" si="7">ROUND(S15*0.1,0)</f>
        <v>10</v>
      </c>
      <c r="AF15" s="51">
        <f t="shared" ref="AF15:AF78" si="8">ROUND(T15*0.1,0)</f>
        <v>10</v>
      </c>
      <c r="AG15" s="51"/>
      <c r="AH15" s="51"/>
      <c r="AI15" s="51"/>
      <c r="AJ15" s="51"/>
      <c r="AK15" s="49" t="str">
        <f t="shared" si="1"/>
        <v>16300|10</v>
      </c>
      <c r="AL15" s="49">
        <v>10</v>
      </c>
      <c r="AM15" s="49"/>
      <c r="AN15" s="49"/>
      <c r="AO15" s="49">
        <f>Sheet1!BB15</f>
        <v>50</v>
      </c>
      <c r="AP15" s="49" t="str">
        <f>Sheet1!BC15</f>
        <v>11012,11014,11023,11031,11035,11040</v>
      </c>
      <c r="AQ15" s="49" t="str">
        <f>Sheet1!BD15</f>
        <v>[]</v>
      </c>
      <c r="AR15" s="49" t="str">
        <f>Sheet1!BE15</f>
        <v>12017,12019,12021,12023</v>
      </c>
      <c r="AS15" s="49">
        <f>Sheet1!BF15</f>
        <v>2000</v>
      </c>
      <c r="AT15" s="49">
        <f>Sheet1!BL15</f>
        <v>50000</v>
      </c>
      <c r="AU15" s="49">
        <f>Sheet1!BM15</f>
        <v>1.5</v>
      </c>
      <c r="AV15" s="49">
        <f>Sheet1!BN15</f>
        <v>101</v>
      </c>
      <c r="AW15" s="49">
        <f>Sheet1!BO15</f>
        <v>1112</v>
      </c>
    </row>
    <row r="16" spans="1:49">
      <c r="A16" s="49">
        <f>Sheet1!A16</f>
        <v>1119</v>
      </c>
      <c r="B16" s="49" t="str">
        <f>Sheet1!B16</f>
        <v>孙悟空</v>
      </c>
      <c r="C16" s="49">
        <f>Sheet1!D16</f>
        <v>1</v>
      </c>
      <c r="D16" s="49">
        <f>Sheet1!E16</f>
        <v>2</v>
      </c>
      <c r="E16" s="49">
        <f>Sheet1!F16</f>
        <v>3</v>
      </c>
      <c r="F16" s="49">
        <f>Sheet1!G16</f>
        <v>3</v>
      </c>
      <c r="G16" s="49">
        <f>Sheet1!U16</f>
        <v>6</v>
      </c>
      <c r="H16" s="49">
        <f>Sheet1!V16</f>
        <v>20</v>
      </c>
      <c r="I16" s="49">
        <v>2</v>
      </c>
      <c r="J16" s="49">
        <v>12</v>
      </c>
      <c r="K16" s="49">
        <f>Sheet1!Y16</f>
        <v>8</v>
      </c>
      <c r="L16" s="49">
        <f>Sheet1!Z16</f>
        <v>1.25</v>
      </c>
      <c r="M16" s="49">
        <v>1</v>
      </c>
      <c r="N16" s="49">
        <f ca="1">RAND()/20+0.975</f>
        <v>0.9879319470128276</v>
      </c>
      <c r="O16" s="51">
        <f>M16*VLOOKUP($H16,Sheet4!$A$1:$B$7,2,FALSE)*Sheet4!D$2</f>
        <v>7200</v>
      </c>
      <c r="P16" s="51">
        <f>M16*VLOOKUP($H16,Sheet4!$A$1:$B$7,2,FALSE)*Sheet4!E$2</f>
        <v>0</v>
      </c>
      <c r="Q16" s="51">
        <f>M16*VLOOKUP($H16,Sheet4!$A$1:$B$7,2,FALSE)*Sheet4!F$2</f>
        <v>0</v>
      </c>
      <c r="R16" s="51">
        <f>M16*VLOOKUP($H16,Sheet4!$A$1:$B$7,2,FALSE)*Sheet4!G$2</f>
        <v>240</v>
      </c>
      <c r="S16" s="51">
        <f>M16*VLOOKUP($H16,Sheet4!$A$1:$B$7,2,FALSE)*Sheet4!H$2</f>
        <v>120</v>
      </c>
      <c r="T16" s="51">
        <f>M16*VLOOKUP($H16,Sheet4!$A$1:$B$7,2,FALSE)*Sheet4!I$2</f>
        <v>120</v>
      </c>
      <c r="U16" s="51"/>
      <c r="V16" s="51"/>
      <c r="W16" s="51"/>
      <c r="X16" s="51"/>
      <c r="Y16" s="51"/>
      <c r="Z16" s="51"/>
      <c r="AA16" s="51">
        <f t="shared" ref="AA16:AA79" si="9">ROUND(O16*0.1,0)</f>
        <v>720</v>
      </c>
      <c r="AB16" s="51">
        <f t="shared" si="4"/>
        <v>0</v>
      </c>
      <c r="AC16" s="51">
        <f t="shared" si="5"/>
        <v>0</v>
      </c>
      <c r="AD16" s="51">
        <f t="shared" si="6"/>
        <v>24</v>
      </c>
      <c r="AE16" s="51">
        <f t="shared" si="7"/>
        <v>12</v>
      </c>
      <c r="AF16" s="51">
        <f t="shared" si="8"/>
        <v>12</v>
      </c>
      <c r="AG16" s="51"/>
      <c r="AH16" s="51"/>
      <c r="AI16" s="51"/>
      <c r="AJ16" s="51"/>
      <c r="AK16" s="49" t="str">
        <f t="shared" si="1"/>
        <v>20300|10</v>
      </c>
      <c r="AL16" s="49">
        <v>10</v>
      </c>
      <c r="AM16" s="49"/>
      <c r="AN16" s="49"/>
      <c r="AO16" s="49">
        <f>Sheet1!BB16</f>
        <v>50</v>
      </c>
      <c r="AP16" s="49" t="str">
        <f>Sheet1!BC16</f>
        <v>11011,11013,11021,11030,11034,11038</v>
      </c>
      <c r="AQ16" s="49" t="str">
        <f>Sheet1!BD16</f>
        <v>[]</v>
      </c>
      <c r="AR16" s="49" t="str">
        <f>Sheet1!BE16</f>
        <v>12017,12019,12021,12023</v>
      </c>
      <c r="AS16" s="49">
        <f>Sheet1!BF16</f>
        <v>3000</v>
      </c>
      <c r="AT16" s="49">
        <f>Sheet1!BL16</f>
        <v>50000</v>
      </c>
      <c r="AU16" s="49">
        <f>Sheet1!BM16</f>
        <v>1.5</v>
      </c>
      <c r="AV16" s="49">
        <f>Sheet1!BN16</f>
        <v>102</v>
      </c>
      <c r="AW16" s="49">
        <f>Sheet1!BO16</f>
        <v>1119</v>
      </c>
    </row>
    <row r="17" spans="1:49">
      <c r="A17" s="49">
        <f>Sheet1!A17</f>
        <v>1105</v>
      </c>
      <c r="B17" s="49" t="str">
        <f>Sheet1!B17</f>
        <v>王母娘娘</v>
      </c>
      <c r="C17" s="49">
        <f>Sheet1!D17</f>
        <v>1</v>
      </c>
      <c r="D17" s="49">
        <f>Sheet1!E17</f>
        <v>1</v>
      </c>
      <c r="E17" s="49">
        <f>Sheet1!F17</f>
        <v>2</v>
      </c>
      <c r="F17" s="49">
        <f>Sheet1!G17</f>
        <v>2</v>
      </c>
      <c r="G17" s="49">
        <f>Sheet1!U17</f>
        <v>6</v>
      </c>
      <c r="H17" s="49">
        <f>Sheet1!V17</f>
        <v>20</v>
      </c>
      <c r="I17" s="49">
        <v>10</v>
      </c>
      <c r="J17" s="49">
        <v>12</v>
      </c>
      <c r="K17" s="49">
        <f>Sheet1!Y17</f>
        <v>8</v>
      </c>
      <c r="L17" s="49">
        <f>Sheet1!Z17</f>
        <v>0.8</v>
      </c>
      <c r="M17" s="49">
        <v>1</v>
      </c>
      <c r="N17" s="49">
        <f t="shared" ca="1" si="2"/>
        <v>1.01640690129989</v>
      </c>
      <c r="O17" s="51">
        <f>M17*VLOOKUP($H17,Sheet4!$A$1:$B$7,2,FALSE)*Sheet4!D$2</f>
        <v>7200</v>
      </c>
      <c r="P17" s="51">
        <f>M17*VLOOKUP($H17,Sheet4!$A$1:$B$7,2,FALSE)*Sheet4!E$2</f>
        <v>0</v>
      </c>
      <c r="Q17" s="51">
        <f>M17*VLOOKUP($H17,Sheet4!$A$1:$B$7,2,FALSE)*Sheet4!F$2</f>
        <v>0</v>
      </c>
      <c r="R17" s="51">
        <f>M17*VLOOKUP($H17,Sheet4!$A$1:$B$7,2,FALSE)*Sheet4!G$2</f>
        <v>240</v>
      </c>
      <c r="S17" s="51">
        <f>M17*VLOOKUP($H17,Sheet4!$A$1:$B$7,2,FALSE)*Sheet4!H$2</f>
        <v>120</v>
      </c>
      <c r="T17" s="51">
        <f>M17*VLOOKUP($H17,Sheet4!$A$1:$B$7,2,FALSE)*Sheet4!I$2</f>
        <v>120</v>
      </c>
      <c r="U17" s="51"/>
      <c r="V17" s="51"/>
      <c r="W17" s="51"/>
      <c r="X17" s="51"/>
      <c r="Y17" s="51"/>
      <c r="Z17" s="51"/>
      <c r="AA17" s="51">
        <f t="shared" si="9"/>
        <v>720</v>
      </c>
      <c r="AB17" s="51">
        <f t="shared" si="4"/>
        <v>0</v>
      </c>
      <c r="AC17" s="51">
        <f t="shared" si="5"/>
        <v>0</v>
      </c>
      <c r="AD17" s="51">
        <f t="shared" si="6"/>
        <v>24</v>
      </c>
      <c r="AE17" s="51">
        <f t="shared" si="7"/>
        <v>12</v>
      </c>
      <c r="AF17" s="51">
        <f t="shared" si="8"/>
        <v>12</v>
      </c>
      <c r="AG17" s="51"/>
      <c r="AH17" s="51"/>
      <c r="AI17" s="51"/>
      <c r="AJ17" s="51"/>
      <c r="AK17" s="49" t="str">
        <f t="shared" si="1"/>
        <v>20200|10</v>
      </c>
      <c r="AL17" s="49">
        <v>10</v>
      </c>
      <c r="AM17" s="49"/>
      <c r="AN17" s="49"/>
      <c r="AO17" s="49">
        <f>Sheet1!BB17</f>
        <v>50</v>
      </c>
      <c r="AP17" s="49" t="str">
        <f>Sheet1!BC17</f>
        <v>11111,11113,11122,11132,11136,11139</v>
      </c>
      <c r="AQ17" s="49" t="str">
        <f>Sheet1!BD17</f>
        <v>[]</v>
      </c>
      <c r="AR17" s="49" t="str">
        <f>Sheet1!BE17</f>
        <v>12017,12019,12021,12023</v>
      </c>
      <c r="AS17" s="49">
        <f>Sheet1!BF17</f>
        <v>3000</v>
      </c>
      <c r="AT17" s="49">
        <f>Sheet1!BL17</f>
        <v>10000</v>
      </c>
      <c r="AU17" s="49">
        <f>Sheet1!BM17</f>
        <v>1</v>
      </c>
      <c r="AV17" s="49">
        <f>Sheet1!BN17</f>
        <v>102</v>
      </c>
      <c r="AW17" s="49">
        <f>Sheet1!BO17</f>
        <v>1105</v>
      </c>
    </row>
    <row r="18" spans="1:49">
      <c r="A18" s="49">
        <f>Sheet1!A18</f>
        <v>1218</v>
      </c>
      <c r="B18" s="49" t="str">
        <f>Sheet1!B18</f>
        <v>白无常</v>
      </c>
      <c r="C18" s="49">
        <f>Sheet1!D18</f>
        <v>1</v>
      </c>
      <c r="D18" s="49">
        <f>Sheet1!E18</f>
        <v>1</v>
      </c>
      <c r="E18" s="49">
        <f>Sheet1!F18</f>
        <v>2</v>
      </c>
      <c r="F18" s="49">
        <f>Sheet1!G18</f>
        <v>2</v>
      </c>
      <c r="G18" s="49">
        <f>Sheet1!U18</f>
        <v>5</v>
      </c>
      <c r="H18" s="49">
        <f>Sheet1!V18</f>
        <v>16</v>
      </c>
      <c r="I18" s="49">
        <v>10</v>
      </c>
      <c r="J18" s="49">
        <v>12</v>
      </c>
      <c r="K18" s="49">
        <f>Sheet1!Y18</f>
        <v>8</v>
      </c>
      <c r="L18" s="49">
        <f>Sheet1!Z18</f>
        <v>0.8</v>
      </c>
      <c r="M18" s="49">
        <v>1</v>
      </c>
      <c r="N18" s="49">
        <f t="shared" ca="1" si="2"/>
        <v>0.99732453631338081</v>
      </c>
      <c r="O18" s="51">
        <f>M18*VLOOKUP($H18,Sheet4!$A$1:$B$7,2,FALSE)*Sheet4!D$2</f>
        <v>6000</v>
      </c>
      <c r="P18" s="51">
        <f>M18*VLOOKUP($H18,Sheet4!$A$1:$B$7,2,FALSE)*Sheet4!E$2</f>
        <v>0</v>
      </c>
      <c r="Q18" s="51">
        <f>M18*VLOOKUP($H18,Sheet4!$A$1:$B$7,2,FALSE)*Sheet4!F$2</f>
        <v>0</v>
      </c>
      <c r="R18" s="51">
        <f>M18*VLOOKUP($H18,Sheet4!$A$1:$B$7,2,FALSE)*Sheet4!G$2</f>
        <v>200</v>
      </c>
      <c r="S18" s="51">
        <f>M18*VLOOKUP($H18,Sheet4!$A$1:$B$7,2,FALSE)*Sheet4!H$2</f>
        <v>100</v>
      </c>
      <c r="T18" s="51">
        <f>M18*VLOOKUP($H18,Sheet4!$A$1:$B$7,2,FALSE)*Sheet4!I$2</f>
        <v>100</v>
      </c>
      <c r="U18" s="51"/>
      <c r="V18" s="51"/>
      <c r="W18" s="51"/>
      <c r="X18" s="51"/>
      <c r="Y18" s="51"/>
      <c r="Z18" s="51"/>
      <c r="AA18" s="51">
        <f t="shared" si="9"/>
        <v>600</v>
      </c>
      <c r="AB18" s="51">
        <f t="shared" si="4"/>
        <v>0</v>
      </c>
      <c r="AC18" s="51">
        <f t="shared" si="5"/>
        <v>0</v>
      </c>
      <c r="AD18" s="51">
        <f t="shared" si="6"/>
        <v>20</v>
      </c>
      <c r="AE18" s="51">
        <f t="shared" si="7"/>
        <v>10</v>
      </c>
      <c r="AF18" s="51">
        <f t="shared" si="8"/>
        <v>10</v>
      </c>
      <c r="AG18" s="51"/>
      <c r="AH18" s="51"/>
      <c r="AI18" s="51"/>
      <c r="AJ18" s="51"/>
      <c r="AK18" s="49" t="str">
        <f t="shared" si="1"/>
        <v>16200|10</v>
      </c>
      <c r="AL18" s="49">
        <v>10</v>
      </c>
      <c r="AM18" s="49"/>
      <c r="AN18" s="49"/>
      <c r="AO18" s="49">
        <f>Sheet1!BB18</f>
        <v>50</v>
      </c>
      <c r="AP18" s="49" t="str">
        <f>Sheet1!BC18</f>
        <v>11112,11114,11124,11133,11137,11141</v>
      </c>
      <c r="AQ18" s="49" t="str">
        <f>Sheet1!BD18</f>
        <v>[]</v>
      </c>
      <c r="AR18" s="49" t="str">
        <f>Sheet1!BE18</f>
        <v>12017,12019,12021,12023</v>
      </c>
      <c r="AS18" s="49">
        <f>Sheet1!BF18</f>
        <v>2000</v>
      </c>
      <c r="AT18" s="49">
        <f>Sheet1!BL18</f>
        <v>10000</v>
      </c>
      <c r="AU18" s="49">
        <f>Sheet1!BM18</f>
        <v>1</v>
      </c>
      <c r="AV18" s="49">
        <f>Sheet1!BN18</f>
        <v>101</v>
      </c>
      <c r="AW18" s="49">
        <f>Sheet1!BO18</f>
        <v>1218</v>
      </c>
    </row>
    <row r="19" spans="1:49">
      <c r="A19" s="49">
        <f>Sheet1!A19</f>
        <v>1124</v>
      </c>
      <c r="B19" s="49" t="str">
        <f>Sheet1!B19</f>
        <v>沙和尚</v>
      </c>
      <c r="C19" s="49">
        <f>Sheet1!D19</f>
        <v>1</v>
      </c>
      <c r="D19" s="49">
        <f>Sheet1!E19</f>
        <v>2</v>
      </c>
      <c r="E19" s="49">
        <f>Sheet1!F19</f>
        <v>2</v>
      </c>
      <c r="F19" s="49">
        <f>Sheet1!G19</f>
        <v>2</v>
      </c>
      <c r="G19" s="49">
        <f>Sheet1!U19</f>
        <v>6</v>
      </c>
      <c r="H19" s="49">
        <f>Sheet1!V19</f>
        <v>20</v>
      </c>
      <c r="I19" s="49">
        <v>2</v>
      </c>
      <c r="J19" s="49">
        <v>12</v>
      </c>
      <c r="K19" s="49">
        <f>Sheet1!Y19</f>
        <v>8</v>
      </c>
      <c r="L19" s="49">
        <f>Sheet1!Z19</f>
        <v>0.8</v>
      </c>
      <c r="M19" s="49">
        <v>1</v>
      </c>
      <c r="N19" s="49">
        <f t="shared" ca="1" si="2"/>
        <v>1.0194995233024886</v>
      </c>
      <c r="O19" s="51">
        <f>M19*VLOOKUP($H19,Sheet4!$A$1:$B$7,2,FALSE)*Sheet4!D$2</f>
        <v>7200</v>
      </c>
      <c r="P19" s="51">
        <f>M19*VLOOKUP($H19,Sheet4!$A$1:$B$7,2,FALSE)*Sheet4!E$2</f>
        <v>0</v>
      </c>
      <c r="Q19" s="51">
        <f>M19*VLOOKUP($H19,Sheet4!$A$1:$B$7,2,FALSE)*Sheet4!F$2</f>
        <v>0</v>
      </c>
      <c r="R19" s="51">
        <f>M19*VLOOKUP($H19,Sheet4!$A$1:$B$7,2,FALSE)*Sheet4!G$2</f>
        <v>240</v>
      </c>
      <c r="S19" s="51">
        <f>M19*VLOOKUP($H19,Sheet4!$A$1:$B$7,2,FALSE)*Sheet4!H$2</f>
        <v>120</v>
      </c>
      <c r="T19" s="51">
        <f>M19*VLOOKUP($H19,Sheet4!$A$1:$B$7,2,FALSE)*Sheet4!I$2</f>
        <v>120</v>
      </c>
      <c r="U19" s="51"/>
      <c r="V19" s="51"/>
      <c r="W19" s="51"/>
      <c r="X19" s="51"/>
      <c r="Y19" s="51"/>
      <c r="Z19" s="51"/>
      <c r="AA19" s="51">
        <f t="shared" si="9"/>
        <v>720</v>
      </c>
      <c r="AB19" s="51">
        <f t="shared" si="4"/>
        <v>0</v>
      </c>
      <c r="AC19" s="51">
        <f t="shared" si="5"/>
        <v>0</v>
      </c>
      <c r="AD19" s="51">
        <f t="shared" si="6"/>
        <v>24</v>
      </c>
      <c r="AE19" s="51">
        <f t="shared" si="7"/>
        <v>12</v>
      </c>
      <c r="AF19" s="51">
        <f t="shared" si="8"/>
        <v>12</v>
      </c>
      <c r="AG19" s="51"/>
      <c r="AH19" s="51"/>
      <c r="AI19" s="51"/>
      <c r="AJ19" s="51"/>
      <c r="AK19" s="49" t="str">
        <f t="shared" si="1"/>
        <v>20200|10</v>
      </c>
      <c r="AL19" s="49">
        <v>10</v>
      </c>
      <c r="AM19" s="49"/>
      <c r="AN19" s="49"/>
      <c r="AO19" s="49">
        <f>Sheet1!BB19</f>
        <v>50</v>
      </c>
      <c r="AP19" s="49" t="str">
        <f>Sheet1!BC19</f>
        <v>11011,11013,11022,11032,11036,11039</v>
      </c>
      <c r="AQ19" s="49" t="str">
        <f>Sheet1!BD19</f>
        <v>[]</v>
      </c>
      <c r="AR19" s="49" t="str">
        <f>Sheet1!BE19</f>
        <v>12017,12019,12021,12023</v>
      </c>
      <c r="AS19" s="49">
        <f>Sheet1!BF19</f>
        <v>3000</v>
      </c>
      <c r="AT19" s="49">
        <f>Sheet1!BL19</f>
        <v>10000</v>
      </c>
      <c r="AU19" s="49">
        <f>Sheet1!BM19</f>
        <v>1</v>
      </c>
      <c r="AV19" s="49">
        <f>Sheet1!BN19</f>
        <v>102</v>
      </c>
      <c r="AW19" s="49">
        <f>Sheet1!BO19</f>
        <v>1124</v>
      </c>
    </row>
    <row r="20" spans="1:49">
      <c r="A20" s="49">
        <f>Sheet1!A20</f>
        <v>1126</v>
      </c>
      <c r="B20" s="49" t="str">
        <f>Sheet1!B20</f>
        <v>文殊菩萨</v>
      </c>
      <c r="C20" s="49">
        <f>Sheet1!D20</f>
        <v>1</v>
      </c>
      <c r="D20" s="49">
        <f>Sheet1!E20</f>
        <v>3</v>
      </c>
      <c r="E20" s="49">
        <f>Sheet1!F20</f>
        <v>1</v>
      </c>
      <c r="F20" s="49">
        <f>Sheet1!G20</f>
        <v>1</v>
      </c>
      <c r="G20" s="49">
        <f>Sheet1!U20</f>
        <v>4</v>
      </c>
      <c r="H20" s="49">
        <f>Sheet1!V20</f>
        <v>13</v>
      </c>
      <c r="I20" s="49">
        <v>10</v>
      </c>
      <c r="J20" s="49">
        <v>12</v>
      </c>
      <c r="K20" s="49">
        <f>Sheet1!Y20</f>
        <v>8</v>
      </c>
      <c r="L20" s="49">
        <f>Sheet1!Z20</f>
        <v>1</v>
      </c>
      <c r="M20" s="49">
        <v>1</v>
      </c>
      <c r="N20" s="49">
        <f t="shared" ca="1" si="2"/>
        <v>0.99794927927984045</v>
      </c>
      <c r="O20" s="51">
        <f>M20*VLOOKUP($H20,Sheet4!$A$1:$B$7,2,FALSE)*Sheet4!D$2</f>
        <v>5400</v>
      </c>
      <c r="P20" s="51">
        <f>M20*VLOOKUP($H20,Sheet4!$A$1:$B$7,2,FALSE)*Sheet4!E$2</f>
        <v>0</v>
      </c>
      <c r="Q20" s="51">
        <f>M20*VLOOKUP($H20,Sheet4!$A$1:$B$7,2,FALSE)*Sheet4!F$2</f>
        <v>0</v>
      </c>
      <c r="R20" s="51">
        <f>M20*VLOOKUP($H20,Sheet4!$A$1:$B$7,2,FALSE)*Sheet4!G$2</f>
        <v>180</v>
      </c>
      <c r="S20" s="51">
        <f>M20*VLOOKUP($H20,Sheet4!$A$1:$B$7,2,FALSE)*Sheet4!H$2</f>
        <v>90</v>
      </c>
      <c r="T20" s="51">
        <f>M20*VLOOKUP($H20,Sheet4!$A$1:$B$7,2,FALSE)*Sheet4!I$2</f>
        <v>90</v>
      </c>
      <c r="U20" s="51"/>
      <c r="V20" s="51"/>
      <c r="W20" s="51"/>
      <c r="X20" s="51"/>
      <c r="Y20" s="51"/>
      <c r="Z20" s="51"/>
      <c r="AA20" s="51">
        <f t="shared" si="9"/>
        <v>540</v>
      </c>
      <c r="AB20" s="51">
        <f t="shared" si="4"/>
        <v>0</v>
      </c>
      <c r="AC20" s="51">
        <f t="shared" si="5"/>
        <v>0</v>
      </c>
      <c r="AD20" s="51">
        <f t="shared" si="6"/>
        <v>18</v>
      </c>
      <c r="AE20" s="51">
        <f t="shared" si="7"/>
        <v>9</v>
      </c>
      <c r="AF20" s="51">
        <f t="shared" si="8"/>
        <v>9</v>
      </c>
      <c r="AG20" s="51"/>
      <c r="AH20" s="51"/>
      <c r="AI20" s="51"/>
      <c r="AJ20" s="51"/>
      <c r="AK20" s="49" t="str">
        <f t="shared" si="1"/>
        <v>13100|10</v>
      </c>
      <c r="AL20" s="49">
        <v>10</v>
      </c>
      <c r="AM20" s="49"/>
      <c r="AN20" s="49"/>
      <c r="AO20" s="49">
        <f>Sheet1!BB20</f>
        <v>50</v>
      </c>
      <c r="AP20" s="49" t="str">
        <f>Sheet1!BC20</f>
        <v>11211,11215,11216,11221,11222,11243</v>
      </c>
      <c r="AQ20" s="49" t="str">
        <f>Sheet1!BD20</f>
        <v>[]</v>
      </c>
      <c r="AR20" s="49" t="str">
        <f>Sheet1!BE20</f>
        <v>12020,12018,12022,12024</v>
      </c>
      <c r="AS20" s="49">
        <f>Sheet1!BF20</f>
        <v>1400</v>
      </c>
      <c r="AT20" s="49">
        <f>Sheet1!BL20</f>
        <v>3000</v>
      </c>
      <c r="AU20" s="49">
        <f>Sheet1!BM20</f>
        <v>1</v>
      </c>
      <c r="AV20" s="49">
        <f>Sheet1!BN20</f>
        <v>100</v>
      </c>
      <c r="AW20" s="49">
        <f>Sheet1!BO20</f>
        <v>1126</v>
      </c>
    </row>
    <row r="21" spans="1:49">
      <c r="A21" s="49">
        <f>Sheet1!A21</f>
        <v>1213</v>
      </c>
      <c r="B21" s="49" t="str">
        <f>Sheet1!B21</f>
        <v>龙帝</v>
      </c>
      <c r="C21" s="49">
        <f>Sheet1!D21</f>
        <v>1</v>
      </c>
      <c r="D21" s="49">
        <f>Sheet1!E21</f>
        <v>3</v>
      </c>
      <c r="E21" s="49">
        <f>Sheet1!F21</f>
        <v>2</v>
      </c>
      <c r="F21" s="49">
        <f>Sheet1!G21</f>
        <v>2</v>
      </c>
      <c r="G21" s="49">
        <f>Sheet1!U21</f>
        <v>5</v>
      </c>
      <c r="H21" s="49">
        <f>Sheet1!V21</f>
        <v>16</v>
      </c>
      <c r="I21" s="49">
        <v>2</v>
      </c>
      <c r="J21" s="49">
        <v>12</v>
      </c>
      <c r="K21" s="49">
        <f>Sheet1!Y21</f>
        <v>8</v>
      </c>
      <c r="L21" s="49">
        <f>Sheet1!Z21</f>
        <v>0.8</v>
      </c>
      <c r="M21" s="49">
        <v>1</v>
      </c>
      <c r="N21" s="49">
        <f t="shared" ca="1" si="2"/>
        <v>0.98463988472943575</v>
      </c>
      <c r="O21" s="51">
        <f>M21*VLOOKUP($H21,Sheet4!$A$1:$B$7,2,FALSE)*Sheet4!D$2</f>
        <v>6000</v>
      </c>
      <c r="P21" s="51">
        <f>M21*VLOOKUP($H21,Sheet4!$A$1:$B$7,2,FALSE)*Sheet4!E$2</f>
        <v>0</v>
      </c>
      <c r="Q21" s="51">
        <f>M21*VLOOKUP($H21,Sheet4!$A$1:$B$7,2,FALSE)*Sheet4!F$2</f>
        <v>0</v>
      </c>
      <c r="R21" s="51">
        <f>M21*VLOOKUP($H21,Sheet4!$A$1:$B$7,2,FALSE)*Sheet4!G$2</f>
        <v>200</v>
      </c>
      <c r="S21" s="51">
        <f>M21*VLOOKUP($H21,Sheet4!$A$1:$B$7,2,FALSE)*Sheet4!H$2</f>
        <v>100</v>
      </c>
      <c r="T21" s="51">
        <f>M21*VLOOKUP($H21,Sheet4!$A$1:$B$7,2,FALSE)*Sheet4!I$2</f>
        <v>100</v>
      </c>
      <c r="U21" s="51"/>
      <c r="V21" s="51"/>
      <c r="W21" s="51"/>
      <c r="X21" s="51"/>
      <c r="Y21" s="51"/>
      <c r="Z21" s="51"/>
      <c r="AA21" s="51">
        <f t="shared" si="9"/>
        <v>600</v>
      </c>
      <c r="AB21" s="51">
        <f t="shared" si="4"/>
        <v>0</v>
      </c>
      <c r="AC21" s="51">
        <f t="shared" si="5"/>
        <v>0</v>
      </c>
      <c r="AD21" s="51">
        <f t="shared" si="6"/>
        <v>20</v>
      </c>
      <c r="AE21" s="51">
        <f t="shared" si="7"/>
        <v>10</v>
      </c>
      <c r="AF21" s="51">
        <f t="shared" si="8"/>
        <v>10</v>
      </c>
      <c r="AG21" s="51"/>
      <c r="AH21" s="51"/>
      <c r="AI21" s="51"/>
      <c r="AJ21" s="51"/>
      <c r="AK21" s="49" t="str">
        <f t="shared" si="1"/>
        <v>16200|10</v>
      </c>
      <c r="AL21" s="49">
        <v>10</v>
      </c>
      <c r="AM21" s="49"/>
      <c r="AN21" s="49"/>
      <c r="AO21" s="49">
        <f>Sheet1!BB21</f>
        <v>50</v>
      </c>
      <c r="AP21" s="49" t="str">
        <f>Sheet1!BC21</f>
        <v>11212,11214,11224,11233,11237,11241</v>
      </c>
      <c r="AQ21" s="49" t="str">
        <f>Sheet1!BD21</f>
        <v>[]</v>
      </c>
      <c r="AR21" s="49" t="str">
        <f>Sheet1!BE21</f>
        <v>12017,12019,12021,12023</v>
      </c>
      <c r="AS21" s="49">
        <f>Sheet1!BF21</f>
        <v>2000</v>
      </c>
      <c r="AT21" s="49">
        <f>Sheet1!BL21</f>
        <v>10000</v>
      </c>
      <c r="AU21" s="49">
        <f>Sheet1!BM21</f>
        <v>1</v>
      </c>
      <c r="AV21" s="49">
        <f>Sheet1!BN21</f>
        <v>101</v>
      </c>
      <c r="AW21" s="49">
        <f>Sheet1!BO21</f>
        <v>1213</v>
      </c>
    </row>
    <row r="22" spans="1:49">
      <c r="A22" s="49">
        <f>Sheet1!A22</f>
        <v>1214</v>
      </c>
      <c r="B22" s="49" t="str">
        <f>Sheet1!B22</f>
        <v>八部天龙</v>
      </c>
      <c r="C22" s="49">
        <f>Sheet1!D22</f>
        <v>1</v>
      </c>
      <c r="D22" s="49">
        <f>Sheet1!E22</f>
        <v>3</v>
      </c>
      <c r="E22" s="49">
        <f>Sheet1!F22</f>
        <v>3</v>
      </c>
      <c r="F22" s="49">
        <f>Sheet1!G22</f>
        <v>3</v>
      </c>
      <c r="G22" s="49">
        <f>Sheet1!U22</f>
        <v>5</v>
      </c>
      <c r="H22" s="49">
        <f>Sheet1!V22</f>
        <v>16</v>
      </c>
      <c r="I22" s="49">
        <v>10</v>
      </c>
      <c r="J22" s="49">
        <v>12</v>
      </c>
      <c r="K22" s="49">
        <f>Sheet1!Y22</f>
        <v>8</v>
      </c>
      <c r="L22" s="49">
        <f>Sheet1!Z22</f>
        <v>1</v>
      </c>
      <c r="M22" s="49">
        <v>1</v>
      </c>
      <c r="N22" s="49">
        <f t="shared" ca="1" si="2"/>
        <v>1.0231599705476242</v>
      </c>
      <c r="O22" s="51">
        <f>M22*VLOOKUP($H22,Sheet4!$A$1:$B$7,2,FALSE)*Sheet4!D$2</f>
        <v>6000</v>
      </c>
      <c r="P22" s="51">
        <f>M22*VLOOKUP($H22,Sheet4!$A$1:$B$7,2,FALSE)*Sheet4!E$2</f>
        <v>0</v>
      </c>
      <c r="Q22" s="51">
        <f>M22*VLOOKUP($H22,Sheet4!$A$1:$B$7,2,FALSE)*Sheet4!F$2</f>
        <v>0</v>
      </c>
      <c r="R22" s="51">
        <f>M22*VLOOKUP($H22,Sheet4!$A$1:$B$7,2,FALSE)*Sheet4!G$2</f>
        <v>200</v>
      </c>
      <c r="S22" s="51">
        <f>M22*VLOOKUP($H22,Sheet4!$A$1:$B$7,2,FALSE)*Sheet4!H$2</f>
        <v>100</v>
      </c>
      <c r="T22" s="51">
        <f>M22*VLOOKUP($H22,Sheet4!$A$1:$B$7,2,FALSE)*Sheet4!I$2</f>
        <v>100</v>
      </c>
      <c r="U22" s="51"/>
      <c r="V22" s="51"/>
      <c r="W22" s="51"/>
      <c r="X22" s="51"/>
      <c r="Y22" s="51"/>
      <c r="Z22" s="51"/>
      <c r="AA22" s="51">
        <f t="shared" si="9"/>
        <v>600</v>
      </c>
      <c r="AB22" s="51">
        <f t="shared" si="4"/>
        <v>0</v>
      </c>
      <c r="AC22" s="51">
        <f t="shared" si="5"/>
        <v>0</v>
      </c>
      <c r="AD22" s="51">
        <f t="shared" si="6"/>
        <v>20</v>
      </c>
      <c r="AE22" s="51">
        <f t="shared" si="7"/>
        <v>10</v>
      </c>
      <c r="AF22" s="51">
        <f t="shared" si="8"/>
        <v>10</v>
      </c>
      <c r="AG22" s="51"/>
      <c r="AH22" s="51"/>
      <c r="AI22" s="51"/>
      <c r="AJ22" s="51"/>
      <c r="AK22" s="49" t="str">
        <f t="shared" si="1"/>
        <v>16300|10</v>
      </c>
      <c r="AL22" s="49">
        <v>10</v>
      </c>
      <c r="AM22" s="49"/>
      <c r="AN22" s="49"/>
      <c r="AO22" s="49">
        <f>Sheet1!BB22</f>
        <v>50</v>
      </c>
      <c r="AP22" s="49" t="str">
        <f>Sheet1!BC22</f>
        <v>11212,11214,11223,11231,11235,11240</v>
      </c>
      <c r="AQ22" s="49" t="str">
        <f>Sheet1!BD22</f>
        <v>[]</v>
      </c>
      <c r="AR22" s="49" t="str">
        <f>Sheet1!BE22</f>
        <v>12017,12019,12021,12023</v>
      </c>
      <c r="AS22" s="49">
        <f>Sheet1!BF22</f>
        <v>2000</v>
      </c>
      <c r="AT22" s="49">
        <f>Sheet1!BL22</f>
        <v>50000</v>
      </c>
      <c r="AU22" s="49">
        <f>Sheet1!BM22</f>
        <v>1.5</v>
      </c>
      <c r="AV22" s="49">
        <f>Sheet1!BN22</f>
        <v>101</v>
      </c>
      <c r="AW22" s="49">
        <f>Sheet1!BO22</f>
        <v>1214</v>
      </c>
    </row>
    <row r="23" spans="1:49">
      <c r="A23" s="49">
        <f>Sheet1!A23</f>
        <v>1103</v>
      </c>
      <c r="B23" s="49" t="str">
        <f>Sheet1!B23</f>
        <v>嫦娥</v>
      </c>
      <c r="C23" s="49">
        <f>Sheet1!D23</f>
        <v>1</v>
      </c>
      <c r="D23" s="49">
        <f>Sheet1!E23</f>
        <v>1</v>
      </c>
      <c r="E23" s="49">
        <f>Sheet1!F23</f>
        <v>1</v>
      </c>
      <c r="F23" s="49">
        <f>Sheet1!G23</f>
        <v>1</v>
      </c>
      <c r="G23" s="49">
        <f>Sheet1!U23</f>
        <v>5</v>
      </c>
      <c r="H23" s="49">
        <f>Sheet1!V23</f>
        <v>16</v>
      </c>
      <c r="I23" s="49">
        <v>10</v>
      </c>
      <c r="J23" s="49">
        <v>12</v>
      </c>
      <c r="K23" s="49">
        <f>Sheet1!Y23</f>
        <v>8</v>
      </c>
      <c r="L23" s="49">
        <f>Sheet1!Z23</f>
        <v>1</v>
      </c>
      <c r="M23" s="49">
        <v>1</v>
      </c>
      <c r="N23" s="49">
        <f t="shared" ca="1" si="2"/>
        <v>1.0176518400555261</v>
      </c>
      <c r="O23" s="51">
        <f>M23*VLOOKUP($H23,Sheet4!$A$1:$B$7,2,FALSE)*Sheet4!D$2</f>
        <v>6000</v>
      </c>
      <c r="P23" s="51">
        <f>M23*VLOOKUP($H23,Sheet4!$A$1:$B$7,2,FALSE)*Sheet4!E$2</f>
        <v>0</v>
      </c>
      <c r="Q23" s="51">
        <f>M23*VLOOKUP($H23,Sheet4!$A$1:$B$7,2,FALSE)*Sheet4!F$2</f>
        <v>0</v>
      </c>
      <c r="R23" s="51">
        <f>M23*VLOOKUP($H23,Sheet4!$A$1:$B$7,2,FALSE)*Sheet4!G$2</f>
        <v>200</v>
      </c>
      <c r="S23" s="51">
        <f>M23*VLOOKUP($H23,Sheet4!$A$1:$B$7,2,FALSE)*Sheet4!H$2</f>
        <v>100</v>
      </c>
      <c r="T23" s="51">
        <f>M23*VLOOKUP($H23,Sheet4!$A$1:$B$7,2,FALSE)*Sheet4!I$2</f>
        <v>100</v>
      </c>
      <c r="U23" s="51"/>
      <c r="V23" s="51"/>
      <c r="W23" s="51"/>
      <c r="X23" s="51"/>
      <c r="Y23" s="51"/>
      <c r="Z23" s="51"/>
      <c r="AA23" s="51">
        <f t="shared" si="9"/>
        <v>600</v>
      </c>
      <c r="AB23" s="51">
        <f t="shared" si="4"/>
        <v>0</v>
      </c>
      <c r="AC23" s="51">
        <f t="shared" si="5"/>
        <v>0</v>
      </c>
      <c r="AD23" s="51">
        <f t="shared" si="6"/>
        <v>20</v>
      </c>
      <c r="AE23" s="51">
        <f t="shared" si="7"/>
        <v>10</v>
      </c>
      <c r="AF23" s="51">
        <f t="shared" si="8"/>
        <v>10</v>
      </c>
      <c r="AG23" s="51"/>
      <c r="AH23" s="51"/>
      <c r="AI23" s="51"/>
      <c r="AJ23" s="51"/>
      <c r="AK23" s="49" t="str">
        <f t="shared" si="1"/>
        <v>16100|10</v>
      </c>
      <c r="AL23" s="49">
        <v>10</v>
      </c>
      <c r="AM23" s="49"/>
      <c r="AN23" s="49"/>
      <c r="AO23" s="49">
        <f>Sheet1!BB23</f>
        <v>50</v>
      </c>
      <c r="AP23" s="49" t="str">
        <f>Sheet1!BC23</f>
        <v>11112,11115,11116,11123,11124,11143</v>
      </c>
      <c r="AQ23" s="49" t="str">
        <f>Sheet1!BD23</f>
        <v>[]</v>
      </c>
      <c r="AR23" s="49" t="str">
        <f>Sheet1!BE23</f>
        <v>12020,12018,12022,12024</v>
      </c>
      <c r="AS23" s="49">
        <f>Sheet1!BF23</f>
        <v>2000</v>
      </c>
      <c r="AT23" s="49">
        <f>Sheet1!BL23</f>
        <v>3000</v>
      </c>
      <c r="AU23" s="49">
        <f>Sheet1!BM23</f>
        <v>1</v>
      </c>
      <c r="AV23" s="49">
        <f>Sheet1!BN23</f>
        <v>101</v>
      </c>
      <c r="AW23" s="49">
        <f>Sheet1!BO23</f>
        <v>1103</v>
      </c>
    </row>
    <row r="24" spans="1:49">
      <c r="A24" s="49">
        <f>Sheet1!A24</f>
        <v>1109</v>
      </c>
      <c r="B24" s="49" t="str">
        <f>Sheet1!B24</f>
        <v>九天玄女</v>
      </c>
      <c r="C24" s="49">
        <f>Sheet1!D24</f>
        <v>1</v>
      </c>
      <c r="D24" s="49">
        <f>Sheet1!E24</f>
        <v>1</v>
      </c>
      <c r="E24" s="49">
        <f>Sheet1!F24</f>
        <v>1</v>
      </c>
      <c r="F24" s="49">
        <f>Sheet1!G24</f>
        <v>1</v>
      </c>
      <c r="G24" s="49">
        <f>Sheet1!U24</f>
        <v>4</v>
      </c>
      <c r="H24" s="49">
        <f>Sheet1!V24</f>
        <v>13</v>
      </c>
      <c r="I24" s="49">
        <v>10</v>
      </c>
      <c r="J24" s="49">
        <v>12</v>
      </c>
      <c r="K24" s="49">
        <f>Sheet1!Y24</f>
        <v>8</v>
      </c>
      <c r="L24" s="49">
        <f>Sheet1!Z24</f>
        <v>1</v>
      </c>
      <c r="M24" s="49">
        <v>1</v>
      </c>
      <c r="N24" s="49">
        <f t="shared" ca="1" si="2"/>
        <v>0.98373885579133968</v>
      </c>
      <c r="O24" s="51">
        <f>M24*VLOOKUP($H24,Sheet4!$A$1:$B$7,2,FALSE)*Sheet4!D$2</f>
        <v>5400</v>
      </c>
      <c r="P24" s="51">
        <f>M24*VLOOKUP($H24,Sheet4!$A$1:$B$7,2,FALSE)*Sheet4!E$2</f>
        <v>0</v>
      </c>
      <c r="Q24" s="51">
        <f>M24*VLOOKUP($H24,Sheet4!$A$1:$B$7,2,FALSE)*Sheet4!F$2</f>
        <v>0</v>
      </c>
      <c r="R24" s="51">
        <f>M24*VLOOKUP($H24,Sheet4!$A$1:$B$7,2,FALSE)*Sheet4!G$2</f>
        <v>180</v>
      </c>
      <c r="S24" s="51">
        <f>M24*VLOOKUP($H24,Sheet4!$A$1:$B$7,2,FALSE)*Sheet4!H$2</f>
        <v>90</v>
      </c>
      <c r="T24" s="51">
        <f>M24*VLOOKUP($H24,Sheet4!$A$1:$B$7,2,FALSE)*Sheet4!I$2</f>
        <v>90</v>
      </c>
      <c r="U24" s="51"/>
      <c r="V24" s="51"/>
      <c r="W24" s="51"/>
      <c r="X24" s="51"/>
      <c r="Y24" s="51"/>
      <c r="Z24" s="51"/>
      <c r="AA24" s="51">
        <f t="shared" si="9"/>
        <v>540</v>
      </c>
      <c r="AB24" s="51">
        <f t="shared" si="4"/>
        <v>0</v>
      </c>
      <c r="AC24" s="51">
        <f t="shared" si="5"/>
        <v>0</v>
      </c>
      <c r="AD24" s="51">
        <f t="shared" si="6"/>
        <v>18</v>
      </c>
      <c r="AE24" s="51">
        <f t="shared" si="7"/>
        <v>9</v>
      </c>
      <c r="AF24" s="51">
        <f t="shared" si="8"/>
        <v>9</v>
      </c>
      <c r="AG24" s="51"/>
      <c r="AH24" s="51"/>
      <c r="AI24" s="51"/>
      <c r="AJ24" s="51"/>
      <c r="AK24" s="49" t="str">
        <f t="shared" si="1"/>
        <v>13100|10</v>
      </c>
      <c r="AL24" s="49">
        <v>10</v>
      </c>
      <c r="AM24" s="49"/>
      <c r="AN24" s="49"/>
      <c r="AO24" s="49">
        <f>Sheet1!BB24</f>
        <v>50</v>
      </c>
      <c r="AP24" s="49" t="str">
        <f>Sheet1!BC24</f>
        <v>11111,11115,11116,11121,11122,11143</v>
      </c>
      <c r="AQ24" s="49" t="str">
        <f>Sheet1!BD24</f>
        <v>[]</v>
      </c>
      <c r="AR24" s="49" t="str">
        <f>Sheet1!BE24</f>
        <v>12020,12018,12022,12024</v>
      </c>
      <c r="AS24" s="49">
        <f>Sheet1!BF24</f>
        <v>1400</v>
      </c>
      <c r="AT24" s="49">
        <f>Sheet1!BL24</f>
        <v>3000</v>
      </c>
      <c r="AU24" s="49">
        <f>Sheet1!BM24</f>
        <v>1</v>
      </c>
      <c r="AV24" s="49">
        <f>Sheet1!BN24</f>
        <v>100</v>
      </c>
      <c r="AW24" s="49">
        <f>Sheet1!BO24</f>
        <v>1109</v>
      </c>
    </row>
    <row r="25" spans="1:49">
      <c r="A25" s="49">
        <f>Sheet1!A25</f>
        <v>1111</v>
      </c>
      <c r="B25" s="49" t="str">
        <f>Sheet1!B25</f>
        <v>铁扇公主</v>
      </c>
      <c r="C25" s="49">
        <f>Sheet1!D25</f>
        <v>1</v>
      </c>
      <c r="D25" s="49">
        <f>Sheet1!E25</f>
        <v>2</v>
      </c>
      <c r="E25" s="49">
        <f>Sheet1!F25</f>
        <v>2</v>
      </c>
      <c r="F25" s="49">
        <f>Sheet1!G25</f>
        <v>2</v>
      </c>
      <c r="G25" s="49">
        <f>Sheet1!U25</f>
        <v>5</v>
      </c>
      <c r="H25" s="49">
        <f>Sheet1!V25</f>
        <v>16</v>
      </c>
      <c r="I25" s="49">
        <v>10</v>
      </c>
      <c r="J25" s="49">
        <v>12</v>
      </c>
      <c r="K25" s="49">
        <f>Sheet1!Y25</f>
        <v>8</v>
      </c>
      <c r="L25" s="49">
        <f>Sheet1!Z25</f>
        <v>0.8</v>
      </c>
      <c r="M25" s="49">
        <v>1</v>
      </c>
      <c r="N25" s="49">
        <f t="shared" ca="1" si="2"/>
        <v>1.001891074020328</v>
      </c>
      <c r="O25" s="51">
        <f>M25*VLOOKUP($H25,Sheet4!$A$1:$B$7,2,FALSE)*Sheet4!D$2</f>
        <v>6000</v>
      </c>
      <c r="P25" s="51">
        <f>M25*VLOOKUP($H25,Sheet4!$A$1:$B$7,2,FALSE)*Sheet4!E$2</f>
        <v>0</v>
      </c>
      <c r="Q25" s="51">
        <f>M25*VLOOKUP($H25,Sheet4!$A$1:$B$7,2,FALSE)*Sheet4!F$2</f>
        <v>0</v>
      </c>
      <c r="R25" s="51">
        <f>M25*VLOOKUP($H25,Sheet4!$A$1:$B$7,2,FALSE)*Sheet4!G$2</f>
        <v>200</v>
      </c>
      <c r="S25" s="51">
        <f>M25*VLOOKUP($H25,Sheet4!$A$1:$B$7,2,FALSE)*Sheet4!H$2</f>
        <v>100</v>
      </c>
      <c r="T25" s="51">
        <f>M25*VLOOKUP($H25,Sheet4!$A$1:$B$7,2,FALSE)*Sheet4!I$2</f>
        <v>100</v>
      </c>
      <c r="U25" s="51"/>
      <c r="V25" s="51"/>
      <c r="W25" s="51"/>
      <c r="X25" s="51"/>
      <c r="Y25" s="51"/>
      <c r="Z25" s="51"/>
      <c r="AA25" s="51">
        <f t="shared" si="9"/>
        <v>600</v>
      </c>
      <c r="AB25" s="51">
        <f t="shared" si="4"/>
        <v>0</v>
      </c>
      <c r="AC25" s="51">
        <f t="shared" si="5"/>
        <v>0</v>
      </c>
      <c r="AD25" s="51">
        <f t="shared" si="6"/>
        <v>20</v>
      </c>
      <c r="AE25" s="51">
        <f t="shared" si="7"/>
        <v>10</v>
      </c>
      <c r="AF25" s="51">
        <f t="shared" si="8"/>
        <v>10</v>
      </c>
      <c r="AG25" s="51"/>
      <c r="AH25" s="51"/>
      <c r="AI25" s="51"/>
      <c r="AJ25" s="51"/>
      <c r="AK25" s="49" t="str">
        <f t="shared" si="1"/>
        <v>16200|10</v>
      </c>
      <c r="AL25" s="49">
        <v>10</v>
      </c>
      <c r="AM25" s="49"/>
      <c r="AN25" s="49"/>
      <c r="AO25" s="49">
        <f>Sheet1!BB25</f>
        <v>50</v>
      </c>
      <c r="AP25" s="49" t="str">
        <f>Sheet1!BC25</f>
        <v>11012,11014,11024,11033,11037,11041</v>
      </c>
      <c r="AQ25" s="49" t="str">
        <f>Sheet1!BD25</f>
        <v>[]</v>
      </c>
      <c r="AR25" s="49" t="str">
        <f>Sheet1!BE25</f>
        <v>12017,12019,12021,12023</v>
      </c>
      <c r="AS25" s="49">
        <f>Sheet1!BF25</f>
        <v>2000</v>
      </c>
      <c r="AT25" s="49">
        <f>Sheet1!BL25</f>
        <v>10000</v>
      </c>
      <c r="AU25" s="49">
        <f>Sheet1!BM25</f>
        <v>1</v>
      </c>
      <c r="AV25" s="49">
        <f>Sheet1!BN25</f>
        <v>101</v>
      </c>
      <c r="AW25" s="49">
        <f>Sheet1!BO25</f>
        <v>1111</v>
      </c>
    </row>
    <row r="26" spans="1:49">
      <c r="A26" s="49">
        <f>Sheet1!A26</f>
        <v>1116</v>
      </c>
      <c r="B26" s="49" t="str">
        <f>Sheet1!B26</f>
        <v>白骨夫人</v>
      </c>
      <c r="C26" s="49">
        <f>Sheet1!D26</f>
        <v>1</v>
      </c>
      <c r="D26" s="49">
        <f>Sheet1!E26</f>
        <v>2</v>
      </c>
      <c r="E26" s="49">
        <f>Sheet1!F26</f>
        <v>1</v>
      </c>
      <c r="F26" s="49">
        <f>Sheet1!G26</f>
        <v>1</v>
      </c>
      <c r="G26" s="49">
        <f>Sheet1!U26</f>
        <v>4</v>
      </c>
      <c r="H26" s="49">
        <f>Sheet1!V26</f>
        <v>13</v>
      </c>
      <c r="I26" s="49">
        <v>10</v>
      </c>
      <c r="J26" s="49">
        <v>12</v>
      </c>
      <c r="K26" s="49">
        <f>Sheet1!Y26</f>
        <v>8</v>
      </c>
      <c r="L26" s="49">
        <f>Sheet1!Z26</f>
        <v>1</v>
      </c>
      <c r="M26" s="49">
        <v>1</v>
      </c>
      <c r="N26" s="49">
        <f t="shared" ca="1" si="2"/>
        <v>0.97651638112895001</v>
      </c>
      <c r="O26" s="51">
        <f>M26*VLOOKUP($H26,Sheet4!$A$1:$B$7,2,FALSE)*Sheet4!D$2</f>
        <v>5400</v>
      </c>
      <c r="P26" s="51">
        <f>M26*VLOOKUP($H26,Sheet4!$A$1:$B$7,2,FALSE)*Sheet4!E$2</f>
        <v>0</v>
      </c>
      <c r="Q26" s="51">
        <f>M26*VLOOKUP($H26,Sheet4!$A$1:$B$7,2,FALSE)*Sheet4!F$2</f>
        <v>0</v>
      </c>
      <c r="R26" s="51">
        <f>M26*VLOOKUP($H26,Sheet4!$A$1:$B$7,2,FALSE)*Sheet4!G$2</f>
        <v>180</v>
      </c>
      <c r="S26" s="51">
        <f>M26*VLOOKUP($H26,Sheet4!$A$1:$B$7,2,FALSE)*Sheet4!H$2</f>
        <v>90</v>
      </c>
      <c r="T26" s="51">
        <f>M26*VLOOKUP($H26,Sheet4!$A$1:$B$7,2,FALSE)*Sheet4!I$2</f>
        <v>90</v>
      </c>
      <c r="U26" s="51"/>
      <c r="V26" s="51"/>
      <c r="W26" s="51"/>
      <c r="X26" s="51"/>
      <c r="Y26" s="51"/>
      <c r="Z26" s="51"/>
      <c r="AA26" s="51">
        <f t="shared" si="9"/>
        <v>540</v>
      </c>
      <c r="AB26" s="51">
        <f t="shared" si="4"/>
        <v>0</v>
      </c>
      <c r="AC26" s="51">
        <f t="shared" si="5"/>
        <v>0</v>
      </c>
      <c r="AD26" s="51">
        <f t="shared" si="6"/>
        <v>18</v>
      </c>
      <c r="AE26" s="51">
        <f t="shared" si="7"/>
        <v>9</v>
      </c>
      <c r="AF26" s="51">
        <f t="shared" si="8"/>
        <v>9</v>
      </c>
      <c r="AG26" s="51"/>
      <c r="AH26" s="51"/>
      <c r="AI26" s="51"/>
      <c r="AJ26" s="51"/>
      <c r="AK26" s="49" t="str">
        <f t="shared" si="1"/>
        <v>13100|10</v>
      </c>
      <c r="AL26" s="49">
        <v>10</v>
      </c>
      <c r="AM26" s="49"/>
      <c r="AN26" s="49"/>
      <c r="AO26" s="49">
        <f>Sheet1!BB26</f>
        <v>50</v>
      </c>
      <c r="AP26" s="49" t="str">
        <f>Sheet1!BC26</f>
        <v>11011,11015,11016,11021,11022,11043</v>
      </c>
      <c r="AQ26" s="49" t="str">
        <f>Sheet1!BD26</f>
        <v>[]</v>
      </c>
      <c r="AR26" s="49" t="str">
        <f>Sheet1!BE26</f>
        <v>12020,12018,12022,12024</v>
      </c>
      <c r="AS26" s="49">
        <f>Sheet1!BF26</f>
        <v>1400</v>
      </c>
      <c r="AT26" s="49">
        <f>Sheet1!BL26</f>
        <v>3000</v>
      </c>
      <c r="AU26" s="49">
        <f>Sheet1!BM26</f>
        <v>1</v>
      </c>
      <c r="AV26" s="49">
        <f>Sheet1!BN26</f>
        <v>100</v>
      </c>
      <c r="AW26" s="49">
        <f>Sheet1!BO26</f>
        <v>1116</v>
      </c>
    </row>
    <row r="27" spans="1:49">
      <c r="A27" s="49">
        <f>Sheet1!A27</f>
        <v>1121</v>
      </c>
      <c r="B27" s="49" t="str">
        <f>Sheet1!B27</f>
        <v>紫霞仙子</v>
      </c>
      <c r="C27" s="49">
        <f>Sheet1!D27</f>
        <v>1</v>
      </c>
      <c r="D27" s="49">
        <f>Sheet1!E27</f>
        <v>3</v>
      </c>
      <c r="E27" s="49">
        <f>Sheet1!F27</f>
        <v>2</v>
      </c>
      <c r="F27" s="49">
        <f>Sheet1!G27</f>
        <v>2</v>
      </c>
      <c r="G27" s="49">
        <f>Sheet1!U27</f>
        <v>6</v>
      </c>
      <c r="H27" s="49">
        <f>Sheet1!V27</f>
        <v>20</v>
      </c>
      <c r="I27" s="49">
        <v>10</v>
      </c>
      <c r="J27" s="49">
        <v>12</v>
      </c>
      <c r="K27" s="49">
        <f>Sheet1!Y27</f>
        <v>8</v>
      </c>
      <c r="L27" s="49">
        <f>Sheet1!Z27</f>
        <v>0.8</v>
      </c>
      <c r="M27" s="49">
        <v>1</v>
      </c>
      <c r="N27" s="49">
        <f t="shared" ca="1" si="2"/>
        <v>0.99417066301320733</v>
      </c>
      <c r="O27" s="51">
        <f>M27*VLOOKUP($H27,Sheet4!$A$1:$B$7,2,FALSE)*Sheet4!D$2</f>
        <v>7200</v>
      </c>
      <c r="P27" s="51">
        <f>M27*VLOOKUP($H27,Sheet4!$A$1:$B$7,2,FALSE)*Sheet4!E$2</f>
        <v>0</v>
      </c>
      <c r="Q27" s="51">
        <f>M27*VLOOKUP($H27,Sheet4!$A$1:$B$7,2,FALSE)*Sheet4!F$2</f>
        <v>0</v>
      </c>
      <c r="R27" s="51">
        <f>M27*VLOOKUP($H27,Sheet4!$A$1:$B$7,2,FALSE)*Sheet4!G$2</f>
        <v>240</v>
      </c>
      <c r="S27" s="51">
        <f>M27*VLOOKUP($H27,Sheet4!$A$1:$B$7,2,FALSE)*Sheet4!H$2</f>
        <v>120</v>
      </c>
      <c r="T27" s="51">
        <f>M27*VLOOKUP($H27,Sheet4!$A$1:$B$7,2,FALSE)*Sheet4!I$2</f>
        <v>120</v>
      </c>
      <c r="U27" s="51"/>
      <c r="V27" s="51"/>
      <c r="W27" s="51"/>
      <c r="X27" s="51"/>
      <c r="Y27" s="51"/>
      <c r="Z27" s="51"/>
      <c r="AA27" s="51">
        <f t="shared" si="9"/>
        <v>720</v>
      </c>
      <c r="AB27" s="51">
        <f t="shared" si="4"/>
        <v>0</v>
      </c>
      <c r="AC27" s="51">
        <f t="shared" si="5"/>
        <v>0</v>
      </c>
      <c r="AD27" s="51">
        <f t="shared" si="6"/>
        <v>24</v>
      </c>
      <c r="AE27" s="51">
        <f t="shared" si="7"/>
        <v>12</v>
      </c>
      <c r="AF27" s="51">
        <f t="shared" si="8"/>
        <v>12</v>
      </c>
      <c r="AG27" s="51"/>
      <c r="AH27" s="51"/>
      <c r="AI27" s="51"/>
      <c r="AJ27" s="51"/>
      <c r="AK27" s="49" t="str">
        <f t="shared" si="1"/>
        <v>20200|10</v>
      </c>
      <c r="AL27" s="49">
        <v>10</v>
      </c>
      <c r="AM27" s="49"/>
      <c r="AN27" s="49"/>
      <c r="AO27" s="49">
        <f>Sheet1!BB27</f>
        <v>50</v>
      </c>
      <c r="AP27" s="49" t="str">
        <f>Sheet1!BC27</f>
        <v>11211,11213,11222,11232,11236,11239</v>
      </c>
      <c r="AQ27" s="49" t="str">
        <f>Sheet1!BD27</f>
        <v>[]</v>
      </c>
      <c r="AR27" s="49" t="str">
        <f>Sheet1!BE27</f>
        <v>12017,12019,12021,12023</v>
      </c>
      <c r="AS27" s="49">
        <f>Sheet1!BF27</f>
        <v>3000</v>
      </c>
      <c r="AT27" s="49">
        <f>Sheet1!BL27</f>
        <v>10000</v>
      </c>
      <c r="AU27" s="49">
        <f>Sheet1!BM27</f>
        <v>1</v>
      </c>
      <c r="AV27" s="49">
        <f>Sheet1!BN27</f>
        <v>102</v>
      </c>
      <c r="AW27" s="49">
        <f>Sheet1!BO27</f>
        <v>1121</v>
      </c>
    </row>
    <row r="28" spans="1:49">
      <c r="A28" s="49">
        <f>Sheet1!A28</f>
        <v>1215</v>
      </c>
      <c r="B28" s="49" t="str">
        <f>Sheet1!B28</f>
        <v>观世音</v>
      </c>
      <c r="C28" s="49">
        <f>Sheet1!D28</f>
        <v>1</v>
      </c>
      <c r="D28" s="49">
        <f>Sheet1!E28</f>
        <v>3</v>
      </c>
      <c r="E28" s="49">
        <f>Sheet1!F28</f>
        <v>1</v>
      </c>
      <c r="F28" s="49">
        <f>Sheet1!G28</f>
        <v>1</v>
      </c>
      <c r="G28" s="49">
        <f>Sheet1!U28</f>
        <v>5</v>
      </c>
      <c r="H28" s="49">
        <f>Sheet1!V28</f>
        <v>16</v>
      </c>
      <c r="I28" s="49">
        <v>2</v>
      </c>
      <c r="J28" s="49">
        <v>12</v>
      </c>
      <c r="K28" s="49">
        <f>Sheet1!Y28</f>
        <v>8</v>
      </c>
      <c r="L28" s="49">
        <f>Sheet1!Z28</f>
        <v>1</v>
      </c>
      <c r="M28" s="49">
        <v>1</v>
      </c>
      <c r="N28" s="49">
        <f t="shared" ca="1" si="2"/>
        <v>1.0159652910221677</v>
      </c>
      <c r="O28" s="51">
        <f>M28*VLOOKUP($H28,Sheet4!$A$1:$B$7,2,FALSE)*Sheet4!D$2</f>
        <v>6000</v>
      </c>
      <c r="P28" s="51">
        <f>M28*VLOOKUP($H28,Sheet4!$A$1:$B$7,2,FALSE)*Sheet4!E$2</f>
        <v>0</v>
      </c>
      <c r="Q28" s="51">
        <f>M28*VLOOKUP($H28,Sheet4!$A$1:$B$7,2,FALSE)*Sheet4!F$2</f>
        <v>0</v>
      </c>
      <c r="R28" s="51">
        <f>M28*VLOOKUP($H28,Sheet4!$A$1:$B$7,2,FALSE)*Sheet4!G$2</f>
        <v>200</v>
      </c>
      <c r="S28" s="51">
        <f>M28*VLOOKUP($H28,Sheet4!$A$1:$B$7,2,FALSE)*Sheet4!H$2</f>
        <v>100</v>
      </c>
      <c r="T28" s="51">
        <f>M28*VLOOKUP($H28,Sheet4!$A$1:$B$7,2,FALSE)*Sheet4!I$2</f>
        <v>100</v>
      </c>
      <c r="U28" s="51"/>
      <c r="V28" s="51"/>
      <c r="W28" s="51"/>
      <c r="X28" s="51"/>
      <c r="Y28" s="51"/>
      <c r="Z28" s="51"/>
      <c r="AA28" s="51">
        <f t="shared" si="9"/>
        <v>600</v>
      </c>
      <c r="AB28" s="51">
        <f t="shared" si="4"/>
        <v>0</v>
      </c>
      <c r="AC28" s="51">
        <f t="shared" si="5"/>
        <v>0</v>
      </c>
      <c r="AD28" s="51">
        <f t="shared" si="6"/>
        <v>20</v>
      </c>
      <c r="AE28" s="51">
        <f t="shared" si="7"/>
        <v>10</v>
      </c>
      <c r="AF28" s="51">
        <f t="shared" si="8"/>
        <v>10</v>
      </c>
      <c r="AG28" s="51"/>
      <c r="AH28" s="51"/>
      <c r="AI28" s="51"/>
      <c r="AJ28" s="51"/>
      <c r="AK28" s="49" t="str">
        <f t="shared" si="1"/>
        <v>16100|10</v>
      </c>
      <c r="AL28" s="49">
        <v>10</v>
      </c>
      <c r="AM28" s="49"/>
      <c r="AN28" s="49"/>
      <c r="AO28" s="49">
        <f>Sheet1!BB28</f>
        <v>50</v>
      </c>
      <c r="AP28" s="49" t="str">
        <f>Sheet1!BC28</f>
        <v>11212,11215,11216,11223,11224,11243</v>
      </c>
      <c r="AQ28" s="49" t="str">
        <f>Sheet1!BD28</f>
        <v>[]</v>
      </c>
      <c r="AR28" s="49" t="str">
        <f>Sheet1!BE28</f>
        <v>12020,12018,12022,12024</v>
      </c>
      <c r="AS28" s="49">
        <f>Sheet1!BF28</f>
        <v>2000</v>
      </c>
      <c r="AT28" s="49">
        <f>Sheet1!BL28</f>
        <v>3000</v>
      </c>
      <c r="AU28" s="49">
        <f>Sheet1!BM28</f>
        <v>1</v>
      </c>
      <c r="AV28" s="49">
        <f>Sheet1!BN28</f>
        <v>101</v>
      </c>
      <c r="AW28" s="49">
        <f>Sheet1!BO28</f>
        <v>1215</v>
      </c>
    </row>
    <row r="29" spans="1:49">
      <c r="A29" s="49">
        <f>Sheet1!A29</f>
        <v>1114</v>
      </c>
      <c r="B29" s="49" t="str">
        <f>Sheet1!B29</f>
        <v>鹿力大仙</v>
      </c>
      <c r="C29" s="49">
        <f>Sheet1!D29</f>
        <v>1</v>
      </c>
      <c r="D29" s="49">
        <f>Sheet1!E29</f>
        <v>2</v>
      </c>
      <c r="E29" s="49">
        <f>Sheet1!F29</f>
        <v>3</v>
      </c>
      <c r="F29" s="49">
        <f>Sheet1!G29</f>
        <v>3</v>
      </c>
      <c r="G29" s="49">
        <f>Sheet1!U29</f>
        <v>4</v>
      </c>
      <c r="H29" s="49">
        <f>Sheet1!V29</f>
        <v>13</v>
      </c>
      <c r="I29" s="49">
        <v>2</v>
      </c>
      <c r="J29" s="49">
        <v>12</v>
      </c>
      <c r="K29" s="49">
        <f>Sheet1!Y29</f>
        <v>8</v>
      </c>
      <c r="L29" s="49">
        <f>Sheet1!Z29</f>
        <v>1.25</v>
      </c>
      <c r="M29" s="49">
        <v>1</v>
      </c>
      <c r="N29" s="49">
        <f t="shared" ca="1" si="2"/>
        <v>0.98579271216607545</v>
      </c>
      <c r="O29" s="51">
        <f>M29*VLOOKUP($H29,Sheet4!$A$1:$B$7,2,FALSE)*Sheet4!D$2</f>
        <v>5400</v>
      </c>
      <c r="P29" s="51">
        <f>M29*VLOOKUP($H29,Sheet4!$A$1:$B$7,2,FALSE)*Sheet4!E$2</f>
        <v>0</v>
      </c>
      <c r="Q29" s="51">
        <f>M29*VLOOKUP($H29,Sheet4!$A$1:$B$7,2,FALSE)*Sheet4!F$2</f>
        <v>0</v>
      </c>
      <c r="R29" s="51">
        <f>M29*VLOOKUP($H29,Sheet4!$A$1:$B$7,2,FALSE)*Sheet4!G$2</f>
        <v>180</v>
      </c>
      <c r="S29" s="51">
        <f>M29*VLOOKUP($H29,Sheet4!$A$1:$B$7,2,FALSE)*Sheet4!H$2</f>
        <v>90</v>
      </c>
      <c r="T29" s="51">
        <f>M29*VLOOKUP($H29,Sheet4!$A$1:$B$7,2,FALSE)*Sheet4!I$2</f>
        <v>90</v>
      </c>
      <c r="U29" s="51"/>
      <c r="V29" s="51"/>
      <c r="W29" s="51"/>
      <c r="X29" s="51"/>
      <c r="Y29" s="51"/>
      <c r="Z29" s="51"/>
      <c r="AA29" s="51">
        <f t="shared" si="9"/>
        <v>540</v>
      </c>
      <c r="AB29" s="51">
        <f t="shared" si="4"/>
        <v>0</v>
      </c>
      <c r="AC29" s="51">
        <f t="shared" si="5"/>
        <v>0</v>
      </c>
      <c r="AD29" s="51">
        <f t="shared" si="6"/>
        <v>18</v>
      </c>
      <c r="AE29" s="51">
        <f t="shared" si="7"/>
        <v>9</v>
      </c>
      <c r="AF29" s="51">
        <f t="shared" si="8"/>
        <v>9</v>
      </c>
      <c r="AG29" s="51"/>
      <c r="AH29" s="51"/>
      <c r="AI29" s="51"/>
      <c r="AJ29" s="51"/>
      <c r="AK29" s="49" t="str">
        <f t="shared" si="1"/>
        <v>13300|10</v>
      </c>
      <c r="AL29" s="49">
        <v>10</v>
      </c>
      <c r="AM29" s="49"/>
      <c r="AN29" s="49"/>
      <c r="AO29" s="49">
        <f>Sheet1!BB29</f>
        <v>50</v>
      </c>
      <c r="AP29" s="49" t="str">
        <f>Sheet1!BC29</f>
        <v>11018,11019,11030,11031,11041</v>
      </c>
      <c r="AQ29" s="49" t="str">
        <f>Sheet1!BD29</f>
        <v>[]</v>
      </c>
      <c r="AR29" s="49" t="str">
        <f>Sheet1!BE29</f>
        <v>12017,12019,12021,12023</v>
      </c>
      <c r="AS29" s="49">
        <f>Sheet1!BF29</f>
        <v>1400</v>
      </c>
      <c r="AT29" s="49">
        <f>Sheet1!BL29</f>
        <v>50000</v>
      </c>
      <c r="AU29" s="49">
        <f>Sheet1!BM29</f>
        <v>1.5</v>
      </c>
      <c r="AV29" s="49">
        <f>Sheet1!BN29</f>
        <v>100</v>
      </c>
      <c r="AW29" s="49">
        <f>Sheet1!BO29</f>
        <v>1114</v>
      </c>
    </row>
    <row r="30" spans="1:49">
      <c r="A30" s="49">
        <f>Sheet1!A30</f>
        <v>1110</v>
      </c>
      <c r="B30" s="49" t="str">
        <f>Sheet1!B30</f>
        <v>红孩儿</v>
      </c>
      <c r="C30" s="49">
        <f>Sheet1!D30</f>
        <v>1</v>
      </c>
      <c r="D30" s="49">
        <f>Sheet1!E30</f>
        <v>3</v>
      </c>
      <c r="E30" s="49">
        <f>Sheet1!F30</f>
        <v>3</v>
      </c>
      <c r="F30" s="49">
        <f>Sheet1!G30</f>
        <v>3</v>
      </c>
      <c r="G30" s="49">
        <f>Sheet1!U30</f>
        <v>4</v>
      </c>
      <c r="H30" s="49">
        <f>Sheet1!V30</f>
        <v>13</v>
      </c>
      <c r="I30" s="49">
        <v>2</v>
      </c>
      <c r="J30" s="49">
        <v>12</v>
      </c>
      <c r="K30" s="49">
        <f>Sheet1!Y30</f>
        <v>8</v>
      </c>
      <c r="L30" s="49">
        <f>Sheet1!Z30</f>
        <v>1.25</v>
      </c>
      <c r="M30" s="49">
        <v>1</v>
      </c>
      <c r="N30" s="49">
        <f t="shared" ca="1" si="2"/>
        <v>0.97931396530761039</v>
      </c>
      <c r="O30" s="51">
        <f>M30*VLOOKUP($H30,Sheet4!$A$1:$B$7,2,FALSE)*Sheet4!D$2</f>
        <v>5400</v>
      </c>
      <c r="P30" s="51">
        <f>M30*VLOOKUP($H30,Sheet4!$A$1:$B$7,2,FALSE)*Sheet4!E$2</f>
        <v>0</v>
      </c>
      <c r="Q30" s="51">
        <f>M30*VLOOKUP($H30,Sheet4!$A$1:$B$7,2,FALSE)*Sheet4!F$2</f>
        <v>0</v>
      </c>
      <c r="R30" s="51">
        <f>M30*VLOOKUP($H30,Sheet4!$A$1:$B$7,2,FALSE)*Sheet4!G$2</f>
        <v>180</v>
      </c>
      <c r="S30" s="51">
        <f>M30*VLOOKUP($H30,Sheet4!$A$1:$B$7,2,FALSE)*Sheet4!H$2</f>
        <v>90</v>
      </c>
      <c r="T30" s="51">
        <f>M30*VLOOKUP($H30,Sheet4!$A$1:$B$7,2,FALSE)*Sheet4!I$2</f>
        <v>90</v>
      </c>
      <c r="U30" s="51"/>
      <c r="V30" s="51"/>
      <c r="W30" s="51"/>
      <c r="X30" s="51"/>
      <c r="Y30" s="51"/>
      <c r="Z30" s="51"/>
      <c r="AA30" s="51">
        <f t="shared" si="9"/>
        <v>540</v>
      </c>
      <c r="AB30" s="51">
        <f t="shared" si="4"/>
        <v>0</v>
      </c>
      <c r="AC30" s="51">
        <f t="shared" si="5"/>
        <v>0</v>
      </c>
      <c r="AD30" s="51">
        <f t="shared" si="6"/>
        <v>18</v>
      </c>
      <c r="AE30" s="51">
        <f t="shared" si="7"/>
        <v>9</v>
      </c>
      <c r="AF30" s="51">
        <f t="shared" si="8"/>
        <v>9</v>
      </c>
      <c r="AG30" s="51"/>
      <c r="AH30" s="51"/>
      <c r="AI30" s="51"/>
      <c r="AJ30" s="51"/>
      <c r="AK30" s="49" t="str">
        <f t="shared" si="1"/>
        <v>13300|10</v>
      </c>
      <c r="AL30" s="49">
        <v>10</v>
      </c>
      <c r="AM30" s="49"/>
      <c r="AN30" s="49"/>
      <c r="AO30" s="49">
        <f>Sheet1!BB30</f>
        <v>50</v>
      </c>
      <c r="AP30" s="49" t="str">
        <f>Sheet1!BC30</f>
        <v>11218,11219,11230,11231,11241</v>
      </c>
      <c r="AQ30" s="49" t="str">
        <f>Sheet1!BD30</f>
        <v>[]</v>
      </c>
      <c r="AR30" s="49" t="str">
        <f>Sheet1!BE30</f>
        <v>12020,12018,12021,12023</v>
      </c>
      <c r="AS30" s="49">
        <f>Sheet1!BF30</f>
        <v>1400</v>
      </c>
      <c r="AT30" s="49">
        <f>Sheet1!BL30</f>
        <v>50000</v>
      </c>
      <c r="AU30" s="49">
        <f>Sheet1!BM30</f>
        <v>1.5</v>
      </c>
      <c r="AV30" s="49">
        <f>Sheet1!BN30</f>
        <v>100</v>
      </c>
      <c r="AW30" s="49">
        <f>Sheet1!BO30</f>
        <v>1110</v>
      </c>
    </row>
    <row r="31" spans="1:49">
      <c r="A31" s="49">
        <f>Sheet1!A31</f>
        <v>1104</v>
      </c>
      <c r="B31" s="49" t="str">
        <f>Sheet1!B31</f>
        <v>玉皇大帝</v>
      </c>
      <c r="C31" s="49">
        <f>Sheet1!D31</f>
        <v>1</v>
      </c>
      <c r="D31" s="49">
        <f>Sheet1!E31</f>
        <v>1</v>
      </c>
      <c r="E31" s="49">
        <f>Sheet1!F31</f>
        <v>3</v>
      </c>
      <c r="F31" s="49">
        <f>Sheet1!G31</f>
        <v>3</v>
      </c>
      <c r="G31" s="49">
        <f>Sheet1!U31</f>
        <v>4</v>
      </c>
      <c r="H31" s="49">
        <f>Sheet1!V31</f>
        <v>13</v>
      </c>
      <c r="I31" s="49">
        <v>4</v>
      </c>
      <c r="J31" s="49">
        <v>12</v>
      </c>
      <c r="K31" s="49">
        <f>Sheet1!Y31</f>
        <v>8</v>
      </c>
      <c r="L31" s="49">
        <f>Sheet1!Z31</f>
        <v>0.8</v>
      </c>
      <c r="M31" s="49">
        <v>1</v>
      </c>
      <c r="N31" s="49">
        <f t="shared" ca="1" si="2"/>
        <v>1.0038548193051204</v>
      </c>
      <c r="O31" s="51">
        <f>M31*VLOOKUP($H31,Sheet4!$A$1:$B$7,2,FALSE)*Sheet4!D$2</f>
        <v>5400</v>
      </c>
      <c r="P31" s="51">
        <f>M31*VLOOKUP($H31,Sheet4!$A$1:$B$7,2,FALSE)*Sheet4!E$2</f>
        <v>0</v>
      </c>
      <c r="Q31" s="51">
        <f>M31*VLOOKUP($H31,Sheet4!$A$1:$B$7,2,FALSE)*Sheet4!F$2</f>
        <v>0</v>
      </c>
      <c r="R31" s="51">
        <f>M31*VLOOKUP($H31,Sheet4!$A$1:$B$7,2,FALSE)*Sheet4!G$2</f>
        <v>180</v>
      </c>
      <c r="S31" s="51">
        <f>M31*VLOOKUP($H31,Sheet4!$A$1:$B$7,2,FALSE)*Sheet4!H$2</f>
        <v>90</v>
      </c>
      <c r="T31" s="51">
        <f>M31*VLOOKUP($H31,Sheet4!$A$1:$B$7,2,FALSE)*Sheet4!I$2</f>
        <v>90</v>
      </c>
      <c r="U31" s="51"/>
      <c r="V31" s="51"/>
      <c r="W31" s="51"/>
      <c r="X31" s="51"/>
      <c r="Y31" s="51"/>
      <c r="Z31" s="51"/>
      <c r="AA31" s="51">
        <f t="shared" si="9"/>
        <v>540</v>
      </c>
      <c r="AB31" s="51">
        <f t="shared" si="4"/>
        <v>0</v>
      </c>
      <c r="AC31" s="51">
        <f t="shared" si="5"/>
        <v>0</v>
      </c>
      <c r="AD31" s="51">
        <f t="shared" si="6"/>
        <v>18</v>
      </c>
      <c r="AE31" s="51">
        <f t="shared" si="7"/>
        <v>9</v>
      </c>
      <c r="AF31" s="51">
        <f t="shared" si="8"/>
        <v>9</v>
      </c>
      <c r="AG31" s="51"/>
      <c r="AH31" s="51"/>
      <c r="AI31" s="51"/>
      <c r="AJ31" s="51"/>
      <c r="AK31" s="49" t="str">
        <f t="shared" si="1"/>
        <v>13300|10</v>
      </c>
      <c r="AL31" s="49">
        <v>10</v>
      </c>
      <c r="AM31" s="49" t="e">
        <f>Sheet1!#REF!</f>
        <v>#REF!</v>
      </c>
      <c r="AN31" s="49" t="str">
        <f>Sheet1!BA31</f>
        <v>4001|50</v>
      </c>
      <c r="AO31" s="49">
        <f>Sheet1!BB31</f>
        <v>50</v>
      </c>
      <c r="AP31" s="49" t="str">
        <f>Sheet1!BC31</f>
        <v>11118,11119,11130,11131,11141</v>
      </c>
      <c r="AQ31" s="49" t="str">
        <f>Sheet1!BD31</f>
        <v>[]</v>
      </c>
      <c r="AR31" s="49" t="str">
        <f>Sheet1!BE31</f>
        <v>12017,12019,12022,12024</v>
      </c>
      <c r="AS31" s="49">
        <f>Sheet1!BF31</f>
        <v>1400</v>
      </c>
      <c r="AT31" s="49">
        <f>Sheet1!BL31</f>
        <v>50000</v>
      </c>
      <c r="AU31" s="49">
        <f>Sheet1!BM31</f>
        <v>1.5</v>
      </c>
      <c r="AV31" s="49">
        <f>Sheet1!BN31</f>
        <v>100</v>
      </c>
      <c r="AW31" s="49">
        <f>Sheet1!BO31</f>
        <v>1104</v>
      </c>
    </row>
    <row r="32" spans="1:49">
      <c r="A32" s="49">
        <f>Sheet1!A32</f>
        <v>1135</v>
      </c>
      <c r="B32" s="49" t="str">
        <f>Sheet1!B32</f>
        <v>东海龙王</v>
      </c>
      <c r="C32" s="49">
        <f>Sheet1!D32</f>
        <v>1</v>
      </c>
      <c r="D32" s="49">
        <f>Sheet1!E32</f>
        <v>1</v>
      </c>
      <c r="E32" s="49">
        <f>Sheet1!F32</f>
        <v>4</v>
      </c>
      <c r="F32" s="49">
        <f>Sheet1!G32</f>
        <v>4</v>
      </c>
      <c r="G32" s="49">
        <f>Sheet1!U32</f>
        <v>4</v>
      </c>
      <c r="H32" s="49">
        <f>Sheet1!V32</f>
        <v>13</v>
      </c>
      <c r="I32" s="49">
        <v>4</v>
      </c>
      <c r="J32" s="49">
        <v>12</v>
      </c>
      <c r="K32" s="49">
        <f>Sheet1!Y32</f>
        <v>8</v>
      </c>
      <c r="L32" s="49">
        <f>Sheet1!Z32</f>
        <v>1</v>
      </c>
      <c r="M32" s="49">
        <v>1</v>
      </c>
      <c r="N32" s="49">
        <f t="shared" ca="1" si="2"/>
        <v>0.99942868054001466</v>
      </c>
      <c r="O32" s="51">
        <f>M32*VLOOKUP($H32,Sheet4!$A$1:$B$7,2,FALSE)*Sheet4!D$2</f>
        <v>5400</v>
      </c>
      <c r="P32" s="51">
        <f>M32*VLOOKUP($H32,Sheet4!$A$1:$B$7,2,FALSE)*Sheet4!E$2</f>
        <v>0</v>
      </c>
      <c r="Q32" s="51">
        <f>M32*VLOOKUP($H32,Sheet4!$A$1:$B$7,2,FALSE)*Sheet4!F$2</f>
        <v>0</v>
      </c>
      <c r="R32" s="51">
        <f>M32*VLOOKUP($H32,Sheet4!$A$1:$B$7,2,FALSE)*Sheet4!G$2</f>
        <v>180</v>
      </c>
      <c r="S32" s="51">
        <f>M32*VLOOKUP($H32,Sheet4!$A$1:$B$7,2,FALSE)*Sheet4!H$2</f>
        <v>90</v>
      </c>
      <c r="T32" s="51">
        <f>M32*VLOOKUP($H32,Sheet4!$A$1:$B$7,2,FALSE)*Sheet4!I$2</f>
        <v>90</v>
      </c>
      <c r="U32" s="51"/>
      <c r="V32" s="51"/>
      <c r="W32" s="51"/>
      <c r="X32" s="51"/>
      <c r="Y32" s="51"/>
      <c r="Z32" s="51"/>
      <c r="AA32" s="51">
        <f t="shared" si="9"/>
        <v>540</v>
      </c>
      <c r="AB32" s="51">
        <f t="shared" si="4"/>
        <v>0</v>
      </c>
      <c r="AC32" s="51">
        <f t="shared" si="5"/>
        <v>0</v>
      </c>
      <c r="AD32" s="51">
        <f t="shared" si="6"/>
        <v>18</v>
      </c>
      <c r="AE32" s="51">
        <f t="shared" si="7"/>
        <v>9</v>
      </c>
      <c r="AF32" s="51">
        <f t="shared" si="8"/>
        <v>9</v>
      </c>
      <c r="AG32" s="51"/>
      <c r="AH32" s="51"/>
      <c r="AI32" s="51"/>
      <c r="AJ32" s="51"/>
      <c r="AK32" s="49" t="str">
        <f t="shared" si="1"/>
        <v>13400|10</v>
      </c>
      <c r="AL32" s="49">
        <v>10</v>
      </c>
      <c r="AM32" s="49" t="e">
        <f>Sheet1!#REF!</f>
        <v>#REF!</v>
      </c>
      <c r="AN32" s="49" t="str">
        <f>Sheet1!BA32</f>
        <v>4001|50</v>
      </c>
      <c r="AO32" s="49">
        <f>Sheet1!BB32</f>
        <v>50</v>
      </c>
      <c r="AP32" s="49" t="str">
        <f>Sheet1!BC32</f>
        <v>11117,11118,11127,11128,11139</v>
      </c>
      <c r="AQ32" s="49" t="str">
        <f>Sheet1!BD32</f>
        <v>[]</v>
      </c>
      <c r="AR32" s="49" t="str">
        <f>Sheet1!BE32</f>
        <v>12020,12018,12022,12024</v>
      </c>
      <c r="AS32" s="49">
        <f>Sheet1!BF32</f>
        <v>1400</v>
      </c>
      <c r="AT32" s="49">
        <f>Sheet1!BL32</f>
        <v>100000</v>
      </c>
      <c r="AU32" s="49">
        <f>Sheet1!BM32</f>
        <v>10</v>
      </c>
      <c r="AV32" s="49">
        <f>Sheet1!BN32</f>
        <v>100</v>
      </c>
      <c r="AW32" s="49">
        <f>Sheet1!BO32</f>
        <v>1135</v>
      </c>
    </row>
    <row r="33" spans="1:49">
      <c r="A33" s="49">
        <f>Sheet1!A33</f>
        <v>1132</v>
      </c>
      <c r="B33" s="49" t="str">
        <f>Sheet1!B33</f>
        <v>混世魔王</v>
      </c>
      <c r="C33" s="49">
        <f>Sheet1!D33</f>
        <v>1</v>
      </c>
      <c r="D33" s="49">
        <f>Sheet1!E33</f>
        <v>2</v>
      </c>
      <c r="E33" s="49">
        <f>Sheet1!F33</f>
        <v>4</v>
      </c>
      <c r="F33" s="49">
        <f>Sheet1!G33</f>
        <v>4</v>
      </c>
      <c r="G33" s="49">
        <f>Sheet1!U33</f>
        <v>4</v>
      </c>
      <c r="H33" s="49">
        <f>Sheet1!V33</f>
        <v>13</v>
      </c>
      <c r="I33" s="49">
        <v>2</v>
      </c>
      <c r="J33" s="49">
        <v>12</v>
      </c>
      <c r="K33" s="49">
        <f>Sheet1!Y33</f>
        <v>8</v>
      </c>
      <c r="L33" s="49">
        <f>Sheet1!Z33</f>
        <v>1</v>
      </c>
      <c r="M33" s="49">
        <v>1</v>
      </c>
      <c r="N33" s="49">
        <f t="shared" ca="1" si="2"/>
        <v>1.0089880217233249</v>
      </c>
      <c r="O33" s="51">
        <f>M33*VLOOKUP($H33,Sheet4!$A$1:$B$7,2,FALSE)*Sheet4!D$2</f>
        <v>5400</v>
      </c>
      <c r="P33" s="51">
        <f>M33*VLOOKUP($H33,Sheet4!$A$1:$B$7,2,FALSE)*Sheet4!E$2</f>
        <v>0</v>
      </c>
      <c r="Q33" s="51">
        <f>M33*VLOOKUP($H33,Sheet4!$A$1:$B$7,2,FALSE)*Sheet4!F$2</f>
        <v>0</v>
      </c>
      <c r="R33" s="51">
        <f>M33*VLOOKUP($H33,Sheet4!$A$1:$B$7,2,FALSE)*Sheet4!G$2</f>
        <v>180</v>
      </c>
      <c r="S33" s="51">
        <f>M33*VLOOKUP($H33,Sheet4!$A$1:$B$7,2,FALSE)*Sheet4!H$2</f>
        <v>90</v>
      </c>
      <c r="T33" s="51">
        <f>M33*VLOOKUP($H33,Sheet4!$A$1:$B$7,2,FALSE)*Sheet4!I$2</f>
        <v>90</v>
      </c>
      <c r="U33" s="51"/>
      <c r="V33" s="51"/>
      <c r="W33" s="51"/>
      <c r="X33" s="51"/>
      <c r="Y33" s="51"/>
      <c r="Z33" s="51"/>
      <c r="AA33" s="51">
        <f t="shared" si="9"/>
        <v>540</v>
      </c>
      <c r="AB33" s="51">
        <f t="shared" si="4"/>
        <v>0</v>
      </c>
      <c r="AC33" s="51">
        <f t="shared" si="5"/>
        <v>0</v>
      </c>
      <c r="AD33" s="51">
        <f t="shared" si="6"/>
        <v>18</v>
      </c>
      <c r="AE33" s="51">
        <f t="shared" si="7"/>
        <v>9</v>
      </c>
      <c r="AF33" s="51">
        <f t="shared" si="8"/>
        <v>9</v>
      </c>
      <c r="AG33" s="51"/>
      <c r="AH33" s="51"/>
      <c r="AI33" s="51"/>
      <c r="AJ33" s="51"/>
      <c r="AK33" s="49" t="str">
        <f t="shared" si="1"/>
        <v>13400|10</v>
      </c>
      <c r="AL33" s="49">
        <v>10</v>
      </c>
      <c r="AM33" s="49" t="e">
        <f>Sheet1!#REF!</f>
        <v>#REF!</v>
      </c>
      <c r="AN33" s="49" t="str">
        <f>Sheet1!BA33</f>
        <v>4001|50</v>
      </c>
      <c r="AO33" s="49">
        <f>Sheet1!BB33</f>
        <v>50</v>
      </c>
      <c r="AP33" s="49" t="str">
        <f>Sheet1!BC33</f>
        <v>11017,11018,11027,11028,11039</v>
      </c>
      <c r="AQ33" s="49" t="str">
        <f>Sheet1!BD33</f>
        <v>[]</v>
      </c>
      <c r="AR33" s="49" t="str">
        <f>Sheet1!BE33</f>
        <v>12020,12018,12022,12024</v>
      </c>
      <c r="AS33" s="49">
        <f>Sheet1!BF33</f>
        <v>1400</v>
      </c>
      <c r="AT33" s="49">
        <f>Sheet1!BL33</f>
        <v>100000</v>
      </c>
      <c r="AU33" s="49">
        <f>Sheet1!BM33</f>
        <v>10</v>
      </c>
      <c r="AV33" s="49">
        <f>Sheet1!BN33</f>
        <v>100</v>
      </c>
      <c r="AW33" s="49">
        <f>Sheet1!BO33</f>
        <v>1132</v>
      </c>
    </row>
    <row r="34" spans="1:49">
      <c r="A34" s="49">
        <f>Sheet1!A34</f>
        <v>1125</v>
      </c>
      <c r="B34" s="49" t="str">
        <f>Sheet1!B34</f>
        <v>迦叶</v>
      </c>
      <c r="C34" s="49">
        <f>Sheet1!D34</f>
        <v>1</v>
      </c>
      <c r="D34" s="49">
        <f>Sheet1!E34</f>
        <v>3</v>
      </c>
      <c r="E34" s="49">
        <f>Sheet1!F34</f>
        <v>4</v>
      </c>
      <c r="F34" s="49">
        <f>Sheet1!G34</f>
        <v>4</v>
      </c>
      <c r="G34" s="49">
        <f>Sheet1!U34</f>
        <v>4</v>
      </c>
      <c r="H34" s="49">
        <f>Sheet1!V34</f>
        <v>13</v>
      </c>
      <c r="I34" s="49">
        <v>4</v>
      </c>
      <c r="J34" s="49">
        <v>12</v>
      </c>
      <c r="K34" s="49">
        <f>Sheet1!Y34</f>
        <v>8</v>
      </c>
      <c r="L34" s="49">
        <f>Sheet1!Z34</f>
        <v>1</v>
      </c>
      <c r="M34" s="49">
        <v>1</v>
      </c>
      <c r="N34" s="49">
        <f t="shared" ca="1" si="2"/>
        <v>1.0119571496008399</v>
      </c>
      <c r="O34" s="51">
        <f>M34*VLOOKUP($H34,Sheet4!$A$1:$B$7,2,FALSE)*Sheet4!D$2</f>
        <v>5400</v>
      </c>
      <c r="P34" s="51">
        <f>M34*VLOOKUP($H34,Sheet4!$A$1:$B$7,2,FALSE)*Sheet4!E$2</f>
        <v>0</v>
      </c>
      <c r="Q34" s="51">
        <f>M34*VLOOKUP($H34,Sheet4!$A$1:$B$7,2,FALSE)*Sheet4!F$2</f>
        <v>0</v>
      </c>
      <c r="R34" s="51">
        <f>M34*VLOOKUP($H34,Sheet4!$A$1:$B$7,2,FALSE)*Sheet4!G$2</f>
        <v>180</v>
      </c>
      <c r="S34" s="51">
        <f>M34*VLOOKUP($H34,Sheet4!$A$1:$B$7,2,FALSE)*Sheet4!H$2</f>
        <v>90</v>
      </c>
      <c r="T34" s="51">
        <f>M34*VLOOKUP($H34,Sheet4!$A$1:$B$7,2,FALSE)*Sheet4!I$2</f>
        <v>90</v>
      </c>
      <c r="U34" s="51"/>
      <c r="V34" s="51"/>
      <c r="W34" s="51"/>
      <c r="X34" s="51"/>
      <c r="Y34" s="51"/>
      <c r="Z34" s="51"/>
      <c r="AA34" s="51">
        <f t="shared" si="9"/>
        <v>540</v>
      </c>
      <c r="AB34" s="51">
        <f t="shared" si="4"/>
        <v>0</v>
      </c>
      <c r="AC34" s="51">
        <f t="shared" si="5"/>
        <v>0</v>
      </c>
      <c r="AD34" s="51">
        <f t="shared" si="6"/>
        <v>18</v>
      </c>
      <c r="AE34" s="51">
        <f t="shared" si="7"/>
        <v>9</v>
      </c>
      <c r="AF34" s="51">
        <f t="shared" si="8"/>
        <v>9</v>
      </c>
      <c r="AG34" s="51"/>
      <c r="AH34" s="51"/>
      <c r="AI34" s="51"/>
      <c r="AJ34" s="51"/>
      <c r="AK34" s="49" t="str">
        <f t="shared" si="1"/>
        <v>13400|10</v>
      </c>
      <c r="AL34" s="49">
        <v>10</v>
      </c>
      <c r="AM34" s="49" t="e">
        <f>Sheet1!#REF!</f>
        <v>#REF!</v>
      </c>
      <c r="AN34" s="49" t="str">
        <f>Sheet1!BA34</f>
        <v>4001|50</v>
      </c>
      <c r="AO34" s="49">
        <f>Sheet1!BB34</f>
        <v>50</v>
      </c>
      <c r="AP34" s="49" t="str">
        <f>Sheet1!BC34</f>
        <v>11217,11218,11227,11228,11239</v>
      </c>
      <c r="AQ34" s="49" t="str">
        <f>Sheet1!BD34</f>
        <v>[]</v>
      </c>
      <c r="AR34" s="49" t="str">
        <f>Sheet1!BE34</f>
        <v>12017,12019,12022,12024</v>
      </c>
      <c r="AS34" s="49">
        <f>Sheet1!BF34</f>
        <v>1400</v>
      </c>
      <c r="AT34" s="49">
        <f>Sheet1!BL34</f>
        <v>100000</v>
      </c>
      <c r="AU34" s="49">
        <f>Sheet1!BM34</f>
        <v>10</v>
      </c>
      <c r="AV34" s="49">
        <f>Sheet1!BN34</f>
        <v>100</v>
      </c>
      <c r="AW34" s="49">
        <f>Sheet1!BO34</f>
        <v>1125</v>
      </c>
    </row>
    <row r="35" spans="1:49">
      <c r="A35" s="49">
        <f>Sheet1!A35</f>
        <v>1202</v>
      </c>
      <c r="B35" s="49" t="str">
        <f>Sheet1!B35</f>
        <v>人参娃</v>
      </c>
      <c r="C35" s="49">
        <f>Sheet1!D35</f>
        <v>1</v>
      </c>
      <c r="D35" s="49">
        <f>Sheet1!E35</f>
        <v>3</v>
      </c>
      <c r="E35" s="49">
        <f>Sheet1!F35</f>
        <v>3</v>
      </c>
      <c r="F35" s="49">
        <f>Sheet1!G35</f>
        <v>3</v>
      </c>
      <c r="G35" s="49">
        <f>Sheet1!U35</f>
        <v>4</v>
      </c>
      <c r="H35" s="49">
        <f>Sheet1!V35</f>
        <v>13</v>
      </c>
      <c r="I35" s="49">
        <v>4</v>
      </c>
      <c r="J35" s="49">
        <v>12</v>
      </c>
      <c r="K35" s="49">
        <f>Sheet1!Y35</f>
        <v>8</v>
      </c>
      <c r="L35" s="49">
        <f>Sheet1!Z35</f>
        <v>1</v>
      </c>
      <c r="M35" s="49">
        <v>1</v>
      </c>
      <c r="N35" s="49">
        <f t="shared" ca="1" si="2"/>
        <v>0.99745062087332692</v>
      </c>
      <c r="O35" s="51">
        <f>M35*VLOOKUP($H35,Sheet4!$A$1:$B$7,2,FALSE)*Sheet4!D$2</f>
        <v>5400</v>
      </c>
      <c r="P35" s="51">
        <f>M35*VLOOKUP($H35,Sheet4!$A$1:$B$7,2,FALSE)*Sheet4!E$2</f>
        <v>0</v>
      </c>
      <c r="Q35" s="51">
        <f>M35*VLOOKUP($H35,Sheet4!$A$1:$B$7,2,FALSE)*Sheet4!F$2</f>
        <v>0</v>
      </c>
      <c r="R35" s="51">
        <f>M35*VLOOKUP($H35,Sheet4!$A$1:$B$7,2,FALSE)*Sheet4!G$2</f>
        <v>180</v>
      </c>
      <c r="S35" s="51">
        <f>M35*VLOOKUP($H35,Sheet4!$A$1:$B$7,2,FALSE)*Sheet4!H$2</f>
        <v>90</v>
      </c>
      <c r="T35" s="51">
        <f>M35*VLOOKUP($H35,Sheet4!$A$1:$B$7,2,FALSE)*Sheet4!I$2</f>
        <v>90</v>
      </c>
      <c r="U35" s="51"/>
      <c r="V35" s="51"/>
      <c r="W35" s="51"/>
      <c r="X35" s="51"/>
      <c r="Y35" s="51"/>
      <c r="Z35" s="51"/>
      <c r="AA35" s="51">
        <f t="shared" si="9"/>
        <v>540</v>
      </c>
      <c r="AB35" s="51">
        <f t="shared" si="4"/>
        <v>0</v>
      </c>
      <c r="AC35" s="51">
        <f t="shared" si="5"/>
        <v>0</v>
      </c>
      <c r="AD35" s="51">
        <f t="shared" si="6"/>
        <v>18</v>
      </c>
      <c r="AE35" s="51">
        <f t="shared" si="7"/>
        <v>9</v>
      </c>
      <c r="AF35" s="51">
        <f t="shared" si="8"/>
        <v>9</v>
      </c>
      <c r="AG35" s="51"/>
      <c r="AH35" s="51"/>
      <c r="AI35" s="51"/>
      <c r="AJ35" s="51"/>
      <c r="AK35" s="49" t="str">
        <f t="shared" si="1"/>
        <v>13300|10</v>
      </c>
      <c r="AL35" s="49">
        <v>10</v>
      </c>
      <c r="AM35" s="49" t="e">
        <f>Sheet1!#REF!</f>
        <v>#REF!</v>
      </c>
      <c r="AN35" s="49" t="str">
        <f>Sheet1!BA35</f>
        <v>4001|50</v>
      </c>
      <c r="AO35" s="49">
        <f>Sheet1!BB35</f>
        <v>50</v>
      </c>
      <c r="AP35" s="49" t="str">
        <f>Sheet1!BC35</f>
        <v>11219,11220,11234,11235,11242</v>
      </c>
      <c r="AQ35" s="49" t="str">
        <f>Sheet1!BD35</f>
        <v>[]</v>
      </c>
      <c r="AR35" s="49" t="str">
        <f>Sheet1!BE35</f>
        <v>12017,12019,12022,12024</v>
      </c>
      <c r="AS35" s="49">
        <f>Sheet1!BF35</f>
        <v>1400</v>
      </c>
      <c r="AT35" s="49">
        <f>Sheet1!BL35</f>
        <v>50000</v>
      </c>
      <c r="AU35" s="49">
        <f>Sheet1!BM35</f>
        <v>1.5</v>
      </c>
      <c r="AV35" s="49">
        <f>Sheet1!BN35</f>
        <v>100</v>
      </c>
      <c r="AW35" s="49">
        <f>Sheet1!BO35</f>
        <v>1202</v>
      </c>
    </row>
    <row r="36" spans="1:49">
      <c r="A36" s="49">
        <f>Sheet1!A36</f>
        <v>1123</v>
      </c>
      <c r="B36" s="49" t="str">
        <f>Sheet1!B36</f>
        <v>小白龙</v>
      </c>
      <c r="C36" s="49">
        <f>Sheet1!D36</f>
        <v>1</v>
      </c>
      <c r="D36" s="49">
        <f>Sheet1!E36</f>
        <v>1</v>
      </c>
      <c r="E36" s="49">
        <f>Sheet1!F36</f>
        <v>3</v>
      </c>
      <c r="F36" s="49">
        <f>Sheet1!G36</f>
        <v>3</v>
      </c>
      <c r="G36" s="49">
        <f>Sheet1!U36</f>
        <v>4</v>
      </c>
      <c r="H36" s="49">
        <f>Sheet1!V36</f>
        <v>13</v>
      </c>
      <c r="I36" s="49">
        <v>2</v>
      </c>
      <c r="J36" s="49">
        <v>12</v>
      </c>
      <c r="K36" s="49">
        <f>Sheet1!Y36</f>
        <v>8</v>
      </c>
      <c r="L36" s="49">
        <f>Sheet1!Z36</f>
        <v>1</v>
      </c>
      <c r="M36" s="49">
        <v>1</v>
      </c>
      <c r="N36" s="49">
        <f t="shared" ca="1" si="2"/>
        <v>1.0205754344825837</v>
      </c>
      <c r="O36" s="51">
        <f>M36*VLOOKUP($H36,Sheet4!$A$1:$B$7,2,FALSE)*Sheet4!D$2</f>
        <v>5400</v>
      </c>
      <c r="P36" s="51">
        <f>M36*VLOOKUP($H36,Sheet4!$A$1:$B$7,2,FALSE)*Sheet4!E$2</f>
        <v>0</v>
      </c>
      <c r="Q36" s="51">
        <f>M36*VLOOKUP($H36,Sheet4!$A$1:$B$7,2,FALSE)*Sheet4!F$2</f>
        <v>0</v>
      </c>
      <c r="R36" s="51">
        <f>M36*VLOOKUP($H36,Sheet4!$A$1:$B$7,2,FALSE)*Sheet4!G$2</f>
        <v>180</v>
      </c>
      <c r="S36" s="51">
        <f>M36*VLOOKUP($H36,Sheet4!$A$1:$B$7,2,FALSE)*Sheet4!H$2</f>
        <v>90</v>
      </c>
      <c r="T36" s="51">
        <f>M36*VLOOKUP($H36,Sheet4!$A$1:$B$7,2,FALSE)*Sheet4!I$2</f>
        <v>90</v>
      </c>
      <c r="U36" s="51"/>
      <c r="V36" s="51"/>
      <c r="W36" s="51"/>
      <c r="X36" s="51"/>
      <c r="Y36" s="51"/>
      <c r="Z36" s="51"/>
      <c r="AA36" s="51">
        <f t="shared" si="9"/>
        <v>540</v>
      </c>
      <c r="AB36" s="51">
        <f t="shared" si="4"/>
        <v>0</v>
      </c>
      <c r="AC36" s="51">
        <f t="shared" si="5"/>
        <v>0</v>
      </c>
      <c r="AD36" s="51">
        <f t="shared" si="6"/>
        <v>18</v>
      </c>
      <c r="AE36" s="51">
        <f t="shared" si="7"/>
        <v>9</v>
      </c>
      <c r="AF36" s="51">
        <f t="shared" si="8"/>
        <v>9</v>
      </c>
      <c r="AG36" s="51"/>
      <c r="AH36" s="51"/>
      <c r="AI36" s="51"/>
      <c r="AJ36" s="51"/>
      <c r="AK36" s="49" t="str">
        <f t="shared" si="1"/>
        <v>13300|10</v>
      </c>
      <c r="AL36" s="49">
        <v>10</v>
      </c>
      <c r="AM36" s="49" t="e">
        <f>Sheet1!#REF!</f>
        <v>#REF!</v>
      </c>
      <c r="AN36" s="49" t="str">
        <f>Sheet1!BA36</f>
        <v>4001|50</v>
      </c>
      <c r="AO36" s="49">
        <f>Sheet1!BB36</f>
        <v>50</v>
      </c>
      <c r="AP36" s="49" t="str">
        <f>Sheet1!BC36</f>
        <v>11119,11120,11134,11135,11142</v>
      </c>
      <c r="AQ36" s="49" t="str">
        <f>Sheet1!BD36</f>
        <v>[]</v>
      </c>
      <c r="AR36" s="49" t="str">
        <f>Sheet1!BE36</f>
        <v>12017,12019,12021,12023</v>
      </c>
      <c r="AS36" s="49">
        <f>Sheet1!BF36</f>
        <v>1400</v>
      </c>
      <c r="AT36" s="49">
        <f>Sheet1!BL36</f>
        <v>50000</v>
      </c>
      <c r="AU36" s="49">
        <f>Sheet1!BM36</f>
        <v>1.5</v>
      </c>
      <c r="AV36" s="49">
        <f>Sheet1!BN36</f>
        <v>100</v>
      </c>
      <c r="AW36" s="49">
        <f>Sheet1!BO36</f>
        <v>1123</v>
      </c>
    </row>
    <row r="37" spans="1:49">
      <c r="A37" s="49">
        <f>Sheet1!A37</f>
        <v>1117</v>
      </c>
      <c r="B37" s="49" t="str">
        <f>Sheet1!B37</f>
        <v>六耳猕猴</v>
      </c>
      <c r="C37" s="49">
        <f>Sheet1!D37</f>
        <v>1</v>
      </c>
      <c r="D37" s="49">
        <f>Sheet1!E37</f>
        <v>2</v>
      </c>
      <c r="E37" s="49">
        <f>Sheet1!F37</f>
        <v>4</v>
      </c>
      <c r="F37" s="49">
        <f>Sheet1!G37</f>
        <v>4</v>
      </c>
      <c r="G37" s="49">
        <f>Sheet1!U37</f>
        <v>4</v>
      </c>
      <c r="H37" s="49">
        <f>Sheet1!V37</f>
        <v>13</v>
      </c>
      <c r="I37" s="49">
        <v>2</v>
      </c>
      <c r="J37" s="49">
        <v>12</v>
      </c>
      <c r="K37" s="49">
        <f>Sheet1!Y37</f>
        <v>8</v>
      </c>
      <c r="L37" s="49">
        <f>Sheet1!Z37</f>
        <v>1</v>
      </c>
      <c r="M37" s="49">
        <v>1</v>
      </c>
      <c r="N37" s="49">
        <f t="shared" ca="1" si="2"/>
        <v>0.99056006830749266</v>
      </c>
      <c r="O37" s="51">
        <f>M37*VLOOKUP($H37,Sheet4!$A$1:$B$7,2,FALSE)*Sheet4!D$2</f>
        <v>5400</v>
      </c>
      <c r="P37" s="51">
        <f>M37*VLOOKUP($H37,Sheet4!$A$1:$B$7,2,FALSE)*Sheet4!E$2</f>
        <v>0</v>
      </c>
      <c r="Q37" s="51">
        <f>M37*VLOOKUP($H37,Sheet4!$A$1:$B$7,2,FALSE)*Sheet4!F$2</f>
        <v>0</v>
      </c>
      <c r="R37" s="51">
        <f>M37*VLOOKUP($H37,Sheet4!$A$1:$B$7,2,FALSE)*Sheet4!G$2</f>
        <v>180</v>
      </c>
      <c r="S37" s="51">
        <f>M37*VLOOKUP($H37,Sheet4!$A$1:$B$7,2,FALSE)*Sheet4!H$2</f>
        <v>90</v>
      </c>
      <c r="T37" s="51">
        <f>M37*VLOOKUP($H37,Sheet4!$A$1:$B$7,2,FALSE)*Sheet4!I$2</f>
        <v>90</v>
      </c>
      <c r="U37" s="51"/>
      <c r="V37" s="51"/>
      <c r="W37" s="51"/>
      <c r="X37" s="51"/>
      <c r="Y37" s="51"/>
      <c r="Z37" s="51"/>
      <c r="AA37" s="51">
        <f t="shared" si="9"/>
        <v>540</v>
      </c>
      <c r="AB37" s="51">
        <f t="shared" si="4"/>
        <v>0</v>
      </c>
      <c r="AC37" s="51">
        <f t="shared" si="5"/>
        <v>0</v>
      </c>
      <c r="AD37" s="51">
        <f t="shared" si="6"/>
        <v>18</v>
      </c>
      <c r="AE37" s="51">
        <f t="shared" si="7"/>
        <v>9</v>
      </c>
      <c r="AF37" s="51">
        <f t="shared" si="8"/>
        <v>9</v>
      </c>
      <c r="AG37" s="51"/>
      <c r="AH37" s="51"/>
      <c r="AI37" s="51"/>
      <c r="AJ37" s="51"/>
      <c r="AK37" s="49" t="str">
        <f t="shared" si="1"/>
        <v>13400|10</v>
      </c>
      <c r="AL37" s="49">
        <v>10</v>
      </c>
      <c r="AM37" s="49" t="e">
        <f>Sheet1!#REF!</f>
        <v>#REF!</v>
      </c>
      <c r="AN37" s="49" t="str">
        <f>Sheet1!BA37</f>
        <v>4001|50</v>
      </c>
      <c r="AO37" s="49">
        <f>Sheet1!BB37</f>
        <v>50</v>
      </c>
      <c r="AP37" s="49" t="str">
        <f>Sheet1!BC37</f>
        <v>11017,11020,11025,11026,11038</v>
      </c>
      <c r="AQ37" s="49" t="str">
        <f>Sheet1!BD37</f>
        <v>[]</v>
      </c>
      <c r="AR37" s="49" t="str">
        <f>Sheet1!BE37</f>
        <v>12017,12019,12021,12023</v>
      </c>
      <c r="AS37" s="49">
        <f>Sheet1!BF37</f>
        <v>1400</v>
      </c>
      <c r="AT37" s="49">
        <f>Sheet1!BL37</f>
        <v>100000</v>
      </c>
      <c r="AU37" s="49">
        <f>Sheet1!BM37</f>
        <v>10</v>
      </c>
      <c r="AV37" s="49">
        <f>Sheet1!BN37</f>
        <v>100</v>
      </c>
      <c r="AW37" s="49">
        <f>Sheet1!BO37</f>
        <v>1117</v>
      </c>
    </row>
    <row r="38" spans="1:49">
      <c r="A38" s="49">
        <f>Sheet1!A38</f>
        <v>1201</v>
      </c>
      <c r="B38" s="49" t="str">
        <f>Sheet1!B38</f>
        <v>阎罗王</v>
      </c>
      <c r="C38" s="49">
        <f>Sheet1!D38</f>
        <v>1</v>
      </c>
      <c r="D38" s="49">
        <f>Sheet1!E38</f>
        <v>1</v>
      </c>
      <c r="E38" s="49">
        <f>Sheet1!F38</f>
        <v>2</v>
      </c>
      <c r="F38" s="49">
        <f>Sheet1!G38</f>
        <v>2</v>
      </c>
      <c r="G38" s="49">
        <f>Sheet1!U38</f>
        <v>4</v>
      </c>
      <c r="H38" s="49">
        <f>Sheet1!V38</f>
        <v>13</v>
      </c>
      <c r="I38" s="49">
        <v>10</v>
      </c>
      <c r="J38" s="49">
        <v>12</v>
      </c>
      <c r="K38" s="49">
        <f>Sheet1!Y38</f>
        <v>8</v>
      </c>
      <c r="L38" s="49">
        <f>Sheet1!Z38</f>
        <v>0.8</v>
      </c>
      <c r="M38" s="49">
        <v>1</v>
      </c>
      <c r="N38" s="49">
        <f t="shared" ca="1" si="2"/>
        <v>0.98253865267785534</v>
      </c>
      <c r="O38" s="51">
        <f>M38*VLOOKUP($H38,Sheet4!$A$1:$B$7,2,FALSE)*Sheet4!D$2</f>
        <v>5400</v>
      </c>
      <c r="P38" s="51">
        <f>M38*VLOOKUP($H38,Sheet4!$A$1:$B$7,2,FALSE)*Sheet4!E$2</f>
        <v>0</v>
      </c>
      <c r="Q38" s="51">
        <f>M38*VLOOKUP($H38,Sheet4!$A$1:$B$7,2,FALSE)*Sheet4!F$2</f>
        <v>0</v>
      </c>
      <c r="R38" s="51">
        <f>M38*VLOOKUP($H38,Sheet4!$A$1:$B$7,2,FALSE)*Sheet4!G$2</f>
        <v>180</v>
      </c>
      <c r="S38" s="51">
        <f>M38*VLOOKUP($H38,Sheet4!$A$1:$B$7,2,FALSE)*Sheet4!H$2</f>
        <v>90</v>
      </c>
      <c r="T38" s="51">
        <f>M38*VLOOKUP($H38,Sheet4!$A$1:$B$7,2,FALSE)*Sheet4!I$2</f>
        <v>90</v>
      </c>
      <c r="U38" s="51"/>
      <c r="V38" s="51"/>
      <c r="W38" s="51"/>
      <c r="X38" s="51"/>
      <c r="Y38" s="51"/>
      <c r="Z38" s="51"/>
      <c r="AA38" s="51">
        <f t="shared" si="9"/>
        <v>540</v>
      </c>
      <c r="AB38" s="51">
        <f t="shared" si="4"/>
        <v>0</v>
      </c>
      <c r="AC38" s="51">
        <f t="shared" si="5"/>
        <v>0</v>
      </c>
      <c r="AD38" s="51">
        <f t="shared" si="6"/>
        <v>18</v>
      </c>
      <c r="AE38" s="51">
        <f t="shared" si="7"/>
        <v>9</v>
      </c>
      <c r="AF38" s="51">
        <f t="shared" si="8"/>
        <v>9</v>
      </c>
      <c r="AG38" s="51"/>
      <c r="AH38" s="51"/>
      <c r="AI38" s="51"/>
      <c r="AJ38" s="51"/>
      <c r="AK38" s="49" t="str">
        <f t="shared" si="1"/>
        <v>13200|10</v>
      </c>
      <c r="AL38" s="49">
        <v>10</v>
      </c>
      <c r="AM38" s="49" t="e">
        <f>Sheet1!#REF!</f>
        <v>#REF!</v>
      </c>
      <c r="AN38" s="49" t="str">
        <f>Sheet1!BA38</f>
        <v>4001|50</v>
      </c>
      <c r="AO38" s="49">
        <f>Sheet1!BB38</f>
        <v>50</v>
      </c>
      <c r="AP38" s="49" t="str">
        <f>Sheet1!BC38</f>
        <v>11119,11120,11132,11133,11142</v>
      </c>
      <c r="AQ38" s="49" t="str">
        <f>Sheet1!BD38</f>
        <v>[]</v>
      </c>
      <c r="AR38" s="49" t="str">
        <f>Sheet1!BE38</f>
        <v>12017,12019,12021,12023</v>
      </c>
      <c r="AS38" s="49">
        <f>Sheet1!BF38</f>
        <v>1400</v>
      </c>
      <c r="AT38" s="49">
        <f>Sheet1!BL38</f>
        <v>10000</v>
      </c>
      <c r="AU38" s="49">
        <f>Sheet1!BM38</f>
        <v>1</v>
      </c>
      <c r="AV38" s="49">
        <f>Sheet1!BN38</f>
        <v>100</v>
      </c>
      <c r="AW38" s="49">
        <f>Sheet1!BO38</f>
        <v>1201</v>
      </c>
    </row>
    <row r="39" spans="1:49">
      <c r="A39" s="49">
        <f>Sheet1!A39</f>
        <v>1131</v>
      </c>
      <c r="B39" s="49" t="str">
        <f>Sheet1!B39</f>
        <v>蝎子精</v>
      </c>
      <c r="C39" s="49">
        <f>Sheet1!D39</f>
        <v>1</v>
      </c>
      <c r="D39" s="49">
        <f>Sheet1!E39</f>
        <v>2</v>
      </c>
      <c r="E39" s="49">
        <f>Sheet1!F39</f>
        <v>2</v>
      </c>
      <c r="F39" s="49">
        <f>Sheet1!G39</f>
        <v>2</v>
      </c>
      <c r="G39" s="49">
        <f>Sheet1!U39</f>
        <v>4</v>
      </c>
      <c r="H39" s="49">
        <f>Sheet1!V39</f>
        <v>13</v>
      </c>
      <c r="I39" s="49">
        <v>10</v>
      </c>
      <c r="J39" s="49">
        <v>12</v>
      </c>
      <c r="K39" s="49">
        <f>Sheet1!Y39</f>
        <v>8</v>
      </c>
      <c r="L39" s="49">
        <f>Sheet1!Z39</f>
        <v>0.8</v>
      </c>
      <c r="M39" s="49">
        <v>1</v>
      </c>
      <c r="N39" s="49">
        <f t="shared" ca="1" si="2"/>
        <v>0.99650948140756035</v>
      </c>
      <c r="O39" s="51">
        <f>M39*VLOOKUP($H39,Sheet4!$A$1:$B$7,2,FALSE)*Sheet4!D$2</f>
        <v>5400</v>
      </c>
      <c r="P39" s="51">
        <f>M39*VLOOKUP($H39,Sheet4!$A$1:$B$7,2,FALSE)*Sheet4!E$2</f>
        <v>0</v>
      </c>
      <c r="Q39" s="51">
        <f>M39*VLOOKUP($H39,Sheet4!$A$1:$B$7,2,FALSE)*Sheet4!F$2</f>
        <v>0</v>
      </c>
      <c r="R39" s="51">
        <f>M39*VLOOKUP($H39,Sheet4!$A$1:$B$7,2,FALSE)*Sheet4!G$2</f>
        <v>180</v>
      </c>
      <c r="S39" s="51">
        <f>M39*VLOOKUP($H39,Sheet4!$A$1:$B$7,2,FALSE)*Sheet4!H$2</f>
        <v>90</v>
      </c>
      <c r="T39" s="51">
        <f>M39*VLOOKUP($H39,Sheet4!$A$1:$B$7,2,FALSE)*Sheet4!I$2</f>
        <v>90</v>
      </c>
      <c r="U39" s="51"/>
      <c r="V39" s="51"/>
      <c r="W39" s="51"/>
      <c r="X39" s="51"/>
      <c r="Y39" s="51"/>
      <c r="Z39" s="51"/>
      <c r="AA39" s="51">
        <f t="shared" si="9"/>
        <v>540</v>
      </c>
      <c r="AB39" s="51">
        <f t="shared" si="4"/>
        <v>0</v>
      </c>
      <c r="AC39" s="51">
        <f t="shared" si="5"/>
        <v>0</v>
      </c>
      <c r="AD39" s="51">
        <f t="shared" si="6"/>
        <v>18</v>
      </c>
      <c r="AE39" s="51">
        <f t="shared" si="7"/>
        <v>9</v>
      </c>
      <c r="AF39" s="51">
        <f t="shared" si="8"/>
        <v>9</v>
      </c>
      <c r="AG39" s="51"/>
      <c r="AH39" s="51"/>
      <c r="AI39" s="51"/>
      <c r="AJ39" s="51"/>
      <c r="AK39" s="49" t="str">
        <f t="shared" si="1"/>
        <v>13200|10</v>
      </c>
      <c r="AL39" s="49">
        <v>10</v>
      </c>
      <c r="AM39" s="49" t="e">
        <f>Sheet1!#REF!</f>
        <v>#REF!</v>
      </c>
      <c r="AN39" s="49" t="str">
        <f>Sheet1!BA39</f>
        <v>4001|50</v>
      </c>
      <c r="AO39" s="49">
        <f>Sheet1!BB39</f>
        <v>50</v>
      </c>
      <c r="AP39" s="49" t="str">
        <f>Sheet1!BC39</f>
        <v>11019,11020,11032,11033,11042</v>
      </c>
      <c r="AQ39" s="49" t="str">
        <f>Sheet1!BD39</f>
        <v>[]</v>
      </c>
      <c r="AR39" s="49" t="str">
        <f>Sheet1!BE39</f>
        <v>12017,12019,12021,12023</v>
      </c>
      <c r="AS39" s="49">
        <f>Sheet1!BF39</f>
        <v>1400</v>
      </c>
      <c r="AT39" s="49">
        <f>Sheet1!BL39</f>
        <v>10000</v>
      </c>
      <c r="AU39" s="49">
        <f>Sheet1!BM39</f>
        <v>1</v>
      </c>
      <c r="AV39" s="49">
        <f>Sheet1!BN39</f>
        <v>100</v>
      </c>
      <c r="AW39" s="49">
        <f>Sheet1!BO39</f>
        <v>1131</v>
      </c>
    </row>
    <row r="40" spans="1:49">
      <c r="A40" s="49">
        <f>Sheet1!A40</f>
        <v>1137</v>
      </c>
      <c r="B40" s="49" t="str">
        <f>Sheet1!B40</f>
        <v>蜘蛛精</v>
      </c>
      <c r="C40" s="49">
        <f>Sheet1!D40</f>
        <v>1</v>
      </c>
      <c r="D40" s="49">
        <f>Sheet1!E40</f>
        <v>2</v>
      </c>
      <c r="E40" s="49">
        <f>Sheet1!F40</f>
        <v>3</v>
      </c>
      <c r="F40" s="49">
        <f>Sheet1!G40</f>
        <v>3</v>
      </c>
      <c r="G40" s="49">
        <f>Sheet1!U40</f>
        <v>4</v>
      </c>
      <c r="H40" s="49">
        <f>Sheet1!V40</f>
        <v>13</v>
      </c>
      <c r="I40" s="49">
        <v>10</v>
      </c>
      <c r="J40" s="49">
        <v>12</v>
      </c>
      <c r="K40" s="49">
        <f>Sheet1!Y40</f>
        <v>8</v>
      </c>
      <c r="L40" s="49">
        <f>Sheet1!Z40</f>
        <v>1.25</v>
      </c>
      <c r="M40" s="49">
        <v>1</v>
      </c>
      <c r="N40" s="49">
        <f t="shared" ca="1" si="2"/>
        <v>1.0002288529917991</v>
      </c>
      <c r="O40" s="51">
        <f>M40*VLOOKUP($H40,Sheet4!$A$1:$B$7,2,FALSE)*Sheet4!D$2</f>
        <v>5400</v>
      </c>
      <c r="P40" s="51">
        <f>M40*VLOOKUP($H40,Sheet4!$A$1:$B$7,2,FALSE)*Sheet4!E$2</f>
        <v>0</v>
      </c>
      <c r="Q40" s="51">
        <f>M40*VLOOKUP($H40,Sheet4!$A$1:$B$7,2,FALSE)*Sheet4!F$2</f>
        <v>0</v>
      </c>
      <c r="R40" s="51">
        <f>M40*VLOOKUP($H40,Sheet4!$A$1:$B$7,2,FALSE)*Sheet4!G$2</f>
        <v>180</v>
      </c>
      <c r="S40" s="51">
        <f>M40*VLOOKUP($H40,Sheet4!$A$1:$B$7,2,FALSE)*Sheet4!H$2</f>
        <v>90</v>
      </c>
      <c r="T40" s="51">
        <f>M40*VLOOKUP($H40,Sheet4!$A$1:$B$7,2,FALSE)*Sheet4!I$2</f>
        <v>90</v>
      </c>
      <c r="U40" s="51"/>
      <c r="V40" s="51"/>
      <c r="W40" s="51"/>
      <c r="X40" s="51"/>
      <c r="Y40" s="51"/>
      <c r="Z40" s="51"/>
      <c r="AA40" s="51">
        <f t="shared" si="9"/>
        <v>540</v>
      </c>
      <c r="AB40" s="51">
        <f t="shared" si="4"/>
        <v>0</v>
      </c>
      <c r="AC40" s="51">
        <f t="shared" si="5"/>
        <v>0</v>
      </c>
      <c r="AD40" s="51">
        <f t="shared" si="6"/>
        <v>18</v>
      </c>
      <c r="AE40" s="51">
        <f t="shared" si="7"/>
        <v>9</v>
      </c>
      <c r="AF40" s="51">
        <f t="shared" si="8"/>
        <v>9</v>
      </c>
      <c r="AG40" s="51"/>
      <c r="AH40" s="51"/>
      <c r="AI40" s="51"/>
      <c r="AJ40" s="51"/>
      <c r="AK40" s="49" t="str">
        <f t="shared" si="1"/>
        <v>13300|10</v>
      </c>
      <c r="AL40" s="49">
        <v>10</v>
      </c>
      <c r="AM40" s="49" t="e">
        <f>Sheet1!#REF!</f>
        <v>#REF!</v>
      </c>
      <c r="AN40" s="49" t="str">
        <f>Sheet1!BA40</f>
        <v>4001|50</v>
      </c>
      <c r="AO40" s="49">
        <f>Sheet1!BB40</f>
        <v>50</v>
      </c>
      <c r="AP40" s="49" t="str">
        <f>Sheet1!BC40</f>
        <v>11019,11020,11034,11035,11042</v>
      </c>
      <c r="AQ40" s="49" t="str">
        <f>Sheet1!BD40</f>
        <v>[]</v>
      </c>
      <c r="AR40" s="49" t="str">
        <f>Sheet1!BE40</f>
        <v>12017,12019,12021,12023</v>
      </c>
      <c r="AS40" s="49">
        <f>Sheet1!BF40</f>
        <v>1400</v>
      </c>
      <c r="AT40" s="49">
        <f>Sheet1!BL40</f>
        <v>50000</v>
      </c>
      <c r="AU40" s="49">
        <f>Sheet1!BM40</f>
        <v>1.5</v>
      </c>
      <c r="AV40" s="49">
        <f>Sheet1!BN40</f>
        <v>100</v>
      </c>
      <c r="AW40" s="49">
        <f>Sheet1!BO40</f>
        <v>1137</v>
      </c>
    </row>
    <row r="41" spans="1:49">
      <c r="A41" s="49">
        <f>Sheet1!A41</f>
        <v>1216</v>
      </c>
      <c r="B41" s="49" t="str">
        <f>Sheet1!B41</f>
        <v>女儿国国王</v>
      </c>
      <c r="C41" s="49">
        <f>Sheet1!D41</f>
        <v>1</v>
      </c>
      <c r="D41" s="49">
        <f>Sheet1!E41</f>
        <v>3</v>
      </c>
      <c r="E41" s="49">
        <f>Sheet1!F41</f>
        <v>2</v>
      </c>
      <c r="F41" s="49">
        <f>Sheet1!G41</f>
        <v>2</v>
      </c>
      <c r="G41" s="49">
        <f>Sheet1!U41</f>
        <v>4</v>
      </c>
      <c r="H41" s="49">
        <f>Sheet1!V41</f>
        <v>13</v>
      </c>
      <c r="I41" s="49">
        <v>10</v>
      </c>
      <c r="J41" s="49">
        <v>12</v>
      </c>
      <c r="K41" s="49">
        <f>Sheet1!Y41</f>
        <v>8</v>
      </c>
      <c r="L41" s="49">
        <f>Sheet1!Z41</f>
        <v>0.8</v>
      </c>
      <c r="M41" s="49">
        <v>1</v>
      </c>
      <c r="N41" s="49">
        <f t="shared" ca="1" si="2"/>
        <v>0.9794976750214186</v>
      </c>
      <c r="O41" s="51">
        <f>M41*VLOOKUP($H41,Sheet4!$A$1:$B$7,2,FALSE)*Sheet4!D$2</f>
        <v>5400</v>
      </c>
      <c r="P41" s="51">
        <f>M41*VLOOKUP($H41,Sheet4!$A$1:$B$7,2,FALSE)*Sheet4!E$2</f>
        <v>0</v>
      </c>
      <c r="Q41" s="51">
        <f>M41*VLOOKUP($H41,Sheet4!$A$1:$B$7,2,FALSE)*Sheet4!F$2</f>
        <v>0</v>
      </c>
      <c r="R41" s="51">
        <f>M41*VLOOKUP($H41,Sheet4!$A$1:$B$7,2,FALSE)*Sheet4!G$2</f>
        <v>180</v>
      </c>
      <c r="S41" s="51">
        <f>M41*VLOOKUP($H41,Sheet4!$A$1:$B$7,2,FALSE)*Sheet4!H$2</f>
        <v>90</v>
      </c>
      <c r="T41" s="51">
        <f>M41*VLOOKUP($H41,Sheet4!$A$1:$B$7,2,FALSE)*Sheet4!I$2</f>
        <v>90</v>
      </c>
      <c r="U41" s="51"/>
      <c r="V41" s="51"/>
      <c r="W41" s="51"/>
      <c r="X41" s="51"/>
      <c r="Y41" s="51"/>
      <c r="Z41" s="51"/>
      <c r="AA41" s="51">
        <f t="shared" si="9"/>
        <v>540</v>
      </c>
      <c r="AB41" s="51">
        <f t="shared" si="4"/>
        <v>0</v>
      </c>
      <c r="AC41" s="51">
        <f t="shared" si="5"/>
        <v>0</v>
      </c>
      <c r="AD41" s="51">
        <f t="shared" si="6"/>
        <v>18</v>
      </c>
      <c r="AE41" s="51">
        <f t="shared" si="7"/>
        <v>9</v>
      </c>
      <c r="AF41" s="51">
        <f t="shared" si="8"/>
        <v>9</v>
      </c>
      <c r="AG41" s="51"/>
      <c r="AH41" s="51"/>
      <c r="AI41" s="51"/>
      <c r="AJ41" s="51"/>
      <c r="AK41" s="49" t="str">
        <f t="shared" si="1"/>
        <v>13200|10</v>
      </c>
      <c r="AL41" s="49">
        <v>10</v>
      </c>
      <c r="AM41" s="49" t="e">
        <f>Sheet1!#REF!</f>
        <v>#REF!</v>
      </c>
      <c r="AN41" s="49" t="str">
        <f>Sheet1!BA41</f>
        <v>4001|50</v>
      </c>
      <c r="AO41" s="49">
        <f>Sheet1!BB41</f>
        <v>50</v>
      </c>
      <c r="AP41" s="49" t="str">
        <f>Sheet1!BC41</f>
        <v>11217,11218,11236,11237,11240</v>
      </c>
      <c r="AQ41" s="49" t="str">
        <f>Sheet1!BD41</f>
        <v>[]</v>
      </c>
      <c r="AR41" s="49" t="str">
        <f>Sheet1!BE41</f>
        <v>12017,12019,12021,12023</v>
      </c>
      <c r="AS41" s="49">
        <f>Sheet1!BF41</f>
        <v>1400</v>
      </c>
      <c r="AT41" s="49">
        <f>Sheet1!BL41</f>
        <v>10000</v>
      </c>
      <c r="AU41" s="49">
        <f>Sheet1!BM41</f>
        <v>1</v>
      </c>
      <c r="AV41" s="49">
        <f>Sheet1!BN41</f>
        <v>100</v>
      </c>
      <c r="AW41" s="49">
        <f>Sheet1!BO41</f>
        <v>1216</v>
      </c>
    </row>
    <row r="42" spans="1:49">
      <c r="A42" s="49">
        <f>Sheet1!A42</f>
        <v>1106</v>
      </c>
      <c r="B42" s="49" t="str">
        <f>Sheet1!B42</f>
        <v>太白金星</v>
      </c>
      <c r="C42" s="49">
        <f>Sheet1!D42</f>
        <v>1</v>
      </c>
      <c r="D42" s="49">
        <f>Sheet1!E42</f>
        <v>1</v>
      </c>
      <c r="E42" s="49">
        <f>Sheet1!F42</f>
        <v>3</v>
      </c>
      <c r="F42" s="49">
        <f>Sheet1!G42</f>
        <v>3</v>
      </c>
      <c r="G42" s="49">
        <f>Sheet1!U42</f>
        <v>4</v>
      </c>
      <c r="H42" s="49">
        <f>Sheet1!V42</f>
        <v>13</v>
      </c>
      <c r="I42" s="49">
        <v>10</v>
      </c>
      <c r="J42" s="49">
        <v>12</v>
      </c>
      <c r="K42" s="49">
        <f>Sheet1!Y42</f>
        <v>8</v>
      </c>
      <c r="L42" s="49">
        <f>Sheet1!Z42</f>
        <v>1</v>
      </c>
      <c r="M42" s="49">
        <v>1</v>
      </c>
      <c r="N42" s="49">
        <f t="shared" ca="1" si="2"/>
        <v>0.98590338905334707</v>
      </c>
      <c r="O42" s="51">
        <f>M42*VLOOKUP($H42,Sheet4!$A$1:$B$7,2,FALSE)*Sheet4!D$2</f>
        <v>5400</v>
      </c>
      <c r="P42" s="51">
        <f>M42*VLOOKUP($H42,Sheet4!$A$1:$B$7,2,FALSE)*Sheet4!E$2</f>
        <v>0</v>
      </c>
      <c r="Q42" s="51">
        <f>M42*VLOOKUP($H42,Sheet4!$A$1:$B$7,2,FALSE)*Sheet4!F$2</f>
        <v>0</v>
      </c>
      <c r="R42" s="51">
        <f>M42*VLOOKUP($H42,Sheet4!$A$1:$B$7,2,FALSE)*Sheet4!G$2</f>
        <v>180</v>
      </c>
      <c r="S42" s="51">
        <f>M42*VLOOKUP($H42,Sheet4!$A$1:$B$7,2,FALSE)*Sheet4!H$2</f>
        <v>90</v>
      </c>
      <c r="T42" s="51">
        <f>M42*VLOOKUP($H42,Sheet4!$A$1:$B$7,2,FALSE)*Sheet4!I$2</f>
        <v>90</v>
      </c>
      <c r="U42" s="51"/>
      <c r="V42" s="51"/>
      <c r="W42" s="51"/>
      <c r="X42" s="51"/>
      <c r="Y42" s="51"/>
      <c r="Z42" s="51"/>
      <c r="AA42" s="51">
        <f t="shared" si="9"/>
        <v>540</v>
      </c>
      <c r="AB42" s="51">
        <f t="shared" si="4"/>
        <v>0</v>
      </c>
      <c r="AC42" s="51">
        <f t="shared" si="5"/>
        <v>0</v>
      </c>
      <c r="AD42" s="51">
        <f t="shared" si="6"/>
        <v>18</v>
      </c>
      <c r="AE42" s="51">
        <f t="shared" si="7"/>
        <v>9</v>
      </c>
      <c r="AF42" s="51">
        <f t="shared" si="8"/>
        <v>9</v>
      </c>
      <c r="AG42" s="51"/>
      <c r="AH42" s="51"/>
      <c r="AI42" s="51"/>
      <c r="AJ42" s="51"/>
      <c r="AK42" s="49" t="str">
        <f t="shared" si="1"/>
        <v>13300|10</v>
      </c>
      <c r="AL42" s="49">
        <v>10</v>
      </c>
      <c r="AM42" s="49" t="e">
        <f>Sheet1!#REF!</f>
        <v>#REF!</v>
      </c>
      <c r="AN42" s="49" t="str">
        <f>Sheet1!BA42</f>
        <v>4001|50</v>
      </c>
      <c r="AO42" s="49">
        <f>Sheet1!BB42</f>
        <v>50</v>
      </c>
      <c r="AP42" s="49" t="str">
        <f>Sheet1!BC42</f>
        <v>11117,11118,11136,11137,11140</v>
      </c>
      <c r="AQ42" s="49" t="str">
        <f>Sheet1!BD42</f>
        <v>[]</v>
      </c>
      <c r="AR42" s="49" t="str">
        <f>Sheet1!BE42</f>
        <v>12020,12018,12022,12024</v>
      </c>
      <c r="AS42" s="49">
        <f>Sheet1!BF42</f>
        <v>1400</v>
      </c>
      <c r="AT42" s="49">
        <f>Sheet1!BL42</f>
        <v>50000</v>
      </c>
      <c r="AU42" s="49">
        <f>Sheet1!BM42</f>
        <v>1.5</v>
      </c>
      <c r="AV42" s="49">
        <f>Sheet1!BN42</f>
        <v>100</v>
      </c>
      <c r="AW42" s="49">
        <f>Sheet1!BO42</f>
        <v>1106</v>
      </c>
    </row>
    <row r="43" spans="1:49">
      <c r="A43" s="49">
        <f>Sheet1!A43</f>
        <v>1115</v>
      </c>
      <c r="B43" s="49" t="str">
        <f>Sheet1!B43</f>
        <v>羊力大仙</v>
      </c>
      <c r="C43" s="49">
        <f>Sheet1!D43</f>
        <v>1</v>
      </c>
      <c r="D43" s="49">
        <f>Sheet1!E43</f>
        <v>2</v>
      </c>
      <c r="E43" s="49">
        <f>Sheet1!F43</f>
        <v>1</v>
      </c>
      <c r="F43" s="49">
        <f>Sheet1!G43</f>
        <v>1</v>
      </c>
      <c r="G43" s="49">
        <f>Sheet1!U43</f>
        <v>5</v>
      </c>
      <c r="H43" s="49">
        <f>Sheet1!V43</f>
        <v>16</v>
      </c>
      <c r="I43" s="49">
        <v>10</v>
      </c>
      <c r="J43" s="49">
        <v>12</v>
      </c>
      <c r="K43" s="49">
        <f>Sheet1!Y43</f>
        <v>8</v>
      </c>
      <c r="L43" s="49">
        <f>Sheet1!Z43</f>
        <v>1</v>
      </c>
      <c r="M43" s="49">
        <v>1</v>
      </c>
      <c r="N43" s="49">
        <f t="shared" ca="1" si="2"/>
        <v>0.99936616776883624</v>
      </c>
      <c r="O43" s="51">
        <f>M43*VLOOKUP($H43,Sheet4!$A$1:$B$7,2,FALSE)*Sheet4!D$2</f>
        <v>6000</v>
      </c>
      <c r="P43" s="51">
        <f>M43*VLOOKUP($H43,Sheet4!$A$1:$B$7,2,FALSE)*Sheet4!E$2</f>
        <v>0</v>
      </c>
      <c r="Q43" s="51">
        <f>M43*VLOOKUP($H43,Sheet4!$A$1:$B$7,2,FALSE)*Sheet4!F$2</f>
        <v>0</v>
      </c>
      <c r="R43" s="51">
        <f>M43*VLOOKUP($H43,Sheet4!$A$1:$B$7,2,FALSE)*Sheet4!G$2</f>
        <v>200</v>
      </c>
      <c r="S43" s="51">
        <f>M43*VLOOKUP($H43,Sheet4!$A$1:$B$7,2,FALSE)*Sheet4!H$2</f>
        <v>100</v>
      </c>
      <c r="T43" s="51">
        <f>M43*VLOOKUP($H43,Sheet4!$A$1:$B$7,2,FALSE)*Sheet4!I$2</f>
        <v>100</v>
      </c>
      <c r="U43" s="51"/>
      <c r="V43" s="51"/>
      <c r="W43" s="51"/>
      <c r="X43" s="51"/>
      <c r="Y43" s="51"/>
      <c r="Z43" s="51"/>
      <c r="AA43" s="51">
        <f t="shared" si="9"/>
        <v>600</v>
      </c>
      <c r="AB43" s="51">
        <f t="shared" si="4"/>
        <v>0</v>
      </c>
      <c r="AC43" s="51">
        <f t="shared" si="5"/>
        <v>0</v>
      </c>
      <c r="AD43" s="51">
        <f t="shared" si="6"/>
        <v>20</v>
      </c>
      <c r="AE43" s="51">
        <f t="shared" si="7"/>
        <v>10</v>
      </c>
      <c r="AF43" s="51">
        <f t="shared" si="8"/>
        <v>10</v>
      </c>
      <c r="AG43" s="51"/>
      <c r="AH43" s="51"/>
      <c r="AI43" s="51"/>
      <c r="AJ43" s="51"/>
      <c r="AK43" s="49" t="str">
        <f t="shared" si="1"/>
        <v>16100|10</v>
      </c>
      <c r="AL43" s="49">
        <v>10</v>
      </c>
      <c r="AM43" s="49" t="e">
        <f>Sheet1!#REF!</f>
        <v>#REF!</v>
      </c>
      <c r="AN43" s="49" t="str">
        <f>Sheet1!BA43</f>
        <v>4001|50</v>
      </c>
      <c r="AO43" s="49">
        <f>Sheet1!BB43</f>
        <v>50</v>
      </c>
      <c r="AP43" s="49" t="str">
        <f>Sheet1!BC43</f>
        <v>11012,11015,11016,11023,11024,11043</v>
      </c>
      <c r="AQ43" s="49" t="str">
        <f>Sheet1!BD43</f>
        <v>[]</v>
      </c>
      <c r="AR43" s="49" t="str">
        <f>Sheet1!BE43</f>
        <v>12020,12018,12022,12024</v>
      </c>
      <c r="AS43" s="49">
        <f>Sheet1!BF43</f>
        <v>2000</v>
      </c>
      <c r="AT43" s="49">
        <f>Sheet1!BL43</f>
        <v>3000</v>
      </c>
      <c r="AU43" s="49">
        <f>Sheet1!BM43</f>
        <v>1</v>
      </c>
      <c r="AV43" s="49">
        <f>Sheet1!BN43</f>
        <v>101</v>
      </c>
      <c r="AW43" s="49">
        <f>Sheet1!BO43</f>
        <v>1115</v>
      </c>
    </row>
    <row r="44" spans="1:49">
      <c r="A44" s="49">
        <f>Sheet1!A44</f>
        <v>1208</v>
      </c>
      <c r="B44" s="49" t="str">
        <f>Sheet1!B44</f>
        <v>彩蝶仙童</v>
      </c>
      <c r="C44" s="49">
        <f>Sheet1!D44</f>
        <v>1</v>
      </c>
      <c r="D44" s="49">
        <f>Sheet1!E44</f>
        <v>2</v>
      </c>
      <c r="E44" s="49">
        <f>Sheet1!F44</f>
        <v>2</v>
      </c>
      <c r="F44" s="49">
        <f>Sheet1!G44</f>
        <v>2</v>
      </c>
      <c r="G44" s="49">
        <f>Sheet1!U44</f>
        <v>4</v>
      </c>
      <c r="H44" s="49">
        <f>Sheet1!V44</f>
        <v>13</v>
      </c>
      <c r="I44" s="49">
        <v>10</v>
      </c>
      <c r="J44" s="49">
        <v>12</v>
      </c>
      <c r="K44" s="49">
        <f>Sheet1!Y44</f>
        <v>8</v>
      </c>
      <c r="L44" s="49">
        <f>Sheet1!Z44</f>
        <v>0.8</v>
      </c>
      <c r="M44" s="49">
        <v>1</v>
      </c>
      <c r="N44" s="49">
        <f t="shared" ca="1" si="2"/>
        <v>1.0016818364770856</v>
      </c>
      <c r="O44" s="51">
        <f>M44*VLOOKUP($H44,Sheet4!$A$1:$B$7,2,FALSE)*Sheet4!D$2</f>
        <v>5400</v>
      </c>
      <c r="P44" s="51">
        <f>M44*VLOOKUP($H44,Sheet4!$A$1:$B$7,2,FALSE)*Sheet4!E$2</f>
        <v>0</v>
      </c>
      <c r="Q44" s="51">
        <f>M44*VLOOKUP($H44,Sheet4!$A$1:$B$7,2,FALSE)*Sheet4!F$2</f>
        <v>0</v>
      </c>
      <c r="R44" s="51">
        <f>M44*VLOOKUP($H44,Sheet4!$A$1:$B$7,2,FALSE)*Sheet4!G$2</f>
        <v>180</v>
      </c>
      <c r="S44" s="51">
        <f>M44*VLOOKUP($H44,Sheet4!$A$1:$B$7,2,FALSE)*Sheet4!H$2</f>
        <v>90</v>
      </c>
      <c r="T44" s="51">
        <f>M44*VLOOKUP($H44,Sheet4!$A$1:$B$7,2,FALSE)*Sheet4!I$2</f>
        <v>90</v>
      </c>
      <c r="U44" s="51"/>
      <c r="V44" s="51"/>
      <c r="W44" s="51"/>
      <c r="X44" s="51"/>
      <c r="Y44" s="51"/>
      <c r="Z44" s="51"/>
      <c r="AA44" s="51">
        <f t="shared" si="9"/>
        <v>540</v>
      </c>
      <c r="AB44" s="51">
        <f t="shared" si="4"/>
        <v>0</v>
      </c>
      <c r="AC44" s="51">
        <f t="shared" si="5"/>
        <v>0</v>
      </c>
      <c r="AD44" s="51">
        <f t="shared" si="6"/>
        <v>18</v>
      </c>
      <c r="AE44" s="51">
        <f t="shared" si="7"/>
        <v>9</v>
      </c>
      <c r="AF44" s="51">
        <f t="shared" si="8"/>
        <v>9</v>
      </c>
      <c r="AG44" s="51"/>
      <c r="AH44" s="51"/>
      <c r="AI44" s="51"/>
      <c r="AJ44" s="51"/>
      <c r="AK44" s="49" t="str">
        <f t="shared" si="1"/>
        <v>13200|10</v>
      </c>
      <c r="AL44" s="49">
        <v>10</v>
      </c>
      <c r="AM44" s="49" t="e">
        <f>Sheet1!#REF!</f>
        <v>#REF!</v>
      </c>
      <c r="AN44" s="49" t="str">
        <f>Sheet1!BA44</f>
        <v>4001|50</v>
      </c>
      <c r="AO44" s="49">
        <f>Sheet1!BB44</f>
        <v>50</v>
      </c>
      <c r="AP44" s="49" t="str">
        <f>Sheet1!BC44</f>
        <v>11017,11018,11036,11037,11040</v>
      </c>
      <c r="AQ44" s="49" t="str">
        <f>Sheet1!BD44</f>
        <v>[]</v>
      </c>
      <c r="AR44" s="49" t="str">
        <f>Sheet1!BE44</f>
        <v>12020,12018,12022,12024</v>
      </c>
      <c r="AS44" s="49">
        <f>Sheet1!BF44</f>
        <v>1400</v>
      </c>
      <c r="AT44" s="49">
        <f>Sheet1!BL44</f>
        <v>10000</v>
      </c>
      <c r="AU44" s="49">
        <f>Sheet1!BM44</f>
        <v>1</v>
      </c>
      <c r="AV44" s="49">
        <f>Sheet1!BN44</f>
        <v>100</v>
      </c>
      <c r="AW44" s="49">
        <f>Sheet1!BO44</f>
        <v>1208</v>
      </c>
    </row>
    <row r="45" spans="1:49">
      <c r="A45" s="49">
        <f>Sheet1!A45</f>
        <v>1122</v>
      </c>
      <c r="B45" s="49" t="str">
        <f>Sheet1!B45</f>
        <v>唐三藏</v>
      </c>
      <c r="C45" s="49">
        <f>Sheet1!D45</f>
        <v>1</v>
      </c>
      <c r="D45" s="49">
        <f>Sheet1!E45</f>
        <v>3</v>
      </c>
      <c r="E45" s="49">
        <f>Sheet1!F45</f>
        <v>4</v>
      </c>
      <c r="F45" s="49">
        <f>Sheet1!G45</f>
        <v>4</v>
      </c>
      <c r="G45" s="49">
        <f>Sheet1!U45</f>
        <v>4</v>
      </c>
      <c r="H45" s="49">
        <f>Sheet1!V45</f>
        <v>13</v>
      </c>
      <c r="I45" s="49">
        <v>2</v>
      </c>
      <c r="J45" s="49">
        <v>12</v>
      </c>
      <c r="K45" s="49">
        <f>Sheet1!Y45</f>
        <v>8</v>
      </c>
      <c r="L45" s="49">
        <f>Sheet1!Z45</f>
        <v>1</v>
      </c>
      <c r="M45" s="49">
        <v>1</v>
      </c>
      <c r="N45" s="49">
        <f t="shared" ca="1" si="2"/>
        <v>1.0129512379524745</v>
      </c>
      <c r="O45" s="51">
        <f>M45*VLOOKUP($H45,Sheet4!$A$1:$B$7,2,FALSE)*Sheet4!D$2</f>
        <v>5400</v>
      </c>
      <c r="P45" s="51">
        <f>M45*VLOOKUP($H45,Sheet4!$A$1:$B$7,2,FALSE)*Sheet4!E$2</f>
        <v>0</v>
      </c>
      <c r="Q45" s="51">
        <f>M45*VLOOKUP($H45,Sheet4!$A$1:$B$7,2,FALSE)*Sheet4!F$2</f>
        <v>0</v>
      </c>
      <c r="R45" s="51">
        <f>M45*VLOOKUP($H45,Sheet4!$A$1:$B$7,2,FALSE)*Sheet4!G$2</f>
        <v>180</v>
      </c>
      <c r="S45" s="51">
        <f>M45*VLOOKUP($H45,Sheet4!$A$1:$B$7,2,FALSE)*Sheet4!H$2</f>
        <v>90</v>
      </c>
      <c r="T45" s="51">
        <f>M45*VLOOKUP($H45,Sheet4!$A$1:$B$7,2,FALSE)*Sheet4!I$2</f>
        <v>90</v>
      </c>
      <c r="U45" s="51"/>
      <c r="V45" s="51"/>
      <c r="W45" s="51"/>
      <c r="X45" s="51"/>
      <c r="Y45" s="51"/>
      <c r="Z45" s="51"/>
      <c r="AA45" s="51">
        <f t="shared" si="9"/>
        <v>540</v>
      </c>
      <c r="AB45" s="51">
        <f t="shared" si="4"/>
        <v>0</v>
      </c>
      <c r="AC45" s="51">
        <f t="shared" si="5"/>
        <v>0</v>
      </c>
      <c r="AD45" s="51">
        <f t="shared" si="6"/>
        <v>18</v>
      </c>
      <c r="AE45" s="51">
        <f t="shared" si="7"/>
        <v>9</v>
      </c>
      <c r="AF45" s="51">
        <f t="shared" si="8"/>
        <v>9</v>
      </c>
      <c r="AG45" s="51"/>
      <c r="AH45" s="51"/>
      <c r="AI45" s="51"/>
      <c r="AJ45" s="51"/>
      <c r="AK45" s="49" t="str">
        <f t="shared" si="1"/>
        <v>13400|10</v>
      </c>
      <c r="AL45" s="49">
        <v>10</v>
      </c>
      <c r="AM45" s="49" t="e">
        <f>Sheet1!#REF!</f>
        <v>#REF!</v>
      </c>
      <c r="AN45" s="49" t="str">
        <f>Sheet1!BA45</f>
        <v>4001|50</v>
      </c>
      <c r="AO45" s="49">
        <f>Sheet1!BB45</f>
        <v>50</v>
      </c>
      <c r="AP45" s="49" t="str">
        <f>Sheet1!BC45</f>
        <v>11217,11220,11225,11226,11238</v>
      </c>
      <c r="AQ45" s="49" t="str">
        <f>Sheet1!BD45</f>
        <v>[]</v>
      </c>
      <c r="AR45" s="49" t="str">
        <f>Sheet1!BE45</f>
        <v>12017,12019,12022,12024</v>
      </c>
      <c r="AS45" s="49">
        <f>Sheet1!BF45</f>
        <v>1400</v>
      </c>
      <c r="AT45" s="49">
        <f>Sheet1!BL45</f>
        <v>100000</v>
      </c>
      <c r="AU45" s="49">
        <f>Sheet1!BM45</f>
        <v>10</v>
      </c>
      <c r="AV45" s="49">
        <f>Sheet1!BN45</f>
        <v>100</v>
      </c>
      <c r="AW45" s="49">
        <f>Sheet1!BO45</f>
        <v>1122</v>
      </c>
    </row>
    <row r="46" spans="1:49">
      <c r="A46" s="49">
        <f>Sheet1!A46</f>
        <v>1207</v>
      </c>
      <c r="B46" s="49" t="str">
        <f>Sheet1!B46</f>
        <v>引魂仙子</v>
      </c>
      <c r="C46" s="49">
        <f>Sheet1!D46</f>
        <v>1</v>
      </c>
      <c r="D46" s="49">
        <f>Sheet1!E46</f>
        <v>3</v>
      </c>
      <c r="E46" s="49">
        <f>Sheet1!F46</f>
        <v>2</v>
      </c>
      <c r="F46" s="49">
        <f>Sheet1!G46</f>
        <v>2</v>
      </c>
      <c r="G46" s="49">
        <f>Sheet1!U46</f>
        <v>4</v>
      </c>
      <c r="H46" s="49">
        <f>Sheet1!V46</f>
        <v>13</v>
      </c>
      <c r="I46" s="49">
        <v>10</v>
      </c>
      <c r="J46" s="49">
        <v>12</v>
      </c>
      <c r="K46" s="49">
        <f>Sheet1!Y46</f>
        <v>8</v>
      </c>
      <c r="L46" s="49">
        <f>Sheet1!Z46</f>
        <v>0.8</v>
      </c>
      <c r="M46" s="49">
        <v>1</v>
      </c>
      <c r="N46" s="49">
        <f t="shared" ca="1" si="2"/>
        <v>1.0231294208011037</v>
      </c>
      <c r="O46" s="51">
        <f>M46*VLOOKUP($H46,Sheet4!$A$1:$B$7,2,FALSE)*Sheet4!D$2</f>
        <v>5400</v>
      </c>
      <c r="P46" s="51">
        <f>M46*VLOOKUP($H46,Sheet4!$A$1:$B$7,2,FALSE)*Sheet4!E$2</f>
        <v>0</v>
      </c>
      <c r="Q46" s="51">
        <f>M46*VLOOKUP($H46,Sheet4!$A$1:$B$7,2,FALSE)*Sheet4!F$2</f>
        <v>0</v>
      </c>
      <c r="R46" s="51">
        <f>M46*VLOOKUP($H46,Sheet4!$A$1:$B$7,2,FALSE)*Sheet4!G$2</f>
        <v>180</v>
      </c>
      <c r="S46" s="51">
        <f>M46*VLOOKUP($H46,Sheet4!$A$1:$B$7,2,FALSE)*Sheet4!H$2</f>
        <v>90</v>
      </c>
      <c r="T46" s="51">
        <f>M46*VLOOKUP($H46,Sheet4!$A$1:$B$7,2,FALSE)*Sheet4!I$2</f>
        <v>90</v>
      </c>
      <c r="U46" s="51"/>
      <c r="V46" s="51"/>
      <c r="W46" s="51"/>
      <c r="X46" s="51"/>
      <c r="Y46" s="51"/>
      <c r="Z46" s="51"/>
      <c r="AA46" s="51">
        <f t="shared" si="9"/>
        <v>540</v>
      </c>
      <c r="AB46" s="51">
        <f t="shared" si="4"/>
        <v>0</v>
      </c>
      <c r="AC46" s="51">
        <f t="shared" si="5"/>
        <v>0</v>
      </c>
      <c r="AD46" s="51">
        <f t="shared" si="6"/>
        <v>18</v>
      </c>
      <c r="AE46" s="51">
        <f t="shared" si="7"/>
        <v>9</v>
      </c>
      <c r="AF46" s="51">
        <f t="shared" si="8"/>
        <v>9</v>
      </c>
      <c r="AG46" s="51"/>
      <c r="AH46" s="51"/>
      <c r="AI46" s="51"/>
      <c r="AJ46" s="51"/>
      <c r="AK46" s="49" t="str">
        <f t="shared" si="1"/>
        <v>13200|10</v>
      </c>
      <c r="AL46" s="49">
        <v>10</v>
      </c>
      <c r="AM46" s="49" t="e">
        <f>Sheet1!#REF!</f>
        <v>#REF!</v>
      </c>
      <c r="AN46" s="49" t="str">
        <f>Sheet1!BA46</f>
        <v>4001|50</v>
      </c>
      <c r="AO46" s="49">
        <f>Sheet1!BB46</f>
        <v>50</v>
      </c>
      <c r="AP46" s="49" t="str">
        <f>Sheet1!BC46</f>
        <v>11219,11220,11232,11233,11242</v>
      </c>
      <c r="AQ46" s="49" t="str">
        <f>Sheet1!BD46</f>
        <v>[]</v>
      </c>
      <c r="AR46" s="49" t="str">
        <f>Sheet1!BE46</f>
        <v>12020,12018,12022,12024</v>
      </c>
      <c r="AS46" s="49">
        <f>Sheet1!BF46</f>
        <v>1400</v>
      </c>
      <c r="AT46" s="49">
        <f>Sheet1!BL46</f>
        <v>10000</v>
      </c>
      <c r="AU46" s="49">
        <f>Sheet1!BM46</f>
        <v>1</v>
      </c>
      <c r="AV46" s="49">
        <f>Sheet1!BN46</f>
        <v>100</v>
      </c>
      <c r="AW46" s="49">
        <f>Sheet1!BO46</f>
        <v>1207</v>
      </c>
    </row>
    <row r="47" spans="1:49">
      <c r="A47" s="49">
        <f>Sheet1!A47</f>
        <v>1139</v>
      </c>
      <c r="B47" s="49" t="str">
        <f>Sheet1!B47</f>
        <v>金钱豹王</v>
      </c>
      <c r="C47" s="49">
        <f>Sheet1!D47</f>
        <v>1</v>
      </c>
      <c r="D47" s="49">
        <f>Sheet1!E47</f>
        <v>2</v>
      </c>
      <c r="E47" s="49">
        <f>Sheet1!F47</f>
        <v>3</v>
      </c>
      <c r="F47" s="49">
        <f>Sheet1!G47</f>
        <v>3</v>
      </c>
      <c r="G47" s="49">
        <f>Sheet1!U47</f>
        <v>3</v>
      </c>
      <c r="H47" s="49">
        <f>Sheet1!V47</f>
        <v>11</v>
      </c>
      <c r="I47" s="49">
        <v>2</v>
      </c>
      <c r="J47" s="49">
        <v>12</v>
      </c>
      <c r="K47" s="49">
        <f>Sheet1!Y47</f>
        <v>8</v>
      </c>
      <c r="L47" s="49">
        <f>Sheet1!Z47</f>
        <v>1.25</v>
      </c>
      <c r="M47" s="49">
        <v>1</v>
      </c>
      <c r="N47" s="49">
        <f t="shared" ca="1" si="2"/>
        <v>1.0054808923794707</v>
      </c>
      <c r="O47" s="51">
        <f>M47*VLOOKUP($H47,Sheet4!$A$1:$B$7,2,FALSE)*Sheet4!D$2</f>
        <v>4800</v>
      </c>
      <c r="P47" s="51">
        <f>M47*VLOOKUP($H47,Sheet4!$A$1:$B$7,2,FALSE)*Sheet4!E$2</f>
        <v>0</v>
      </c>
      <c r="Q47" s="51">
        <f>M47*VLOOKUP($H47,Sheet4!$A$1:$B$7,2,FALSE)*Sheet4!F$2</f>
        <v>0</v>
      </c>
      <c r="R47" s="51">
        <f>M47*VLOOKUP($H47,Sheet4!$A$1:$B$7,2,FALSE)*Sheet4!G$2</f>
        <v>160</v>
      </c>
      <c r="S47" s="51">
        <f>M47*VLOOKUP($H47,Sheet4!$A$1:$B$7,2,FALSE)*Sheet4!H$2</f>
        <v>80</v>
      </c>
      <c r="T47" s="51">
        <f>M47*VLOOKUP($H47,Sheet4!$A$1:$B$7,2,FALSE)*Sheet4!I$2</f>
        <v>80</v>
      </c>
      <c r="U47" s="51"/>
      <c r="V47" s="51"/>
      <c r="W47" s="51"/>
      <c r="X47" s="51"/>
      <c r="Y47" s="51"/>
      <c r="Z47" s="51"/>
      <c r="AA47" s="51">
        <f t="shared" si="9"/>
        <v>480</v>
      </c>
      <c r="AB47" s="51">
        <f t="shared" si="4"/>
        <v>0</v>
      </c>
      <c r="AC47" s="51">
        <f t="shared" si="5"/>
        <v>0</v>
      </c>
      <c r="AD47" s="51">
        <f t="shared" si="6"/>
        <v>16</v>
      </c>
      <c r="AE47" s="51">
        <f t="shared" si="7"/>
        <v>8</v>
      </c>
      <c r="AF47" s="51">
        <f t="shared" si="8"/>
        <v>8</v>
      </c>
      <c r="AG47" s="51"/>
      <c r="AH47" s="51"/>
      <c r="AI47" s="51"/>
      <c r="AJ47" s="51"/>
      <c r="AK47" s="49" t="str">
        <f>H47*1000+F47*100&amp;"|"&amp;AL47</f>
        <v>11300|8</v>
      </c>
      <c r="AL47" s="49">
        <v>8</v>
      </c>
      <c r="AM47" s="49" t="e">
        <f>Sheet1!#REF!</f>
        <v>#REF!</v>
      </c>
      <c r="AN47" s="49" t="str">
        <f>Sheet1!BA47</f>
        <v>3001|50</v>
      </c>
      <c r="AO47" s="49">
        <f>Sheet1!BB47</f>
        <v>50</v>
      </c>
      <c r="AP47" s="49" t="str">
        <f>Sheet1!BC47</f>
        <v>11044,11047,11048,11052</v>
      </c>
      <c r="AQ47" s="49" t="str">
        <f>Sheet1!BD47</f>
        <v>[]</v>
      </c>
      <c r="AR47" s="49" t="str">
        <f>Sheet1!BE47</f>
        <v>12015,12013</v>
      </c>
      <c r="AS47" s="49">
        <f>Sheet1!BF47</f>
        <v>400</v>
      </c>
      <c r="AT47" s="49">
        <f>Sheet1!BL47</f>
        <v>50000</v>
      </c>
      <c r="AU47" s="49">
        <f>Sheet1!BM47</f>
        <v>1.5</v>
      </c>
      <c r="AV47" s="49">
        <f>Sheet1!BN47</f>
        <v>100</v>
      </c>
      <c r="AW47" s="49" t="str">
        <f>Sheet1!BO47</f>
        <v>[]</v>
      </c>
    </row>
    <row r="48" spans="1:49">
      <c r="A48" s="49">
        <f>Sheet1!A48</f>
        <v>1140</v>
      </c>
      <c r="B48" s="49" t="str">
        <f>Sheet1!B48</f>
        <v>墨鱼精</v>
      </c>
      <c r="C48" s="49">
        <f>Sheet1!D48</f>
        <v>1</v>
      </c>
      <c r="D48" s="49">
        <f>Sheet1!E48</f>
        <v>2</v>
      </c>
      <c r="E48" s="49">
        <f>Sheet1!F48</f>
        <v>3</v>
      </c>
      <c r="F48" s="49">
        <f>Sheet1!G48</f>
        <v>3</v>
      </c>
      <c r="G48" s="49">
        <f>Sheet1!U48</f>
        <v>3</v>
      </c>
      <c r="H48" s="49">
        <f>Sheet1!V48</f>
        <v>11</v>
      </c>
      <c r="I48" s="49">
        <v>2</v>
      </c>
      <c r="J48" s="49">
        <v>12</v>
      </c>
      <c r="K48" s="49">
        <f>Sheet1!Y48</f>
        <v>8</v>
      </c>
      <c r="L48" s="49">
        <f>Sheet1!Z48</f>
        <v>1.25</v>
      </c>
      <c r="M48" s="49">
        <v>1</v>
      </c>
      <c r="N48" s="49">
        <f t="shared" ca="1" si="2"/>
        <v>1.0104450814287274</v>
      </c>
      <c r="O48" s="51">
        <f>M48*VLOOKUP($H48,Sheet4!$A$1:$B$7,2,FALSE)*Sheet4!D$2</f>
        <v>4800</v>
      </c>
      <c r="P48" s="51">
        <f>M48*VLOOKUP($H48,Sheet4!$A$1:$B$7,2,FALSE)*Sheet4!E$2</f>
        <v>0</v>
      </c>
      <c r="Q48" s="51">
        <f>M48*VLOOKUP($H48,Sheet4!$A$1:$B$7,2,FALSE)*Sheet4!F$2</f>
        <v>0</v>
      </c>
      <c r="R48" s="51">
        <f>M48*VLOOKUP($H48,Sheet4!$A$1:$B$7,2,FALSE)*Sheet4!G$2</f>
        <v>160</v>
      </c>
      <c r="S48" s="51">
        <f>M48*VLOOKUP($H48,Sheet4!$A$1:$B$7,2,FALSE)*Sheet4!H$2</f>
        <v>80</v>
      </c>
      <c r="T48" s="51">
        <f>M48*VLOOKUP($H48,Sheet4!$A$1:$B$7,2,FALSE)*Sheet4!I$2</f>
        <v>80</v>
      </c>
      <c r="U48" s="51"/>
      <c r="V48" s="51"/>
      <c r="W48" s="51"/>
      <c r="X48" s="51"/>
      <c r="Y48" s="51"/>
      <c r="Z48" s="51"/>
      <c r="AA48" s="51">
        <f t="shared" si="9"/>
        <v>480</v>
      </c>
      <c r="AB48" s="51">
        <f t="shared" si="4"/>
        <v>0</v>
      </c>
      <c r="AC48" s="51">
        <f t="shared" si="5"/>
        <v>0</v>
      </c>
      <c r="AD48" s="51">
        <f t="shared" si="6"/>
        <v>16</v>
      </c>
      <c r="AE48" s="51">
        <f t="shared" si="7"/>
        <v>8</v>
      </c>
      <c r="AF48" s="51">
        <f t="shared" si="8"/>
        <v>8</v>
      </c>
      <c r="AG48" s="51"/>
      <c r="AH48" s="51"/>
      <c r="AI48" s="51"/>
      <c r="AJ48" s="51"/>
      <c r="AK48" s="49" t="str">
        <f t="shared" ref="AK48:AK111" si="10">H48*1000+F48*100&amp;"|"&amp;AL48</f>
        <v>11300|8</v>
      </c>
      <c r="AL48" s="49">
        <v>8</v>
      </c>
      <c r="AM48" s="49" t="e">
        <f>Sheet1!#REF!</f>
        <v>#REF!</v>
      </c>
      <c r="AN48" s="49" t="str">
        <f>Sheet1!BA48</f>
        <v>3001|50</v>
      </c>
      <c r="AO48" s="49">
        <f>Sheet1!BB48</f>
        <v>50</v>
      </c>
      <c r="AP48" s="49" t="str">
        <f>Sheet1!BC48</f>
        <v>11044,11047,11049,11050</v>
      </c>
      <c r="AQ48" s="49" t="str">
        <f>Sheet1!BD48</f>
        <v>[]</v>
      </c>
      <c r="AR48" s="49" t="str">
        <f>Sheet1!BE48</f>
        <v>12015,12013</v>
      </c>
      <c r="AS48" s="49">
        <f>Sheet1!BF48</f>
        <v>400</v>
      </c>
      <c r="AT48" s="49">
        <f>Sheet1!BL48</f>
        <v>50000</v>
      </c>
      <c r="AU48" s="49">
        <f>Sheet1!BM48</f>
        <v>1.5</v>
      </c>
      <c r="AV48" s="49">
        <f>Sheet1!BN48</f>
        <v>100</v>
      </c>
      <c r="AW48" s="49" t="str">
        <f>Sheet1!BO48</f>
        <v>[]</v>
      </c>
    </row>
    <row r="49" spans="1:49">
      <c r="A49" s="49">
        <f>Sheet1!A49</f>
        <v>1107</v>
      </c>
      <c r="B49" s="49" t="str">
        <f>Sheet1!B49</f>
        <v>赤脚大仙</v>
      </c>
      <c r="C49" s="49">
        <f>Sheet1!D49</f>
        <v>1</v>
      </c>
      <c r="D49" s="49">
        <f>Sheet1!E49</f>
        <v>1</v>
      </c>
      <c r="E49" s="49">
        <f>Sheet1!F49</f>
        <v>4</v>
      </c>
      <c r="F49" s="49">
        <f>Sheet1!G49</f>
        <v>4</v>
      </c>
      <c r="G49" s="49">
        <f>Sheet1!U49</f>
        <v>4</v>
      </c>
      <c r="H49" s="49">
        <f>Sheet1!V49</f>
        <v>13</v>
      </c>
      <c r="I49" s="49">
        <v>4</v>
      </c>
      <c r="J49" s="49">
        <v>12</v>
      </c>
      <c r="K49" s="49">
        <f>Sheet1!Y49</f>
        <v>8</v>
      </c>
      <c r="L49" s="49">
        <f>Sheet1!Z49</f>
        <v>1</v>
      </c>
      <c r="M49" s="49">
        <v>1</v>
      </c>
      <c r="N49" s="49">
        <f t="shared" ca="1" si="2"/>
        <v>0.99582767494866353</v>
      </c>
      <c r="O49" s="51">
        <f>M49*VLOOKUP($H49,Sheet4!$A$1:$B$7,2,FALSE)*Sheet4!D$2</f>
        <v>5400</v>
      </c>
      <c r="P49" s="51">
        <f>M49*VLOOKUP($H49,Sheet4!$A$1:$B$7,2,FALSE)*Sheet4!E$2</f>
        <v>0</v>
      </c>
      <c r="Q49" s="51">
        <f>M49*VLOOKUP($H49,Sheet4!$A$1:$B$7,2,FALSE)*Sheet4!F$2</f>
        <v>0</v>
      </c>
      <c r="R49" s="51">
        <f>M49*VLOOKUP($H49,Sheet4!$A$1:$B$7,2,FALSE)*Sheet4!G$2</f>
        <v>180</v>
      </c>
      <c r="S49" s="51">
        <f>M49*VLOOKUP($H49,Sheet4!$A$1:$B$7,2,FALSE)*Sheet4!H$2</f>
        <v>90</v>
      </c>
      <c r="T49" s="51">
        <f>M49*VLOOKUP($H49,Sheet4!$A$1:$B$7,2,FALSE)*Sheet4!I$2</f>
        <v>90</v>
      </c>
      <c r="U49" s="51"/>
      <c r="V49" s="51"/>
      <c r="W49" s="51"/>
      <c r="X49" s="51"/>
      <c r="Y49" s="51"/>
      <c r="Z49" s="51"/>
      <c r="AA49" s="51">
        <f t="shared" si="9"/>
        <v>540</v>
      </c>
      <c r="AB49" s="51">
        <f t="shared" si="4"/>
        <v>0</v>
      </c>
      <c r="AC49" s="51">
        <f t="shared" si="5"/>
        <v>0</v>
      </c>
      <c r="AD49" s="51">
        <f t="shared" si="6"/>
        <v>18</v>
      </c>
      <c r="AE49" s="51">
        <f t="shared" si="7"/>
        <v>9</v>
      </c>
      <c r="AF49" s="51">
        <f t="shared" si="8"/>
        <v>9</v>
      </c>
      <c r="AG49" s="51"/>
      <c r="AH49" s="51"/>
      <c r="AI49" s="51"/>
      <c r="AJ49" s="51"/>
      <c r="AK49" s="49" t="str">
        <f t="shared" si="10"/>
        <v>13400|8</v>
      </c>
      <c r="AL49" s="49">
        <v>8</v>
      </c>
      <c r="AM49" s="49" t="e">
        <f>Sheet1!#REF!</f>
        <v>#REF!</v>
      </c>
      <c r="AN49" s="49" t="str">
        <f>Sheet1!BA49</f>
        <v>4001|50</v>
      </c>
      <c r="AO49" s="49">
        <f>Sheet1!BB49</f>
        <v>50</v>
      </c>
      <c r="AP49" s="49" t="str">
        <f>Sheet1!BC49</f>
        <v>11117,11120,11125,11126,11138</v>
      </c>
      <c r="AQ49" s="49" t="str">
        <f>Sheet1!BD49</f>
        <v>[]</v>
      </c>
      <c r="AR49" s="49" t="str">
        <f>Sheet1!BE49</f>
        <v>12017,12019,12022,12024</v>
      </c>
      <c r="AS49" s="49">
        <f>Sheet1!BF49</f>
        <v>1400</v>
      </c>
      <c r="AT49" s="49">
        <f>Sheet1!BL49</f>
        <v>100000</v>
      </c>
      <c r="AU49" s="49">
        <f>Sheet1!BM49</f>
        <v>10</v>
      </c>
      <c r="AV49" s="49">
        <f>Sheet1!BN49</f>
        <v>100</v>
      </c>
      <c r="AW49" s="49">
        <f>Sheet1!BO49</f>
        <v>1107</v>
      </c>
    </row>
    <row r="50" spans="1:49">
      <c r="A50" s="49">
        <f>Sheet1!A50</f>
        <v>1134</v>
      </c>
      <c r="B50" s="49" t="str">
        <f>Sheet1!B50</f>
        <v>泾河龙王</v>
      </c>
      <c r="C50" s="49">
        <f>Sheet1!D50</f>
        <v>1</v>
      </c>
      <c r="D50" s="49">
        <f>Sheet1!E50</f>
        <v>1</v>
      </c>
      <c r="E50" s="49">
        <f>Sheet1!F50</f>
        <v>4</v>
      </c>
      <c r="F50" s="49">
        <f>Sheet1!G50</f>
        <v>4</v>
      </c>
      <c r="G50" s="49">
        <f>Sheet1!U50</f>
        <v>3</v>
      </c>
      <c r="H50" s="49">
        <f>Sheet1!V50</f>
        <v>11</v>
      </c>
      <c r="I50" s="49">
        <v>4</v>
      </c>
      <c r="J50" s="49">
        <v>12</v>
      </c>
      <c r="K50" s="49">
        <f>Sheet1!Y50</f>
        <v>8</v>
      </c>
      <c r="L50" s="49">
        <f>Sheet1!Z50</f>
        <v>1</v>
      </c>
      <c r="M50" s="49">
        <v>1</v>
      </c>
      <c r="N50" s="49">
        <f t="shared" ca="1" si="2"/>
        <v>0.99509122758307356</v>
      </c>
      <c r="O50" s="51">
        <f>M50*VLOOKUP($H50,Sheet4!$A$1:$B$7,2,FALSE)*Sheet4!D$2</f>
        <v>4800</v>
      </c>
      <c r="P50" s="51">
        <f>M50*VLOOKUP($H50,Sheet4!$A$1:$B$7,2,FALSE)*Sheet4!E$2</f>
        <v>0</v>
      </c>
      <c r="Q50" s="51">
        <f>M50*VLOOKUP($H50,Sheet4!$A$1:$B$7,2,FALSE)*Sheet4!F$2</f>
        <v>0</v>
      </c>
      <c r="R50" s="51">
        <f>M50*VLOOKUP($H50,Sheet4!$A$1:$B$7,2,FALSE)*Sheet4!G$2</f>
        <v>160</v>
      </c>
      <c r="S50" s="51">
        <f>M50*VLOOKUP($H50,Sheet4!$A$1:$B$7,2,FALSE)*Sheet4!H$2</f>
        <v>80</v>
      </c>
      <c r="T50" s="51">
        <f>M50*VLOOKUP($H50,Sheet4!$A$1:$B$7,2,FALSE)*Sheet4!I$2</f>
        <v>80</v>
      </c>
      <c r="U50" s="51"/>
      <c r="V50" s="51"/>
      <c r="W50" s="51"/>
      <c r="X50" s="51"/>
      <c r="Y50" s="51"/>
      <c r="Z50" s="51"/>
      <c r="AA50" s="51">
        <f t="shared" si="9"/>
        <v>480</v>
      </c>
      <c r="AB50" s="51">
        <f t="shared" si="4"/>
        <v>0</v>
      </c>
      <c r="AC50" s="51">
        <f t="shared" si="5"/>
        <v>0</v>
      </c>
      <c r="AD50" s="51">
        <f t="shared" si="6"/>
        <v>16</v>
      </c>
      <c r="AE50" s="51">
        <f t="shared" si="7"/>
        <v>8</v>
      </c>
      <c r="AF50" s="51">
        <f t="shared" si="8"/>
        <v>8</v>
      </c>
      <c r="AG50" s="51"/>
      <c r="AH50" s="51"/>
      <c r="AI50" s="51"/>
      <c r="AJ50" s="51"/>
      <c r="AK50" s="49" t="str">
        <f t="shared" si="10"/>
        <v>11400|8</v>
      </c>
      <c r="AL50" s="49">
        <v>8</v>
      </c>
      <c r="AM50" s="49" t="e">
        <f>Sheet1!#REF!</f>
        <v>#REF!</v>
      </c>
      <c r="AN50" s="49" t="str">
        <f>Sheet1!BA50</f>
        <v>3001|50</v>
      </c>
      <c r="AO50" s="49">
        <f>Sheet1!BB50</f>
        <v>50</v>
      </c>
      <c r="AP50" s="49" t="str">
        <f>Sheet1!BC50</f>
        <v>11144,11147,11148,11152</v>
      </c>
      <c r="AQ50" s="49" t="str">
        <f>Sheet1!BD50</f>
        <v>[]</v>
      </c>
      <c r="AR50" s="49" t="str">
        <f>Sheet1!BE50</f>
        <v>12015,12013</v>
      </c>
      <c r="AS50" s="49">
        <f>Sheet1!BF50</f>
        <v>400</v>
      </c>
      <c r="AT50" s="49">
        <f>Sheet1!BL50</f>
        <v>100000</v>
      </c>
      <c r="AU50" s="49">
        <f>Sheet1!BM50</f>
        <v>10</v>
      </c>
      <c r="AV50" s="49">
        <f>Sheet1!BN50</f>
        <v>100</v>
      </c>
      <c r="AW50" s="49" t="str">
        <f>Sheet1!BO50</f>
        <v>[]</v>
      </c>
    </row>
    <row r="51" spans="1:49">
      <c r="A51" s="49">
        <f>Sheet1!A51</f>
        <v>1206</v>
      </c>
      <c r="B51" s="49" t="str">
        <f>Sheet1!B51</f>
        <v>牛头</v>
      </c>
      <c r="C51" s="49">
        <f>Sheet1!D51</f>
        <v>1</v>
      </c>
      <c r="D51" s="49">
        <f>Sheet1!E51</f>
        <v>1</v>
      </c>
      <c r="E51" s="49">
        <f>Sheet1!F51</f>
        <v>3</v>
      </c>
      <c r="F51" s="49">
        <f>Sheet1!G51</f>
        <v>3</v>
      </c>
      <c r="G51" s="49">
        <f>Sheet1!U51</f>
        <v>3</v>
      </c>
      <c r="H51" s="49">
        <f>Sheet1!V51</f>
        <v>11</v>
      </c>
      <c r="I51" s="49">
        <v>4</v>
      </c>
      <c r="J51" s="49">
        <v>12</v>
      </c>
      <c r="K51" s="49">
        <f>Sheet1!Y51</f>
        <v>8</v>
      </c>
      <c r="L51" s="49">
        <f>Sheet1!Z51</f>
        <v>1</v>
      </c>
      <c r="M51" s="49">
        <v>1</v>
      </c>
      <c r="N51" s="49">
        <f t="shared" ca="1" si="2"/>
        <v>0.98025554734992359</v>
      </c>
      <c r="O51" s="51">
        <f>M51*VLOOKUP($H51,Sheet4!$A$1:$B$7,2,FALSE)*Sheet4!D$2</f>
        <v>4800</v>
      </c>
      <c r="P51" s="51">
        <f>M51*VLOOKUP($H51,Sheet4!$A$1:$B$7,2,FALSE)*Sheet4!E$2</f>
        <v>0</v>
      </c>
      <c r="Q51" s="51">
        <f>M51*VLOOKUP($H51,Sheet4!$A$1:$B$7,2,FALSE)*Sheet4!F$2</f>
        <v>0</v>
      </c>
      <c r="R51" s="51">
        <f>M51*VLOOKUP($H51,Sheet4!$A$1:$B$7,2,FALSE)*Sheet4!G$2</f>
        <v>160</v>
      </c>
      <c r="S51" s="51">
        <f>M51*VLOOKUP($H51,Sheet4!$A$1:$B$7,2,FALSE)*Sheet4!H$2</f>
        <v>80</v>
      </c>
      <c r="T51" s="51">
        <f>M51*VLOOKUP($H51,Sheet4!$A$1:$B$7,2,FALSE)*Sheet4!I$2</f>
        <v>80</v>
      </c>
      <c r="U51" s="51"/>
      <c r="V51" s="51"/>
      <c r="W51" s="51"/>
      <c r="X51" s="51"/>
      <c r="Y51" s="51"/>
      <c r="Z51" s="51"/>
      <c r="AA51" s="51">
        <f t="shared" si="9"/>
        <v>480</v>
      </c>
      <c r="AB51" s="51">
        <f t="shared" si="4"/>
        <v>0</v>
      </c>
      <c r="AC51" s="51">
        <f t="shared" si="5"/>
        <v>0</v>
      </c>
      <c r="AD51" s="51">
        <f t="shared" si="6"/>
        <v>16</v>
      </c>
      <c r="AE51" s="51">
        <f t="shared" si="7"/>
        <v>8</v>
      </c>
      <c r="AF51" s="51">
        <f t="shared" si="8"/>
        <v>8</v>
      </c>
      <c r="AG51" s="51"/>
      <c r="AH51" s="51"/>
      <c r="AI51" s="51"/>
      <c r="AJ51" s="51"/>
      <c r="AK51" s="49" t="str">
        <f t="shared" si="10"/>
        <v>11300|8</v>
      </c>
      <c r="AL51" s="49">
        <v>8</v>
      </c>
      <c r="AM51" s="49" t="e">
        <f>Sheet1!#REF!</f>
        <v>#REF!</v>
      </c>
      <c r="AN51" s="49" t="str">
        <f>Sheet1!BA51</f>
        <v>4001|50</v>
      </c>
      <c r="AO51" s="49">
        <f>Sheet1!BB51</f>
        <v>50</v>
      </c>
      <c r="AP51" s="49" t="str">
        <f>Sheet1!BC51</f>
        <v>11145,11146,11151,11153</v>
      </c>
      <c r="AQ51" s="49" t="str">
        <f>Sheet1!BD51</f>
        <v>[]</v>
      </c>
      <c r="AR51" s="49" t="str">
        <f>Sheet1!BE51</f>
        <v>12016,12014</v>
      </c>
      <c r="AS51" s="49">
        <f>Sheet1!BF51</f>
        <v>400</v>
      </c>
      <c r="AT51" s="49">
        <f>Sheet1!BL51</f>
        <v>50000</v>
      </c>
      <c r="AU51" s="49">
        <f>Sheet1!BM51</f>
        <v>1.5</v>
      </c>
      <c r="AV51" s="49">
        <f>Sheet1!BN51</f>
        <v>100</v>
      </c>
      <c r="AW51" s="49" t="str">
        <f>Sheet1!BO51</f>
        <v>[]</v>
      </c>
    </row>
    <row r="52" spans="1:49">
      <c r="A52" s="49">
        <f>Sheet1!A52</f>
        <v>1130</v>
      </c>
      <c r="B52" s="49" t="str">
        <f>Sheet1!B52</f>
        <v>地藏王</v>
      </c>
      <c r="C52" s="49">
        <f>Sheet1!D52</f>
        <v>1</v>
      </c>
      <c r="D52" s="49">
        <f>Sheet1!E52</f>
        <v>3</v>
      </c>
      <c r="E52" s="49">
        <f>Sheet1!F52</f>
        <v>4</v>
      </c>
      <c r="F52" s="49">
        <f>Sheet1!G52</f>
        <v>4</v>
      </c>
      <c r="G52" s="49">
        <f>Sheet1!U52</f>
        <v>3</v>
      </c>
      <c r="H52" s="49">
        <f>Sheet1!V52</f>
        <v>11</v>
      </c>
      <c r="I52" s="49">
        <v>4</v>
      </c>
      <c r="J52" s="49">
        <v>12</v>
      </c>
      <c r="K52" s="49">
        <f>Sheet1!Y52</f>
        <v>8</v>
      </c>
      <c r="L52" s="49">
        <f>Sheet1!Z52</f>
        <v>1</v>
      </c>
      <c r="M52" s="49">
        <v>1</v>
      </c>
      <c r="N52" s="49">
        <f t="shared" ca="1" si="2"/>
        <v>1.0196997262544103</v>
      </c>
      <c r="O52" s="51">
        <f>M52*VLOOKUP($H52,Sheet4!$A$1:$B$7,2,FALSE)*Sheet4!D$2</f>
        <v>4800</v>
      </c>
      <c r="P52" s="51">
        <f>M52*VLOOKUP($H52,Sheet4!$A$1:$B$7,2,FALSE)*Sheet4!E$2</f>
        <v>0</v>
      </c>
      <c r="Q52" s="51">
        <f>M52*VLOOKUP($H52,Sheet4!$A$1:$B$7,2,FALSE)*Sheet4!F$2</f>
        <v>0</v>
      </c>
      <c r="R52" s="51">
        <f>M52*VLOOKUP($H52,Sheet4!$A$1:$B$7,2,FALSE)*Sheet4!G$2</f>
        <v>160</v>
      </c>
      <c r="S52" s="51">
        <f>M52*VLOOKUP($H52,Sheet4!$A$1:$B$7,2,FALSE)*Sheet4!H$2</f>
        <v>80</v>
      </c>
      <c r="T52" s="51">
        <f>M52*VLOOKUP($H52,Sheet4!$A$1:$B$7,2,FALSE)*Sheet4!I$2</f>
        <v>80</v>
      </c>
      <c r="U52" s="51"/>
      <c r="V52" s="51"/>
      <c r="W52" s="51"/>
      <c r="X52" s="51"/>
      <c r="Y52" s="51"/>
      <c r="Z52" s="51"/>
      <c r="AA52" s="51">
        <f t="shared" si="9"/>
        <v>480</v>
      </c>
      <c r="AB52" s="51">
        <f t="shared" si="4"/>
        <v>0</v>
      </c>
      <c r="AC52" s="51">
        <f t="shared" si="5"/>
        <v>0</v>
      </c>
      <c r="AD52" s="51">
        <f t="shared" si="6"/>
        <v>16</v>
      </c>
      <c r="AE52" s="51">
        <f t="shared" si="7"/>
        <v>8</v>
      </c>
      <c r="AF52" s="51">
        <f t="shared" si="8"/>
        <v>8</v>
      </c>
      <c r="AG52" s="51"/>
      <c r="AH52" s="51"/>
      <c r="AI52" s="51"/>
      <c r="AJ52" s="51"/>
      <c r="AK52" s="49" t="str">
        <f t="shared" si="10"/>
        <v>11400|8</v>
      </c>
      <c r="AL52" s="49">
        <v>8</v>
      </c>
      <c r="AM52" s="49" t="e">
        <f>Sheet1!#REF!</f>
        <v>#REF!</v>
      </c>
      <c r="AN52" s="49" t="str">
        <f>Sheet1!BA52</f>
        <v>4001|50</v>
      </c>
      <c r="AO52" s="49">
        <f>Sheet1!BB52</f>
        <v>50</v>
      </c>
      <c r="AP52" s="49" t="str">
        <f>Sheet1!BC52</f>
        <v>11244,11247,11248,11252</v>
      </c>
      <c r="AQ52" s="49" t="str">
        <f>Sheet1!BD52</f>
        <v>[]</v>
      </c>
      <c r="AR52" s="49" t="str">
        <f>Sheet1!BE52</f>
        <v>12015,12013</v>
      </c>
      <c r="AS52" s="49">
        <f>Sheet1!BF52</f>
        <v>400</v>
      </c>
      <c r="AT52" s="49">
        <f>Sheet1!BL52</f>
        <v>100000</v>
      </c>
      <c r="AU52" s="49">
        <f>Sheet1!BM52</f>
        <v>10</v>
      </c>
      <c r="AV52" s="49">
        <f>Sheet1!BN52</f>
        <v>100</v>
      </c>
      <c r="AW52" s="49" t="str">
        <f>Sheet1!BO52</f>
        <v>[]</v>
      </c>
    </row>
    <row r="53" spans="1:49">
      <c r="A53" s="49">
        <f>Sheet1!A53</f>
        <v>1203</v>
      </c>
      <c r="B53" s="49" t="str">
        <f>Sheet1!B53</f>
        <v>鬼使黑</v>
      </c>
      <c r="C53" s="49">
        <f>Sheet1!D53</f>
        <v>1</v>
      </c>
      <c r="D53" s="49">
        <f>Sheet1!E53</f>
        <v>1</v>
      </c>
      <c r="E53" s="49">
        <f>Sheet1!F53</f>
        <v>2</v>
      </c>
      <c r="F53" s="49">
        <f>Sheet1!G53</f>
        <v>2</v>
      </c>
      <c r="G53" s="49">
        <f>Sheet1!U53</f>
        <v>3</v>
      </c>
      <c r="H53" s="49">
        <f>Sheet1!V53</f>
        <v>11</v>
      </c>
      <c r="I53" s="49">
        <v>2</v>
      </c>
      <c r="J53" s="49">
        <v>12</v>
      </c>
      <c r="K53" s="49">
        <f>Sheet1!Y53</f>
        <v>8</v>
      </c>
      <c r="L53" s="49">
        <f>Sheet1!Z53</f>
        <v>0.8</v>
      </c>
      <c r="M53" s="49">
        <v>1</v>
      </c>
      <c r="N53" s="49">
        <f t="shared" ca="1" si="2"/>
        <v>0.98148511696514595</v>
      </c>
      <c r="O53" s="51">
        <f>M53*VLOOKUP($H53,Sheet4!$A$1:$B$7,2,FALSE)*Sheet4!D$2</f>
        <v>4800</v>
      </c>
      <c r="P53" s="51">
        <f>M53*VLOOKUP($H53,Sheet4!$A$1:$B$7,2,FALSE)*Sheet4!E$2</f>
        <v>0</v>
      </c>
      <c r="Q53" s="51">
        <f>M53*VLOOKUP($H53,Sheet4!$A$1:$B$7,2,FALSE)*Sheet4!F$2</f>
        <v>0</v>
      </c>
      <c r="R53" s="51">
        <f>M53*VLOOKUP($H53,Sheet4!$A$1:$B$7,2,FALSE)*Sheet4!G$2</f>
        <v>160</v>
      </c>
      <c r="S53" s="51">
        <f>M53*VLOOKUP($H53,Sheet4!$A$1:$B$7,2,FALSE)*Sheet4!H$2</f>
        <v>80</v>
      </c>
      <c r="T53" s="51">
        <f>M53*VLOOKUP($H53,Sheet4!$A$1:$B$7,2,FALSE)*Sheet4!I$2</f>
        <v>80</v>
      </c>
      <c r="U53" s="51"/>
      <c r="V53" s="51"/>
      <c r="W53" s="51"/>
      <c r="X53" s="51"/>
      <c r="Y53" s="51"/>
      <c r="Z53" s="51"/>
      <c r="AA53" s="51">
        <f t="shared" si="9"/>
        <v>480</v>
      </c>
      <c r="AB53" s="51">
        <f t="shared" si="4"/>
        <v>0</v>
      </c>
      <c r="AC53" s="51">
        <f t="shared" si="5"/>
        <v>0</v>
      </c>
      <c r="AD53" s="51">
        <f t="shared" si="6"/>
        <v>16</v>
      </c>
      <c r="AE53" s="51">
        <f t="shared" si="7"/>
        <v>8</v>
      </c>
      <c r="AF53" s="51">
        <f t="shared" si="8"/>
        <v>8</v>
      </c>
      <c r="AG53" s="51"/>
      <c r="AH53" s="51"/>
      <c r="AI53" s="51"/>
      <c r="AJ53" s="51"/>
      <c r="AK53" s="49" t="str">
        <f t="shared" si="10"/>
        <v>11200|8</v>
      </c>
      <c r="AL53" s="49">
        <v>8</v>
      </c>
      <c r="AM53" s="49" t="e">
        <f>Sheet1!#REF!</f>
        <v>#REF!</v>
      </c>
      <c r="AN53" s="49" t="str">
        <f>Sheet1!BA53</f>
        <v>4001|50</v>
      </c>
      <c r="AO53" s="49">
        <f>Sheet1!BB53</f>
        <v>50</v>
      </c>
      <c r="AP53" s="49" t="str">
        <f>Sheet1!BC53</f>
        <v>11144,11146,11151,11152</v>
      </c>
      <c r="AQ53" s="49" t="str">
        <f>Sheet1!BD53</f>
        <v>[]</v>
      </c>
      <c r="AR53" s="49" t="str">
        <f>Sheet1!BE53</f>
        <v>12016,12014</v>
      </c>
      <c r="AS53" s="49">
        <f>Sheet1!BF53</f>
        <v>400</v>
      </c>
      <c r="AT53" s="49">
        <f>Sheet1!BL53</f>
        <v>10000</v>
      </c>
      <c r="AU53" s="49">
        <f>Sheet1!BM53</f>
        <v>1</v>
      </c>
      <c r="AV53" s="49">
        <f>Sheet1!BN53</f>
        <v>100</v>
      </c>
      <c r="AW53" s="49" t="str">
        <f>Sheet1!BO53</f>
        <v>[]</v>
      </c>
    </row>
    <row r="54" spans="1:49">
      <c r="A54" s="49">
        <f>Sheet1!A54</f>
        <v>1205</v>
      </c>
      <c r="B54" s="49" t="str">
        <f>Sheet1!B54</f>
        <v>马面</v>
      </c>
      <c r="C54" s="49">
        <f>Sheet1!D54</f>
        <v>1</v>
      </c>
      <c r="D54" s="49">
        <f>Sheet1!E54</f>
        <v>1</v>
      </c>
      <c r="E54" s="49">
        <f>Sheet1!F54</f>
        <v>3</v>
      </c>
      <c r="F54" s="49">
        <f>Sheet1!G54</f>
        <v>3</v>
      </c>
      <c r="G54" s="49">
        <f>Sheet1!U54</f>
        <v>3</v>
      </c>
      <c r="H54" s="49">
        <f>Sheet1!V54</f>
        <v>11</v>
      </c>
      <c r="I54" s="49">
        <v>2</v>
      </c>
      <c r="J54" s="49">
        <v>12</v>
      </c>
      <c r="K54" s="49">
        <f>Sheet1!Y54</f>
        <v>8</v>
      </c>
      <c r="L54" s="49">
        <f>Sheet1!Z54</f>
        <v>1</v>
      </c>
      <c r="M54" s="49">
        <v>1</v>
      </c>
      <c r="N54" s="49">
        <f t="shared" ca="1" si="2"/>
        <v>1.0125902009650383</v>
      </c>
      <c r="O54" s="51">
        <f>M54*VLOOKUP($H54,Sheet4!$A$1:$B$7,2,FALSE)*Sheet4!D$2</f>
        <v>4800</v>
      </c>
      <c r="P54" s="51">
        <f>M54*VLOOKUP($H54,Sheet4!$A$1:$B$7,2,FALSE)*Sheet4!E$2</f>
        <v>0</v>
      </c>
      <c r="Q54" s="51">
        <f>M54*VLOOKUP($H54,Sheet4!$A$1:$B$7,2,FALSE)*Sheet4!F$2</f>
        <v>0</v>
      </c>
      <c r="R54" s="51">
        <f>M54*VLOOKUP($H54,Sheet4!$A$1:$B$7,2,FALSE)*Sheet4!G$2</f>
        <v>160</v>
      </c>
      <c r="S54" s="51">
        <f>M54*VLOOKUP($H54,Sheet4!$A$1:$B$7,2,FALSE)*Sheet4!H$2</f>
        <v>80</v>
      </c>
      <c r="T54" s="51">
        <f>M54*VLOOKUP($H54,Sheet4!$A$1:$B$7,2,FALSE)*Sheet4!I$2</f>
        <v>80</v>
      </c>
      <c r="U54" s="51"/>
      <c r="V54" s="51"/>
      <c r="W54" s="51"/>
      <c r="X54" s="51"/>
      <c r="Y54" s="51"/>
      <c r="Z54" s="51"/>
      <c r="AA54" s="51">
        <f t="shared" si="9"/>
        <v>480</v>
      </c>
      <c r="AB54" s="51">
        <f t="shared" si="4"/>
        <v>0</v>
      </c>
      <c r="AC54" s="51">
        <f t="shared" si="5"/>
        <v>0</v>
      </c>
      <c r="AD54" s="51">
        <f t="shared" si="6"/>
        <v>16</v>
      </c>
      <c r="AE54" s="51">
        <f t="shared" si="7"/>
        <v>8</v>
      </c>
      <c r="AF54" s="51">
        <f t="shared" si="8"/>
        <v>8</v>
      </c>
      <c r="AG54" s="51"/>
      <c r="AH54" s="51"/>
      <c r="AI54" s="51"/>
      <c r="AJ54" s="51"/>
      <c r="AK54" s="49" t="str">
        <f t="shared" si="10"/>
        <v>11300|8</v>
      </c>
      <c r="AL54" s="49">
        <v>8</v>
      </c>
      <c r="AM54" s="49" t="e">
        <f>Sheet1!#REF!</f>
        <v>#REF!</v>
      </c>
      <c r="AN54" s="49" t="str">
        <f>Sheet1!BA54</f>
        <v>4001|50</v>
      </c>
      <c r="AO54" s="49">
        <f>Sheet1!BB54</f>
        <v>50</v>
      </c>
      <c r="AP54" s="49" t="str">
        <f>Sheet1!BC54</f>
        <v>11145,11147,11148,11150</v>
      </c>
      <c r="AQ54" s="49" t="str">
        <f>Sheet1!BD54</f>
        <v>[]</v>
      </c>
      <c r="AR54" s="49" t="str">
        <f>Sheet1!BE54</f>
        <v>12016,12014</v>
      </c>
      <c r="AS54" s="49">
        <f>Sheet1!BF54</f>
        <v>400</v>
      </c>
      <c r="AT54" s="49">
        <f>Sheet1!BL54</f>
        <v>50000</v>
      </c>
      <c r="AU54" s="49">
        <f>Sheet1!BM54</f>
        <v>1.5</v>
      </c>
      <c r="AV54" s="49">
        <f>Sheet1!BN54</f>
        <v>100</v>
      </c>
      <c r="AW54" s="49" t="str">
        <f>Sheet1!BO54</f>
        <v>[]</v>
      </c>
    </row>
    <row r="55" spans="1:49">
      <c r="A55" s="49">
        <f>Sheet1!A55</f>
        <v>1133</v>
      </c>
      <c r="B55" s="49" t="str">
        <f>Sheet1!B55</f>
        <v>雷公</v>
      </c>
      <c r="C55" s="49">
        <f>Sheet1!D55</f>
        <v>1</v>
      </c>
      <c r="D55" s="49">
        <f>Sheet1!E55</f>
        <v>1</v>
      </c>
      <c r="E55" s="49">
        <f>Sheet1!F55</f>
        <v>2</v>
      </c>
      <c r="F55" s="49">
        <f>Sheet1!G55</f>
        <v>2</v>
      </c>
      <c r="G55" s="49">
        <f>Sheet1!U55</f>
        <v>3</v>
      </c>
      <c r="H55" s="49">
        <f>Sheet1!V55</f>
        <v>11</v>
      </c>
      <c r="I55" s="49">
        <v>2</v>
      </c>
      <c r="J55" s="49">
        <v>12</v>
      </c>
      <c r="K55" s="49">
        <f>Sheet1!Y55</f>
        <v>8</v>
      </c>
      <c r="L55" s="49">
        <f>Sheet1!Z55</f>
        <v>0.8</v>
      </c>
      <c r="M55" s="49">
        <v>1</v>
      </c>
      <c r="N55" s="49">
        <f t="shared" ca="1" si="2"/>
        <v>1.023638685202902</v>
      </c>
      <c r="O55" s="51">
        <f>M55*VLOOKUP($H55,Sheet4!$A$1:$B$7,2,FALSE)*Sheet4!D$2</f>
        <v>4800</v>
      </c>
      <c r="P55" s="51">
        <f>M55*VLOOKUP($H55,Sheet4!$A$1:$B$7,2,FALSE)*Sheet4!E$2</f>
        <v>0</v>
      </c>
      <c r="Q55" s="51">
        <f>M55*VLOOKUP($H55,Sheet4!$A$1:$B$7,2,FALSE)*Sheet4!F$2</f>
        <v>0</v>
      </c>
      <c r="R55" s="51">
        <f>M55*VLOOKUP($H55,Sheet4!$A$1:$B$7,2,FALSE)*Sheet4!G$2</f>
        <v>160</v>
      </c>
      <c r="S55" s="51">
        <f>M55*VLOOKUP($H55,Sheet4!$A$1:$B$7,2,FALSE)*Sheet4!H$2</f>
        <v>80</v>
      </c>
      <c r="T55" s="51">
        <f>M55*VLOOKUP($H55,Sheet4!$A$1:$B$7,2,FALSE)*Sheet4!I$2</f>
        <v>80</v>
      </c>
      <c r="U55" s="51"/>
      <c r="V55" s="51"/>
      <c r="W55" s="51"/>
      <c r="X55" s="51"/>
      <c r="Y55" s="51"/>
      <c r="Z55" s="51"/>
      <c r="AA55" s="51">
        <f t="shared" si="9"/>
        <v>480</v>
      </c>
      <c r="AB55" s="51">
        <f t="shared" si="4"/>
        <v>0</v>
      </c>
      <c r="AC55" s="51">
        <f t="shared" si="5"/>
        <v>0</v>
      </c>
      <c r="AD55" s="51">
        <f t="shared" si="6"/>
        <v>16</v>
      </c>
      <c r="AE55" s="51">
        <f t="shared" si="7"/>
        <v>8</v>
      </c>
      <c r="AF55" s="51">
        <f t="shared" si="8"/>
        <v>8</v>
      </c>
      <c r="AG55" s="51"/>
      <c r="AH55" s="51"/>
      <c r="AI55" s="51"/>
      <c r="AJ55" s="51"/>
      <c r="AK55" s="49" t="str">
        <f t="shared" si="10"/>
        <v>11200|8</v>
      </c>
      <c r="AL55" s="49">
        <v>8</v>
      </c>
      <c r="AM55" s="49" t="e">
        <f>Sheet1!#REF!</f>
        <v>#REF!</v>
      </c>
      <c r="AN55" s="49" t="str">
        <f>Sheet1!BA55</f>
        <v>3001|50</v>
      </c>
      <c r="AO55" s="49">
        <f>Sheet1!BB55</f>
        <v>50</v>
      </c>
      <c r="AP55" s="49" t="str">
        <f>Sheet1!BC55</f>
        <v>11144,11147,11149,11150</v>
      </c>
      <c r="AQ55" s="49" t="str">
        <f>Sheet1!BD55</f>
        <v>[]</v>
      </c>
      <c r="AR55" s="49" t="str">
        <f>Sheet1!BE55</f>
        <v>12015,12013</v>
      </c>
      <c r="AS55" s="49">
        <f>Sheet1!BF55</f>
        <v>400</v>
      </c>
      <c r="AT55" s="49">
        <f>Sheet1!BL55</f>
        <v>10000</v>
      </c>
      <c r="AU55" s="49">
        <f>Sheet1!BM55</f>
        <v>1</v>
      </c>
      <c r="AV55" s="49">
        <f>Sheet1!BN55</f>
        <v>100</v>
      </c>
      <c r="AW55" s="49" t="str">
        <f>Sheet1!BO55</f>
        <v>[]</v>
      </c>
    </row>
    <row r="56" spans="1:49">
      <c r="A56" s="49">
        <f>Sheet1!A56</f>
        <v>1204</v>
      </c>
      <c r="B56" s="49" t="str">
        <f>Sheet1!B56</f>
        <v>鬼使白</v>
      </c>
      <c r="C56" s="49">
        <f>Sheet1!D56</f>
        <v>1</v>
      </c>
      <c r="D56" s="49">
        <f>Sheet1!E56</f>
        <v>1</v>
      </c>
      <c r="E56" s="49">
        <f>Sheet1!F56</f>
        <v>2</v>
      </c>
      <c r="F56" s="49">
        <f>Sheet1!G56</f>
        <v>2</v>
      </c>
      <c r="G56" s="49">
        <f>Sheet1!U56</f>
        <v>3</v>
      </c>
      <c r="H56" s="49">
        <f>Sheet1!V56</f>
        <v>11</v>
      </c>
      <c r="I56" s="49">
        <v>10</v>
      </c>
      <c r="J56" s="49">
        <v>12</v>
      </c>
      <c r="K56" s="49">
        <f>Sheet1!Y56</f>
        <v>8</v>
      </c>
      <c r="L56" s="49">
        <f>Sheet1!Z56</f>
        <v>0.8</v>
      </c>
      <c r="M56" s="49">
        <v>1</v>
      </c>
      <c r="N56" s="49">
        <f t="shared" ca="1" si="2"/>
        <v>0.99239770894662205</v>
      </c>
      <c r="O56" s="51">
        <f>M56*VLOOKUP($H56,Sheet4!$A$1:$B$7,2,FALSE)*Sheet4!D$2</f>
        <v>4800</v>
      </c>
      <c r="P56" s="51">
        <f>M56*VLOOKUP($H56,Sheet4!$A$1:$B$7,2,FALSE)*Sheet4!E$2</f>
        <v>0</v>
      </c>
      <c r="Q56" s="51">
        <f>M56*VLOOKUP($H56,Sheet4!$A$1:$B$7,2,FALSE)*Sheet4!F$2</f>
        <v>0</v>
      </c>
      <c r="R56" s="51">
        <f>M56*VLOOKUP($H56,Sheet4!$A$1:$B$7,2,FALSE)*Sheet4!G$2</f>
        <v>160</v>
      </c>
      <c r="S56" s="51">
        <f>M56*VLOOKUP($H56,Sheet4!$A$1:$B$7,2,FALSE)*Sheet4!H$2</f>
        <v>80</v>
      </c>
      <c r="T56" s="51">
        <f>M56*VLOOKUP($H56,Sheet4!$A$1:$B$7,2,FALSE)*Sheet4!I$2</f>
        <v>80</v>
      </c>
      <c r="U56" s="51"/>
      <c r="V56" s="51"/>
      <c r="W56" s="51"/>
      <c r="X56" s="51"/>
      <c r="Y56" s="51"/>
      <c r="Z56" s="51"/>
      <c r="AA56" s="51">
        <f t="shared" si="9"/>
        <v>480</v>
      </c>
      <c r="AB56" s="51">
        <f t="shared" si="4"/>
        <v>0</v>
      </c>
      <c r="AC56" s="51">
        <f t="shared" si="5"/>
        <v>0</v>
      </c>
      <c r="AD56" s="51">
        <f t="shared" si="6"/>
        <v>16</v>
      </c>
      <c r="AE56" s="51">
        <f t="shared" si="7"/>
        <v>8</v>
      </c>
      <c r="AF56" s="51">
        <f t="shared" si="8"/>
        <v>8</v>
      </c>
      <c r="AG56" s="51"/>
      <c r="AH56" s="51"/>
      <c r="AI56" s="51"/>
      <c r="AJ56" s="51"/>
      <c r="AK56" s="49" t="str">
        <f t="shared" si="10"/>
        <v>11200|8</v>
      </c>
      <c r="AL56" s="49">
        <v>8</v>
      </c>
      <c r="AM56" s="49" t="e">
        <f>Sheet1!#REF!</f>
        <v>#REF!</v>
      </c>
      <c r="AN56" s="49" t="str">
        <f>Sheet1!BA56</f>
        <v>4001|50</v>
      </c>
      <c r="AO56" s="49">
        <f>Sheet1!BB56</f>
        <v>50</v>
      </c>
      <c r="AP56" s="49" t="str">
        <f>Sheet1!BC56</f>
        <v>11145,11146,11149,11153</v>
      </c>
      <c r="AQ56" s="49" t="str">
        <f>Sheet1!BD56</f>
        <v>[]</v>
      </c>
      <c r="AR56" s="49" t="str">
        <f>Sheet1!BE56</f>
        <v>12015,12013</v>
      </c>
      <c r="AS56" s="49">
        <f>Sheet1!BF56</f>
        <v>400</v>
      </c>
      <c r="AT56" s="49">
        <f>Sheet1!BL56</f>
        <v>10000</v>
      </c>
      <c r="AU56" s="49">
        <f>Sheet1!BM56</f>
        <v>1</v>
      </c>
      <c r="AV56" s="49">
        <f>Sheet1!BN56</f>
        <v>100</v>
      </c>
      <c r="AW56" s="49" t="str">
        <f>Sheet1!BO56</f>
        <v>[]</v>
      </c>
    </row>
    <row r="57" spans="1:49">
      <c r="A57" s="49">
        <f>Sheet1!A57</f>
        <v>1128</v>
      </c>
      <c r="B57" s="49" t="str">
        <f>Sheet1!B57</f>
        <v>赛太岁</v>
      </c>
      <c r="C57" s="49">
        <f>Sheet1!D57</f>
        <v>1</v>
      </c>
      <c r="D57" s="49">
        <f>Sheet1!E57</f>
        <v>3</v>
      </c>
      <c r="E57" s="49">
        <f>Sheet1!F57</f>
        <v>2</v>
      </c>
      <c r="F57" s="49">
        <f>Sheet1!G57</f>
        <v>1</v>
      </c>
      <c r="G57" s="49">
        <f>Sheet1!U57</f>
        <v>3</v>
      </c>
      <c r="H57" s="49">
        <f>Sheet1!V57</f>
        <v>11</v>
      </c>
      <c r="I57" s="49">
        <v>10</v>
      </c>
      <c r="J57" s="49">
        <v>12</v>
      </c>
      <c r="K57" s="49">
        <f>Sheet1!Y57</f>
        <v>8</v>
      </c>
      <c r="L57" s="49">
        <f>Sheet1!Z57</f>
        <v>1</v>
      </c>
      <c r="M57" s="49">
        <v>1</v>
      </c>
      <c r="N57" s="49">
        <f t="shared" ca="1" si="2"/>
        <v>0.98632495452848201</v>
      </c>
      <c r="O57" s="51">
        <f>M57*VLOOKUP($H57,Sheet4!$A$1:$B$7,2,FALSE)*Sheet4!D$2</f>
        <v>4800</v>
      </c>
      <c r="P57" s="51">
        <f>M57*VLOOKUP($H57,Sheet4!$A$1:$B$7,2,FALSE)*Sheet4!E$2</f>
        <v>0</v>
      </c>
      <c r="Q57" s="51">
        <f>M57*VLOOKUP($H57,Sheet4!$A$1:$B$7,2,FALSE)*Sheet4!F$2</f>
        <v>0</v>
      </c>
      <c r="R57" s="51">
        <f>M57*VLOOKUP($H57,Sheet4!$A$1:$B$7,2,FALSE)*Sheet4!G$2</f>
        <v>160</v>
      </c>
      <c r="S57" s="51">
        <f>M57*VLOOKUP($H57,Sheet4!$A$1:$B$7,2,FALSE)*Sheet4!H$2</f>
        <v>80</v>
      </c>
      <c r="T57" s="51">
        <f>M57*VLOOKUP($H57,Sheet4!$A$1:$B$7,2,FALSE)*Sheet4!I$2</f>
        <v>80</v>
      </c>
      <c r="U57" s="51"/>
      <c r="V57" s="51"/>
      <c r="W57" s="51"/>
      <c r="X57" s="51"/>
      <c r="Y57" s="51"/>
      <c r="Z57" s="51"/>
      <c r="AA57" s="51">
        <f t="shared" si="9"/>
        <v>480</v>
      </c>
      <c r="AB57" s="51">
        <f t="shared" si="4"/>
        <v>0</v>
      </c>
      <c r="AC57" s="51">
        <f t="shared" si="5"/>
        <v>0</v>
      </c>
      <c r="AD57" s="51">
        <f t="shared" si="6"/>
        <v>16</v>
      </c>
      <c r="AE57" s="51">
        <f t="shared" si="7"/>
        <v>8</v>
      </c>
      <c r="AF57" s="51">
        <f t="shared" si="8"/>
        <v>8</v>
      </c>
      <c r="AG57" s="51"/>
      <c r="AH57" s="51"/>
      <c r="AI57" s="51"/>
      <c r="AJ57" s="51"/>
      <c r="AK57" s="49" t="str">
        <f t="shared" si="10"/>
        <v>11100|8</v>
      </c>
      <c r="AL57" s="49">
        <v>8</v>
      </c>
      <c r="AM57" s="49" t="e">
        <f>Sheet1!#REF!</f>
        <v>#REF!</v>
      </c>
      <c r="AN57" s="49" t="str">
        <f>Sheet1!BA57</f>
        <v>3001|50</v>
      </c>
      <c r="AO57" s="49">
        <f>Sheet1!BB57</f>
        <v>50</v>
      </c>
      <c r="AP57" s="49" t="str">
        <f>Sheet1!BC57</f>
        <v>11245,11246,11249,11253</v>
      </c>
      <c r="AQ57" s="49" t="str">
        <f>Sheet1!BD57</f>
        <v>[]</v>
      </c>
      <c r="AR57" s="49" t="str">
        <f>Sheet1!BE57</f>
        <v>12015,12013</v>
      </c>
      <c r="AS57" s="49">
        <f>Sheet1!BF57</f>
        <v>400</v>
      </c>
      <c r="AT57" s="49">
        <f>Sheet1!BL57</f>
        <v>10000</v>
      </c>
      <c r="AU57" s="49">
        <f>Sheet1!BM57</f>
        <v>1</v>
      </c>
      <c r="AV57" s="49">
        <f>Sheet1!BN57</f>
        <v>100</v>
      </c>
      <c r="AW57" s="49" t="str">
        <f>Sheet1!BO57</f>
        <v>[]</v>
      </c>
    </row>
    <row r="58" spans="1:49">
      <c r="A58" s="49">
        <f>Sheet1!A58</f>
        <v>1118</v>
      </c>
      <c r="B58" s="49" t="str">
        <f>Sheet1!B58</f>
        <v>混沌</v>
      </c>
      <c r="C58" s="49">
        <f>Sheet1!D58</f>
        <v>1</v>
      </c>
      <c r="D58" s="49">
        <f>Sheet1!E58</f>
        <v>3</v>
      </c>
      <c r="E58" s="49">
        <f>Sheet1!F58</f>
        <v>2</v>
      </c>
      <c r="F58" s="49">
        <f>Sheet1!G58</f>
        <v>3</v>
      </c>
      <c r="G58" s="49">
        <f>Sheet1!U58</f>
        <v>3</v>
      </c>
      <c r="H58" s="49">
        <f>Sheet1!V58</f>
        <v>11</v>
      </c>
      <c r="I58" s="49">
        <v>10</v>
      </c>
      <c r="J58" s="49">
        <v>12</v>
      </c>
      <c r="K58" s="49">
        <f>Sheet1!Y58</f>
        <v>8</v>
      </c>
      <c r="L58" s="49">
        <f>Sheet1!Z58</f>
        <v>1.25</v>
      </c>
      <c r="M58" s="49">
        <v>1</v>
      </c>
      <c r="N58" s="49">
        <f t="shared" ca="1" si="2"/>
        <v>0.99060780737986198</v>
      </c>
      <c r="O58" s="51">
        <f>M58*VLOOKUP($H58,Sheet4!$A$1:$B$7,2,FALSE)*Sheet4!D$2</f>
        <v>4800</v>
      </c>
      <c r="P58" s="51">
        <f>M58*VLOOKUP($H58,Sheet4!$A$1:$B$7,2,FALSE)*Sheet4!E$2</f>
        <v>0</v>
      </c>
      <c r="Q58" s="51">
        <f>M58*VLOOKUP($H58,Sheet4!$A$1:$B$7,2,FALSE)*Sheet4!F$2</f>
        <v>0</v>
      </c>
      <c r="R58" s="51">
        <f>M58*VLOOKUP($H58,Sheet4!$A$1:$B$7,2,FALSE)*Sheet4!G$2</f>
        <v>160</v>
      </c>
      <c r="S58" s="51">
        <f>M58*VLOOKUP($H58,Sheet4!$A$1:$B$7,2,FALSE)*Sheet4!H$2</f>
        <v>80</v>
      </c>
      <c r="T58" s="51">
        <f>M58*VLOOKUP($H58,Sheet4!$A$1:$B$7,2,FALSE)*Sheet4!I$2</f>
        <v>80</v>
      </c>
      <c r="U58" s="51"/>
      <c r="V58" s="51"/>
      <c r="W58" s="51"/>
      <c r="X58" s="51"/>
      <c r="Y58" s="51"/>
      <c r="Z58" s="51"/>
      <c r="AA58" s="51">
        <f t="shared" si="9"/>
        <v>480</v>
      </c>
      <c r="AB58" s="51">
        <f t="shared" si="4"/>
        <v>0</v>
      </c>
      <c r="AC58" s="51">
        <f t="shared" si="5"/>
        <v>0</v>
      </c>
      <c r="AD58" s="51">
        <f t="shared" si="6"/>
        <v>16</v>
      </c>
      <c r="AE58" s="51">
        <f t="shared" si="7"/>
        <v>8</v>
      </c>
      <c r="AF58" s="51">
        <f t="shared" si="8"/>
        <v>8</v>
      </c>
      <c r="AG58" s="51"/>
      <c r="AH58" s="51"/>
      <c r="AI58" s="51"/>
      <c r="AJ58" s="51"/>
      <c r="AK58" s="49" t="str">
        <f t="shared" si="10"/>
        <v>11300|8</v>
      </c>
      <c r="AL58" s="49">
        <v>8</v>
      </c>
      <c r="AM58" s="49" t="e">
        <f>Sheet1!#REF!</f>
        <v>#REF!</v>
      </c>
      <c r="AN58" s="49" t="str">
        <f>Sheet1!BA58</f>
        <v>4001|50</v>
      </c>
      <c r="AO58" s="49">
        <f>Sheet1!BB58</f>
        <v>50</v>
      </c>
      <c r="AP58" s="49" t="str">
        <f>Sheet1!BC58</f>
        <v>11244,11247,11249,11250</v>
      </c>
      <c r="AQ58" s="49" t="str">
        <f>Sheet1!BD58</f>
        <v>[]</v>
      </c>
      <c r="AR58" s="49" t="str">
        <f>Sheet1!BE58</f>
        <v>12015,12013</v>
      </c>
      <c r="AS58" s="49">
        <f>Sheet1!BF58</f>
        <v>400</v>
      </c>
      <c r="AT58" s="49">
        <f>Sheet1!BL58</f>
        <v>10000</v>
      </c>
      <c r="AU58" s="49">
        <f>Sheet1!BM58</f>
        <v>1</v>
      </c>
      <c r="AV58" s="49">
        <f>Sheet1!BN58</f>
        <v>100</v>
      </c>
      <c r="AW58" s="49" t="str">
        <f>Sheet1!BO58</f>
        <v>[]</v>
      </c>
    </row>
    <row r="59" spans="1:49">
      <c r="A59" s="49">
        <f>Sheet1!A59</f>
        <v>1136</v>
      </c>
      <c r="B59" s="49" t="str">
        <f>Sheet1!B59</f>
        <v>白龙公主</v>
      </c>
      <c r="C59" s="49">
        <f>Sheet1!D59</f>
        <v>1</v>
      </c>
      <c r="D59" s="49">
        <f>Sheet1!E59</f>
        <v>3</v>
      </c>
      <c r="E59" s="49">
        <f>Sheet1!F59</f>
        <v>1</v>
      </c>
      <c r="F59" s="49">
        <f>Sheet1!G59</f>
        <v>1</v>
      </c>
      <c r="G59" s="49">
        <f>Sheet1!U59</f>
        <v>3</v>
      </c>
      <c r="H59" s="49">
        <f>Sheet1!V59</f>
        <v>11</v>
      </c>
      <c r="I59" s="49">
        <v>10</v>
      </c>
      <c r="J59" s="49">
        <v>12</v>
      </c>
      <c r="K59" s="49">
        <f>Sheet1!Y59</f>
        <v>8</v>
      </c>
      <c r="L59" s="49">
        <f>Sheet1!Z59</f>
        <v>1</v>
      </c>
      <c r="M59" s="49">
        <v>1</v>
      </c>
      <c r="N59" s="49">
        <f t="shared" ca="1" si="2"/>
        <v>0.99053336826978489</v>
      </c>
      <c r="O59" s="51">
        <f>M59*VLOOKUP($H59,Sheet4!$A$1:$B$7,2,FALSE)*Sheet4!D$2</f>
        <v>4800</v>
      </c>
      <c r="P59" s="51">
        <f>M59*VLOOKUP($H59,Sheet4!$A$1:$B$7,2,FALSE)*Sheet4!E$2</f>
        <v>0</v>
      </c>
      <c r="Q59" s="51">
        <f>M59*VLOOKUP($H59,Sheet4!$A$1:$B$7,2,FALSE)*Sheet4!F$2</f>
        <v>0</v>
      </c>
      <c r="R59" s="51">
        <f>M59*VLOOKUP($H59,Sheet4!$A$1:$B$7,2,FALSE)*Sheet4!G$2</f>
        <v>160</v>
      </c>
      <c r="S59" s="51">
        <f>M59*VLOOKUP($H59,Sheet4!$A$1:$B$7,2,FALSE)*Sheet4!H$2</f>
        <v>80</v>
      </c>
      <c r="T59" s="51">
        <f>M59*VLOOKUP($H59,Sheet4!$A$1:$B$7,2,FALSE)*Sheet4!I$2</f>
        <v>80</v>
      </c>
      <c r="U59" s="51"/>
      <c r="V59" s="51"/>
      <c r="W59" s="51"/>
      <c r="X59" s="51"/>
      <c r="Y59" s="51"/>
      <c r="Z59" s="51"/>
      <c r="AA59" s="51">
        <f t="shared" si="9"/>
        <v>480</v>
      </c>
      <c r="AB59" s="51">
        <f t="shared" si="4"/>
        <v>0</v>
      </c>
      <c r="AC59" s="51">
        <f t="shared" si="5"/>
        <v>0</v>
      </c>
      <c r="AD59" s="51">
        <f t="shared" si="6"/>
        <v>16</v>
      </c>
      <c r="AE59" s="51">
        <f t="shared" si="7"/>
        <v>8</v>
      </c>
      <c r="AF59" s="51">
        <f t="shared" si="8"/>
        <v>8</v>
      </c>
      <c r="AG59" s="51"/>
      <c r="AH59" s="51"/>
      <c r="AI59" s="51"/>
      <c r="AJ59" s="51"/>
      <c r="AK59" s="49" t="str">
        <f t="shared" si="10"/>
        <v>11100|8</v>
      </c>
      <c r="AL59" s="49">
        <v>8</v>
      </c>
      <c r="AM59" s="49" t="e">
        <f>Sheet1!#REF!</f>
        <v>#REF!</v>
      </c>
      <c r="AN59" s="49" t="str">
        <f>Sheet1!BA59</f>
        <v>3001|50</v>
      </c>
      <c r="AO59" s="49">
        <f>Sheet1!BB59</f>
        <v>50</v>
      </c>
      <c r="AP59" s="49" t="str">
        <f>Sheet1!BC59</f>
        <v>11244,11246,11251,11252</v>
      </c>
      <c r="AQ59" s="49" t="str">
        <f>Sheet1!BD59</f>
        <v>[]</v>
      </c>
      <c r="AR59" s="49" t="str">
        <f>Sheet1!BE59</f>
        <v>12016,12014</v>
      </c>
      <c r="AS59" s="49">
        <f>Sheet1!BF59</f>
        <v>400</v>
      </c>
      <c r="AT59" s="49">
        <f>Sheet1!BL59</f>
        <v>3000</v>
      </c>
      <c r="AU59" s="49">
        <f>Sheet1!BM59</f>
        <v>1</v>
      </c>
      <c r="AV59" s="49">
        <f>Sheet1!BN59</f>
        <v>100</v>
      </c>
      <c r="AW59" s="49" t="str">
        <f>Sheet1!BO59</f>
        <v>[]</v>
      </c>
    </row>
    <row r="60" spans="1:49">
      <c r="A60" s="49">
        <f>Sheet1!A60</f>
        <v>1141</v>
      </c>
      <c r="B60" s="49" t="str">
        <f>Sheet1!B60</f>
        <v>玉兔</v>
      </c>
      <c r="C60" s="49">
        <f>Sheet1!D60</f>
        <v>1</v>
      </c>
      <c r="D60" s="49">
        <f>Sheet1!E60</f>
        <v>2</v>
      </c>
      <c r="E60" s="49">
        <f>Sheet1!F60</f>
        <v>1</v>
      </c>
      <c r="F60" s="49">
        <f>Sheet1!G60</f>
        <v>1</v>
      </c>
      <c r="G60" s="49">
        <f>Sheet1!U60</f>
        <v>3</v>
      </c>
      <c r="H60" s="49">
        <f>Sheet1!V60</f>
        <v>11</v>
      </c>
      <c r="I60" s="49">
        <v>10</v>
      </c>
      <c r="J60" s="49">
        <v>12</v>
      </c>
      <c r="K60" s="49">
        <f>Sheet1!Y60</f>
        <v>8</v>
      </c>
      <c r="L60" s="49">
        <f>Sheet1!Z60</f>
        <v>1</v>
      </c>
      <c r="M60" s="49">
        <v>1</v>
      </c>
      <c r="N60" s="49">
        <f t="shared" ca="1" si="2"/>
        <v>0.97537948147474873</v>
      </c>
      <c r="O60" s="51">
        <f>M60*VLOOKUP($H60,Sheet4!$A$1:$B$7,2,FALSE)*Sheet4!D$2</f>
        <v>4800</v>
      </c>
      <c r="P60" s="51">
        <f>M60*VLOOKUP($H60,Sheet4!$A$1:$B$7,2,FALSE)*Sheet4!E$2</f>
        <v>0</v>
      </c>
      <c r="Q60" s="51">
        <f>M60*VLOOKUP($H60,Sheet4!$A$1:$B$7,2,FALSE)*Sheet4!F$2</f>
        <v>0</v>
      </c>
      <c r="R60" s="51">
        <f>M60*VLOOKUP($H60,Sheet4!$A$1:$B$7,2,FALSE)*Sheet4!G$2</f>
        <v>160</v>
      </c>
      <c r="S60" s="51">
        <f>M60*VLOOKUP($H60,Sheet4!$A$1:$B$7,2,FALSE)*Sheet4!H$2</f>
        <v>80</v>
      </c>
      <c r="T60" s="51">
        <f>M60*VLOOKUP($H60,Sheet4!$A$1:$B$7,2,FALSE)*Sheet4!I$2</f>
        <v>80</v>
      </c>
      <c r="U60" s="51"/>
      <c r="V60" s="51"/>
      <c r="W60" s="51"/>
      <c r="X60" s="51"/>
      <c r="Y60" s="51"/>
      <c r="Z60" s="51"/>
      <c r="AA60" s="51">
        <f t="shared" si="9"/>
        <v>480</v>
      </c>
      <c r="AB60" s="51">
        <f t="shared" si="4"/>
        <v>0</v>
      </c>
      <c r="AC60" s="51">
        <f t="shared" si="5"/>
        <v>0</v>
      </c>
      <c r="AD60" s="51">
        <f t="shared" si="6"/>
        <v>16</v>
      </c>
      <c r="AE60" s="51">
        <f t="shared" si="7"/>
        <v>8</v>
      </c>
      <c r="AF60" s="51">
        <f t="shared" si="8"/>
        <v>8</v>
      </c>
      <c r="AG60" s="51"/>
      <c r="AH60" s="51"/>
      <c r="AI60" s="51"/>
      <c r="AJ60" s="51"/>
      <c r="AK60" s="49" t="str">
        <f t="shared" si="10"/>
        <v>11100|8</v>
      </c>
      <c r="AL60" s="49">
        <v>8</v>
      </c>
      <c r="AM60" s="49" t="e">
        <f>Sheet1!#REF!</f>
        <v>#REF!</v>
      </c>
      <c r="AN60" s="49" t="str">
        <f>Sheet1!BA60</f>
        <v>3001|50</v>
      </c>
      <c r="AO60" s="49">
        <f>Sheet1!BB60</f>
        <v>50</v>
      </c>
      <c r="AP60" s="49" t="str">
        <f>Sheet1!BC60</f>
        <v>11045,11046,11051,11053</v>
      </c>
      <c r="AQ60" s="49" t="str">
        <f>Sheet1!BD60</f>
        <v>[]</v>
      </c>
      <c r="AR60" s="49" t="str">
        <f>Sheet1!BE60</f>
        <v>12016,12014</v>
      </c>
      <c r="AS60" s="49">
        <f>Sheet1!BF60</f>
        <v>400</v>
      </c>
      <c r="AT60" s="49">
        <f>Sheet1!BL60</f>
        <v>3000</v>
      </c>
      <c r="AU60" s="49">
        <f>Sheet1!BM60</f>
        <v>1</v>
      </c>
      <c r="AV60" s="49">
        <f>Sheet1!BN60</f>
        <v>100</v>
      </c>
      <c r="AW60" s="49" t="str">
        <f>Sheet1!BO60</f>
        <v>[]</v>
      </c>
    </row>
    <row r="61" spans="1:49">
      <c r="A61" s="49">
        <f>Sheet1!A61</f>
        <v>1138</v>
      </c>
      <c r="B61" s="49" t="str">
        <f>Sheet1!B61</f>
        <v>玉面夫人</v>
      </c>
      <c r="C61" s="49">
        <f>Sheet1!D61</f>
        <v>1</v>
      </c>
      <c r="D61" s="49">
        <f>Sheet1!E61</f>
        <v>2</v>
      </c>
      <c r="E61" s="49">
        <f>Sheet1!F61</f>
        <v>2</v>
      </c>
      <c r="F61" s="49">
        <f>Sheet1!G61</f>
        <v>3</v>
      </c>
      <c r="G61" s="49">
        <f>Sheet1!U61</f>
        <v>3</v>
      </c>
      <c r="H61" s="49">
        <f>Sheet1!V61</f>
        <v>11</v>
      </c>
      <c r="I61" s="49">
        <v>10</v>
      </c>
      <c r="J61" s="49">
        <v>12</v>
      </c>
      <c r="K61" s="49">
        <f>Sheet1!Y61</f>
        <v>8</v>
      </c>
      <c r="L61" s="49">
        <f>Sheet1!Z61</f>
        <v>1.25</v>
      </c>
      <c r="M61" s="49">
        <v>1</v>
      </c>
      <c r="N61" s="49">
        <f t="shared" ca="1" si="2"/>
        <v>1.0232816083406666</v>
      </c>
      <c r="O61" s="51">
        <f>M61*VLOOKUP($H61,Sheet4!$A$1:$B$7,2,FALSE)*Sheet4!D$2</f>
        <v>4800</v>
      </c>
      <c r="P61" s="51">
        <f>M61*VLOOKUP($H61,Sheet4!$A$1:$B$7,2,FALSE)*Sheet4!E$2</f>
        <v>0</v>
      </c>
      <c r="Q61" s="51">
        <f>M61*VLOOKUP($H61,Sheet4!$A$1:$B$7,2,FALSE)*Sheet4!F$2</f>
        <v>0</v>
      </c>
      <c r="R61" s="51">
        <f>M61*VLOOKUP($H61,Sheet4!$A$1:$B$7,2,FALSE)*Sheet4!G$2</f>
        <v>160</v>
      </c>
      <c r="S61" s="51">
        <f>M61*VLOOKUP($H61,Sheet4!$A$1:$B$7,2,FALSE)*Sheet4!H$2</f>
        <v>80</v>
      </c>
      <c r="T61" s="51">
        <f>M61*VLOOKUP($H61,Sheet4!$A$1:$B$7,2,FALSE)*Sheet4!I$2</f>
        <v>80</v>
      </c>
      <c r="U61" s="51"/>
      <c r="V61" s="51"/>
      <c r="W61" s="51"/>
      <c r="X61" s="51"/>
      <c r="Y61" s="51"/>
      <c r="Z61" s="51"/>
      <c r="AA61" s="51">
        <f t="shared" si="9"/>
        <v>480</v>
      </c>
      <c r="AB61" s="51">
        <f t="shared" si="4"/>
        <v>0</v>
      </c>
      <c r="AC61" s="51">
        <f t="shared" si="5"/>
        <v>0</v>
      </c>
      <c r="AD61" s="51">
        <f t="shared" si="6"/>
        <v>16</v>
      </c>
      <c r="AE61" s="51">
        <f t="shared" si="7"/>
        <v>8</v>
      </c>
      <c r="AF61" s="51">
        <f t="shared" si="8"/>
        <v>8</v>
      </c>
      <c r="AG61" s="51"/>
      <c r="AH61" s="51"/>
      <c r="AI61" s="51"/>
      <c r="AJ61" s="51"/>
      <c r="AK61" s="49" t="str">
        <f t="shared" si="10"/>
        <v>11300|8</v>
      </c>
      <c r="AL61" s="49">
        <v>8</v>
      </c>
      <c r="AM61" s="49" t="e">
        <f>Sheet1!#REF!</f>
        <v>#REF!</v>
      </c>
      <c r="AN61" s="49" t="str">
        <f>Sheet1!BA61</f>
        <v>3001|50</v>
      </c>
      <c r="AO61" s="49">
        <f>Sheet1!BB61</f>
        <v>50</v>
      </c>
      <c r="AP61" s="49" t="str">
        <f>Sheet1!BC61</f>
        <v>11044,11046,11051,11052</v>
      </c>
      <c r="AQ61" s="49" t="str">
        <f>Sheet1!BD61</f>
        <v>[]</v>
      </c>
      <c r="AR61" s="49" t="str">
        <f>Sheet1!BE61</f>
        <v>12016,12014</v>
      </c>
      <c r="AS61" s="49">
        <f>Sheet1!BF61</f>
        <v>400</v>
      </c>
      <c r="AT61" s="49">
        <f>Sheet1!BL61</f>
        <v>10000</v>
      </c>
      <c r="AU61" s="49">
        <f>Sheet1!BM61</f>
        <v>1</v>
      </c>
      <c r="AV61" s="49">
        <f>Sheet1!BN61</f>
        <v>100</v>
      </c>
      <c r="AW61" s="49" t="str">
        <f>Sheet1!BO61</f>
        <v>[]</v>
      </c>
    </row>
    <row r="62" spans="1:49">
      <c r="A62" s="49">
        <f>Sheet1!A65</f>
        <v>1142</v>
      </c>
      <c r="B62" s="49" t="str">
        <f>Sheet1!B65</f>
        <v>狮人-光启</v>
      </c>
      <c r="C62" s="49">
        <f>Sheet1!D65</f>
        <v>1</v>
      </c>
      <c r="D62" s="49">
        <f>Sheet1!E65</f>
        <v>4</v>
      </c>
      <c r="E62" s="49">
        <f>Sheet1!F65</f>
        <v>4</v>
      </c>
      <c r="F62" s="49">
        <f>Sheet1!G65</f>
        <v>4</v>
      </c>
      <c r="G62" s="49">
        <f>Sheet1!U65</f>
        <v>2</v>
      </c>
      <c r="H62" s="49">
        <f>Sheet1!V65</f>
        <v>6</v>
      </c>
      <c r="M62" s="49">
        <v>1</v>
      </c>
      <c r="N62" s="49">
        <f t="shared" ca="1" si="2"/>
        <v>0.99045634878611744</v>
      </c>
      <c r="O62" s="51">
        <f>M62*VLOOKUP($H62,Sheet4!$A$1:$B$7,2,FALSE)*Sheet4!D$2</f>
        <v>4200</v>
      </c>
      <c r="P62" s="51">
        <f>M62*VLOOKUP($H62,Sheet4!$A$1:$B$7,2,FALSE)*Sheet4!E$2</f>
        <v>0</v>
      </c>
      <c r="Q62" s="51">
        <f>M62*VLOOKUP($H62,Sheet4!$A$1:$B$7,2,FALSE)*Sheet4!F$2</f>
        <v>0</v>
      </c>
      <c r="R62" s="51">
        <f>M62*VLOOKUP($H62,Sheet4!$A$1:$B$7,2,FALSE)*Sheet4!G$2</f>
        <v>140</v>
      </c>
      <c r="S62" s="51">
        <f>M62*VLOOKUP($H62,Sheet4!$A$1:$B$7,2,FALSE)*Sheet4!H$2</f>
        <v>70</v>
      </c>
      <c r="T62" s="51">
        <f>M62*VLOOKUP($H62,Sheet4!$A$1:$B$7,2,FALSE)*Sheet4!I$2</f>
        <v>70</v>
      </c>
      <c r="AA62" s="51">
        <f t="shared" si="9"/>
        <v>420</v>
      </c>
      <c r="AB62" s="51">
        <f t="shared" si="4"/>
        <v>0</v>
      </c>
      <c r="AC62" s="51">
        <f t="shared" si="5"/>
        <v>0</v>
      </c>
      <c r="AD62" s="51">
        <f t="shared" si="6"/>
        <v>14</v>
      </c>
      <c r="AE62" s="51">
        <f t="shared" si="7"/>
        <v>7</v>
      </c>
      <c r="AF62" s="51">
        <f t="shared" si="8"/>
        <v>7</v>
      </c>
      <c r="AK62" s="49" t="str">
        <f t="shared" si="10"/>
        <v>6400|6</v>
      </c>
      <c r="AL62" s="49">
        <v>6</v>
      </c>
    </row>
    <row r="63" spans="1:49">
      <c r="A63" s="49">
        <f>Sheet1!A66</f>
        <v>1143</v>
      </c>
      <c r="B63" s="49" t="str">
        <f>Sheet1!B66</f>
        <v>狮人-立辉</v>
      </c>
      <c r="C63" s="49">
        <f>Sheet1!D66</f>
        <v>1</v>
      </c>
      <c r="D63" s="49">
        <f>Sheet1!E66</f>
        <v>4</v>
      </c>
      <c r="E63" s="49">
        <f>Sheet1!F66</f>
        <v>4</v>
      </c>
      <c r="F63" s="49">
        <f>Sheet1!G66</f>
        <v>4</v>
      </c>
      <c r="G63" s="49">
        <f>Sheet1!U66</f>
        <v>2</v>
      </c>
      <c r="H63" s="49">
        <f>Sheet1!V66</f>
        <v>6</v>
      </c>
      <c r="M63" s="49">
        <v>1</v>
      </c>
      <c r="N63" s="49">
        <f t="shared" ca="1" si="2"/>
        <v>0.98602108124795784</v>
      </c>
      <c r="O63" s="51">
        <f>M63*VLOOKUP($H63,Sheet4!$A$1:$B$7,2,FALSE)*Sheet4!D$2</f>
        <v>4200</v>
      </c>
      <c r="P63" s="51">
        <f>M63*VLOOKUP($H63,Sheet4!$A$1:$B$7,2,FALSE)*Sheet4!E$2</f>
        <v>0</v>
      </c>
      <c r="Q63" s="51">
        <f>M63*VLOOKUP($H63,Sheet4!$A$1:$B$7,2,FALSE)*Sheet4!F$2</f>
        <v>0</v>
      </c>
      <c r="R63" s="51">
        <f>M63*VLOOKUP($H63,Sheet4!$A$1:$B$7,2,FALSE)*Sheet4!G$2</f>
        <v>140</v>
      </c>
      <c r="S63" s="51">
        <f>M63*VLOOKUP($H63,Sheet4!$A$1:$B$7,2,FALSE)*Sheet4!H$2</f>
        <v>70</v>
      </c>
      <c r="T63" s="51">
        <f>M63*VLOOKUP($H63,Sheet4!$A$1:$B$7,2,FALSE)*Sheet4!I$2</f>
        <v>70</v>
      </c>
      <c r="AA63" s="51">
        <f t="shared" si="9"/>
        <v>420</v>
      </c>
      <c r="AB63" s="51">
        <f t="shared" si="4"/>
        <v>0</v>
      </c>
      <c r="AC63" s="51">
        <f t="shared" si="5"/>
        <v>0</v>
      </c>
      <c r="AD63" s="51">
        <f t="shared" si="6"/>
        <v>14</v>
      </c>
      <c r="AE63" s="51">
        <f t="shared" si="7"/>
        <v>7</v>
      </c>
      <c r="AF63" s="51">
        <f t="shared" si="8"/>
        <v>7</v>
      </c>
      <c r="AK63" s="49" t="str">
        <f t="shared" si="10"/>
        <v>6400|6</v>
      </c>
      <c r="AL63" s="49">
        <v>6</v>
      </c>
    </row>
    <row r="64" spans="1:49">
      <c r="A64" s="49">
        <f>Sheet1!A67</f>
        <v>1146</v>
      </c>
      <c r="B64" s="49" t="str">
        <f>Sheet1!B67</f>
        <v>石人-博达</v>
      </c>
      <c r="C64" s="49">
        <f>Sheet1!D67</f>
        <v>1</v>
      </c>
      <c r="D64" s="49">
        <f>Sheet1!E67</f>
        <v>4</v>
      </c>
      <c r="E64" s="49">
        <f>Sheet1!F67</f>
        <v>4</v>
      </c>
      <c r="F64" s="49">
        <f>Sheet1!G67</f>
        <v>4</v>
      </c>
      <c r="G64" s="49">
        <f>Sheet1!U67</f>
        <v>2</v>
      </c>
      <c r="H64" s="49">
        <f>Sheet1!V67</f>
        <v>6</v>
      </c>
      <c r="M64" s="49">
        <v>1</v>
      </c>
      <c r="N64" s="49">
        <f t="shared" ca="1" si="2"/>
        <v>0.98015027312064351</v>
      </c>
      <c r="O64" s="51">
        <f>M64*VLOOKUP($H64,Sheet4!$A$1:$B$7,2,FALSE)*Sheet4!D$2</f>
        <v>4200</v>
      </c>
      <c r="P64" s="51">
        <f>M64*VLOOKUP($H64,Sheet4!$A$1:$B$7,2,FALSE)*Sheet4!E$2</f>
        <v>0</v>
      </c>
      <c r="Q64" s="51">
        <f>M64*VLOOKUP($H64,Sheet4!$A$1:$B$7,2,FALSE)*Sheet4!F$2</f>
        <v>0</v>
      </c>
      <c r="R64" s="51">
        <f>M64*VLOOKUP($H64,Sheet4!$A$1:$B$7,2,FALSE)*Sheet4!G$2</f>
        <v>140</v>
      </c>
      <c r="S64" s="51">
        <f>M64*VLOOKUP($H64,Sheet4!$A$1:$B$7,2,FALSE)*Sheet4!H$2</f>
        <v>70</v>
      </c>
      <c r="T64" s="51">
        <f>M64*VLOOKUP($H64,Sheet4!$A$1:$B$7,2,FALSE)*Sheet4!I$2</f>
        <v>70</v>
      </c>
      <c r="AA64" s="51">
        <f t="shared" si="9"/>
        <v>420</v>
      </c>
      <c r="AB64" s="51">
        <f t="shared" si="4"/>
        <v>0</v>
      </c>
      <c r="AC64" s="51">
        <f t="shared" si="5"/>
        <v>0</v>
      </c>
      <c r="AD64" s="51">
        <f t="shared" si="6"/>
        <v>14</v>
      </c>
      <c r="AE64" s="51">
        <f t="shared" si="7"/>
        <v>7</v>
      </c>
      <c r="AF64" s="51">
        <f t="shared" si="8"/>
        <v>7</v>
      </c>
      <c r="AK64" s="49" t="str">
        <f t="shared" si="10"/>
        <v>6400|6</v>
      </c>
      <c r="AL64" s="49">
        <v>6</v>
      </c>
    </row>
    <row r="65" spans="1:38">
      <c r="A65" s="49">
        <f>Sheet1!A68</f>
        <v>1147</v>
      </c>
      <c r="B65" s="49" t="str">
        <f>Sheet1!B68</f>
        <v>石人-离落</v>
      </c>
      <c r="C65" s="49">
        <f>Sheet1!D68</f>
        <v>1</v>
      </c>
      <c r="D65" s="49">
        <f>Sheet1!E68</f>
        <v>4</v>
      </c>
      <c r="E65" s="49">
        <f>Sheet1!F68</f>
        <v>4</v>
      </c>
      <c r="F65" s="49">
        <f>Sheet1!G68</f>
        <v>4</v>
      </c>
      <c r="G65" s="49">
        <f>Sheet1!U68</f>
        <v>2</v>
      </c>
      <c r="H65" s="49">
        <f>Sheet1!V68</f>
        <v>6</v>
      </c>
      <c r="M65" s="49">
        <v>1</v>
      </c>
      <c r="N65" s="49">
        <f t="shared" ca="1" si="2"/>
        <v>0.98035102013243502</v>
      </c>
      <c r="O65" s="51">
        <f>M65*VLOOKUP($H65,Sheet4!$A$1:$B$7,2,FALSE)*Sheet4!D$2</f>
        <v>4200</v>
      </c>
      <c r="P65" s="51">
        <f>M65*VLOOKUP($H65,Sheet4!$A$1:$B$7,2,FALSE)*Sheet4!E$2</f>
        <v>0</v>
      </c>
      <c r="Q65" s="51">
        <f>M65*VLOOKUP($H65,Sheet4!$A$1:$B$7,2,FALSE)*Sheet4!F$2</f>
        <v>0</v>
      </c>
      <c r="R65" s="51">
        <f>M65*VLOOKUP($H65,Sheet4!$A$1:$B$7,2,FALSE)*Sheet4!G$2</f>
        <v>140</v>
      </c>
      <c r="S65" s="51">
        <f>M65*VLOOKUP($H65,Sheet4!$A$1:$B$7,2,FALSE)*Sheet4!H$2</f>
        <v>70</v>
      </c>
      <c r="T65" s="51">
        <f>M65*VLOOKUP($H65,Sheet4!$A$1:$B$7,2,FALSE)*Sheet4!I$2</f>
        <v>70</v>
      </c>
      <c r="AA65" s="51">
        <f t="shared" si="9"/>
        <v>420</v>
      </c>
      <c r="AB65" s="51">
        <f t="shared" si="4"/>
        <v>0</v>
      </c>
      <c r="AC65" s="51">
        <f t="shared" si="5"/>
        <v>0</v>
      </c>
      <c r="AD65" s="51">
        <f t="shared" si="6"/>
        <v>14</v>
      </c>
      <c r="AE65" s="51">
        <f t="shared" si="7"/>
        <v>7</v>
      </c>
      <c r="AF65" s="51">
        <f t="shared" si="8"/>
        <v>7</v>
      </c>
      <c r="AK65" s="49" t="str">
        <f t="shared" si="10"/>
        <v>6400|6</v>
      </c>
      <c r="AL65" s="49">
        <v>6</v>
      </c>
    </row>
    <row r="66" spans="1:38">
      <c r="A66" s="49">
        <f>Sheet1!A69</f>
        <v>1148</v>
      </c>
      <c r="B66" s="49" t="str">
        <f>Sheet1!B69</f>
        <v>石人-安和</v>
      </c>
      <c r="C66" s="49">
        <f>Sheet1!D69</f>
        <v>1</v>
      </c>
      <c r="D66" s="49">
        <f>Sheet1!E69</f>
        <v>4</v>
      </c>
      <c r="E66" s="49">
        <f>Sheet1!F69</f>
        <v>4</v>
      </c>
      <c r="F66" s="49">
        <f>Sheet1!G69</f>
        <v>4</v>
      </c>
      <c r="G66" s="49">
        <f>Sheet1!U69</f>
        <v>2</v>
      </c>
      <c r="H66" s="49">
        <f>Sheet1!V69</f>
        <v>6</v>
      </c>
      <c r="M66" s="49">
        <v>1</v>
      </c>
      <c r="N66" s="49">
        <f t="shared" ca="1" si="2"/>
        <v>0.97598674143475173</v>
      </c>
      <c r="O66" s="51">
        <f>M66*VLOOKUP($H66,Sheet4!$A$1:$B$7,2,FALSE)*Sheet4!D$2</f>
        <v>4200</v>
      </c>
      <c r="P66" s="51">
        <f>M66*VLOOKUP($H66,Sheet4!$A$1:$B$7,2,FALSE)*Sheet4!E$2</f>
        <v>0</v>
      </c>
      <c r="Q66" s="51">
        <f>M66*VLOOKUP($H66,Sheet4!$A$1:$B$7,2,FALSE)*Sheet4!F$2</f>
        <v>0</v>
      </c>
      <c r="R66" s="51">
        <f>M66*VLOOKUP($H66,Sheet4!$A$1:$B$7,2,FALSE)*Sheet4!G$2</f>
        <v>140</v>
      </c>
      <c r="S66" s="51">
        <f>M66*VLOOKUP($H66,Sheet4!$A$1:$B$7,2,FALSE)*Sheet4!H$2</f>
        <v>70</v>
      </c>
      <c r="T66" s="51">
        <f>M66*VLOOKUP($H66,Sheet4!$A$1:$B$7,2,FALSE)*Sheet4!I$2</f>
        <v>70</v>
      </c>
      <c r="AA66" s="51">
        <f t="shared" si="9"/>
        <v>420</v>
      </c>
      <c r="AB66" s="51">
        <f t="shared" si="4"/>
        <v>0</v>
      </c>
      <c r="AC66" s="51">
        <f t="shared" si="5"/>
        <v>0</v>
      </c>
      <c r="AD66" s="51">
        <f t="shared" si="6"/>
        <v>14</v>
      </c>
      <c r="AE66" s="51">
        <f t="shared" si="7"/>
        <v>7</v>
      </c>
      <c r="AF66" s="51">
        <f t="shared" si="8"/>
        <v>7</v>
      </c>
      <c r="AK66" s="49" t="str">
        <f t="shared" si="10"/>
        <v>6400|6</v>
      </c>
      <c r="AL66" s="49">
        <v>6</v>
      </c>
    </row>
    <row r="67" spans="1:38">
      <c r="A67" s="49">
        <f>Sheet1!A62</f>
        <v>1152</v>
      </c>
      <c r="B67" s="49" t="str">
        <f>Sheet1!B62</f>
        <v>黑熊精</v>
      </c>
      <c r="C67" s="49">
        <f>Sheet1!D62</f>
        <v>1</v>
      </c>
      <c r="D67" s="49">
        <f>Sheet1!E62</f>
        <v>3</v>
      </c>
      <c r="E67" s="49">
        <f>Sheet1!F62</f>
        <v>4</v>
      </c>
      <c r="F67" s="49">
        <f>Sheet1!G62</f>
        <v>4</v>
      </c>
      <c r="G67" s="49">
        <f>Sheet1!U62</f>
        <v>3</v>
      </c>
      <c r="H67" s="49">
        <f>Sheet1!V62</f>
        <v>11</v>
      </c>
      <c r="M67" s="49">
        <v>1</v>
      </c>
      <c r="N67" s="49">
        <f t="shared" ca="1" si="2"/>
        <v>0.98375703254998603</v>
      </c>
      <c r="O67" s="51">
        <f>M67*VLOOKUP($H67,Sheet4!$A$1:$B$7,2,FALSE)*Sheet4!D$2</f>
        <v>4800</v>
      </c>
      <c r="P67" s="51">
        <f>M67*VLOOKUP($H67,Sheet4!$A$1:$B$7,2,FALSE)*Sheet4!E$2</f>
        <v>0</v>
      </c>
      <c r="Q67" s="51">
        <f>M67*VLOOKUP($H67,Sheet4!$A$1:$B$7,2,FALSE)*Sheet4!F$2</f>
        <v>0</v>
      </c>
      <c r="R67" s="51">
        <f>M67*VLOOKUP($H67,Sheet4!$A$1:$B$7,2,FALSE)*Sheet4!G$2</f>
        <v>160</v>
      </c>
      <c r="S67" s="51">
        <f>M67*VLOOKUP($H67,Sheet4!$A$1:$B$7,2,FALSE)*Sheet4!H$2</f>
        <v>80</v>
      </c>
      <c r="T67" s="51">
        <f>M67*VLOOKUP($H67,Sheet4!$A$1:$B$7,2,FALSE)*Sheet4!I$2</f>
        <v>80</v>
      </c>
      <c r="AA67" s="51">
        <f t="shared" si="9"/>
        <v>480</v>
      </c>
      <c r="AB67" s="51">
        <f t="shared" si="4"/>
        <v>0</v>
      </c>
      <c r="AC67" s="51">
        <f t="shared" si="5"/>
        <v>0</v>
      </c>
      <c r="AD67" s="51">
        <f t="shared" si="6"/>
        <v>16</v>
      </c>
      <c r="AE67" s="51">
        <f t="shared" si="7"/>
        <v>8</v>
      </c>
      <c r="AF67" s="51">
        <f t="shared" si="8"/>
        <v>8</v>
      </c>
      <c r="AK67" s="49" t="str">
        <f t="shared" si="10"/>
        <v>11400|6</v>
      </c>
      <c r="AL67" s="49">
        <v>6</v>
      </c>
    </row>
    <row r="68" spans="1:38">
      <c r="A68" s="49">
        <f>Sheet1!A70</f>
        <v>1155</v>
      </c>
      <c r="B68" s="49" t="str">
        <f>Sheet1!B70</f>
        <v>蟒精-雅芙</v>
      </c>
      <c r="C68" s="49">
        <f>Sheet1!D70</f>
        <v>1</v>
      </c>
      <c r="D68" s="49">
        <f>Sheet1!E70</f>
        <v>4</v>
      </c>
      <c r="E68" s="49">
        <f>Sheet1!F70</f>
        <v>2</v>
      </c>
      <c r="F68" s="49">
        <f>Sheet1!G70</f>
        <v>3</v>
      </c>
      <c r="G68" s="49">
        <f>Sheet1!U70</f>
        <v>2</v>
      </c>
      <c r="H68" s="49">
        <f>Sheet1!V70</f>
        <v>6</v>
      </c>
      <c r="M68" s="49">
        <v>1</v>
      </c>
      <c r="N68" s="49">
        <f t="shared" ca="1" si="2"/>
        <v>0.99511097294314677</v>
      </c>
      <c r="O68" s="51">
        <f>M68*VLOOKUP($H68,Sheet4!$A$1:$B$7,2,FALSE)*Sheet4!D$2</f>
        <v>4200</v>
      </c>
      <c r="P68" s="51">
        <f>M68*VLOOKUP($H68,Sheet4!$A$1:$B$7,2,FALSE)*Sheet4!E$2</f>
        <v>0</v>
      </c>
      <c r="Q68" s="51">
        <f>M68*VLOOKUP($H68,Sheet4!$A$1:$B$7,2,FALSE)*Sheet4!F$2</f>
        <v>0</v>
      </c>
      <c r="R68" s="51">
        <f>M68*VLOOKUP($H68,Sheet4!$A$1:$B$7,2,FALSE)*Sheet4!G$2</f>
        <v>140</v>
      </c>
      <c r="S68" s="51">
        <f>M68*VLOOKUP($H68,Sheet4!$A$1:$B$7,2,FALSE)*Sheet4!H$2</f>
        <v>70</v>
      </c>
      <c r="T68" s="51">
        <f>M68*VLOOKUP($H68,Sheet4!$A$1:$B$7,2,FALSE)*Sheet4!I$2</f>
        <v>70</v>
      </c>
      <c r="AA68" s="51">
        <f t="shared" si="9"/>
        <v>420</v>
      </c>
      <c r="AB68" s="51">
        <f t="shared" si="4"/>
        <v>0</v>
      </c>
      <c r="AC68" s="51">
        <f t="shared" si="5"/>
        <v>0</v>
      </c>
      <c r="AD68" s="51">
        <f t="shared" si="6"/>
        <v>14</v>
      </c>
      <c r="AE68" s="51">
        <f t="shared" si="7"/>
        <v>7</v>
      </c>
      <c r="AF68" s="51">
        <f t="shared" si="8"/>
        <v>7</v>
      </c>
      <c r="AK68" s="49" t="str">
        <f t="shared" si="10"/>
        <v>6300|6</v>
      </c>
      <c r="AL68" s="49">
        <v>6</v>
      </c>
    </row>
    <row r="69" spans="1:38">
      <c r="A69" s="49">
        <f>Sheet1!A71</f>
        <v>1156</v>
      </c>
      <c r="B69" s="49" t="str">
        <f>Sheet1!B71</f>
        <v>蟒精-依娜</v>
      </c>
      <c r="C69" s="49">
        <f>Sheet1!D71</f>
        <v>1</v>
      </c>
      <c r="D69" s="49">
        <f>Sheet1!E71</f>
        <v>4</v>
      </c>
      <c r="E69" s="49">
        <f>Sheet1!F71</f>
        <v>2</v>
      </c>
      <c r="F69" s="49">
        <f>Sheet1!G71</f>
        <v>3</v>
      </c>
      <c r="G69" s="49">
        <f>Sheet1!U71</f>
        <v>2</v>
      </c>
      <c r="H69" s="49">
        <f>Sheet1!V71</f>
        <v>6</v>
      </c>
      <c r="M69" s="49">
        <v>1</v>
      </c>
      <c r="N69" s="49">
        <f t="shared" ref="N69:N114" ca="1" si="11">RAND()/20+0.975</f>
        <v>0.99419797912768793</v>
      </c>
      <c r="O69" s="51">
        <f>M69*VLOOKUP($H69,Sheet4!$A$1:$B$7,2,FALSE)*Sheet4!D$2</f>
        <v>4200</v>
      </c>
      <c r="P69" s="51">
        <f>M69*VLOOKUP($H69,Sheet4!$A$1:$B$7,2,FALSE)*Sheet4!E$2</f>
        <v>0</v>
      </c>
      <c r="Q69" s="51">
        <f>M69*VLOOKUP($H69,Sheet4!$A$1:$B$7,2,FALSE)*Sheet4!F$2</f>
        <v>0</v>
      </c>
      <c r="R69" s="51">
        <f>M69*VLOOKUP($H69,Sheet4!$A$1:$B$7,2,FALSE)*Sheet4!G$2</f>
        <v>140</v>
      </c>
      <c r="S69" s="51">
        <f>M69*VLOOKUP($H69,Sheet4!$A$1:$B$7,2,FALSE)*Sheet4!H$2</f>
        <v>70</v>
      </c>
      <c r="T69" s="51">
        <f>M69*VLOOKUP($H69,Sheet4!$A$1:$B$7,2,FALSE)*Sheet4!I$2</f>
        <v>70</v>
      </c>
      <c r="AA69" s="51">
        <f t="shared" si="9"/>
        <v>420</v>
      </c>
      <c r="AB69" s="51">
        <f t="shared" si="4"/>
        <v>0</v>
      </c>
      <c r="AC69" s="51">
        <f t="shared" si="5"/>
        <v>0</v>
      </c>
      <c r="AD69" s="51">
        <f t="shared" si="6"/>
        <v>14</v>
      </c>
      <c r="AE69" s="51">
        <f t="shared" si="7"/>
        <v>7</v>
      </c>
      <c r="AF69" s="51">
        <f t="shared" si="8"/>
        <v>7</v>
      </c>
      <c r="AK69" s="49" t="str">
        <f t="shared" si="10"/>
        <v>6300|6</v>
      </c>
      <c r="AL69" s="49">
        <v>6</v>
      </c>
    </row>
    <row r="70" spans="1:38">
      <c r="A70" s="49">
        <f>Sheet1!A72</f>
        <v>1157</v>
      </c>
      <c r="B70" s="49" t="str">
        <f>Sheet1!B72</f>
        <v>狐狸-优璇</v>
      </c>
      <c r="C70" s="49">
        <f>Sheet1!D72</f>
        <v>1</v>
      </c>
      <c r="D70" s="49">
        <f>Sheet1!E72</f>
        <v>4</v>
      </c>
      <c r="E70" s="49">
        <f>Sheet1!F72</f>
        <v>3</v>
      </c>
      <c r="F70" s="49">
        <f>Sheet1!G72</f>
        <v>3</v>
      </c>
      <c r="G70" s="49">
        <f>Sheet1!U72</f>
        <v>2</v>
      </c>
      <c r="H70" s="49">
        <f>Sheet1!V72</f>
        <v>6</v>
      </c>
      <c r="M70" s="49">
        <v>1</v>
      </c>
      <c r="N70" s="49">
        <f t="shared" ca="1" si="11"/>
        <v>0.99926329947890646</v>
      </c>
      <c r="O70" s="51">
        <f>M70*VLOOKUP($H70,Sheet4!$A$1:$B$7,2,FALSE)*Sheet4!D$2</f>
        <v>4200</v>
      </c>
      <c r="P70" s="51">
        <f>M70*VLOOKUP($H70,Sheet4!$A$1:$B$7,2,FALSE)*Sheet4!E$2</f>
        <v>0</v>
      </c>
      <c r="Q70" s="51">
        <f>M70*VLOOKUP($H70,Sheet4!$A$1:$B$7,2,FALSE)*Sheet4!F$2</f>
        <v>0</v>
      </c>
      <c r="R70" s="51">
        <f>M70*VLOOKUP($H70,Sheet4!$A$1:$B$7,2,FALSE)*Sheet4!G$2</f>
        <v>140</v>
      </c>
      <c r="S70" s="51">
        <f>M70*VLOOKUP($H70,Sheet4!$A$1:$B$7,2,FALSE)*Sheet4!H$2</f>
        <v>70</v>
      </c>
      <c r="T70" s="51">
        <f>M70*VLOOKUP($H70,Sheet4!$A$1:$B$7,2,FALSE)*Sheet4!I$2</f>
        <v>70</v>
      </c>
      <c r="AA70" s="51">
        <f t="shared" si="9"/>
        <v>420</v>
      </c>
      <c r="AB70" s="51">
        <f t="shared" si="4"/>
        <v>0</v>
      </c>
      <c r="AC70" s="51">
        <f t="shared" si="5"/>
        <v>0</v>
      </c>
      <c r="AD70" s="51">
        <f t="shared" si="6"/>
        <v>14</v>
      </c>
      <c r="AE70" s="51">
        <f t="shared" si="7"/>
        <v>7</v>
      </c>
      <c r="AF70" s="51">
        <f t="shared" si="8"/>
        <v>7</v>
      </c>
      <c r="AK70" s="49" t="str">
        <f t="shared" si="10"/>
        <v>6300|6</v>
      </c>
      <c r="AL70" s="49">
        <v>6</v>
      </c>
    </row>
    <row r="71" spans="1:38">
      <c r="A71" s="49">
        <f>Sheet1!A73</f>
        <v>1158</v>
      </c>
      <c r="B71" s="49" t="str">
        <f>Sheet1!B73</f>
        <v>狐狸-茹雪</v>
      </c>
      <c r="C71" s="49">
        <f>Sheet1!D73</f>
        <v>1</v>
      </c>
      <c r="D71" s="49">
        <f>Sheet1!E73</f>
        <v>4</v>
      </c>
      <c r="E71" s="49">
        <f>Sheet1!F73</f>
        <v>3</v>
      </c>
      <c r="F71" s="49">
        <f>Sheet1!G73</f>
        <v>3</v>
      </c>
      <c r="G71" s="49">
        <f>Sheet1!U73</f>
        <v>2</v>
      </c>
      <c r="H71" s="49">
        <f>Sheet1!V73</f>
        <v>6</v>
      </c>
      <c r="M71" s="49">
        <v>1</v>
      </c>
      <c r="N71" s="49">
        <f t="shared" ca="1" si="11"/>
        <v>1.0208337193179444</v>
      </c>
      <c r="O71" s="51">
        <f>M71*VLOOKUP($H71,Sheet4!$A$1:$B$7,2,FALSE)*Sheet4!D$2</f>
        <v>4200</v>
      </c>
      <c r="P71" s="51">
        <f>M71*VLOOKUP($H71,Sheet4!$A$1:$B$7,2,FALSE)*Sheet4!E$2</f>
        <v>0</v>
      </c>
      <c r="Q71" s="51">
        <f>M71*VLOOKUP($H71,Sheet4!$A$1:$B$7,2,FALSE)*Sheet4!F$2</f>
        <v>0</v>
      </c>
      <c r="R71" s="51">
        <f>M71*VLOOKUP($H71,Sheet4!$A$1:$B$7,2,FALSE)*Sheet4!G$2</f>
        <v>140</v>
      </c>
      <c r="S71" s="51">
        <f>M71*VLOOKUP($H71,Sheet4!$A$1:$B$7,2,FALSE)*Sheet4!H$2</f>
        <v>70</v>
      </c>
      <c r="T71" s="51">
        <f>M71*VLOOKUP($H71,Sheet4!$A$1:$B$7,2,FALSE)*Sheet4!I$2</f>
        <v>70</v>
      </c>
      <c r="AA71" s="51">
        <f t="shared" si="9"/>
        <v>420</v>
      </c>
      <c r="AB71" s="51">
        <f t="shared" si="4"/>
        <v>0</v>
      </c>
      <c r="AC71" s="51">
        <f t="shared" si="5"/>
        <v>0</v>
      </c>
      <c r="AD71" s="51">
        <f t="shared" si="6"/>
        <v>14</v>
      </c>
      <c r="AE71" s="51">
        <f t="shared" si="7"/>
        <v>7</v>
      </c>
      <c r="AF71" s="51">
        <f t="shared" si="8"/>
        <v>7</v>
      </c>
      <c r="AK71" s="49" t="str">
        <f t="shared" si="10"/>
        <v>6300|6</v>
      </c>
      <c r="AL71" s="49">
        <v>6</v>
      </c>
    </row>
    <row r="72" spans="1:38">
      <c r="A72" s="49">
        <f>Sheet1!A74</f>
        <v>1159</v>
      </c>
      <c r="B72" s="49" t="str">
        <f>Sheet1!B74</f>
        <v>狐狸-若火</v>
      </c>
      <c r="C72" s="49">
        <f>Sheet1!D74</f>
        <v>1</v>
      </c>
      <c r="D72" s="49">
        <f>Sheet1!E74</f>
        <v>4</v>
      </c>
      <c r="E72" s="49">
        <f>Sheet1!F74</f>
        <v>3</v>
      </c>
      <c r="F72" s="49">
        <f>Sheet1!G74</f>
        <v>3</v>
      </c>
      <c r="G72" s="49">
        <f>Sheet1!U74</f>
        <v>2</v>
      </c>
      <c r="H72" s="49">
        <f>Sheet1!V74</f>
        <v>6</v>
      </c>
      <c r="M72" s="49">
        <v>1</v>
      </c>
      <c r="N72" s="49">
        <f t="shared" ca="1" si="11"/>
        <v>1.0028013343301037</v>
      </c>
      <c r="O72" s="51">
        <f>M72*VLOOKUP($H72,Sheet4!$A$1:$B$7,2,FALSE)*Sheet4!D$2</f>
        <v>4200</v>
      </c>
      <c r="P72" s="51">
        <f>M72*VLOOKUP($H72,Sheet4!$A$1:$B$7,2,FALSE)*Sheet4!E$2</f>
        <v>0</v>
      </c>
      <c r="Q72" s="51">
        <f>M72*VLOOKUP($H72,Sheet4!$A$1:$B$7,2,FALSE)*Sheet4!F$2</f>
        <v>0</v>
      </c>
      <c r="R72" s="51">
        <f>M72*VLOOKUP($H72,Sheet4!$A$1:$B$7,2,FALSE)*Sheet4!G$2</f>
        <v>140</v>
      </c>
      <c r="S72" s="51">
        <f>M72*VLOOKUP($H72,Sheet4!$A$1:$B$7,2,FALSE)*Sheet4!H$2</f>
        <v>70</v>
      </c>
      <c r="T72" s="51">
        <f>M72*VLOOKUP($H72,Sheet4!$A$1:$B$7,2,FALSE)*Sheet4!I$2</f>
        <v>70</v>
      </c>
      <c r="AA72" s="51">
        <f t="shared" si="9"/>
        <v>420</v>
      </c>
      <c r="AB72" s="51">
        <f t="shared" si="4"/>
        <v>0</v>
      </c>
      <c r="AC72" s="51">
        <f t="shared" si="5"/>
        <v>0</v>
      </c>
      <c r="AD72" s="51">
        <f t="shared" si="6"/>
        <v>14</v>
      </c>
      <c r="AE72" s="51">
        <f t="shared" si="7"/>
        <v>7</v>
      </c>
      <c r="AF72" s="51">
        <f t="shared" si="8"/>
        <v>7</v>
      </c>
      <c r="AK72" s="49" t="str">
        <f t="shared" si="10"/>
        <v>6300|6</v>
      </c>
      <c r="AL72" s="49">
        <v>6</v>
      </c>
    </row>
    <row r="73" spans="1:38">
      <c r="A73" s="49">
        <f>Sheet1!A75</f>
        <v>1162</v>
      </c>
      <c r="B73" s="49" t="str">
        <f>Sheet1!B75</f>
        <v>鲛人-嫦曦</v>
      </c>
      <c r="C73" s="49">
        <f>Sheet1!D75</f>
        <v>1</v>
      </c>
      <c r="D73" s="49">
        <f>Sheet1!E75</f>
        <v>4</v>
      </c>
      <c r="E73" s="49">
        <f>Sheet1!F75</f>
        <v>2</v>
      </c>
      <c r="F73" s="49">
        <f>Sheet1!G75</f>
        <v>2</v>
      </c>
      <c r="G73" s="49">
        <f>Sheet1!U75</f>
        <v>2</v>
      </c>
      <c r="H73" s="49">
        <f>Sheet1!V75</f>
        <v>6</v>
      </c>
      <c r="M73" s="49">
        <v>1</v>
      </c>
      <c r="N73" s="49">
        <f t="shared" ca="1" si="11"/>
        <v>1.0118658298312599</v>
      </c>
      <c r="O73" s="51">
        <f>M73*VLOOKUP($H73,Sheet4!$A$1:$B$7,2,FALSE)*Sheet4!D$2</f>
        <v>4200</v>
      </c>
      <c r="P73" s="51">
        <f>M73*VLOOKUP($H73,Sheet4!$A$1:$B$7,2,FALSE)*Sheet4!E$2</f>
        <v>0</v>
      </c>
      <c r="Q73" s="51">
        <f>M73*VLOOKUP($H73,Sheet4!$A$1:$B$7,2,FALSE)*Sheet4!F$2</f>
        <v>0</v>
      </c>
      <c r="R73" s="51">
        <f>M73*VLOOKUP($H73,Sheet4!$A$1:$B$7,2,FALSE)*Sheet4!G$2</f>
        <v>140</v>
      </c>
      <c r="S73" s="51">
        <f>M73*VLOOKUP($H73,Sheet4!$A$1:$B$7,2,FALSE)*Sheet4!H$2</f>
        <v>70</v>
      </c>
      <c r="T73" s="51">
        <f>M73*VLOOKUP($H73,Sheet4!$A$1:$B$7,2,FALSE)*Sheet4!I$2</f>
        <v>70</v>
      </c>
      <c r="AA73" s="51">
        <f t="shared" si="9"/>
        <v>420</v>
      </c>
      <c r="AB73" s="51">
        <f t="shared" si="4"/>
        <v>0</v>
      </c>
      <c r="AC73" s="51">
        <f t="shared" si="5"/>
        <v>0</v>
      </c>
      <c r="AD73" s="51">
        <f t="shared" si="6"/>
        <v>14</v>
      </c>
      <c r="AE73" s="51">
        <f t="shared" si="7"/>
        <v>7</v>
      </c>
      <c r="AF73" s="51">
        <f t="shared" si="8"/>
        <v>7</v>
      </c>
      <c r="AK73" s="49" t="str">
        <f t="shared" si="10"/>
        <v>6200|6</v>
      </c>
      <c r="AL73" s="49">
        <v>6</v>
      </c>
    </row>
    <row r="74" spans="1:38">
      <c r="A74" s="49">
        <f>Sheet1!A76</f>
        <v>1163</v>
      </c>
      <c r="B74" s="49" t="str">
        <f>Sheet1!B76</f>
        <v>鲛人-月婵</v>
      </c>
      <c r="C74" s="49">
        <f>Sheet1!D76</f>
        <v>1</v>
      </c>
      <c r="D74" s="49">
        <f>Sheet1!E76</f>
        <v>4</v>
      </c>
      <c r="E74" s="49">
        <f>Sheet1!F76</f>
        <v>2</v>
      </c>
      <c r="F74" s="49">
        <f>Sheet1!G76</f>
        <v>2</v>
      </c>
      <c r="G74" s="49">
        <f>Sheet1!U76</f>
        <v>2</v>
      </c>
      <c r="H74" s="49">
        <f>Sheet1!V76</f>
        <v>6</v>
      </c>
      <c r="M74" s="49">
        <v>1</v>
      </c>
      <c r="N74" s="49">
        <f t="shared" ca="1" si="11"/>
        <v>0.99136464993956308</v>
      </c>
      <c r="O74" s="51">
        <f>M74*VLOOKUP($H74,Sheet4!$A$1:$B$7,2,FALSE)*Sheet4!D$2</f>
        <v>4200</v>
      </c>
      <c r="P74" s="51">
        <f>M74*VLOOKUP($H74,Sheet4!$A$1:$B$7,2,FALSE)*Sheet4!E$2</f>
        <v>0</v>
      </c>
      <c r="Q74" s="51">
        <f>M74*VLOOKUP($H74,Sheet4!$A$1:$B$7,2,FALSE)*Sheet4!F$2</f>
        <v>0</v>
      </c>
      <c r="R74" s="51">
        <f>M74*VLOOKUP($H74,Sheet4!$A$1:$B$7,2,FALSE)*Sheet4!G$2</f>
        <v>140</v>
      </c>
      <c r="S74" s="51">
        <f>M74*VLOOKUP($H74,Sheet4!$A$1:$B$7,2,FALSE)*Sheet4!H$2</f>
        <v>70</v>
      </c>
      <c r="T74" s="51">
        <f>M74*VLOOKUP($H74,Sheet4!$A$1:$B$7,2,FALSE)*Sheet4!I$2</f>
        <v>70</v>
      </c>
      <c r="AA74" s="51">
        <f t="shared" si="9"/>
        <v>420</v>
      </c>
      <c r="AB74" s="51">
        <f t="shared" si="4"/>
        <v>0</v>
      </c>
      <c r="AC74" s="51">
        <f t="shared" si="5"/>
        <v>0</v>
      </c>
      <c r="AD74" s="51">
        <f t="shared" si="6"/>
        <v>14</v>
      </c>
      <c r="AE74" s="51">
        <f t="shared" si="7"/>
        <v>7</v>
      </c>
      <c r="AF74" s="51">
        <f t="shared" si="8"/>
        <v>7</v>
      </c>
      <c r="AK74" s="49" t="str">
        <f t="shared" si="10"/>
        <v>6200|6</v>
      </c>
      <c r="AL74" s="49">
        <v>6</v>
      </c>
    </row>
    <row r="75" spans="1:38">
      <c r="A75" s="49">
        <f>Sheet1!A63</f>
        <v>1192</v>
      </c>
      <c r="B75" s="49" t="str">
        <f>Sheet1!B63</f>
        <v>琴仙</v>
      </c>
      <c r="C75" s="49">
        <f>Sheet1!D63</f>
        <v>1</v>
      </c>
      <c r="D75" s="49">
        <f>Sheet1!E63</f>
        <v>3</v>
      </c>
      <c r="E75" s="49">
        <f>Sheet1!F63</f>
        <v>2</v>
      </c>
      <c r="F75" s="49">
        <f>Sheet1!G63</f>
        <v>2</v>
      </c>
      <c r="G75" s="49">
        <f>Sheet1!U63</f>
        <v>3</v>
      </c>
      <c r="H75" s="49">
        <f>Sheet1!V63</f>
        <v>11</v>
      </c>
      <c r="M75" s="49">
        <v>1</v>
      </c>
      <c r="N75" s="49">
        <f t="shared" ca="1" si="11"/>
        <v>1.0074364096608377</v>
      </c>
      <c r="O75" s="51">
        <f>M75*VLOOKUP($H75,Sheet4!$A$1:$B$7,2,FALSE)*Sheet4!D$2</f>
        <v>4800</v>
      </c>
      <c r="P75" s="51">
        <f>M75*VLOOKUP($H75,Sheet4!$A$1:$B$7,2,FALSE)*Sheet4!E$2</f>
        <v>0</v>
      </c>
      <c r="Q75" s="51">
        <f>M75*VLOOKUP($H75,Sheet4!$A$1:$B$7,2,FALSE)*Sheet4!F$2</f>
        <v>0</v>
      </c>
      <c r="R75" s="51">
        <f>M75*VLOOKUP($H75,Sheet4!$A$1:$B$7,2,FALSE)*Sheet4!G$2</f>
        <v>160</v>
      </c>
      <c r="S75" s="51">
        <f>M75*VLOOKUP($H75,Sheet4!$A$1:$B$7,2,FALSE)*Sheet4!H$2</f>
        <v>80</v>
      </c>
      <c r="T75" s="51">
        <f>M75*VLOOKUP($H75,Sheet4!$A$1:$B$7,2,FALSE)*Sheet4!I$2</f>
        <v>80</v>
      </c>
      <c r="AA75" s="51">
        <f t="shared" si="9"/>
        <v>480</v>
      </c>
      <c r="AB75" s="51">
        <f t="shared" si="4"/>
        <v>0</v>
      </c>
      <c r="AC75" s="51">
        <f t="shared" si="5"/>
        <v>0</v>
      </c>
      <c r="AD75" s="51">
        <f t="shared" si="6"/>
        <v>16</v>
      </c>
      <c r="AE75" s="51">
        <f t="shared" si="7"/>
        <v>8</v>
      </c>
      <c r="AF75" s="51">
        <f t="shared" si="8"/>
        <v>8</v>
      </c>
      <c r="AK75" s="49" t="str">
        <f t="shared" si="10"/>
        <v>11200|6</v>
      </c>
      <c r="AL75" s="49">
        <v>6</v>
      </c>
    </row>
    <row r="76" spans="1:38">
      <c r="A76" s="49">
        <f>Sheet1!A77</f>
        <v>1153</v>
      </c>
      <c r="B76" s="49" t="str">
        <f>Sheet1!B77</f>
        <v>夜叉-金利</v>
      </c>
      <c r="C76" s="49">
        <f>Sheet1!D77</f>
        <v>1</v>
      </c>
      <c r="D76" s="49">
        <f>Sheet1!E77</f>
        <v>4</v>
      </c>
      <c r="E76" s="49">
        <f>Sheet1!F77</f>
        <v>3</v>
      </c>
      <c r="F76" s="49">
        <f>Sheet1!G77</f>
        <v>3</v>
      </c>
      <c r="G76" s="49">
        <f>Sheet1!U77</f>
        <v>1</v>
      </c>
      <c r="H76" s="49">
        <f>Sheet1!V77</f>
        <v>2</v>
      </c>
      <c r="M76" s="49">
        <v>1</v>
      </c>
      <c r="N76" s="49">
        <f t="shared" ca="1" si="11"/>
        <v>1.011406875403974</v>
      </c>
      <c r="O76" s="51">
        <f>M76*VLOOKUP($H76,Sheet4!$A$1:$B$7,2,FALSE)*Sheet4!D$2</f>
        <v>3600</v>
      </c>
      <c r="P76" s="51">
        <f>M76*VLOOKUP($H76,Sheet4!$A$1:$B$7,2,FALSE)*Sheet4!E$2</f>
        <v>0</v>
      </c>
      <c r="Q76" s="51">
        <f>M76*VLOOKUP($H76,Sheet4!$A$1:$B$7,2,FALSE)*Sheet4!F$2</f>
        <v>0</v>
      </c>
      <c r="R76" s="51">
        <f>M76*VLOOKUP($H76,Sheet4!$A$1:$B$7,2,FALSE)*Sheet4!G$2</f>
        <v>120</v>
      </c>
      <c r="S76" s="51">
        <f>M76*VLOOKUP($H76,Sheet4!$A$1:$B$7,2,FALSE)*Sheet4!H$2</f>
        <v>60</v>
      </c>
      <c r="T76" s="51">
        <f>M76*VLOOKUP($H76,Sheet4!$A$1:$B$7,2,FALSE)*Sheet4!I$2</f>
        <v>60</v>
      </c>
      <c r="AA76" s="51">
        <f t="shared" si="9"/>
        <v>360</v>
      </c>
      <c r="AB76" s="51">
        <f t="shared" si="4"/>
        <v>0</v>
      </c>
      <c r="AC76" s="51">
        <f t="shared" si="5"/>
        <v>0</v>
      </c>
      <c r="AD76" s="51">
        <f t="shared" si="6"/>
        <v>12</v>
      </c>
      <c r="AE76" s="51">
        <f t="shared" si="7"/>
        <v>6</v>
      </c>
      <c r="AF76" s="51">
        <f t="shared" si="8"/>
        <v>6</v>
      </c>
      <c r="AK76" s="49" t="str">
        <f t="shared" si="10"/>
        <v>2300|4</v>
      </c>
      <c r="AL76" s="49">
        <v>4</v>
      </c>
    </row>
    <row r="77" spans="1:38">
      <c r="A77" s="49">
        <f>Sheet1!A78</f>
        <v>1154</v>
      </c>
      <c r="B77" s="49" t="str">
        <f>Sheet1!B78</f>
        <v>夜叉-碧涛</v>
      </c>
      <c r="C77" s="49">
        <f>Sheet1!D78</f>
        <v>1</v>
      </c>
      <c r="D77" s="49">
        <f>Sheet1!E78</f>
        <v>4</v>
      </c>
      <c r="E77" s="49">
        <f>Sheet1!F78</f>
        <v>3</v>
      </c>
      <c r="F77" s="49">
        <f>Sheet1!G78</f>
        <v>3</v>
      </c>
      <c r="G77" s="49">
        <f>Sheet1!U78</f>
        <v>1</v>
      </c>
      <c r="H77" s="49">
        <f>Sheet1!V78</f>
        <v>2</v>
      </c>
      <c r="M77" s="49">
        <v>1</v>
      </c>
      <c r="N77" s="49">
        <f t="shared" ca="1" si="11"/>
        <v>1.0213231507030771</v>
      </c>
      <c r="O77" s="51">
        <f>M77*VLOOKUP($H77,Sheet4!$A$1:$B$7,2,FALSE)*Sheet4!D$2</f>
        <v>3600</v>
      </c>
      <c r="P77" s="51">
        <f>M77*VLOOKUP($H77,Sheet4!$A$1:$B$7,2,FALSE)*Sheet4!E$2</f>
        <v>0</v>
      </c>
      <c r="Q77" s="51">
        <f>M77*VLOOKUP($H77,Sheet4!$A$1:$B$7,2,FALSE)*Sheet4!F$2</f>
        <v>0</v>
      </c>
      <c r="R77" s="51">
        <f>M77*VLOOKUP($H77,Sheet4!$A$1:$B$7,2,FALSE)*Sheet4!G$2</f>
        <v>120</v>
      </c>
      <c r="S77" s="51">
        <f>M77*VLOOKUP($H77,Sheet4!$A$1:$B$7,2,FALSE)*Sheet4!H$2</f>
        <v>60</v>
      </c>
      <c r="T77" s="51">
        <f>M77*VLOOKUP($H77,Sheet4!$A$1:$B$7,2,FALSE)*Sheet4!I$2</f>
        <v>60</v>
      </c>
      <c r="AA77" s="51">
        <f t="shared" si="9"/>
        <v>360</v>
      </c>
      <c r="AB77" s="51">
        <f t="shared" si="4"/>
        <v>0</v>
      </c>
      <c r="AC77" s="51">
        <f t="shared" si="5"/>
        <v>0</v>
      </c>
      <c r="AD77" s="51">
        <f t="shared" si="6"/>
        <v>12</v>
      </c>
      <c r="AE77" s="51">
        <f t="shared" si="7"/>
        <v>6</v>
      </c>
      <c r="AF77" s="51">
        <f t="shared" si="8"/>
        <v>6</v>
      </c>
      <c r="AK77" s="49" t="str">
        <f t="shared" si="10"/>
        <v>2300|4</v>
      </c>
      <c r="AL77" s="49">
        <v>4</v>
      </c>
    </row>
    <row r="78" spans="1:38">
      <c r="A78" s="49">
        <f>Sheet1!A79</f>
        <v>1164</v>
      </c>
      <c r="B78" s="49" t="str">
        <f>Sheet1!B79</f>
        <v>天兵-金斌</v>
      </c>
      <c r="C78" s="49">
        <f>Sheet1!D79</f>
        <v>1</v>
      </c>
      <c r="D78" s="49">
        <f>Sheet1!E79</f>
        <v>4</v>
      </c>
      <c r="E78" s="49">
        <f>Sheet1!F79</f>
        <v>3</v>
      </c>
      <c r="F78" s="49">
        <f>Sheet1!G79</f>
        <v>3</v>
      </c>
      <c r="G78" s="49">
        <f>Sheet1!U79</f>
        <v>1</v>
      </c>
      <c r="H78" s="49">
        <f>Sheet1!V79</f>
        <v>2</v>
      </c>
      <c r="M78" s="49">
        <v>1</v>
      </c>
      <c r="N78" s="49">
        <f t="shared" ca="1" si="11"/>
        <v>0.98582408582585224</v>
      </c>
      <c r="O78" s="51">
        <f>M78*VLOOKUP($H78,Sheet4!$A$1:$B$7,2,FALSE)*Sheet4!D$2</f>
        <v>3600</v>
      </c>
      <c r="P78" s="51">
        <f>M78*VLOOKUP($H78,Sheet4!$A$1:$B$7,2,FALSE)*Sheet4!E$2</f>
        <v>0</v>
      </c>
      <c r="Q78" s="51">
        <f>M78*VLOOKUP($H78,Sheet4!$A$1:$B$7,2,FALSE)*Sheet4!F$2</f>
        <v>0</v>
      </c>
      <c r="R78" s="51">
        <f>M78*VLOOKUP($H78,Sheet4!$A$1:$B$7,2,FALSE)*Sheet4!G$2</f>
        <v>120</v>
      </c>
      <c r="S78" s="51">
        <f>M78*VLOOKUP($H78,Sheet4!$A$1:$B$7,2,FALSE)*Sheet4!H$2</f>
        <v>60</v>
      </c>
      <c r="T78" s="51">
        <f>M78*VLOOKUP($H78,Sheet4!$A$1:$B$7,2,FALSE)*Sheet4!I$2</f>
        <v>60</v>
      </c>
      <c r="AA78" s="51">
        <f t="shared" si="9"/>
        <v>360</v>
      </c>
      <c r="AB78" s="51">
        <f t="shared" si="4"/>
        <v>0</v>
      </c>
      <c r="AC78" s="51">
        <f t="shared" si="5"/>
        <v>0</v>
      </c>
      <c r="AD78" s="51">
        <f t="shared" si="6"/>
        <v>12</v>
      </c>
      <c r="AE78" s="51">
        <f t="shared" si="7"/>
        <v>6</v>
      </c>
      <c r="AF78" s="51">
        <f t="shared" si="8"/>
        <v>6</v>
      </c>
      <c r="AK78" s="49" t="str">
        <f t="shared" si="10"/>
        <v>2300|4</v>
      </c>
      <c r="AL78" s="49">
        <v>4</v>
      </c>
    </row>
    <row r="79" spans="1:38">
      <c r="A79" s="49">
        <f>Sheet1!A80</f>
        <v>1165</v>
      </c>
      <c r="B79" s="49" t="str">
        <f>Sheet1!B80</f>
        <v>天兵-政仲</v>
      </c>
      <c r="C79" s="49">
        <f>Sheet1!D80</f>
        <v>1</v>
      </c>
      <c r="D79" s="49">
        <f>Sheet1!E80</f>
        <v>4</v>
      </c>
      <c r="E79" s="49">
        <f>Sheet1!F80</f>
        <v>3</v>
      </c>
      <c r="F79" s="49">
        <f>Sheet1!G80</f>
        <v>3</v>
      </c>
      <c r="G79" s="49">
        <f>Sheet1!U80</f>
        <v>1</v>
      </c>
      <c r="H79" s="49">
        <f>Sheet1!V80</f>
        <v>2</v>
      </c>
      <c r="M79" s="49">
        <v>1</v>
      </c>
      <c r="N79" s="49">
        <f t="shared" ca="1" si="11"/>
        <v>1.0059941263966841</v>
      </c>
      <c r="O79" s="51">
        <f>M79*VLOOKUP($H79,Sheet4!$A$1:$B$7,2,FALSE)*Sheet4!D$2</f>
        <v>3600</v>
      </c>
      <c r="P79" s="51">
        <f>M79*VLOOKUP($H79,Sheet4!$A$1:$B$7,2,FALSE)*Sheet4!E$2</f>
        <v>0</v>
      </c>
      <c r="Q79" s="51">
        <f>M79*VLOOKUP($H79,Sheet4!$A$1:$B$7,2,FALSE)*Sheet4!F$2</f>
        <v>0</v>
      </c>
      <c r="R79" s="51">
        <f>M79*VLOOKUP($H79,Sheet4!$A$1:$B$7,2,FALSE)*Sheet4!G$2</f>
        <v>120</v>
      </c>
      <c r="S79" s="51">
        <f>M79*VLOOKUP($H79,Sheet4!$A$1:$B$7,2,FALSE)*Sheet4!H$2</f>
        <v>60</v>
      </c>
      <c r="T79" s="51">
        <f>M79*VLOOKUP($H79,Sheet4!$A$1:$B$7,2,FALSE)*Sheet4!I$2</f>
        <v>60</v>
      </c>
      <c r="AA79" s="51">
        <f t="shared" si="9"/>
        <v>360</v>
      </c>
      <c r="AB79" s="51">
        <f t="shared" ref="AB79:AB114" si="12">ROUND(P79*0.1,0)</f>
        <v>0</v>
      </c>
      <c r="AC79" s="51">
        <f t="shared" ref="AC79:AC114" si="13">ROUND(Q79*0.1,0)</f>
        <v>0</v>
      </c>
      <c r="AD79" s="51">
        <f t="shared" ref="AD79:AD114" si="14">ROUND(R79*0.1,0)</f>
        <v>12</v>
      </c>
      <c r="AE79" s="51">
        <f t="shared" ref="AE79:AE114" si="15">ROUND(S79*0.1,0)</f>
        <v>6</v>
      </c>
      <c r="AF79" s="51">
        <f t="shared" ref="AF79:AF114" si="16">ROUND(T79*0.1,0)</f>
        <v>6</v>
      </c>
      <c r="AK79" s="49" t="str">
        <f t="shared" si="10"/>
        <v>2300|4</v>
      </c>
      <c r="AL79" s="49">
        <v>4</v>
      </c>
    </row>
    <row r="80" spans="1:38">
      <c r="A80" s="49">
        <f>Sheet1!A81</f>
        <v>1166</v>
      </c>
      <c r="B80" s="49" t="str">
        <f>Sheet1!B81</f>
        <v>天兵-火夕</v>
      </c>
      <c r="C80" s="49">
        <f>Sheet1!D81</f>
        <v>1</v>
      </c>
      <c r="D80" s="49">
        <f>Sheet1!E81</f>
        <v>4</v>
      </c>
      <c r="E80" s="49">
        <f>Sheet1!F81</f>
        <v>3</v>
      </c>
      <c r="F80" s="49">
        <f>Sheet1!G81</f>
        <v>3</v>
      </c>
      <c r="G80" s="49">
        <f>Sheet1!U81</f>
        <v>1</v>
      </c>
      <c r="H80" s="49">
        <f>Sheet1!V81</f>
        <v>2</v>
      </c>
      <c r="M80" s="49">
        <v>1</v>
      </c>
      <c r="N80" s="49">
        <f t="shared" ca="1" si="11"/>
        <v>0.98000677346405207</v>
      </c>
      <c r="O80" s="51">
        <f>M80*VLOOKUP($H80,Sheet4!$A$1:$B$7,2,FALSE)*Sheet4!D$2</f>
        <v>3600</v>
      </c>
      <c r="P80" s="51">
        <f>M80*VLOOKUP($H80,Sheet4!$A$1:$B$7,2,FALSE)*Sheet4!E$2</f>
        <v>0</v>
      </c>
      <c r="Q80" s="51">
        <f>M80*VLOOKUP($H80,Sheet4!$A$1:$B$7,2,FALSE)*Sheet4!F$2</f>
        <v>0</v>
      </c>
      <c r="R80" s="51">
        <f>M80*VLOOKUP($H80,Sheet4!$A$1:$B$7,2,FALSE)*Sheet4!G$2</f>
        <v>120</v>
      </c>
      <c r="S80" s="51">
        <f>M80*VLOOKUP($H80,Sheet4!$A$1:$B$7,2,FALSE)*Sheet4!H$2</f>
        <v>60</v>
      </c>
      <c r="T80" s="51">
        <f>M80*VLOOKUP($H80,Sheet4!$A$1:$B$7,2,FALSE)*Sheet4!I$2</f>
        <v>60</v>
      </c>
      <c r="AA80" s="51">
        <f t="shared" ref="AA80:AA114" si="17">ROUND(O80*0.1,0)</f>
        <v>360</v>
      </c>
      <c r="AB80" s="51">
        <f t="shared" si="12"/>
        <v>0</v>
      </c>
      <c r="AC80" s="51">
        <f t="shared" si="13"/>
        <v>0</v>
      </c>
      <c r="AD80" s="51">
        <f t="shared" si="14"/>
        <v>12</v>
      </c>
      <c r="AE80" s="51">
        <f t="shared" si="15"/>
        <v>6</v>
      </c>
      <c r="AF80" s="51">
        <f t="shared" si="16"/>
        <v>6</v>
      </c>
      <c r="AK80" s="49" t="str">
        <f t="shared" si="10"/>
        <v>2300|4</v>
      </c>
      <c r="AL80" s="49">
        <v>4</v>
      </c>
    </row>
    <row r="81" spans="1:38">
      <c r="A81" s="49">
        <f>Sheet1!A82</f>
        <v>1167</v>
      </c>
      <c r="B81" s="49" t="str">
        <f>Sheet1!B82</f>
        <v>狼人-霍金</v>
      </c>
      <c r="C81" s="49">
        <f>Sheet1!D82</f>
        <v>1</v>
      </c>
      <c r="D81" s="49">
        <f>Sheet1!E82</f>
        <v>4</v>
      </c>
      <c r="E81" s="49">
        <f>Sheet1!F82</f>
        <v>4</v>
      </c>
      <c r="F81" s="49">
        <f>Sheet1!G82</f>
        <v>4</v>
      </c>
      <c r="G81" s="49">
        <f>Sheet1!U82</f>
        <v>1</v>
      </c>
      <c r="H81" s="49">
        <f>Sheet1!V82</f>
        <v>2</v>
      </c>
      <c r="M81" s="49">
        <v>1</v>
      </c>
      <c r="N81" s="49">
        <f t="shared" ca="1" si="11"/>
        <v>0.99225415360058278</v>
      </c>
      <c r="O81" s="51">
        <f>M81*VLOOKUP($H81,Sheet4!$A$1:$B$7,2,FALSE)*Sheet4!D$2</f>
        <v>3600</v>
      </c>
      <c r="P81" s="51">
        <f>M81*VLOOKUP($H81,Sheet4!$A$1:$B$7,2,FALSE)*Sheet4!E$2</f>
        <v>0</v>
      </c>
      <c r="Q81" s="51">
        <f>M81*VLOOKUP($H81,Sheet4!$A$1:$B$7,2,FALSE)*Sheet4!F$2</f>
        <v>0</v>
      </c>
      <c r="R81" s="51">
        <f>M81*VLOOKUP($H81,Sheet4!$A$1:$B$7,2,FALSE)*Sheet4!G$2</f>
        <v>120</v>
      </c>
      <c r="S81" s="51">
        <f>M81*VLOOKUP($H81,Sheet4!$A$1:$B$7,2,FALSE)*Sheet4!H$2</f>
        <v>60</v>
      </c>
      <c r="T81" s="51">
        <f>M81*VLOOKUP($H81,Sheet4!$A$1:$B$7,2,FALSE)*Sheet4!I$2</f>
        <v>60</v>
      </c>
      <c r="AA81" s="51">
        <f t="shared" si="17"/>
        <v>360</v>
      </c>
      <c r="AB81" s="51">
        <f t="shared" si="12"/>
        <v>0</v>
      </c>
      <c r="AC81" s="51">
        <f t="shared" si="13"/>
        <v>0</v>
      </c>
      <c r="AD81" s="51">
        <f t="shared" si="14"/>
        <v>12</v>
      </c>
      <c r="AE81" s="51">
        <f t="shared" si="15"/>
        <v>6</v>
      </c>
      <c r="AF81" s="51">
        <f t="shared" si="16"/>
        <v>6</v>
      </c>
      <c r="AK81" s="49" t="str">
        <f t="shared" si="10"/>
        <v>2400|4</v>
      </c>
      <c r="AL81" s="49">
        <v>4</v>
      </c>
    </row>
    <row r="82" spans="1:38">
      <c r="A82" s="49">
        <f>Sheet1!A83</f>
        <v>1168</v>
      </c>
      <c r="B82" s="49" t="str">
        <f>Sheet1!B83</f>
        <v>狼人-霍文</v>
      </c>
      <c r="C82" s="49">
        <f>Sheet1!D83</f>
        <v>1</v>
      </c>
      <c r="D82" s="49">
        <f>Sheet1!E83</f>
        <v>4</v>
      </c>
      <c r="E82" s="49">
        <f>Sheet1!F83</f>
        <v>4</v>
      </c>
      <c r="F82" s="49">
        <f>Sheet1!G83</f>
        <v>4</v>
      </c>
      <c r="G82" s="49">
        <f>Sheet1!U83</f>
        <v>1</v>
      </c>
      <c r="H82" s="49">
        <f>Sheet1!V83</f>
        <v>2</v>
      </c>
      <c r="M82" s="49">
        <v>1</v>
      </c>
      <c r="N82" s="49">
        <f t="shared" ca="1" si="11"/>
        <v>1.0109056588078382</v>
      </c>
      <c r="O82" s="51">
        <f>M82*VLOOKUP($H82,Sheet4!$A$1:$B$7,2,FALSE)*Sheet4!D$2</f>
        <v>3600</v>
      </c>
      <c r="P82" s="51">
        <f>M82*VLOOKUP($H82,Sheet4!$A$1:$B$7,2,FALSE)*Sheet4!E$2</f>
        <v>0</v>
      </c>
      <c r="Q82" s="51">
        <f>M82*VLOOKUP($H82,Sheet4!$A$1:$B$7,2,FALSE)*Sheet4!F$2</f>
        <v>0</v>
      </c>
      <c r="R82" s="51">
        <f>M82*VLOOKUP($H82,Sheet4!$A$1:$B$7,2,FALSE)*Sheet4!G$2</f>
        <v>120</v>
      </c>
      <c r="S82" s="51">
        <f>M82*VLOOKUP($H82,Sheet4!$A$1:$B$7,2,FALSE)*Sheet4!H$2</f>
        <v>60</v>
      </c>
      <c r="T82" s="51">
        <f>M82*VLOOKUP($H82,Sheet4!$A$1:$B$7,2,FALSE)*Sheet4!I$2</f>
        <v>60</v>
      </c>
      <c r="AA82" s="51">
        <f t="shared" si="17"/>
        <v>360</v>
      </c>
      <c r="AB82" s="51">
        <f t="shared" si="12"/>
        <v>0</v>
      </c>
      <c r="AC82" s="51">
        <f t="shared" si="13"/>
        <v>0</v>
      </c>
      <c r="AD82" s="51">
        <f t="shared" si="14"/>
        <v>12</v>
      </c>
      <c r="AE82" s="51">
        <f t="shared" si="15"/>
        <v>6</v>
      </c>
      <c r="AF82" s="51">
        <f t="shared" si="16"/>
        <v>6</v>
      </c>
      <c r="AK82" s="49" t="str">
        <f t="shared" si="10"/>
        <v>2400|4</v>
      </c>
      <c r="AL82" s="49">
        <v>4</v>
      </c>
    </row>
    <row r="83" spans="1:38">
      <c r="A83" s="49">
        <f>Sheet1!A84</f>
        <v>1169</v>
      </c>
      <c r="B83" s="49" t="str">
        <f>Sheet1!B84</f>
        <v>狼人-霍达</v>
      </c>
      <c r="C83" s="49">
        <f>Sheet1!D84</f>
        <v>1</v>
      </c>
      <c r="D83" s="49">
        <f>Sheet1!E84</f>
        <v>4</v>
      </c>
      <c r="E83" s="49">
        <f>Sheet1!F84</f>
        <v>4</v>
      </c>
      <c r="F83" s="49">
        <f>Sheet1!G84</f>
        <v>4</v>
      </c>
      <c r="G83" s="49">
        <f>Sheet1!U84</f>
        <v>1</v>
      </c>
      <c r="H83" s="49">
        <f>Sheet1!V84</f>
        <v>2</v>
      </c>
      <c r="M83" s="49">
        <v>1</v>
      </c>
      <c r="N83" s="49">
        <f t="shared" ca="1" si="11"/>
        <v>0.99400883388707029</v>
      </c>
      <c r="O83" s="51">
        <f>M83*VLOOKUP($H83,Sheet4!$A$1:$B$7,2,FALSE)*Sheet4!D$2</f>
        <v>3600</v>
      </c>
      <c r="P83" s="51">
        <f>M83*VLOOKUP($H83,Sheet4!$A$1:$B$7,2,FALSE)*Sheet4!E$2</f>
        <v>0</v>
      </c>
      <c r="Q83" s="51">
        <f>M83*VLOOKUP($H83,Sheet4!$A$1:$B$7,2,FALSE)*Sheet4!F$2</f>
        <v>0</v>
      </c>
      <c r="R83" s="51">
        <f>M83*VLOOKUP($H83,Sheet4!$A$1:$B$7,2,FALSE)*Sheet4!G$2</f>
        <v>120</v>
      </c>
      <c r="S83" s="51">
        <f>M83*VLOOKUP($H83,Sheet4!$A$1:$B$7,2,FALSE)*Sheet4!H$2</f>
        <v>60</v>
      </c>
      <c r="T83" s="51">
        <f>M83*VLOOKUP($H83,Sheet4!$A$1:$B$7,2,FALSE)*Sheet4!I$2</f>
        <v>60</v>
      </c>
      <c r="AA83" s="51">
        <f t="shared" si="17"/>
        <v>360</v>
      </c>
      <c r="AB83" s="51">
        <f t="shared" si="12"/>
        <v>0</v>
      </c>
      <c r="AC83" s="51">
        <f t="shared" si="13"/>
        <v>0</v>
      </c>
      <c r="AD83" s="51">
        <f t="shared" si="14"/>
        <v>12</v>
      </c>
      <c r="AE83" s="51">
        <f t="shared" si="15"/>
        <v>6</v>
      </c>
      <c r="AF83" s="51">
        <f t="shared" si="16"/>
        <v>6</v>
      </c>
      <c r="AK83" s="49" t="str">
        <f t="shared" si="10"/>
        <v>2400|4</v>
      </c>
      <c r="AL83" s="49">
        <v>4</v>
      </c>
    </row>
    <row r="84" spans="1:38">
      <c r="A84" s="49">
        <f>Sheet1!A85</f>
        <v>1170</v>
      </c>
      <c r="B84" s="49" t="str">
        <f>Sheet1!B85</f>
        <v>狼人-霍格</v>
      </c>
      <c r="C84" s="49">
        <f>Sheet1!D85</f>
        <v>1</v>
      </c>
      <c r="D84" s="49">
        <f>Sheet1!E85</f>
        <v>4</v>
      </c>
      <c r="E84" s="49">
        <f>Sheet1!F85</f>
        <v>4</v>
      </c>
      <c r="F84" s="49">
        <f>Sheet1!G85</f>
        <v>4</v>
      </c>
      <c r="G84" s="49">
        <f>Sheet1!U85</f>
        <v>1</v>
      </c>
      <c r="H84" s="49">
        <f>Sheet1!V85</f>
        <v>2</v>
      </c>
      <c r="M84" s="49">
        <v>1</v>
      </c>
      <c r="N84" s="49">
        <f t="shared" ca="1" si="11"/>
        <v>1.014904083461375</v>
      </c>
      <c r="O84" s="51">
        <f>M84*VLOOKUP($H84,Sheet4!$A$1:$B$7,2,FALSE)*Sheet4!D$2</f>
        <v>3600</v>
      </c>
      <c r="P84" s="51">
        <f>M84*VLOOKUP($H84,Sheet4!$A$1:$B$7,2,FALSE)*Sheet4!E$2</f>
        <v>0</v>
      </c>
      <c r="Q84" s="51">
        <f>M84*VLOOKUP($H84,Sheet4!$A$1:$B$7,2,FALSE)*Sheet4!F$2</f>
        <v>0</v>
      </c>
      <c r="R84" s="51">
        <f>M84*VLOOKUP($H84,Sheet4!$A$1:$B$7,2,FALSE)*Sheet4!G$2</f>
        <v>120</v>
      </c>
      <c r="S84" s="51">
        <f>M84*VLOOKUP($H84,Sheet4!$A$1:$B$7,2,FALSE)*Sheet4!H$2</f>
        <v>60</v>
      </c>
      <c r="T84" s="51">
        <f>M84*VLOOKUP($H84,Sheet4!$A$1:$B$7,2,FALSE)*Sheet4!I$2</f>
        <v>60</v>
      </c>
      <c r="AA84" s="51">
        <f t="shared" si="17"/>
        <v>360</v>
      </c>
      <c r="AB84" s="51">
        <f t="shared" si="12"/>
        <v>0</v>
      </c>
      <c r="AC84" s="51">
        <f t="shared" si="13"/>
        <v>0</v>
      </c>
      <c r="AD84" s="51">
        <f t="shared" si="14"/>
        <v>12</v>
      </c>
      <c r="AE84" s="51">
        <f t="shared" si="15"/>
        <v>6</v>
      </c>
      <c r="AF84" s="51">
        <f t="shared" si="16"/>
        <v>6</v>
      </c>
      <c r="AK84" s="49" t="str">
        <f t="shared" si="10"/>
        <v>2400|4</v>
      </c>
      <c r="AL84" s="49">
        <v>4</v>
      </c>
    </row>
    <row r="85" spans="1:38">
      <c r="A85" s="49">
        <f>Sheet1!A86</f>
        <v>1171</v>
      </c>
      <c r="B85" s="49" t="str">
        <f>Sheet1!B86</f>
        <v>狼人-霍武</v>
      </c>
      <c r="C85" s="49">
        <f>Sheet1!D86</f>
        <v>1</v>
      </c>
      <c r="D85" s="49">
        <f>Sheet1!E86</f>
        <v>4</v>
      </c>
      <c r="E85" s="49">
        <f>Sheet1!F86</f>
        <v>4</v>
      </c>
      <c r="F85" s="49">
        <f>Sheet1!G86</f>
        <v>4</v>
      </c>
      <c r="G85" s="49">
        <f>Sheet1!U86</f>
        <v>1</v>
      </c>
      <c r="H85" s="49">
        <f>Sheet1!V86</f>
        <v>2</v>
      </c>
      <c r="M85" s="49">
        <v>1</v>
      </c>
      <c r="N85" s="49">
        <f t="shared" ca="1" si="11"/>
        <v>1.0056277014330857</v>
      </c>
      <c r="O85" s="51">
        <f>M85*VLOOKUP($H85,Sheet4!$A$1:$B$7,2,FALSE)*Sheet4!D$2</f>
        <v>3600</v>
      </c>
      <c r="P85" s="51">
        <f>M85*VLOOKUP($H85,Sheet4!$A$1:$B$7,2,FALSE)*Sheet4!E$2</f>
        <v>0</v>
      </c>
      <c r="Q85" s="51">
        <f>M85*VLOOKUP($H85,Sheet4!$A$1:$B$7,2,FALSE)*Sheet4!F$2</f>
        <v>0</v>
      </c>
      <c r="R85" s="51">
        <f>M85*VLOOKUP($H85,Sheet4!$A$1:$B$7,2,FALSE)*Sheet4!G$2</f>
        <v>120</v>
      </c>
      <c r="S85" s="51">
        <f>M85*VLOOKUP($H85,Sheet4!$A$1:$B$7,2,FALSE)*Sheet4!H$2</f>
        <v>60</v>
      </c>
      <c r="T85" s="51">
        <f>M85*VLOOKUP($H85,Sheet4!$A$1:$B$7,2,FALSE)*Sheet4!I$2</f>
        <v>60</v>
      </c>
      <c r="AA85" s="51">
        <f t="shared" si="17"/>
        <v>360</v>
      </c>
      <c r="AB85" s="51">
        <f t="shared" si="12"/>
        <v>0</v>
      </c>
      <c r="AC85" s="51">
        <f t="shared" si="13"/>
        <v>0</v>
      </c>
      <c r="AD85" s="51">
        <f t="shared" si="14"/>
        <v>12</v>
      </c>
      <c r="AE85" s="51">
        <f t="shared" si="15"/>
        <v>6</v>
      </c>
      <c r="AF85" s="51">
        <f t="shared" si="16"/>
        <v>6</v>
      </c>
      <c r="AK85" s="49" t="str">
        <f t="shared" si="10"/>
        <v>2400|4</v>
      </c>
      <c r="AL85" s="49">
        <v>4</v>
      </c>
    </row>
    <row r="86" spans="1:38">
      <c r="A86" s="49">
        <f>Sheet1!A87</f>
        <v>1176</v>
      </c>
      <c r="B86" s="49" t="str">
        <f>Sheet1!B87</f>
        <v>骷髅-德明</v>
      </c>
      <c r="C86" s="49">
        <f>Sheet1!D87</f>
        <v>1</v>
      </c>
      <c r="D86" s="49">
        <f>Sheet1!E87</f>
        <v>4</v>
      </c>
      <c r="E86" s="49">
        <f>Sheet1!F87</f>
        <v>3</v>
      </c>
      <c r="F86" s="49">
        <f>Sheet1!G87</f>
        <v>3</v>
      </c>
      <c r="G86" s="49">
        <f>Sheet1!U87</f>
        <v>1</v>
      </c>
      <c r="H86" s="49">
        <f>Sheet1!V87</f>
        <v>2</v>
      </c>
      <c r="M86" s="49">
        <v>1</v>
      </c>
      <c r="N86" s="49">
        <f t="shared" ca="1" si="11"/>
        <v>0.97669047835018841</v>
      </c>
      <c r="O86" s="51">
        <f>M86*VLOOKUP($H86,Sheet4!$A$1:$B$7,2,FALSE)*Sheet4!D$2</f>
        <v>3600</v>
      </c>
      <c r="P86" s="51">
        <f>M86*VLOOKUP($H86,Sheet4!$A$1:$B$7,2,FALSE)*Sheet4!E$2</f>
        <v>0</v>
      </c>
      <c r="Q86" s="51">
        <f>M86*VLOOKUP($H86,Sheet4!$A$1:$B$7,2,FALSE)*Sheet4!F$2</f>
        <v>0</v>
      </c>
      <c r="R86" s="51">
        <f>M86*VLOOKUP($H86,Sheet4!$A$1:$B$7,2,FALSE)*Sheet4!G$2</f>
        <v>120</v>
      </c>
      <c r="S86" s="51">
        <f>M86*VLOOKUP($H86,Sheet4!$A$1:$B$7,2,FALSE)*Sheet4!H$2</f>
        <v>60</v>
      </c>
      <c r="T86" s="51">
        <f>M86*VLOOKUP($H86,Sheet4!$A$1:$B$7,2,FALSE)*Sheet4!I$2</f>
        <v>60</v>
      </c>
      <c r="AA86" s="51">
        <f t="shared" si="17"/>
        <v>360</v>
      </c>
      <c r="AB86" s="51">
        <f t="shared" si="12"/>
        <v>0</v>
      </c>
      <c r="AC86" s="51">
        <f t="shared" si="13"/>
        <v>0</v>
      </c>
      <c r="AD86" s="51">
        <f t="shared" si="14"/>
        <v>12</v>
      </c>
      <c r="AE86" s="51">
        <f t="shared" si="15"/>
        <v>6</v>
      </c>
      <c r="AF86" s="51">
        <f t="shared" si="16"/>
        <v>6</v>
      </c>
      <c r="AK86" s="49" t="str">
        <f t="shared" si="10"/>
        <v>2300|4</v>
      </c>
      <c r="AL86" s="49">
        <v>4</v>
      </c>
    </row>
    <row r="87" spans="1:38">
      <c r="A87" s="49">
        <f>Sheet1!A88</f>
        <v>1177</v>
      </c>
      <c r="B87" s="49" t="str">
        <f>Sheet1!B88</f>
        <v>骷髅-奇伟</v>
      </c>
      <c r="C87" s="49">
        <f>Sheet1!D88</f>
        <v>1</v>
      </c>
      <c r="D87" s="49">
        <f>Sheet1!E88</f>
        <v>4</v>
      </c>
      <c r="E87" s="49">
        <f>Sheet1!F88</f>
        <v>3</v>
      </c>
      <c r="F87" s="49">
        <f>Sheet1!G88</f>
        <v>3</v>
      </c>
      <c r="G87" s="49">
        <f>Sheet1!U88</f>
        <v>1</v>
      </c>
      <c r="H87" s="49">
        <f>Sheet1!V88</f>
        <v>2</v>
      </c>
      <c r="M87" s="49">
        <v>1</v>
      </c>
      <c r="N87" s="49">
        <f t="shared" ca="1" si="11"/>
        <v>0.97620684427958138</v>
      </c>
      <c r="O87" s="51">
        <f>M87*VLOOKUP($H87,Sheet4!$A$1:$B$7,2,FALSE)*Sheet4!D$2</f>
        <v>3600</v>
      </c>
      <c r="P87" s="51">
        <f>M87*VLOOKUP($H87,Sheet4!$A$1:$B$7,2,FALSE)*Sheet4!E$2</f>
        <v>0</v>
      </c>
      <c r="Q87" s="51">
        <f>M87*VLOOKUP($H87,Sheet4!$A$1:$B$7,2,FALSE)*Sheet4!F$2</f>
        <v>0</v>
      </c>
      <c r="R87" s="51">
        <f>M87*VLOOKUP($H87,Sheet4!$A$1:$B$7,2,FALSE)*Sheet4!G$2</f>
        <v>120</v>
      </c>
      <c r="S87" s="51">
        <f>M87*VLOOKUP($H87,Sheet4!$A$1:$B$7,2,FALSE)*Sheet4!H$2</f>
        <v>60</v>
      </c>
      <c r="T87" s="51">
        <f>M87*VLOOKUP($H87,Sheet4!$A$1:$B$7,2,FALSE)*Sheet4!I$2</f>
        <v>60</v>
      </c>
      <c r="AA87" s="51">
        <f t="shared" si="17"/>
        <v>360</v>
      </c>
      <c r="AB87" s="51">
        <f t="shared" si="12"/>
        <v>0</v>
      </c>
      <c r="AC87" s="51">
        <f t="shared" si="13"/>
        <v>0</v>
      </c>
      <c r="AD87" s="51">
        <f t="shared" si="14"/>
        <v>12</v>
      </c>
      <c r="AE87" s="51">
        <f t="shared" si="15"/>
        <v>6</v>
      </c>
      <c r="AF87" s="51">
        <f t="shared" si="16"/>
        <v>6</v>
      </c>
      <c r="AK87" s="49" t="str">
        <f t="shared" si="10"/>
        <v>2300|4</v>
      </c>
      <c r="AL87" s="49">
        <v>4</v>
      </c>
    </row>
    <row r="88" spans="1:38">
      <c r="A88" s="49">
        <f>Sheet1!A89</f>
        <v>1178</v>
      </c>
      <c r="B88" s="49" t="str">
        <f>Sheet1!B89</f>
        <v>骷髅-德元</v>
      </c>
      <c r="C88" s="49">
        <f>Sheet1!D89</f>
        <v>1</v>
      </c>
      <c r="D88" s="49">
        <f>Sheet1!E89</f>
        <v>4</v>
      </c>
      <c r="E88" s="49">
        <f>Sheet1!F89</f>
        <v>3</v>
      </c>
      <c r="F88" s="49">
        <f>Sheet1!G89</f>
        <v>3</v>
      </c>
      <c r="G88" s="49">
        <f>Sheet1!U89</f>
        <v>1</v>
      </c>
      <c r="H88" s="49">
        <f>Sheet1!V89</f>
        <v>2</v>
      </c>
      <c r="M88" s="49">
        <v>1</v>
      </c>
      <c r="N88" s="49">
        <f t="shared" ca="1" si="11"/>
        <v>0.98874247173756202</v>
      </c>
      <c r="O88" s="51">
        <f>M88*VLOOKUP($H88,Sheet4!$A$1:$B$7,2,FALSE)*Sheet4!D$2</f>
        <v>3600</v>
      </c>
      <c r="P88" s="51">
        <f>M88*VLOOKUP($H88,Sheet4!$A$1:$B$7,2,FALSE)*Sheet4!E$2</f>
        <v>0</v>
      </c>
      <c r="Q88" s="51">
        <f>M88*VLOOKUP($H88,Sheet4!$A$1:$B$7,2,FALSE)*Sheet4!F$2</f>
        <v>0</v>
      </c>
      <c r="R88" s="51">
        <f>M88*VLOOKUP($H88,Sheet4!$A$1:$B$7,2,FALSE)*Sheet4!G$2</f>
        <v>120</v>
      </c>
      <c r="S88" s="51">
        <f>M88*VLOOKUP($H88,Sheet4!$A$1:$B$7,2,FALSE)*Sheet4!H$2</f>
        <v>60</v>
      </c>
      <c r="T88" s="51">
        <f>M88*VLOOKUP($H88,Sheet4!$A$1:$B$7,2,FALSE)*Sheet4!I$2</f>
        <v>60</v>
      </c>
      <c r="AA88" s="51">
        <f t="shared" si="17"/>
        <v>360</v>
      </c>
      <c r="AB88" s="51">
        <f t="shared" si="12"/>
        <v>0</v>
      </c>
      <c r="AC88" s="51">
        <f t="shared" si="13"/>
        <v>0</v>
      </c>
      <c r="AD88" s="51">
        <f t="shared" si="14"/>
        <v>12</v>
      </c>
      <c r="AE88" s="51">
        <f t="shared" si="15"/>
        <v>6</v>
      </c>
      <c r="AF88" s="51">
        <f t="shared" si="16"/>
        <v>6</v>
      </c>
      <c r="AK88" s="49" t="str">
        <f t="shared" si="10"/>
        <v>2300|4</v>
      </c>
      <c r="AL88" s="49">
        <v>4</v>
      </c>
    </row>
    <row r="89" spans="1:38">
      <c r="A89" s="49">
        <f>Sheet1!A90</f>
        <v>1179</v>
      </c>
      <c r="B89" s="49" t="str">
        <f>Sheet1!B90</f>
        <v>骷髅-彭泽</v>
      </c>
      <c r="C89" s="49">
        <f>Sheet1!D90</f>
        <v>1</v>
      </c>
      <c r="D89" s="49">
        <f>Sheet1!E90</f>
        <v>4</v>
      </c>
      <c r="E89" s="49">
        <f>Sheet1!F90</f>
        <v>3</v>
      </c>
      <c r="F89" s="49">
        <f>Sheet1!G90</f>
        <v>3</v>
      </c>
      <c r="G89" s="49">
        <f>Sheet1!U90</f>
        <v>1</v>
      </c>
      <c r="H89" s="49">
        <f>Sheet1!V90</f>
        <v>2</v>
      </c>
      <c r="M89" s="49">
        <v>1</v>
      </c>
      <c r="N89" s="49">
        <f t="shared" ca="1" si="11"/>
        <v>0.99382140378602779</v>
      </c>
      <c r="O89" s="51">
        <f>M89*VLOOKUP($H89,Sheet4!$A$1:$B$7,2,FALSE)*Sheet4!D$2</f>
        <v>3600</v>
      </c>
      <c r="P89" s="51">
        <f>M89*VLOOKUP($H89,Sheet4!$A$1:$B$7,2,FALSE)*Sheet4!E$2</f>
        <v>0</v>
      </c>
      <c r="Q89" s="51">
        <f>M89*VLOOKUP($H89,Sheet4!$A$1:$B$7,2,FALSE)*Sheet4!F$2</f>
        <v>0</v>
      </c>
      <c r="R89" s="51">
        <f>M89*VLOOKUP($H89,Sheet4!$A$1:$B$7,2,FALSE)*Sheet4!G$2</f>
        <v>120</v>
      </c>
      <c r="S89" s="51">
        <f>M89*VLOOKUP($H89,Sheet4!$A$1:$B$7,2,FALSE)*Sheet4!H$2</f>
        <v>60</v>
      </c>
      <c r="T89" s="51">
        <f>M89*VLOOKUP($H89,Sheet4!$A$1:$B$7,2,FALSE)*Sheet4!I$2</f>
        <v>60</v>
      </c>
      <c r="AA89" s="51">
        <f t="shared" si="17"/>
        <v>360</v>
      </c>
      <c r="AB89" s="51">
        <f t="shared" si="12"/>
        <v>0</v>
      </c>
      <c r="AC89" s="51">
        <f t="shared" si="13"/>
        <v>0</v>
      </c>
      <c r="AD89" s="51">
        <f t="shared" si="14"/>
        <v>12</v>
      </c>
      <c r="AE89" s="51">
        <f t="shared" si="15"/>
        <v>6</v>
      </c>
      <c r="AF89" s="51">
        <f t="shared" si="16"/>
        <v>6</v>
      </c>
      <c r="AK89" s="49" t="str">
        <f t="shared" si="10"/>
        <v>2300|4</v>
      </c>
      <c r="AL89" s="49">
        <v>4</v>
      </c>
    </row>
    <row r="90" spans="1:38">
      <c r="A90" s="49">
        <f>Sheet1!A91</f>
        <v>1180</v>
      </c>
      <c r="B90" s="49" t="str">
        <f>Sheet1!B91</f>
        <v>蜘蛛-元瑶</v>
      </c>
      <c r="C90" s="49">
        <f>Sheet1!D91</f>
        <v>1</v>
      </c>
      <c r="D90" s="49">
        <f>Sheet1!E91</f>
        <v>4</v>
      </c>
      <c r="E90" s="49">
        <f>Sheet1!F91</f>
        <v>2</v>
      </c>
      <c r="F90" s="49">
        <f>Sheet1!G91</f>
        <v>2</v>
      </c>
      <c r="G90" s="49">
        <f>Sheet1!U91</f>
        <v>1</v>
      </c>
      <c r="H90" s="49">
        <f>Sheet1!V91</f>
        <v>2</v>
      </c>
      <c r="M90" s="49">
        <v>1</v>
      </c>
      <c r="N90" s="49">
        <f t="shared" ca="1" si="11"/>
        <v>0.97815562477793339</v>
      </c>
      <c r="O90" s="51">
        <f>M90*VLOOKUP($H90,Sheet4!$A$1:$B$7,2,FALSE)*Sheet4!D$2</f>
        <v>3600</v>
      </c>
      <c r="P90" s="51">
        <f>M90*VLOOKUP($H90,Sheet4!$A$1:$B$7,2,FALSE)*Sheet4!E$2</f>
        <v>0</v>
      </c>
      <c r="Q90" s="51">
        <f>M90*VLOOKUP($H90,Sheet4!$A$1:$B$7,2,FALSE)*Sheet4!F$2</f>
        <v>0</v>
      </c>
      <c r="R90" s="51">
        <f>M90*VLOOKUP($H90,Sheet4!$A$1:$B$7,2,FALSE)*Sheet4!G$2</f>
        <v>120</v>
      </c>
      <c r="S90" s="51">
        <f>M90*VLOOKUP($H90,Sheet4!$A$1:$B$7,2,FALSE)*Sheet4!H$2</f>
        <v>60</v>
      </c>
      <c r="T90" s="51">
        <f>M90*VLOOKUP($H90,Sheet4!$A$1:$B$7,2,FALSE)*Sheet4!I$2</f>
        <v>60</v>
      </c>
      <c r="AA90" s="51">
        <f t="shared" si="17"/>
        <v>360</v>
      </c>
      <c r="AB90" s="51">
        <f t="shared" si="12"/>
        <v>0</v>
      </c>
      <c r="AC90" s="51">
        <f t="shared" si="13"/>
        <v>0</v>
      </c>
      <c r="AD90" s="51">
        <f t="shared" si="14"/>
        <v>12</v>
      </c>
      <c r="AE90" s="51">
        <f t="shared" si="15"/>
        <v>6</v>
      </c>
      <c r="AF90" s="51">
        <f t="shared" si="16"/>
        <v>6</v>
      </c>
      <c r="AK90" s="49" t="str">
        <f t="shared" si="10"/>
        <v>2200|4</v>
      </c>
      <c r="AL90" s="49">
        <v>4</v>
      </c>
    </row>
    <row r="91" spans="1:38">
      <c r="A91" s="49">
        <f>Sheet1!A92</f>
        <v>1181</v>
      </c>
      <c r="B91" s="49" t="str">
        <f>Sheet1!B92</f>
        <v>蜘蛛-怜寒</v>
      </c>
      <c r="C91" s="49">
        <f>Sheet1!D92</f>
        <v>1</v>
      </c>
      <c r="D91" s="49">
        <f>Sheet1!E92</f>
        <v>4</v>
      </c>
      <c r="E91" s="49">
        <f>Sheet1!F92</f>
        <v>2</v>
      </c>
      <c r="F91" s="49">
        <f>Sheet1!G92</f>
        <v>2</v>
      </c>
      <c r="G91" s="49">
        <f>Sheet1!U92</f>
        <v>1</v>
      </c>
      <c r="H91" s="49">
        <f>Sheet1!V92</f>
        <v>2</v>
      </c>
      <c r="M91" s="49">
        <v>1</v>
      </c>
      <c r="N91" s="49">
        <f t="shared" ca="1" si="11"/>
        <v>0.98389952401184355</v>
      </c>
      <c r="O91" s="51">
        <f>M91*VLOOKUP($H91,Sheet4!$A$1:$B$7,2,FALSE)*Sheet4!D$2</f>
        <v>3600</v>
      </c>
      <c r="P91" s="51">
        <f>M91*VLOOKUP($H91,Sheet4!$A$1:$B$7,2,FALSE)*Sheet4!E$2</f>
        <v>0</v>
      </c>
      <c r="Q91" s="51">
        <f>M91*VLOOKUP($H91,Sheet4!$A$1:$B$7,2,FALSE)*Sheet4!F$2</f>
        <v>0</v>
      </c>
      <c r="R91" s="51">
        <f>M91*VLOOKUP($H91,Sheet4!$A$1:$B$7,2,FALSE)*Sheet4!G$2</f>
        <v>120</v>
      </c>
      <c r="S91" s="51">
        <f>M91*VLOOKUP($H91,Sheet4!$A$1:$B$7,2,FALSE)*Sheet4!H$2</f>
        <v>60</v>
      </c>
      <c r="T91" s="51">
        <f>M91*VLOOKUP($H91,Sheet4!$A$1:$B$7,2,FALSE)*Sheet4!I$2</f>
        <v>60</v>
      </c>
      <c r="AA91" s="51">
        <f t="shared" si="17"/>
        <v>360</v>
      </c>
      <c r="AB91" s="51">
        <f t="shared" si="12"/>
        <v>0</v>
      </c>
      <c r="AC91" s="51">
        <f t="shared" si="13"/>
        <v>0</v>
      </c>
      <c r="AD91" s="51">
        <f t="shared" si="14"/>
        <v>12</v>
      </c>
      <c r="AE91" s="51">
        <f t="shared" si="15"/>
        <v>6</v>
      </c>
      <c r="AF91" s="51">
        <f t="shared" si="16"/>
        <v>6</v>
      </c>
      <c r="AK91" s="49" t="str">
        <f t="shared" si="10"/>
        <v>2200|4</v>
      </c>
      <c r="AL91" s="49">
        <v>4</v>
      </c>
    </row>
    <row r="92" spans="1:38">
      <c r="A92" s="49">
        <f>Sheet1!A93</f>
        <v>1182</v>
      </c>
      <c r="B92" s="49" t="str">
        <f>Sheet1!B93</f>
        <v>蜘蛛-盼香</v>
      </c>
      <c r="C92" s="49">
        <f>Sheet1!D93</f>
        <v>1</v>
      </c>
      <c r="D92" s="49">
        <f>Sheet1!E93</f>
        <v>4</v>
      </c>
      <c r="E92" s="49">
        <f>Sheet1!F93</f>
        <v>2</v>
      </c>
      <c r="F92" s="49">
        <f>Sheet1!G93</f>
        <v>2</v>
      </c>
      <c r="G92" s="49">
        <f>Sheet1!U93</f>
        <v>1</v>
      </c>
      <c r="H92" s="49">
        <f>Sheet1!V93</f>
        <v>2</v>
      </c>
      <c r="M92" s="49">
        <v>1</v>
      </c>
      <c r="N92" s="49">
        <f t="shared" ca="1" si="11"/>
        <v>0.99903057237769655</v>
      </c>
      <c r="O92" s="51">
        <f>M92*VLOOKUP($H92,Sheet4!$A$1:$B$7,2,FALSE)*Sheet4!D$2</f>
        <v>3600</v>
      </c>
      <c r="P92" s="51">
        <f>M92*VLOOKUP($H92,Sheet4!$A$1:$B$7,2,FALSE)*Sheet4!E$2</f>
        <v>0</v>
      </c>
      <c r="Q92" s="51">
        <f>M92*VLOOKUP($H92,Sheet4!$A$1:$B$7,2,FALSE)*Sheet4!F$2</f>
        <v>0</v>
      </c>
      <c r="R92" s="51">
        <f>M92*VLOOKUP($H92,Sheet4!$A$1:$B$7,2,FALSE)*Sheet4!G$2</f>
        <v>120</v>
      </c>
      <c r="S92" s="51">
        <f>M92*VLOOKUP($H92,Sheet4!$A$1:$B$7,2,FALSE)*Sheet4!H$2</f>
        <v>60</v>
      </c>
      <c r="T92" s="51">
        <f>M92*VLOOKUP($H92,Sheet4!$A$1:$B$7,2,FALSE)*Sheet4!I$2</f>
        <v>60</v>
      </c>
      <c r="AA92" s="51">
        <f t="shared" si="17"/>
        <v>360</v>
      </c>
      <c r="AB92" s="51">
        <f t="shared" si="12"/>
        <v>0</v>
      </c>
      <c r="AC92" s="51">
        <f t="shared" si="13"/>
        <v>0</v>
      </c>
      <c r="AD92" s="51">
        <f t="shared" si="14"/>
        <v>12</v>
      </c>
      <c r="AE92" s="51">
        <f t="shared" si="15"/>
        <v>6</v>
      </c>
      <c r="AF92" s="51">
        <f t="shared" si="16"/>
        <v>6</v>
      </c>
      <c r="AK92" s="49" t="str">
        <f t="shared" si="10"/>
        <v>2200|4</v>
      </c>
      <c r="AL92" s="49">
        <v>4</v>
      </c>
    </row>
    <row r="93" spans="1:38">
      <c r="A93" s="49">
        <f>Sheet1!A94</f>
        <v>1185</v>
      </c>
      <c r="B93" s="49" t="str">
        <f>Sheet1!B94</f>
        <v>女鬼-歆瑶</v>
      </c>
      <c r="C93" s="49">
        <f>Sheet1!D94</f>
        <v>1</v>
      </c>
      <c r="D93" s="49">
        <f>Sheet1!E94</f>
        <v>4</v>
      </c>
      <c r="E93" s="49">
        <f>Sheet1!F94</f>
        <v>3</v>
      </c>
      <c r="F93" s="49">
        <f>Sheet1!G94</f>
        <v>3</v>
      </c>
      <c r="G93" s="49">
        <f>Sheet1!U94</f>
        <v>1</v>
      </c>
      <c r="H93" s="49">
        <f>Sheet1!V94</f>
        <v>2</v>
      </c>
      <c r="M93" s="49">
        <v>1</v>
      </c>
      <c r="N93" s="49">
        <f t="shared" ca="1" si="11"/>
        <v>0.98629897597373528</v>
      </c>
      <c r="O93" s="51">
        <f>M93*VLOOKUP($H93,Sheet4!$A$1:$B$7,2,FALSE)*Sheet4!D$2</f>
        <v>3600</v>
      </c>
      <c r="P93" s="51">
        <f>M93*VLOOKUP($H93,Sheet4!$A$1:$B$7,2,FALSE)*Sheet4!E$2</f>
        <v>0</v>
      </c>
      <c r="Q93" s="51">
        <f>M93*VLOOKUP($H93,Sheet4!$A$1:$B$7,2,FALSE)*Sheet4!F$2</f>
        <v>0</v>
      </c>
      <c r="R93" s="51">
        <f>M93*VLOOKUP($H93,Sheet4!$A$1:$B$7,2,FALSE)*Sheet4!G$2</f>
        <v>120</v>
      </c>
      <c r="S93" s="51">
        <f>M93*VLOOKUP($H93,Sheet4!$A$1:$B$7,2,FALSE)*Sheet4!H$2</f>
        <v>60</v>
      </c>
      <c r="T93" s="51">
        <f>M93*VLOOKUP($H93,Sheet4!$A$1:$B$7,2,FALSE)*Sheet4!I$2</f>
        <v>60</v>
      </c>
      <c r="AA93" s="51">
        <f t="shared" si="17"/>
        <v>360</v>
      </c>
      <c r="AB93" s="51">
        <f t="shared" si="12"/>
        <v>0</v>
      </c>
      <c r="AC93" s="51">
        <f t="shared" si="13"/>
        <v>0</v>
      </c>
      <c r="AD93" s="51">
        <f t="shared" si="14"/>
        <v>12</v>
      </c>
      <c r="AE93" s="51">
        <f t="shared" si="15"/>
        <v>6</v>
      </c>
      <c r="AF93" s="51">
        <f t="shared" si="16"/>
        <v>6</v>
      </c>
      <c r="AK93" s="49" t="str">
        <f t="shared" si="10"/>
        <v>2300|4</v>
      </c>
      <c r="AL93" s="49">
        <v>4</v>
      </c>
    </row>
    <row r="94" spans="1:38">
      <c r="A94" s="49">
        <f>Sheet1!A95</f>
        <v>1186</v>
      </c>
      <c r="B94" s="49" t="str">
        <f>Sheet1!B95</f>
        <v>女鬼-桑榆</v>
      </c>
      <c r="C94" s="49">
        <f>Sheet1!D95</f>
        <v>1</v>
      </c>
      <c r="D94" s="49">
        <f>Sheet1!E95</f>
        <v>4</v>
      </c>
      <c r="E94" s="49">
        <f>Sheet1!F95</f>
        <v>3</v>
      </c>
      <c r="F94" s="49">
        <f>Sheet1!G95</f>
        <v>3</v>
      </c>
      <c r="G94" s="49">
        <f>Sheet1!U95</f>
        <v>1</v>
      </c>
      <c r="H94" s="49">
        <f>Sheet1!V95</f>
        <v>2</v>
      </c>
      <c r="M94" s="49">
        <v>1</v>
      </c>
      <c r="N94" s="49">
        <f t="shared" ca="1" si="11"/>
        <v>0.99854400153654266</v>
      </c>
      <c r="O94" s="51">
        <f>M94*VLOOKUP($H94,Sheet4!$A$1:$B$7,2,FALSE)*Sheet4!D$2</f>
        <v>3600</v>
      </c>
      <c r="P94" s="51">
        <f>M94*VLOOKUP($H94,Sheet4!$A$1:$B$7,2,FALSE)*Sheet4!E$2</f>
        <v>0</v>
      </c>
      <c r="Q94" s="51">
        <f>M94*VLOOKUP($H94,Sheet4!$A$1:$B$7,2,FALSE)*Sheet4!F$2</f>
        <v>0</v>
      </c>
      <c r="R94" s="51">
        <f>M94*VLOOKUP($H94,Sheet4!$A$1:$B$7,2,FALSE)*Sheet4!G$2</f>
        <v>120</v>
      </c>
      <c r="S94" s="51">
        <f>M94*VLOOKUP($H94,Sheet4!$A$1:$B$7,2,FALSE)*Sheet4!H$2</f>
        <v>60</v>
      </c>
      <c r="T94" s="51">
        <f>M94*VLOOKUP($H94,Sheet4!$A$1:$B$7,2,FALSE)*Sheet4!I$2</f>
        <v>60</v>
      </c>
      <c r="AA94" s="51">
        <f t="shared" si="17"/>
        <v>360</v>
      </c>
      <c r="AB94" s="51">
        <f t="shared" si="12"/>
        <v>0</v>
      </c>
      <c r="AC94" s="51">
        <f t="shared" si="13"/>
        <v>0</v>
      </c>
      <c r="AD94" s="51">
        <f t="shared" si="14"/>
        <v>12</v>
      </c>
      <c r="AE94" s="51">
        <f t="shared" si="15"/>
        <v>6</v>
      </c>
      <c r="AF94" s="51">
        <f t="shared" si="16"/>
        <v>6</v>
      </c>
      <c r="AK94" s="49" t="str">
        <f t="shared" si="10"/>
        <v>2300|4</v>
      </c>
      <c r="AL94" s="49">
        <v>4</v>
      </c>
    </row>
    <row r="95" spans="1:38">
      <c r="A95" s="49">
        <f>Sheet1!A96</f>
        <v>1187</v>
      </c>
      <c r="B95" s="49" t="str">
        <f>Sheet1!B96</f>
        <v>女鬼-语嫣</v>
      </c>
      <c r="C95" s="49">
        <f>Sheet1!D96</f>
        <v>1</v>
      </c>
      <c r="D95" s="49">
        <f>Sheet1!E96</f>
        <v>4</v>
      </c>
      <c r="E95" s="49">
        <f>Sheet1!F96</f>
        <v>3</v>
      </c>
      <c r="F95" s="49">
        <f>Sheet1!G96</f>
        <v>3</v>
      </c>
      <c r="G95" s="49">
        <f>Sheet1!U96</f>
        <v>1</v>
      </c>
      <c r="H95" s="49">
        <f>Sheet1!V96</f>
        <v>2</v>
      </c>
      <c r="M95" s="49">
        <v>1</v>
      </c>
      <c r="N95" s="49">
        <f t="shared" ca="1" si="11"/>
        <v>1.0168730180696972</v>
      </c>
      <c r="O95" s="51">
        <f>M95*VLOOKUP($H95,Sheet4!$A$1:$B$7,2,FALSE)*Sheet4!D$2</f>
        <v>3600</v>
      </c>
      <c r="P95" s="51">
        <f>M95*VLOOKUP($H95,Sheet4!$A$1:$B$7,2,FALSE)*Sheet4!E$2</f>
        <v>0</v>
      </c>
      <c r="Q95" s="51">
        <f>M95*VLOOKUP($H95,Sheet4!$A$1:$B$7,2,FALSE)*Sheet4!F$2</f>
        <v>0</v>
      </c>
      <c r="R95" s="51">
        <f>M95*VLOOKUP($H95,Sheet4!$A$1:$B$7,2,FALSE)*Sheet4!G$2</f>
        <v>120</v>
      </c>
      <c r="S95" s="51">
        <f>M95*VLOOKUP($H95,Sheet4!$A$1:$B$7,2,FALSE)*Sheet4!H$2</f>
        <v>60</v>
      </c>
      <c r="T95" s="51">
        <f>M95*VLOOKUP($H95,Sheet4!$A$1:$B$7,2,FALSE)*Sheet4!I$2</f>
        <v>60</v>
      </c>
      <c r="AA95" s="51">
        <f t="shared" si="17"/>
        <v>360</v>
      </c>
      <c r="AB95" s="51">
        <f t="shared" si="12"/>
        <v>0</v>
      </c>
      <c r="AC95" s="51">
        <f t="shared" si="13"/>
        <v>0</v>
      </c>
      <c r="AD95" s="51">
        <f t="shared" si="14"/>
        <v>12</v>
      </c>
      <c r="AE95" s="51">
        <f t="shared" si="15"/>
        <v>6</v>
      </c>
      <c r="AF95" s="51">
        <f t="shared" si="16"/>
        <v>6</v>
      </c>
      <c r="AK95" s="49" t="str">
        <f t="shared" si="10"/>
        <v>2300|4</v>
      </c>
      <c r="AL95" s="49">
        <v>4</v>
      </c>
    </row>
    <row r="96" spans="1:38">
      <c r="A96" s="49">
        <f>Sheet1!A97</f>
        <v>1188</v>
      </c>
      <c r="B96" s="49" t="str">
        <f>Sheet1!B97</f>
        <v>女鬼-凌菲</v>
      </c>
      <c r="C96" s="49">
        <f>Sheet1!D97</f>
        <v>1</v>
      </c>
      <c r="D96" s="49">
        <f>Sheet1!E97</f>
        <v>4</v>
      </c>
      <c r="E96" s="49">
        <f>Sheet1!F97</f>
        <v>3</v>
      </c>
      <c r="F96" s="49">
        <f>Sheet1!G97</f>
        <v>3</v>
      </c>
      <c r="G96" s="49">
        <f>Sheet1!U97</f>
        <v>1</v>
      </c>
      <c r="H96" s="49">
        <f>Sheet1!V97</f>
        <v>2</v>
      </c>
      <c r="M96" s="49">
        <v>1</v>
      </c>
      <c r="N96" s="49">
        <f t="shared" ca="1" si="11"/>
        <v>1.0023540366444901</v>
      </c>
      <c r="O96" s="51">
        <f>M96*VLOOKUP($H96,Sheet4!$A$1:$B$7,2,FALSE)*Sheet4!D$2</f>
        <v>3600</v>
      </c>
      <c r="P96" s="51">
        <f>M96*VLOOKUP($H96,Sheet4!$A$1:$B$7,2,FALSE)*Sheet4!E$2</f>
        <v>0</v>
      </c>
      <c r="Q96" s="51">
        <f>M96*VLOOKUP($H96,Sheet4!$A$1:$B$7,2,FALSE)*Sheet4!F$2</f>
        <v>0</v>
      </c>
      <c r="R96" s="51">
        <f>M96*VLOOKUP($H96,Sheet4!$A$1:$B$7,2,FALSE)*Sheet4!G$2</f>
        <v>120</v>
      </c>
      <c r="S96" s="51">
        <f>M96*VLOOKUP($H96,Sheet4!$A$1:$B$7,2,FALSE)*Sheet4!H$2</f>
        <v>60</v>
      </c>
      <c r="T96" s="51">
        <f>M96*VLOOKUP($H96,Sheet4!$A$1:$B$7,2,FALSE)*Sheet4!I$2</f>
        <v>60</v>
      </c>
      <c r="AA96" s="51">
        <f t="shared" si="17"/>
        <v>360</v>
      </c>
      <c r="AB96" s="51">
        <f t="shared" si="12"/>
        <v>0</v>
      </c>
      <c r="AC96" s="51">
        <f t="shared" si="13"/>
        <v>0</v>
      </c>
      <c r="AD96" s="51">
        <f t="shared" si="14"/>
        <v>12</v>
      </c>
      <c r="AE96" s="51">
        <f t="shared" si="15"/>
        <v>6</v>
      </c>
      <c r="AF96" s="51">
        <f t="shared" si="16"/>
        <v>6</v>
      </c>
      <c r="AK96" s="49" t="str">
        <f t="shared" si="10"/>
        <v>2300|4</v>
      </c>
      <c r="AL96" s="49">
        <v>4</v>
      </c>
    </row>
    <row r="97" spans="1:38">
      <c r="A97" s="49">
        <f>Sheet1!A98</f>
        <v>1193</v>
      </c>
      <c r="B97" s="49" t="str">
        <f>Sheet1!B98</f>
        <v>猴兵</v>
      </c>
      <c r="C97" s="49">
        <f>Sheet1!D98</f>
        <v>1</v>
      </c>
      <c r="D97" s="49">
        <f>Sheet1!E98</f>
        <v>4</v>
      </c>
      <c r="E97" s="49">
        <f>Sheet1!F98</f>
        <v>3</v>
      </c>
      <c r="F97" s="49">
        <f>Sheet1!G98</f>
        <v>3</v>
      </c>
      <c r="G97" s="49">
        <f>Sheet1!U98</f>
        <v>1</v>
      </c>
      <c r="H97" s="49">
        <f>Sheet1!V98</f>
        <v>2</v>
      </c>
      <c r="M97" s="49">
        <v>1</v>
      </c>
      <c r="N97" s="49">
        <f t="shared" ca="1" si="11"/>
        <v>0.98494165132107037</v>
      </c>
      <c r="O97" s="51">
        <f>M97*VLOOKUP($H97,Sheet4!$A$1:$B$7,2,FALSE)*Sheet4!D$2</f>
        <v>3600</v>
      </c>
      <c r="P97" s="51">
        <f>M97*VLOOKUP($H97,Sheet4!$A$1:$B$7,2,FALSE)*Sheet4!E$2</f>
        <v>0</v>
      </c>
      <c r="Q97" s="51">
        <f>M97*VLOOKUP($H97,Sheet4!$A$1:$B$7,2,FALSE)*Sheet4!F$2</f>
        <v>0</v>
      </c>
      <c r="R97" s="51">
        <f>M97*VLOOKUP($H97,Sheet4!$A$1:$B$7,2,FALSE)*Sheet4!G$2</f>
        <v>120</v>
      </c>
      <c r="S97" s="51">
        <f>M97*VLOOKUP($H97,Sheet4!$A$1:$B$7,2,FALSE)*Sheet4!H$2</f>
        <v>60</v>
      </c>
      <c r="T97" s="51">
        <f>M97*VLOOKUP($H97,Sheet4!$A$1:$B$7,2,FALSE)*Sheet4!I$2</f>
        <v>60</v>
      </c>
      <c r="AA97" s="51">
        <f t="shared" si="17"/>
        <v>360</v>
      </c>
      <c r="AB97" s="51">
        <f t="shared" si="12"/>
        <v>0</v>
      </c>
      <c r="AC97" s="51">
        <f t="shared" si="13"/>
        <v>0</v>
      </c>
      <c r="AD97" s="51">
        <f t="shared" si="14"/>
        <v>12</v>
      </c>
      <c r="AE97" s="51">
        <f t="shared" si="15"/>
        <v>6</v>
      </c>
      <c r="AF97" s="51">
        <f t="shared" si="16"/>
        <v>6</v>
      </c>
      <c r="AK97" s="49" t="str">
        <f t="shared" si="10"/>
        <v>2300|4</v>
      </c>
      <c r="AL97" s="49">
        <v>4</v>
      </c>
    </row>
    <row r="98" spans="1:38">
      <c r="A98" s="49">
        <f>Sheet1!A99</f>
        <v>1194</v>
      </c>
      <c r="B98" s="49" t="str">
        <f>Sheet1!B99</f>
        <v>山贼</v>
      </c>
      <c r="C98" s="49">
        <f>Sheet1!D99</f>
        <v>1</v>
      </c>
      <c r="D98" s="49">
        <f>Sheet1!E99</f>
        <v>4</v>
      </c>
      <c r="E98" s="49">
        <f>Sheet1!F99</f>
        <v>2</v>
      </c>
      <c r="F98" s="49">
        <f>Sheet1!G99</f>
        <v>3</v>
      </c>
      <c r="G98" s="49">
        <f>Sheet1!U99</f>
        <v>1</v>
      </c>
      <c r="H98" s="49">
        <f>Sheet1!V99</f>
        <v>2</v>
      </c>
      <c r="M98" s="49">
        <v>1</v>
      </c>
      <c r="N98" s="49">
        <f t="shared" ca="1" si="11"/>
        <v>1.0191609147707306</v>
      </c>
      <c r="O98" s="51">
        <f>M98*VLOOKUP($H98,Sheet4!$A$1:$B$7,2,FALSE)*Sheet4!D$2</f>
        <v>3600</v>
      </c>
      <c r="P98" s="51">
        <f>M98*VLOOKUP($H98,Sheet4!$A$1:$B$7,2,FALSE)*Sheet4!E$2</f>
        <v>0</v>
      </c>
      <c r="Q98" s="51">
        <f>M98*VLOOKUP($H98,Sheet4!$A$1:$B$7,2,FALSE)*Sheet4!F$2</f>
        <v>0</v>
      </c>
      <c r="R98" s="51">
        <f>M98*VLOOKUP($H98,Sheet4!$A$1:$B$7,2,FALSE)*Sheet4!G$2</f>
        <v>120</v>
      </c>
      <c r="S98" s="51">
        <f>M98*VLOOKUP($H98,Sheet4!$A$1:$B$7,2,FALSE)*Sheet4!H$2</f>
        <v>60</v>
      </c>
      <c r="T98" s="51">
        <f>M98*VLOOKUP($H98,Sheet4!$A$1:$B$7,2,FALSE)*Sheet4!I$2</f>
        <v>60</v>
      </c>
      <c r="AA98" s="51">
        <f t="shared" si="17"/>
        <v>360</v>
      </c>
      <c r="AB98" s="51">
        <f t="shared" si="12"/>
        <v>0</v>
      </c>
      <c r="AC98" s="51">
        <f t="shared" si="13"/>
        <v>0</v>
      </c>
      <c r="AD98" s="51">
        <f t="shared" si="14"/>
        <v>12</v>
      </c>
      <c r="AE98" s="51">
        <f t="shared" si="15"/>
        <v>6</v>
      </c>
      <c r="AF98" s="51">
        <f t="shared" si="16"/>
        <v>6</v>
      </c>
      <c r="AK98" s="49" t="str">
        <f t="shared" si="10"/>
        <v>2300|4</v>
      </c>
      <c r="AL98" s="49">
        <v>4</v>
      </c>
    </row>
    <row r="99" spans="1:38">
      <c r="A99" s="49">
        <f>Sheet1!A100</f>
        <v>1217</v>
      </c>
      <c r="B99" s="49" t="str">
        <f>Sheet1!B100</f>
        <v>虾兵</v>
      </c>
      <c r="C99" s="49">
        <f>Sheet1!D100</f>
        <v>1</v>
      </c>
      <c r="D99" s="49">
        <f>Sheet1!E100</f>
        <v>4</v>
      </c>
      <c r="E99" s="49">
        <f>Sheet1!F100</f>
        <v>3</v>
      </c>
      <c r="F99" s="49">
        <f>Sheet1!G100</f>
        <v>3</v>
      </c>
      <c r="G99" s="49">
        <f>Sheet1!U100</f>
        <v>1</v>
      </c>
      <c r="H99" s="49">
        <f>Sheet1!V100</f>
        <v>2</v>
      </c>
      <c r="M99" s="49">
        <v>1</v>
      </c>
      <c r="N99" s="49">
        <f t="shared" ca="1" si="11"/>
        <v>0.99699612692593842</v>
      </c>
      <c r="O99" s="51">
        <f>M99*VLOOKUP($H99,Sheet4!$A$1:$B$7,2,FALSE)*Sheet4!D$2</f>
        <v>3600</v>
      </c>
      <c r="P99" s="51">
        <f>M99*VLOOKUP($H99,Sheet4!$A$1:$B$7,2,FALSE)*Sheet4!E$2</f>
        <v>0</v>
      </c>
      <c r="Q99" s="51">
        <f>M99*VLOOKUP($H99,Sheet4!$A$1:$B$7,2,FALSE)*Sheet4!F$2</f>
        <v>0</v>
      </c>
      <c r="R99" s="51">
        <f>M99*VLOOKUP($H99,Sheet4!$A$1:$B$7,2,FALSE)*Sheet4!G$2</f>
        <v>120</v>
      </c>
      <c r="S99" s="51">
        <f>M99*VLOOKUP($H99,Sheet4!$A$1:$B$7,2,FALSE)*Sheet4!H$2</f>
        <v>60</v>
      </c>
      <c r="T99" s="51">
        <f>M99*VLOOKUP($H99,Sheet4!$A$1:$B$7,2,FALSE)*Sheet4!I$2</f>
        <v>60</v>
      </c>
      <c r="AA99" s="51">
        <f t="shared" si="17"/>
        <v>360</v>
      </c>
      <c r="AB99" s="51">
        <f t="shared" si="12"/>
        <v>0</v>
      </c>
      <c r="AC99" s="51">
        <f t="shared" si="13"/>
        <v>0</v>
      </c>
      <c r="AD99" s="51">
        <f t="shared" si="14"/>
        <v>12</v>
      </c>
      <c r="AE99" s="51">
        <f t="shared" si="15"/>
        <v>6</v>
      </c>
      <c r="AF99" s="51">
        <f t="shared" si="16"/>
        <v>6</v>
      </c>
      <c r="AK99" s="49" t="str">
        <f t="shared" si="10"/>
        <v>2300|4</v>
      </c>
      <c r="AL99" s="49">
        <v>4</v>
      </c>
    </row>
    <row r="100" spans="1:38">
      <c r="A100" s="49">
        <f>Sheet1!A101</f>
        <v>1501</v>
      </c>
      <c r="B100" s="49" t="str">
        <f>Sheet1!B101</f>
        <v>侍女</v>
      </c>
      <c r="C100" s="49">
        <f>Sheet1!D101</f>
        <v>1</v>
      </c>
      <c r="D100" s="49">
        <f>Sheet1!E101</f>
        <v>4</v>
      </c>
      <c r="E100" s="49">
        <f>Sheet1!F101</f>
        <v>2</v>
      </c>
      <c r="F100" s="49">
        <f>Sheet1!G101</f>
        <v>2</v>
      </c>
      <c r="G100" s="49">
        <f>Sheet1!U101</f>
        <v>1</v>
      </c>
      <c r="H100" s="49">
        <f>Sheet1!V101</f>
        <v>2</v>
      </c>
      <c r="M100" s="49">
        <v>1</v>
      </c>
      <c r="N100" s="49">
        <f t="shared" ca="1" si="11"/>
        <v>1.0081069299435634</v>
      </c>
      <c r="O100" s="51">
        <f>M100*VLOOKUP($H100,Sheet4!$A$1:$B$7,2,FALSE)*Sheet4!D$2</f>
        <v>3600</v>
      </c>
      <c r="P100" s="51">
        <f>M100*VLOOKUP($H100,Sheet4!$A$1:$B$7,2,FALSE)*Sheet4!E$2</f>
        <v>0</v>
      </c>
      <c r="Q100" s="51">
        <f>M100*VLOOKUP($H100,Sheet4!$A$1:$B$7,2,FALSE)*Sheet4!F$2</f>
        <v>0</v>
      </c>
      <c r="R100" s="51">
        <f>M100*VLOOKUP($H100,Sheet4!$A$1:$B$7,2,FALSE)*Sheet4!G$2</f>
        <v>120</v>
      </c>
      <c r="S100" s="51">
        <f>M100*VLOOKUP($H100,Sheet4!$A$1:$B$7,2,FALSE)*Sheet4!H$2</f>
        <v>60</v>
      </c>
      <c r="T100" s="51">
        <f>M100*VLOOKUP($H100,Sheet4!$A$1:$B$7,2,FALSE)*Sheet4!I$2</f>
        <v>60</v>
      </c>
      <c r="AA100" s="51">
        <f t="shared" si="17"/>
        <v>360</v>
      </c>
      <c r="AB100" s="51">
        <f t="shared" si="12"/>
        <v>0</v>
      </c>
      <c r="AC100" s="51">
        <f t="shared" si="13"/>
        <v>0</v>
      </c>
      <c r="AD100" s="51">
        <f t="shared" si="14"/>
        <v>12</v>
      </c>
      <c r="AE100" s="51">
        <f t="shared" si="15"/>
        <v>6</v>
      </c>
      <c r="AF100" s="51">
        <f t="shared" si="16"/>
        <v>6</v>
      </c>
      <c r="AK100" s="49" t="str">
        <f t="shared" si="10"/>
        <v>2200|4</v>
      </c>
      <c r="AL100" s="49">
        <v>4</v>
      </c>
    </row>
    <row r="101" spans="1:38">
      <c r="A101" s="49">
        <f>Sheet1!A102</f>
        <v>1502</v>
      </c>
      <c r="B101" s="49" t="str">
        <f>Sheet1!B102</f>
        <v>强盗</v>
      </c>
      <c r="C101" s="49">
        <f>Sheet1!D102</f>
        <v>1</v>
      </c>
      <c r="D101" s="49">
        <f>Sheet1!E102</f>
        <v>4</v>
      </c>
      <c r="E101" s="49">
        <f>Sheet1!F102</f>
        <v>3</v>
      </c>
      <c r="F101" s="49">
        <f>Sheet1!G102</f>
        <v>3</v>
      </c>
      <c r="G101" s="49">
        <f>Sheet1!U102</f>
        <v>1</v>
      </c>
      <c r="H101" s="49">
        <f>Sheet1!V102</f>
        <v>2</v>
      </c>
      <c r="M101" s="49">
        <v>1</v>
      </c>
      <c r="N101" s="49">
        <f t="shared" ca="1" si="11"/>
        <v>0.98883617934891366</v>
      </c>
      <c r="O101" s="51">
        <f>M101*VLOOKUP($H101,Sheet4!$A$1:$B$7,2,FALSE)*Sheet4!D$2</f>
        <v>3600</v>
      </c>
      <c r="P101" s="51">
        <f>M101*VLOOKUP($H101,Sheet4!$A$1:$B$7,2,FALSE)*Sheet4!E$2</f>
        <v>0</v>
      </c>
      <c r="Q101" s="51">
        <f>M101*VLOOKUP($H101,Sheet4!$A$1:$B$7,2,FALSE)*Sheet4!F$2</f>
        <v>0</v>
      </c>
      <c r="R101" s="51">
        <f>M101*VLOOKUP($H101,Sheet4!$A$1:$B$7,2,FALSE)*Sheet4!G$2</f>
        <v>120</v>
      </c>
      <c r="S101" s="51">
        <f>M101*VLOOKUP($H101,Sheet4!$A$1:$B$7,2,FALSE)*Sheet4!H$2</f>
        <v>60</v>
      </c>
      <c r="T101" s="51">
        <f>M101*VLOOKUP($H101,Sheet4!$A$1:$B$7,2,FALSE)*Sheet4!I$2</f>
        <v>60</v>
      </c>
      <c r="AA101" s="51">
        <f t="shared" si="17"/>
        <v>360</v>
      </c>
      <c r="AB101" s="51">
        <f t="shared" si="12"/>
        <v>0</v>
      </c>
      <c r="AC101" s="51">
        <f t="shared" si="13"/>
        <v>0</v>
      </c>
      <c r="AD101" s="51">
        <f t="shared" si="14"/>
        <v>12</v>
      </c>
      <c r="AE101" s="51">
        <f t="shared" si="15"/>
        <v>6</v>
      </c>
      <c r="AF101" s="51">
        <f t="shared" si="16"/>
        <v>6</v>
      </c>
      <c r="AK101" s="49" t="str">
        <f t="shared" si="10"/>
        <v>2300|4</v>
      </c>
      <c r="AL101" s="49">
        <v>4</v>
      </c>
    </row>
    <row r="102" spans="1:38">
      <c r="A102" s="49">
        <f>Sheet1!A103</f>
        <v>1503</v>
      </c>
      <c r="B102" s="49" t="str">
        <f>Sheet1!B103</f>
        <v>野猪怪</v>
      </c>
      <c r="C102" s="49">
        <f>Sheet1!D103</f>
        <v>1</v>
      </c>
      <c r="D102" s="49">
        <f>Sheet1!E103</f>
        <v>4</v>
      </c>
      <c r="E102" s="49">
        <f>Sheet1!F103</f>
        <v>3</v>
      </c>
      <c r="F102" s="49">
        <f>Sheet1!G103</f>
        <v>3</v>
      </c>
      <c r="G102" s="49">
        <f>Sheet1!U103</f>
        <v>1</v>
      </c>
      <c r="H102" s="49">
        <f>Sheet1!V103</f>
        <v>2</v>
      </c>
      <c r="M102" s="49">
        <v>1</v>
      </c>
      <c r="N102" s="49">
        <f t="shared" ca="1" si="11"/>
        <v>1.0080504649106101</v>
      </c>
      <c r="O102" s="51">
        <f>M102*VLOOKUP($H102,Sheet4!$A$1:$B$7,2,FALSE)*Sheet4!D$2</f>
        <v>3600</v>
      </c>
      <c r="P102" s="51">
        <f>M102*VLOOKUP($H102,Sheet4!$A$1:$B$7,2,FALSE)*Sheet4!E$2</f>
        <v>0</v>
      </c>
      <c r="Q102" s="51">
        <f>M102*VLOOKUP($H102,Sheet4!$A$1:$B$7,2,FALSE)*Sheet4!F$2</f>
        <v>0</v>
      </c>
      <c r="R102" s="51">
        <f>M102*VLOOKUP($H102,Sheet4!$A$1:$B$7,2,FALSE)*Sheet4!G$2</f>
        <v>120</v>
      </c>
      <c r="S102" s="51">
        <f>M102*VLOOKUP($H102,Sheet4!$A$1:$B$7,2,FALSE)*Sheet4!H$2</f>
        <v>60</v>
      </c>
      <c r="T102" s="51">
        <f>M102*VLOOKUP($H102,Sheet4!$A$1:$B$7,2,FALSE)*Sheet4!I$2</f>
        <v>60</v>
      </c>
      <c r="AA102" s="51">
        <f t="shared" si="17"/>
        <v>360</v>
      </c>
      <c r="AB102" s="51">
        <f t="shared" si="12"/>
        <v>0</v>
      </c>
      <c r="AC102" s="51">
        <f t="shared" si="13"/>
        <v>0</v>
      </c>
      <c r="AD102" s="51">
        <f t="shared" si="14"/>
        <v>12</v>
      </c>
      <c r="AE102" s="51">
        <f t="shared" si="15"/>
        <v>6</v>
      </c>
      <c r="AF102" s="51">
        <f t="shared" si="16"/>
        <v>6</v>
      </c>
      <c r="AK102" s="49" t="str">
        <f t="shared" si="10"/>
        <v>2300|4</v>
      </c>
      <c r="AL102" s="49">
        <v>4</v>
      </c>
    </row>
    <row r="103" spans="1:38">
      <c r="A103" s="49">
        <f>Sheet1!A64</f>
        <v>1504</v>
      </c>
      <c r="B103" s="49" t="str">
        <f>Sheet1!B64</f>
        <v>蟹将</v>
      </c>
      <c r="C103" s="49">
        <f>Sheet1!D64</f>
        <v>1</v>
      </c>
      <c r="D103" s="49">
        <f>Sheet1!E64</f>
        <v>2</v>
      </c>
      <c r="E103" s="49">
        <f>Sheet1!F64</f>
        <v>4</v>
      </c>
      <c r="F103" s="49">
        <f>Sheet1!G64</f>
        <v>4</v>
      </c>
      <c r="G103" s="49">
        <f>Sheet1!U64</f>
        <v>3</v>
      </c>
      <c r="H103" s="49">
        <f>Sheet1!V64</f>
        <v>11</v>
      </c>
      <c r="M103" s="49">
        <v>1</v>
      </c>
      <c r="N103" s="49">
        <f t="shared" ca="1" si="11"/>
        <v>1.0237639026481489</v>
      </c>
      <c r="O103" s="51">
        <f>M103*VLOOKUP($H103,Sheet4!$A$1:$B$7,2,FALSE)*Sheet4!D$2</f>
        <v>4800</v>
      </c>
      <c r="P103" s="51">
        <f>M103*VLOOKUP($H103,Sheet4!$A$1:$B$7,2,FALSE)*Sheet4!E$2</f>
        <v>0</v>
      </c>
      <c r="Q103" s="51">
        <f>M103*VLOOKUP($H103,Sheet4!$A$1:$B$7,2,FALSE)*Sheet4!F$2</f>
        <v>0</v>
      </c>
      <c r="R103" s="51">
        <f>M103*VLOOKUP($H103,Sheet4!$A$1:$B$7,2,FALSE)*Sheet4!G$2</f>
        <v>160</v>
      </c>
      <c r="S103" s="51">
        <f>M103*VLOOKUP($H103,Sheet4!$A$1:$B$7,2,FALSE)*Sheet4!H$2</f>
        <v>80</v>
      </c>
      <c r="T103" s="51">
        <f>M103*VLOOKUP($H103,Sheet4!$A$1:$B$7,2,FALSE)*Sheet4!I$2</f>
        <v>80</v>
      </c>
      <c r="AA103" s="51">
        <f t="shared" si="17"/>
        <v>480</v>
      </c>
      <c r="AB103" s="51">
        <f t="shared" si="12"/>
        <v>0</v>
      </c>
      <c r="AC103" s="51">
        <f t="shared" si="13"/>
        <v>0</v>
      </c>
      <c r="AD103" s="51">
        <f t="shared" si="14"/>
        <v>16</v>
      </c>
      <c r="AE103" s="51">
        <f t="shared" si="15"/>
        <v>8</v>
      </c>
      <c r="AF103" s="51">
        <f t="shared" si="16"/>
        <v>8</v>
      </c>
      <c r="AK103" s="49" t="str">
        <f t="shared" si="10"/>
        <v>11400|4</v>
      </c>
      <c r="AL103" s="49">
        <v>4</v>
      </c>
    </row>
    <row r="104" spans="1:38">
      <c r="A104" s="49">
        <f>Sheet1!A104</f>
        <v>1505</v>
      </c>
      <c r="B104" s="49" t="str">
        <f>Sheet1!B104</f>
        <v>狂豹</v>
      </c>
      <c r="C104" s="49">
        <f>Sheet1!D104</f>
        <v>1</v>
      </c>
      <c r="D104" s="49">
        <f>Sheet1!E104</f>
        <v>4</v>
      </c>
      <c r="E104" s="49">
        <f>Sheet1!F104</f>
        <v>3</v>
      </c>
      <c r="F104" s="49">
        <f>Sheet1!G104</f>
        <v>3</v>
      </c>
      <c r="G104" s="49">
        <f>Sheet1!U104</f>
        <v>2</v>
      </c>
      <c r="H104" s="49">
        <f>Sheet1!V104</f>
        <v>6</v>
      </c>
      <c r="M104" s="49">
        <v>1</v>
      </c>
      <c r="N104" s="49">
        <f t="shared" ca="1" si="11"/>
        <v>0.99035970312878974</v>
      </c>
      <c r="O104" s="51">
        <f>M104*VLOOKUP($H104,Sheet4!$A$1:$B$7,2,FALSE)*Sheet4!D$2</f>
        <v>4200</v>
      </c>
      <c r="P104" s="51">
        <f>M104*VLOOKUP($H104,Sheet4!$A$1:$B$7,2,FALSE)*Sheet4!E$2</f>
        <v>0</v>
      </c>
      <c r="Q104" s="51">
        <f>M104*VLOOKUP($H104,Sheet4!$A$1:$B$7,2,FALSE)*Sheet4!F$2</f>
        <v>0</v>
      </c>
      <c r="R104" s="51">
        <f>M104*VLOOKUP($H104,Sheet4!$A$1:$B$7,2,FALSE)*Sheet4!G$2</f>
        <v>140</v>
      </c>
      <c r="S104" s="51">
        <f>M104*VLOOKUP($H104,Sheet4!$A$1:$B$7,2,FALSE)*Sheet4!H$2</f>
        <v>70</v>
      </c>
      <c r="T104" s="51">
        <f>M104*VLOOKUP($H104,Sheet4!$A$1:$B$7,2,FALSE)*Sheet4!I$2</f>
        <v>70</v>
      </c>
      <c r="AA104" s="51">
        <f t="shared" si="17"/>
        <v>420</v>
      </c>
      <c r="AB104" s="51">
        <f t="shared" si="12"/>
        <v>0</v>
      </c>
      <c r="AC104" s="51">
        <f t="shared" si="13"/>
        <v>0</v>
      </c>
      <c r="AD104" s="51">
        <f t="shared" si="14"/>
        <v>14</v>
      </c>
      <c r="AE104" s="51">
        <f t="shared" si="15"/>
        <v>7</v>
      </c>
      <c r="AF104" s="51">
        <f t="shared" si="16"/>
        <v>7</v>
      </c>
      <c r="AK104" s="49" t="str">
        <f t="shared" si="10"/>
        <v>6300|6</v>
      </c>
      <c r="AL104" s="49">
        <v>6</v>
      </c>
    </row>
    <row r="105" spans="1:38">
      <c r="A105" s="49">
        <f>Sheet1!A105</f>
        <v>1506</v>
      </c>
      <c r="B105" s="49" t="str">
        <f>Sheet1!B105</f>
        <v>护卫</v>
      </c>
      <c r="C105" s="49">
        <f>Sheet1!D105</f>
        <v>1</v>
      </c>
      <c r="D105" s="49">
        <f>Sheet1!E105</f>
        <v>4</v>
      </c>
      <c r="E105" s="49">
        <f>Sheet1!F105</f>
        <v>3</v>
      </c>
      <c r="F105" s="49">
        <f>Sheet1!G105</f>
        <v>3</v>
      </c>
      <c r="G105" s="49">
        <f>Sheet1!U105</f>
        <v>2</v>
      </c>
      <c r="H105" s="49">
        <f>Sheet1!V105</f>
        <v>6</v>
      </c>
      <c r="M105" s="49">
        <v>1</v>
      </c>
      <c r="N105" s="49">
        <f t="shared" ca="1" si="11"/>
        <v>1.0157469790229232</v>
      </c>
      <c r="O105" s="51">
        <f>M105*VLOOKUP($H105,Sheet4!$A$1:$B$7,2,FALSE)*Sheet4!D$2</f>
        <v>4200</v>
      </c>
      <c r="P105" s="51">
        <f>M105*VLOOKUP($H105,Sheet4!$A$1:$B$7,2,FALSE)*Sheet4!E$2</f>
        <v>0</v>
      </c>
      <c r="Q105" s="51">
        <f>M105*VLOOKUP($H105,Sheet4!$A$1:$B$7,2,FALSE)*Sheet4!F$2</f>
        <v>0</v>
      </c>
      <c r="R105" s="51">
        <f>M105*VLOOKUP($H105,Sheet4!$A$1:$B$7,2,FALSE)*Sheet4!G$2</f>
        <v>140</v>
      </c>
      <c r="S105" s="51">
        <f>M105*VLOOKUP($H105,Sheet4!$A$1:$B$7,2,FALSE)*Sheet4!H$2</f>
        <v>70</v>
      </c>
      <c r="T105" s="51">
        <f>M105*VLOOKUP($H105,Sheet4!$A$1:$B$7,2,FALSE)*Sheet4!I$2</f>
        <v>70</v>
      </c>
      <c r="AA105" s="51">
        <f t="shared" si="17"/>
        <v>420</v>
      </c>
      <c r="AB105" s="51">
        <f t="shared" si="12"/>
        <v>0</v>
      </c>
      <c r="AC105" s="51">
        <f t="shared" si="13"/>
        <v>0</v>
      </c>
      <c r="AD105" s="51">
        <f t="shared" si="14"/>
        <v>14</v>
      </c>
      <c r="AE105" s="51">
        <f t="shared" si="15"/>
        <v>7</v>
      </c>
      <c r="AF105" s="51">
        <f t="shared" si="16"/>
        <v>7</v>
      </c>
      <c r="AK105" s="49" t="str">
        <f t="shared" si="10"/>
        <v>6300|6</v>
      </c>
      <c r="AL105" s="49">
        <v>6</v>
      </c>
    </row>
    <row r="106" spans="1:38">
      <c r="A106" s="49">
        <f>Sheet1!A106</f>
        <v>1507</v>
      </c>
      <c r="B106" s="49" t="str">
        <f>Sheet1!B106</f>
        <v>龟丞相</v>
      </c>
      <c r="C106" s="49">
        <f>Sheet1!D106</f>
        <v>1</v>
      </c>
      <c r="D106" s="49">
        <f>Sheet1!E106</f>
        <v>4</v>
      </c>
      <c r="E106" s="49">
        <f>Sheet1!F106</f>
        <v>2</v>
      </c>
      <c r="F106" s="49">
        <f>Sheet1!G106</f>
        <v>2</v>
      </c>
      <c r="G106" s="49">
        <f>Sheet1!U106</f>
        <v>2</v>
      </c>
      <c r="H106" s="49">
        <f>Sheet1!V106</f>
        <v>6</v>
      </c>
      <c r="M106" s="49">
        <v>1</v>
      </c>
      <c r="N106" s="49">
        <f t="shared" ca="1" si="11"/>
        <v>0.99699024948503567</v>
      </c>
      <c r="O106" s="51">
        <f>M106*VLOOKUP($H106,Sheet4!$A$1:$B$7,2,FALSE)*Sheet4!D$2</f>
        <v>4200</v>
      </c>
      <c r="P106" s="51">
        <f>M106*VLOOKUP($H106,Sheet4!$A$1:$B$7,2,FALSE)*Sheet4!E$2</f>
        <v>0</v>
      </c>
      <c r="Q106" s="51">
        <f>M106*VLOOKUP($H106,Sheet4!$A$1:$B$7,2,FALSE)*Sheet4!F$2</f>
        <v>0</v>
      </c>
      <c r="R106" s="51">
        <f>M106*VLOOKUP($H106,Sheet4!$A$1:$B$7,2,FALSE)*Sheet4!G$2</f>
        <v>140</v>
      </c>
      <c r="S106" s="51">
        <f>M106*VLOOKUP($H106,Sheet4!$A$1:$B$7,2,FALSE)*Sheet4!H$2</f>
        <v>70</v>
      </c>
      <c r="T106" s="51">
        <f>M106*VLOOKUP($H106,Sheet4!$A$1:$B$7,2,FALSE)*Sheet4!I$2</f>
        <v>70</v>
      </c>
      <c r="AA106" s="51">
        <f t="shared" si="17"/>
        <v>420</v>
      </c>
      <c r="AB106" s="51">
        <f t="shared" si="12"/>
        <v>0</v>
      </c>
      <c r="AC106" s="51">
        <f t="shared" si="13"/>
        <v>0</v>
      </c>
      <c r="AD106" s="51">
        <f t="shared" si="14"/>
        <v>14</v>
      </c>
      <c r="AE106" s="51">
        <f t="shared" si="15"/>
        <v>7</v>
      </c>
      <c r="AF106" s="51">
        <f t="shared" si="16"/>
        <v>7</v>
      </c>
      <c r="AK106" s="49" t="str">
        <f t="shared" si="10"/>
        <v>6200|6</v>
      </c>
      <c r="AL106" s="49">
        <v>6</v>
      </c>
    </row>
    <row r="107" spans="1:38">
      <c r="A107" s="49">
        <f>Sheet1!A107</f>
        <v>1508</v>
      </c>
      <c r="B107" s="49" t="str">
        <f>Sheet1!B107</f>
        <v>炎魔</v>
      </c>
      <c r="C107" s="49">
        <f>Sheet1!D107</f>
        <v>1</v>
      </c>
      <c r="D107" s="49">
        <f>Sheet1!E107</f>
        <v>4</v>
      </c>
      <c r="E107" s="49">
        <f>Sheet1!F107</f>
        <v>3</v>
      </c>
      <c r="F107" s="49">
        <f>Sheet1!G107</f>
        <v>3</v>
      </c>
      <c r="G107" s="49">
        <f>Sheet1!U107</f>
        <v>2</v>
      </c>
      <c r="H107" s="49">
        <f>Sheet1!V107</f>
        <v>6</v>
      </c>
      <c r="M107" s="49">
        <v>1</v>
      </c>
      <c r="N107" s="49">
        <f t="shared" ca="1" si="11"/>
        <v>0.97805706140564019</v>
      </c>
      <c r="O107" s="51">
        <f>M107*VLOOKUP($H107,Sheet4!$A$1:$B$7,2,FALSE)*Sheet4!D$2</f>
        <v>4200</v>
      </c>
      <c r="P107" s="51">
        <f>M107*VLOOKUP($H107,Sheet4!$A$1:$B$7,2,FALSE)*Sheet4!E$2</f>
        <v>0</v>
      </c>
      <c r="Q107" s="51">
        <f>M107*VLOOKUP($H107,Sheet4!$A$1:$B$7,2,FALSE)*Sheet4!F$2</f>
        <v>0</v>
      </c>
      <c r="R107" s="51">
        <f>M107*VLOOKUP($H107,Sheet4!$A$1:$B$7,2,FALSE)*Sheet4!G$2</f>
        <v>140</v>
      </c>
      <c r="S107" s="51">
        <f>M107*VLOOKUP($H107,Sheet4!$A$1:$B$7,2,FALSE)*Sheet4!H$2</f>
        <v>70</v>
      </c>
      <c r="T107" s="51">
        <f>M107*VLOOKUP($H107,Sheet4!$A$1:$B$7,2,FALSE)*Sheet4!I$2</f>
        <v>70</v>
      </c>
      <c r="AA107" s="51">
        <f t="shared" si="17"/>
        <v>420</v>
      </c>
      <c r="AB107" s="51">
        <f t="shared" si="12"/>
        <v>0</v>
      </c>
      <c r="AC107" s="51">
        <f t="shared" si="13"/>
        <v>0</v>
      </c>
      <c r="AD107" s="51">
        <f t="shared" si="14"/>
        <v>14</v>
      </c>
      <c r="AE107" s="51">
        <f t="shared" si="15"/>
        <v>7</v>
      </c>
      <c r="AF107" s="51">
        <f t="shared" si="16"/>
        <v>7</v>
      </c>
      <c r="AK107" s="49" t="str">
        <f t="shared" si="10"/>
        <v>6300|6</v>
      </c>
      <c r="AL107" s="49">
        <v>6</v>
      </c>
    </row>
    <row r="108" spans="1:38">
      <c r="A108" s="49">
        <f>Sheet1!A108</f>
        <v>2018</v>
      </c>
      <c r="B108" s="49" t="str">
        <f>Sheet1!B108</f>
        <v>天将</v>
      </c>
      <c r="C108" s="49">
        <f>Sheet1!D108</f>
        <v>1</v>
      </c>
      <c r="D108" s="49">
        <f>Sheet1!E108</f>
        <v>4</v>
      </c>
      <c r="E108" s="49">
        <f>Sheet1!F108</f>
        <v>3</v>
      </c>
      <c r="F108" s="49">
        <f>Sheet1!G108</f>
        <v>3</v>
      </c>
      <c r="G108" s="49">
        <f>Sheet1!U108</f>
        <v>2</v>
      </c>
      <c r="H108" s="49">
        <f>Sheet1!V108</f>
        <v>6</v>
      </c>
      <c r="M108" s="49">
        <v>1</v>
      </c>
      <c r="N108" s="49">
        <f t="shared" ca="1" si="11"/>
        <v>1.0038014498648138</v>
      </c>
      <c r="O108" s="51">
        <f>M108*VLOOKUP($H108,Sheet4!$A$1:$B$7,2,FALSE)*Sheet4!D$2</f>
        <v>4200</v>
      </c>
      <c r="P108" s="51">
        <f>M108*VLOOKUP($H108,Sheet4!$A$1:$B$7,2,FALSE)*Sheet4!E$2</f>
        <v>0</v>
      </c>
      <c r="Q108" s="51">
        <f>M108*VLOOKUP($H108,Sheet4!$A$1:$B$7,2,FALSE)*Sheet4!F$2</f>
        <v>0</v>
      </c>
      <c r="R108" s="51">
        <f>M108*VLOOKUP($H108,Sheet4!$A$1:$B$7,2,FALSE)*Sheet4!G$2</f>
        <v>140</v>
      </c>
      <c r="S108" s="51">
        <f>M108*VLOOKUP($H108,Sheet4!$A$1:$B$7,2,FALSE)*Sheet4!H$2</f>
        <v>70</v>
      </c>
      <c r="T108" s="51">
        <f>M108*VLOOKUP($H108,Sheet4!$A$1:$B$7,2,FALSE)*Sheet4!I$2</f>
        <v>70</v>
      </c>
      <c r="AA108" s="51">
        <f t="shared" si="17"/>
        <v>420</v>
      </c>
      <c r="AB108" s="51">
        <f t="shared" si="12"/>
        <v>0</v>
      </c>
      <c r="AC108" s="51">
        <f t="shared" si="13"/>
        <v>0</v>
      </c>
      <c r="AD108" s="51">
        <f t="shared" si="14"/>
        <v>14</v>
      </c>
      <c r="AE108" s="51">
        <f t="shared" si="15"/>
        <v>7</v>
      </c>
      <c r="AF108" s="51">
        <f t="shared" si="16"/>
        <v>7</v>
      </c>
      <c r="AK108" s="49" t="str">
        <f t="shared" si="10"/>
        <v>6300|6</v>
      </c>
      <c r="AL108" s="49">
        <v>6</v>
      </c>
    </row>
    <row r="109" spans="1:38">
      <c r="A109" s="49">
        <f>Sheet1!A109</f>
        <v>1220</v>
      </c>
      <c r="B109" s="49" t="str">
        <f>Sheet1!B109</f>
        <v>九头虫</v>
      </c>
      <c r="C109" s="49">
        <f>Sheet1!D109</f>
        <v>1</v>
      </c>
      <c r="D109" s="49">
        <f>Sheet1!E109</f>
        <v>4</v>
      </c>
      <c r="E109" s="49">
        <f>Sheet1!F109</f>
        <v>2</v>
      </c>
      <c r="F109" s="49">
        <f>Sheet1!G109</f>
        <v>2</v>
      </c>
      <c r="G109" s="49">
        <f>Sheet1!U109</f>
        <v>6</v>
      </c>
      <c r="H109" s="49">
        <f>Sheet1!V109</f>
        <v>20</v>
      </c>
      <c r="M109" s="49">
        <v>1</v>
      </c>
      <c r="N109" s="49">
        <f t="shared" ca="1" si="11"/>
        <v>0.97881727183847989</v>
      </c>
      <c r="O109" s="51">
        <f>M109*VLOOKUP($H109,Sheet4!$A$1:$B$7,2,FALSE)*Sheet4!D$2</f>
        <v>7200</v>
      </c>
      <c r="P109" s="51">
        <f>M109*VLOOKUP($H109,Sheet4!$A$1:$B$7,2,FALSE)*Sheet4!E$2</f>
        <v>0</v>
      </c>
      <c r="Q109" s="51">
        <f>M109*VLOOKUP($H109,Sheet4!$A$1:$B$7,2,FALSE)*Sheet4!F$2</f>
        <v>0</v>
      </c>
      <c r="R109" s="51">
        <f>M109*VLOOKUP($H109,Sheet4!$A$1:$B$7,2,FALSE)*Sheet4!G$2</f>
        <v>240</v>
      </c>
      <c r="S109" s="51">
        <f>M109*VLOOKUP($H109,Sheet4!$A$1:$B$7,2,FALSE)*Sheet4!H$2</f>
        <v>120</v>
      </c>
      <c r="T109" s="51">
        <f>M109*VLOOKUP($H109,Sheet4!$A$1:$B$7,2,FALSE)*Sheet4!I$2</f>
        <v>120</v>
      </c>
      <c r="AA109" s="51">
        <f t="shared" si="17"/>
        <v>720</v>
      </c>
      <c r="AB109" s="51">
        <f t="shared" si="12"/>
        <v>0</v>
      </c>
      <c r="AC109" s="51">
        <f t="shared" si="13"/>
        <v>0</v>
      </c>
      <c r="AD109" s="51">
        <f t="shared" si="14"/>
        <v>24</v>
      </c>
      <c r="AE109" s="51">
        <f t="shared" si="15"/>
        <v>12</v>
      </c>
      <c r="AF109" s="51">
        <f t="shared" si="16"/>
        <v>12</v>
      </c>
      <c r="AK109" s="49" t="str">
        <f t="shared" si="10"/>
        <v>20200|10</v>
      </c>
      <c r="AL109" s="49">
        <v>10</v>
      </c>
    </row>
    <row r="110" spans="1:38">
      <c r="A110" s="49">
        <f>Sheet1!A110</f>
        <v>1221</v>
      </c>
      <c r="B110" s="49" t="str">
        <f>Sheet1!B110</f>
        <v>镇元大仙</v>
      </c>
      <c r="C110" s="49">
        <f>Sheet1!D110</f>
        <v>1</v>
      </c>
      <c r="D110" s="49">
        <f>Sheet1!E110</f>
        <v>4</v>
      </c>
      <c r="E110" s="49">
        <f>Sheet1!F110</f>
        <v>2</v>
      </c>
      <c r="F110" s="49">
        <f>Sheet1!G110</f>
        <v>2</v>
      </c>
      <c r="G110" s="49">
        <f>Sheet1!U110</f>
        <v>6</v>
      </c>
      <c r="H110" s="49">
        <f>Sheet1!V110</f>
        <v>20</v>
      </c>
      <c r="M110" s="49">
        <v>1</v>
      </c>
      <c r="N110" s="49">
        <f t="shared" ca="1" si="11"/>
        <v>0.99410434989440499</v>
      </c>
      <c r="O110" s="51">
        <f>M110*VLOOKUP($H110,Sheet4!$A$1:$B$7,2,FALSE)*Sheet4!D$2</f>
        <v>7200</v>
      </c>
      <c r="P110" s="51">
        <f>M110*VLOOKUP($H110,Sheet4!$A$1:$B$7,2,FALSE)*Sheet4!E$2</f>
        <v>0</v>
      </c>
      <c r="Q110" s="51">
        <f>M110*VLOOKUP($H110,Sheet4!$A$1:$B$7,2,FALSE)*Sheet4!F$2</f>
        <v>0</v>
      </c>
      <c r="R110" s="51">
        <f>M110*VLOOKUP($H110,Sheet4!$A$1:$B$7,2,FALSE)*Sheet4!G$2</f>
        <v>240</v>
      </c>
      <c r="S110" s="51">
        <f>M110*VLOOKUP($H110,Sheet4!$A$1:$B$7,2,FALSE)*Sheet4!H$2</f>
        <v>120</v>
      </c>
      <c r="T110" s="51">
        <f>M110*VLOOKUP($H110,Sheet4!$A$1:$B$7,2,FALSE)*Sheet4!I$2</f>
        <v>120</v>
      </c>
      <c r="AA110" s="51">
        <f t="shared" si="17"/>
        <v>720</v>
      </c>
      <c r="AB110" s="51">
        <f t="shared" si="12"/>
        <v>0</v>
      </c>
      <c r="AC110" s="51">
        <f t="shared" si="13"/>
        <v>0</v>
      </c>
      <c r="AD110" s="51">
        <f t="shared" si="14"/>
        <v>24</v>
      </c>
      <c r="AE110" s="51">
        <f t="shared" si="15"/>
        <v>12</v>
      </c>
      <c r="AF110" s="51">
        <f t="shared" si="16"/>
        <v>12</v>
      </c>
      <c r="AK110" s="49" t="str">
        <f t="shared" si="10"/>
        <v>20200|10</v>
      </c>
      <c r="AL110" s="49">
        <v>10</v>
      </c>
    </row>
    <row r="111" spans="1:38">
      <c r="A111" s="49">
        <f>Sheet1!A111</f>
        <v>1222</v>
      </c>
      <c r="B111" s="49" t="str">
        <f>Sheet1!B111</f>
        <v>如来佛祖</v>
      </c>
      <c r="C111" s="49">
        <f>Sheet1!D111</f>
        <v>1</v>
      </c>
      <c r="D111" s="49">
        <f>Sheet1!E111</f>
        <v>4</v>
      </c>
      <c r="E111" s="49">
        <f>Sheet1!F111</f>
        <v>2</v>
      </c>
      <c r="F111" s="49">
        <f>Sheet1!G111</f>
        <v>2</v>
      </c>
      <c r="G111" s="49">
        <f>Sheet1!U111</f>
        <v>6</v>
      </c>
      <c r="H111" s="49">
        <f>Sheet1!V111</f>
        <v>20</v>
      </c>
      <c r="M111" s="49">
        <v>1</v>
      </c>
      <c r="N111" s="49">
        <f t="shared" ca="1" si="11"/>
        <v>1.0050724064922865</v>
      </c>
      <c r="O111" s="51">
        <f>M111*VLOOKUP($H111,Sheet4!$A$1:$B$7,2,FALSE)*Sheet4!D$2</f>
        <v>7200</v>
      </c>
      <c r="P111" s="51">
        <f>M111*VLOOKUP($H111,Sheet4!$A$1:$B$7,2,FALSE)*Sheet4!E$2</f>
        <v>0</v>
      </c>
      <c r="Q111" s="51">
        <f>M111*VLOOKUP($H111,Sheet4!$A$1:$B$7,2,FALSE)*Sheet4!F$2</f>
        <v>0</v>
      </c>
      <c r="R111" s="51">
        <f>M111*VLOOKUP($H111,Sheet4!$A$1:$B$7,2,FALSE)*Sheet4!G$2</f>
        <v>240</v>
      </c>
      <c r="S111" s="51">
        <f>M111*VLOOKUP($H111,Sheet4!$A$1:$B$7,2,FALSE)*Sheet4!H$2</f>
        <v>120</v>
      </c>
      <c r="T111" s="51">
        <f>M111*VLOOKUP($H111,Sheet4!$A$1:$B$7,2,FALSE)*Sheet4!I$2</f>
        <v>120</v>
      </c>
      <c r="AA111" s="51">
        <f t="shared" si="17"/>
        <v>720</v>
      </c>
      <c r="AB111" s="51">
        <f t="shared" si="12"/>
        <v>0</v>
      </c>
      <c r="AC111" s="51">
        <f t="shared" si="13"/>
        <v>0</v>
      </c>
      <c r="AD111" s="51">
        <f t="shared" si="14"/>
        <v>24</v>
      </c>
      <c r="AE111" s="51">
        <f t="shared" si="15"/>
        <v>12</v>
      </c>
      <c r="AF111" s="51">
        <f t="shared" si="16"/>
        <v>12</v>
      </c>
      <c r="AK111" s="49" t="str">
        <f t="shared" si="10"/>
        <v>20200|10</v>
      </c>
      <c r="AL111" s="49">
        <v>10</v>
      </c>
    </row>
    <row r="112" spans="1:38">
      <c r="A112" s="49">
        <f>Sheet1!A112</f>
        <v>1223</v>
      </c>
      <c r="B112" s="49" t="str">
        <f>Sheet1!B112</f>
        <v>孔雀大明王</v>
      </c>
      <c r="C112" s="49">
        <f>Sheet1!D112</f>
        <v>1</v>
      </c>
      <c r="D112" s="49">
        <f>Sheet1!E112</f>
        <v>4</v>
      </c>
      <c r="E112" s="49">
        <f>Sheet1!F112</f>
        <v>5</v>
      </c>
      <c r="F112" s="49">
        <f>Sheet1!G112</f>
        <v>2</v>
      </c>
      <c r="G112" s="49">
        <f>Sheet1!U112</f>
        <v>6</v>
      </c>
      <c r="H112" s="49">
        <f>Sheet1!V112</f>
        <v>20</v>
      </c>
      <c r="M112" s="49">
        <v>1</v>
      </c>
      <c r="N112" s="49">
        <f t="shared" ca="1" si="11"/>
        <v>1.0247029755769856</v>
      </c>
      <c r="O112" s="51">
        <f>M112*VLOOKUP($H112,Sheet4!$A$1:$B$7,2,FALSE)*Sheet4!D$2</f>
        <v>7200</v>
      </c>
      <c r="P112" s="51">
        <f>M112*VLOOKUP($H112,Sheet4!$A$1:$B$7,2,FALSE)*Sheet4!E$2</f>
        <v>0</v>
      </c>
      <c r="Q112" s="51">
        <f>M112*VLOOKUP($H112,Sheet4!$A$1:$B$7,2,FALSE)*Sheet4!F$2</f>
        <v>0</v>
      </c>
      <c r="R112" s="51">
        <f>M112*VLOOKUP($H112,Sheet4!$A$1:$B$7,2,FALSE)*Sheet4!G$2</f>
        <v>240</v>
      </c>
      <c r="S112" s="51">
        <f>M112*VLOOKUP($H112,Sheet4!$A$1:$B$7,2,FALSE)*Sheet4!H$2</f>
        <v>120</v>
      </c>
      <c r="T112" s="51">
        <f>M112*VLOOKUP($H112,Sheet4!$A$1:$B$7,2,FALSE)*Sheet4!I$2</f>
        <v>120</v>
      </c>
      <c r="AA112" s="51">
        <f t="shared" si="17"/>
        <v>720</v>
      </c>
      <c r="AB112" s="51">
        <f t="shared" si="12"/>
        <v>0</v>
      </c>
      <c r="AC112" s="51">
        <f t="shared" si="13"/>
        <v>0</v>
      </c>
      <c r="AD112" s="51">
        <f t="shared" si="14"/>
        <v>24</v>
      </c>
      <c r="AE112" s="51">
        <f t="shared" si="15"/>
        <v>12</v>
      </c>
      <c r="AF112" s="51">
        <f t="shared" si="16"/>
        <v>12</v>
      </c>
      <c r="AK112" s="49" t="str">
        <f>H112*1000+F112*100&amp;"|"&amp;AL112</f>
        <v>20200|8</v>
      </c>
      <c r="AL112" s="49">
        <v>8</v>
      </c>
    </row>
    <row r="113" spans="1:38">
      <c r="A113" s="49">
        <f>Sheet1!A113</f>
        <v>1224</v>
      </c>
      <c r="B113" s="49" t="str">
        <f>Sheet1!B113</f>
        <v>观世音(废弃)</v>
      </c>
      <c r="C113" s="49">
        <f>Sheet1!D113</f>
        <v>1</v>
      </c>
      <c r="D113" s="49">
        <f>Sheet1!E113</f>
        <v>4</v>
      </c>
      <c r="E113" s="49">
        <f>Sheet1!F113</f>
        <v>2</v>
      </c>
      <c r="F113" s="49">
        <f>Sheet1!G113</f>
        <v>2</v>
      </c>
      <c r="G113" s="49">
        <f>Sheet1!U113</f>
        <v>5</v>
      </c>
      <c r="H113" s="49">
        <f>Sheet1!V113</f>
        <v>16</v>
      </c>
      <c r="M113" s="49">
        <v>1</v>
      </c>
      <c r="N113" s="49">
        <f t="shared" ca="1" si="11"/>
        <v>0.98431761155103747</v>
      </c>
      <c r="O113" s="51">
        <f>M113*VLOOKUP($H113,Sheet4!$A$1:$B$7,2,FALSE)*Sheet4!D$2</f>
        <v>6000</v>
      </c>
      <c r="P113" s="51">
        <f>M113*VLOOKUP($H113,Sheet4!$A$1:$B$7,2,FALSE)*Sheet4!E$2</f>
        <v>0</v>
      </c>
      <c r="Q113" s="51">
        <f>M113*VLOOKUP($H113,Sheet4!$A$1:$B$7,2,FALSE)*Sheet4!F$2</f>
        <v>0</v>
      </c>
      <c r="R113" s="51">
        <f>M113*VLOOKUP($H113,Sheet4!$A$1:$B$7,2,FALSE)*Sheet4!G$2</f>
        <v>200</v>
      </c>
      <c r="S113" s="51">
        <f>M113*VLOOKUP($H113,Sheet4!$A$1:$B$7,2,FALSE)*Sheet4!H$2</f>
        <v>100</v>
      </c>
      <c r="T113" s="51">
        <f>M113*VLOOKUP($H113,Sheet4!$A$1:$B$7,2,FALSE)*Sheet4!I$2</f>
        <v>100</v>
      </c>
      <c r="AA113" s="51">
        <f t="shared" si="17"/>
        <v>600</v>
      </c>
      <c r="AB113" s="51">
        <f t="shared" si="12"/>
        <v>0</v>
      </c>
      <c r="AC113" s="51">
        <f t="shared" si="13"/>
        <v>0</v>
      </c>
      <c r="AD113" s="51">
        <f t="shared" si="14"/>
        <v>20</v>
      </c>
      <c r="AE113" s="51">
        <f t="shared" si="15"/>
        <v>10</v>
      </c>
      <c r="AF113" s="51">
        <f t="shared" si="16"/>
        <v>10</v>
      </c>
      <c r="AK113" s="49" t="str">
        <f>H113*1000+F113*100&amp;"|"&amp;AL113</f>
        <v>16200|10</v>
      </c>
      <c r="AL113" s="49">
        <v>10</v>
      </c>
    </row>
    <row r="114" spans="1:38">
      <c r="A114" s="49">
        <f>Sheet1!A114</f>
        <v>1225</v>
      </c>
      <c r="B114" s="49" t="str">
        <f>Sheet1!B114</f>
        <v>观世阴</v>
      </c>
      <c r="C114" s="49">
        <f>Sheet1!D114</f>
        <v>1</v>
      </c>
      <c r="D114" s="49">
        <f>Sheet1!E114</f>
        <v>4</v>
      </c>
      <c r="E114" s="49">
        <f>Sheet1!F114</f>
        <v>2</v>
      </c>
      <c r="F114" s="49">
        <f>Sheet1!G114</f>
        <v>2</v>
      </c>
      <c r="G114" s="49">
        <f>Sheet1!U114</f>
        <v>6</v>
      </c>
      <c r="H114" s="49">
        <f>Sheet1!V114</f>
        <v>20</v>
      </c>
      <c r="M114" s="49">
        <v>1</v>
      </c>
      <c r="N114" s="49">
        <f t="shared" ca="1" si="11"/>
        <v>1.0125540625699914</v>
      </c>
      <c r="O114" s="51">
        <f>M114*VLOOKUP($H114,Sheet4!$A$1:$B$7,2,FALSE)*Sheet4!D$2</f>
        <v>7200</v>
      </c>
      <c r="P114" s="51">
        <f>M114*VLOOKUP($H114,Sheet4!$A$1:$B$7,2,FALSE)*Sheet4!E$2</f>
        <v>0</v>
      </c>
      <c r="Q114" s="51">
        <f>M114*VLOOKUP($H114,Sheet4!$A$1:$B$7,2,FALSE)*Sheet4!F$2</f>
        <v>0</v>
      </c>
      <c r="R114" s="51">
        <f>M114*VLOOKUP($H114,Sheet4!$A$1:$B$7,2,FALSE)*Sheet4!G$2</f>
        <v>240</v>
      </c>
      <c r="S114" s="51">
        <f>M114*VLOOKUP($H114,Sheet4!$A$1:$B$7,2,FALSE)*Sheet4!H$2</f>
        <v>120</v>
      </c>
      <c r="T114" s="51">
        <f>M114*VLOOKUP($H114,Sheet4!$A$1:$B$7,2,FALSE)*Sheet4!I$2</f>
        <v>120</v>
      </c>
      <c r="AA114" s="51">
        <f t="shared" si="17"/>
        <v>720</v>
      </c>
      <c r="AB114" s="51">
        <f t="shared" si="12"/>
        <v>0</v>
      </c>
      <c r="AC114" s="51">
        <f t="shared" si="13"/>
        <v>0</v>
      </c>
      <c r="AD114" s="51">
        <f t="shared" si="14"/>
        <v>24</v>
      </c>
      <c r="AE114" s="51">
        <f t="shared" si="15"/>
        <v>12</v>
      </c>
      <c r="AF114" s="51">
        <f t="shared" si="16"/>
        <v>12</v>
      </c>
      <c r="AK114" s="49" t="str">
        <f>H114*1000+F114*100&amp;"|"&amp;AL114</f>
        <v>20200|10</v>
      </c>
      <c r="AL114" s="49">
        <v>10</v>
      </c>
    </row>
  </sheetData>
  <autoFilter ref="A1:AW61"/>
  <phoneticPr fontId="16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dimension ref="A1:U25"/>
  <sheetViews>
    <sheetView workbookViewId="0">
      <selection activeCell="D22" sqref="A19:D22"/>
    </sheetView>
  </sheetViews>
  <sheetFormatPr defaultRowHeight="13.5"/>
  <cols>
    <col min="1" max="3" width="9" style="59"/>
    <col min="4" max="4" width="13.625" style="59" bestFit="1" customWidth="1"/>
    <col min="5" max="7" width="9" style="59" bestFit="1" customWidth="1"/>
    <col min="8" max="9" width="7.125" style="59" bestFit="1" customWidth="1"/>
    <col min="10" max="11" width="9" style="59"/>
    <col min="12" max="13" width="11" style="59" bestFit="1" customWidth="1"/>
    <col min="14" max="15" width="13" style="59" bestFit="1" customWidth="1"/>
    <col min="16" max="19" width="5.5" style="59" bestFit="1" customWidth="1"/>
    <col min="20" max="21" width="20.125" style="59" bestFit="1" customWidth="1"/>
    <col min="22" max="16384" width="9" style="59"/>
  </cols>
  <sheetData>
    <row r="1" spans="1:21" ht="49.5">
      <c r="A1" s="55" t="s">
        <v>720</v>
      </c>
      <c r="B1" s="55" t="s">
        <v>721</v>
      </c>
      <c r="C1" s="58"/>
      <c r="D1" s="53" t="s">
        <v>864</v>
      </c>
      <c r="E1" s="53" t="s">
        <v>865</v>
      </c>
      <c r="F1" s="53" t="s">
        <v>723</v>
      </c>
      <c r="G1" s="53" t="s">
        <v>866</v>
      </c>
      <c r="H1" s="53" t="s">
        <v>867</v>
      </c>
      <c r="I1" s="53" t="s">
        <v>868</v>
      </c>
      <c r="J1" s="53" t="s">
        <v>864</v>
      </c>
      <c r="K1" s="53" t="s">
        <v>865</v>
      </c>
      <c r="L1" s="53" t="s">
        <v>723</v>
      </c>
      <c r="M1" s="53" t="s">
        <v>866</v>
      </c>
      <c r="N1" s="53" t="s">
        <v>867</v>
      </c>
      <c r="O1" s="53" t="s">
        <v>868</v>
      </c>
      <c r="P1" s="127"/>
      <c r="Q1" s="127"/>
      <c r="R1" s="127"/>
      <c r="S1" s="127"/>
      <c r="T1" s="58"/>
      <c r="U1" s="58"/>
    </row>
    <row r="2" spans="1:21" ht="16.5">
      <c r="A2" s="55">
        <v>20</v>
      </c>
      <c r="B2" s="55">
        <v>1.2</v>
      </c>
      <c r="D2" s="56">
        <v>6000</v>
      </c>
      <c r="E2" s="56">
        <v>0</v>
      </c>
      <c r="F2" s="56">
        <v>0</v>
      </c>
      <c r="G2" s="56">
        <v>200</v>
      </c>
      <c r="H2" s="56">
        <v>100</v>
      </c>
      <c r="I2" s="56">
        <v>100</v>
      </c>
      <c r="J2" s="56">
        <f t="shared" ref="J2:O2" si="0">D2*0.1</f>
        <v>600</v>
      </c>
      <c r="K2" s="56">
        <f t="shared" si="0"/>
        <v>0</v>
      </c>
      <c r="L2" s="56">
        <f t="shared" si="0"/>
        <v>0</v>
      </c>
      <c r="M2" s="56">
        <f t="shared" si="0"/>
        <v>20</v>
      </c>
      <c r="N2" s="56">
        <f t="shared" si="0"/>
        <v>10</v>
      </c>
      <c r="O2" s="56">
        <f t="shared" si="0"/>
        <v>10</v>
      </c>
      <c r="P2" s="57"/>
      <c r="Q2" s="57"/>
      <c r="R2" s="57"/>
      <c r="S2" s="57"/>
    </row>
    <row r="3" spans="1:21" ht="16.5">
      <c r="A3" s="55">
        <v>16</v>
      </c>
      <c r="B3" s="55">
        <v>1</v>
      </c>
      <c r="K3" s="57"/>
      <c r="L3" s="57"/>
      <c r="M3" s="57"/>
      <c r="N3" s="57"/>
      <c r="O3" s="57"/>
      <c r="P3" s="57"/>
      <c r="Q3" s="57"/>
      <c r="R3" s="57"/>
      <c r="S3" s="57"/>
    </row>
    <row r="4" spans="1:21" ht="16.5">
      <c r="A4" s="55">
        <v>13</v>
      </c>
      <c r="B4" s="55">
        <v>0.9</v>
      </c>
    </row>
    <row r="5" spans="1:21" ht="16.5">
      <c r="A5" s="55">
        <v>11</v>
      </c>
      <c r="B5" s="55">
        <v>0.8</v>
      </c>
    </row>
    <row r="6" spans="1:21" ht="16.5">
      <c r="A6" s="55">
        <v>6</v>
      </c>
      <c r="B6" s="55">
        <v>0.7</v>
      </c>
    </row>
    <row r="7" spans="1:21" ht="16.5">
      <c r="A7" s="55">
        <v>2</v>
      </c>
      <c r="B7" s="55">
        <v>0.6</v>
      </c>
    </row>
    <row r="13" spans="1:21">
      <c r="I13" s="60"/>
    </row>
    <row r="14" spans="1:21">
      <c r="E14" s="59" t="s">
        <v>869</v>
      </c>
    </row>
    <row r="18" spans="4:7">
      <c r="D18" s="60"/>
      <c r="E18" s="60"/>
      <c r="F18" s="60"/>
      <c r="G18" s="60"/>
    </row>
    <row r="20" spans="4:7">
      <c r="D20" s="60"/>
      <c r="E20" s="60"/>
      <c r="F20" s="60"/>
      <c r="G20" s="60"/>
    </row>
    <row r="23" spans="4:7">
      <c r="D23" s="60"/>
      <c r="E23" s="60"/>
      <c r="F23" s="60"/>
      <c r="G23" s="60"/>
    </row>
    <row r="24" spans="4:7">
      <c r="D24" s="60"/>
      <c r="E24" s="60"/>
      <c r="F24" s="60"/>
      <c r="G24" s="60"/>
    </row>
    <row r="25" spans="4:7">
      <c r="D25" s="60"/>
      <c r="E25" s="60"/>
      <c r="F25" s="60"/>
      <c r="G25" s="60"/>
    </row>
  </sheetData>
  <mergeCells count="1">
    <mergeCell ref="P1:S1"/>
  </mergeCells>
  <phoneticPr fontId="6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dimension ref="A1:P117"/>
  <sheetViews>
    <sheetView workbookViewId="0">
      <selection activeCell="M1" sqref="M1"/>
    </sheetView>
  </sheetViews>
  <sheetFormatPr defaultRowHeight="13.5"/>
  <sheetData>
    <row r="1" spans="1:16">
      <c r="A1" t="s">
        <v>941</v>
      </c>
      <c r="B1" t="s">
        <v>0</v>
      </c>
      <c r="C1" t="s">
        <v>942</v>
      </c>
      <c r="D1" t="s">
        <v>678</v>
      </c>
      <c r="E1" t="s">
        <v>943</v>
      </c>
      <c r="F1" t="s">
        <v>944</v>
      </c>
      <c r="H1" t="s">
        <v>945</v>
      </c>
      <c r="I1" t="s">
        <v>946</v>
      </c>
      <c r="J1" t="s">
        <v>947</v>
      </c>
      <c r="K1" t="s">
        <v>948</v>
      </c>
      <c r="M1" t="s">
        <v>949</v>
      </c>
      <c r="N1" t="s">
        <v>950</v>
      </c>
      <c r="O1" t="s">
        <v>951</v>
      </c>
      <c r="P1" t="s">
        <v>952</v>
      </c>
    </row>
    <row r="2" spans="1:16">
      <c r="A2">
        <v>1801</v>
      </c>
      <c r="B2" t="s">
        <v>28</v>
      </c>
      <c r="C2">
        <v>4</v>
      </c>
      <c r="D2">
        <v>3</v>
      </c>
      <c r="E2">
        <v>2</v>
      </c>
      <c r="F2">
        <v>1</v>
      </c>
      <c r="G2" t="s">
        <v>953</v>
      </c>
      <c r="H2">
        <v>16000</v>
      </c>
      <c r="I2">
        <v>2263</v>
      </c>
      <c r="J2">
        <v>200</v>
      </c>
      <c r="K2">
        <v>200</v>
      </c>
      <c r="M2">
        <v>400</v>
      </c>
      <c r="N2">
        <v>44</v>
      </c>
      <c r="O2">
        <v>25</v>
      </c>
      <c r="P2">
        <v>24</v>
      </c>
    </row>
    <row r="3" spans="1:16">
      <c r="A3">
        <v>1802</v>
      </c>
      <c r="B3" t="s">
        <v>31</v>
      </c>
      <c r="C3">
        <v>4</v>
      </c>
      <c r="D3">
        <v>3</v>
      </c>
      <c r="E3">
        <v>2</v>
      </c>
      <c r="F3">
        <v>1</v>
      </c>
      <c r="G3" t="s">
        <v>953</v>
      </c>
      <c r="H3">
        <v>15000</v>
      </c>
      <c r="I3">
        <v>2763</v>
      </c>
      <c r="J3">
        <v>536</v>
      </c>
      <c r="K3">
        <v>536</v>
      </c>
      <c r="M3">
        <v>270</v>
      </c>
      <c r="N3">
        <v>18</v>
      </c>
      <c r="O3">
        <v>9</v>
      </c>
      <c r="P3">
        <v>9</v>
      </c>
    </row>
    <row r="4" spans="1:16">
      <c r="A4">
        <v>1803</v>
      </c>
      <c r="B4" t="s">
        <v>132</v>
      </c>
      <c r="C4">
        <v>4</v>
      </c>
      <c r="D4">
        <v>3</v>
      </c>
      <c r="E4">
        <v>2</v>
      </c>
      <c r="F4">
        <v>1</v>
      </c>
      <c r="G4" t="s">
        <v>953</v>
      </c>
      <c r="H4">
        <v>15000</v>
      </c>
      <c r="I4">
        <v>3263</v>
      </c>
      <c r="J4">
        <v>200</v>
      </c>
      <c r="K4">
        <v>200</v>
      </c>
      <c r="M4">
        <v>270</v>
      </c>
      <c r="N4">
        <v>18</v>
      </c>
      <c r="O4">
        <v>9</v>
      </c>
      <c r="P4">
        <v>9</v>
      </c>
    </row>
    <row r="5" spans="1:16">
      <c r="A5">
        <v>1153</v>
      </c>
      <c r="B5" t="s">
        <v>309</v>
      </c>
      <c r="C5">
        <v>4</v>
      </c>
      <c r="D5">
        <v>3</v>
      </c>
      <c r="E5">
        <v>2</v>
      </c>
      <c r="F5">
        <v>2</v>
      </c>
      <c r="G5" t="s">
        <v>954</v>
      </c>
      <c r="H5">
        <v>4800</v>
      </c>
      <c r="I5">
        <v>120</v>
      </c>
      <c r="J5">
        <v>60</v>
      </c>
      <c r="K5">
        <v>60</v>
      </c>
      <c r="M5">
        <v>480</v>
      </c>
      <c r="N5">
        <v>12</v>
      </c>
      <c r="O5">
        <v>6</v>
      </c>
      <c r="P5">
        <v>6</v>
      </c>
    </row>
    <row r="6" spans="1:16">
      <c r="A6">
        <v>1154</v>
      </c>
      <c r="B6" t="s">
        <v>311</v>
      </c>
      <c r="C6">
        <v>4</v>
      </c>
      <c r="D6">
        <v>3</v>
      </c>
      <c r="E6">
        <v>2</v>
      </c>
      <c r="F6">
        <v>2</v>
      </c>
      <c r="G6" t="s">
        <v>954</v>
      </c>
      <c r="H6">
        <v>4800</v>
      </c>
      <c r="I6">
        <v>120</v>
      </c>
      <c r="J6">
        <v>60</v>
      </c>
      <c r="K6">
        <v>60</v>
      </c>
      <c r="M6">
        <v>480</v>
      </c>
      <c r="N6">
        <v>12</v>
      </c>
      <c r="O6">
        <v>6</v>
      </c>
      <c r="P6">
        <v>6</v>
      </c>
    </row>
    <row r="7" spans="1:16">
      <c r="A7">
        <v>1164</v>
      </c>
      <c r="B7" t="s">
        <v>180</v>
      </c>
      <c r="C7">
        <v>4</v>
      </c>
      <c r="D7">
        <v>3</v>
      </c>
      <c r="E7">
        <v>2</v>
      </c>
      <c r="F7">
        <v>2</v>
      </c>
      <c r="G7" t="s">
        <v>954</v>
      </c>
      <c r="H7">
        <v>4800</v>
      </c>
      <c r="I7">
        <v>120</v>
      </c>
      <c r="J7">
        <v>60</v>
      </c>
      <c r="K7">
        <v>60</v>
      </c>
      <c r="M7">
        <v>480</v>
      </c>
      <c r="N7">
        <v>12</v>
      </c>
      <c r="O7">
        <v>6</v>
      </c>
      <c r="P7">
        <v>6</v>
      </c>
    </row>
    <row r="8" spans="1:16">
      <c r="A8">
        <v>1165</v>
      </c>
      <c r="B8" t="s">
        <v>181</v>
      </c>
      <c r="C8">
        <v>4</v>
      </c>
      <c r="D8">
        <v>3</v>
      </c>
      <c r="E8">
        <v>2</v>
      </c>
      <c r="F8">
        <v>2</v>
      </c>
      <c r="G8" t="s">
        <v>954</v>
      </c>
      <c r="H8">
        <v>4800</v>
      </c>
      <c r="I8">
        <v>120</v>
      </c>
      <c r="J8">
        <v>60</v>
      </c>
      <c r="K8">
        <v>60</v>
      </c>
      <c r="M8">
        <v>480</v>
      </c>
      <c r="N8">
        <v>12</v>
      </c>
      <c r="O8">
        <v>6</v>
      </c>
      <c r="P8">
        <v>6</v>
      </c>
    </row>
    <row r="9" spans="1:16">
      <c r="A9">
        <v>1166</v>
      </c>
      <c r="B9" t="s">
        <v>182</v>
      </c>
      <c r="C9">
        <v>4</v>
      </c>
      <c r="D9">
        <v>3</v>
      </c>
      <c r="E9">
        <v>2</v>
      </c>
      <c r="F9">
        <v>2</v>
      </c>
      <c r="G9" t="s">
        <v>954</v>
      </c>
      <c r="H9">
        <v>4800</v>
      </c>
      <c r="I9">
        <v>120</v>
      </c>
      <c r="J9">
        <v>60</v>
      </c>
      <c r="K9">
        <v>60</v>
      </c>
      <c r="M9">
        <v>480</v>
      </c>
      <c r="N9">
        <v>12</v>
      </c>
      <c r="O9">
        <v>6</v>
      </c>
      <c r="P9">
        <v>6</v>
      </c>
    </row>
    <row r="10" spans="1:16">
      <c r="A10">
        <v>1176</v>
      </c>
      <c r="B10" t="s">
        <v>955</v>
      </c>
      <c r="C10">
        <v>4</v>
      </c>
      <c r="D10">
        <v>3</v>
      </c>
      <c r="E10">
        <v>2</v>
      </c>
      <c r="F10">
        <v>2</v>
      </c>
      <c r="G10" t="s">
        <v>954</v>
      </c>
      <c r="H10">
        <v>4800</v>
      </c>
      <c r="I10">
        <v>120</v>
      </c>
      <c r="J10">
        <v>60</v>
      </c>
      <c r="K10">
        <v>60</v>
      </c>
      <c r="M10">
        <v>480</v>
      </c>
      <c r="N10">
        <v>12</v>
      </c>
      <c r="O10">
        <v>6</v>
      </c>
      <c r="P10">
        <v>6</v>
      </c>
    </row>
    <row r="11" spans="1:16">
      <c r="A11">
        <v>1177</v>
      </c>
      <c r="B11" t="s">
        <v>956</v>
      </c>
      <c r="C11">
        <v>4</v>
      </c>
      <c r="D11">
        <v>3</v>
      </c>
      <c r="E11">
        <v>2</v>
      </c>
      <c r="F11">
        <v>2</v>
      </c>
      <c r="G11" t="s">
        <v>954</v>
      </c>
      <c r="H11">
        <v>4800</v>
      </c>
      <c r="I11">
        <v>120</v>
      </c>
      <c r="J11">
        <v>60</v>
      </c>
      <c r="K11">
        <v>60</v>
      </c>
      <c r="M11">
        <v>480</v>
      </c>
      <c r="N11">
        <v>12</v>
      </c>
      <c r="O11">
        <v>6</v>
      </c>
      <c r="P11">
        <v>6</v>
      </c>
    </row>
    <row r="12" spans="1:16">
      <c r="A12">
        <v>1178</v>
      </c>
      <c r="B12" t="s">
        <v>957</v>
      </c>
      <c r="C12">
        <v>4</v>
      </c>
      <c r="D12">
        <v>3</v>
      </c>
      <c r="E12">
        <v>2</v>
      </c>
      <c r="F12">
        <v>2</v>
      </c>
      <c r="G12" t="s">
        <v>954</v>
      </c>
      <c r="H12">
        <v>4800</v>
      </c>
      <c r="I12">
        <v>120</v>
      </c>
      <c r="J12">
        <v>60</v>
      </c>
      <c r="K12">
        <v>60</v>
      </c>
      <c r="M12">
        <v>480</v>
      </c>
      <c r="N12">
        <v>12</v>
      </c>
      <c r="O12">
        <v>6</v>
      </c>
      <c r="P12">
        <v>6</v>
      </c>
    </row>
    <row r="13" spans="1:16">
      <c r="A13">
        <v>1179</v>
      </c>
      <c r="B13" t="s">
        <v>958</v>
      </c>
      <c r="C13">
        <v>4</v>
      </c>
      <c r="D13">
        <v>3</v>
      </c>
      <c r="E13">
        <v>2</v>
      </c>
      <c r="F13">
        <v>2</v>
      </c>
      <c r="G13" t="s">
        <v>954</v>
      </c>
      <c r="H13">
        <v>4800</v>
      </c>
      <c r="I13">
        <v>120</v>
      </c>
      <c r="J13">
        <v>60</v>
      </c>
      <c r="K13">
        <v>60</v>
      </c>
      <c r="M13">
        <v>480</v>
      </c>
      <c r="N13">
        <v>12</v>
      </c>
      <c r="O13">
        <v>6</v>
      </c>
      <c r="P13">
        <v>6</v>
      </c>
    </row>
    <row r="14" spans="1:16">
      <c r="A14">
        <v>1180</v>
      </c>
      <c r="B14" t="s">
        <v>188</v>
      </c>
      <c r="C14">
        <v>4</v>
      </c>
      <c r="D14">
        <v>2</v>
      </c>
      <c r="E14">
        <v>2</v>
      </c>
      <c r="F14">
        <v>2</v>
      </c>
      <c r="G14" t="s">
        <v>954</v>
      </c>
      <c r="H14">
        <v>4800</v>
      </c>
      <c r="I14">
        <v>120</v>
      </c>
      <c r="J14">
        <v>60</v>
      </c>
      <c r="K14">
        <v>60</v>
      </c>
      <c r="M14">
        <v>480</v>
      </c>
      <c r="N14">
        <v>12</v>
      </c>
      <c r="O14">
        <v>6</v>
      </c>
      <c r="P14">
        <v>6</v>
      </c>
    </row>
    <row r="15" spans="1:16">
      <c r="A15">
        <v>1181</v>
      </c>
      <c r="B15" t="s">
        <v>189</v>
      </c>
      <c r="C15">
        <v>4</v>
      </c>
      <c r="D15">
        <v>2</v>
      </c>
      <c r="E15">
        <v>2</v>
      </c>
      <c r="F15">
        <v>2</v>
      </c>
      <c r="G15" t="s">
        <v>954</v>
      </c>
      <c r="H15">
        <v>4800</v>
      </c>
      <c r="I15">
        <v>120</v>
      </c>
      <c r="J15">
        <v>60</v>
      </c>
      <c r="K15">
        <v>60</v>
      </c>
      <c r="M15">
        <v>480</v>
      </c>
      <c r="N15">
        <v>12</v>
      </c>
      <c r="O15">
        <v>6</v>
      </c>
      <c r="P15">
        <v>6</v>
      </c>
    </row>
    <row r="16" spans="1:16">
      <c r="A16">
        <v>1182</v>
      </c>
      <c r="B16" t="s">
        <v>190</v>
      </c>
      <c r="C16">
        <v>4</v>
      </c>
      <c r="D16">
        <v>2</v>
      </c>
      <c r="E16">
        <v>2</v>
      </c>
      <c r="F16">
        <v>2</v>
      </c>
      <c r="G16" t="s">
        <v>954</v>
      </c>
      <c r="H16">
        <v>4800</v>
      </c>
      <c r="I16">
        <v>120</v>
      </c>
      <c r="J16">
        <v>60</v>
      </c>
      <c r="K16">
        <v>60</v>
      </c>
      <c r="M16">
        <v>480</v>
      </c>
      <c r="N16">
        <v>12</v>
      </c>
      <c r="O16">
        <v>6</v>
      </c>
      <c r="P16">
        <v>6</v>
      </c>
    </row>
    <row r="17" spans="1:16">
      <c r="A17">
        <v>1185</v>
      </c>
      <c r="B17" t="s">
        <v>191</v>
      </c>
      <c r="C17">
        <v>4</v>
      </c>
      <c r="D17">
        <v>3</v>
      </c>
      <c r="E17">
        <v>2</v>
      </c>
      <c r="F17">
        <v>2</v>
      </c>
      <c r="G17" t="s">
        <v>954</v>
      </c>
      <c r="H17">
        <v>4800</v>
      </c>
      <c r="I17">
        <v>120</v>
      </c>
      <c r="J17">
        <v>60</v>
      </c>
      <c r="K17">
        <v>60</v>
      </c>
      <c r="M17">
        <v>480</v>
      </c>
      <c r="N17">
        <v>12</v>
      </c>
      <c r="O17">
        <v>6</v>
      </c>
      <c r="P17">
        <v>6</v>
      </c>
    </row>
    <row r="18" spans="1:16">
      <c r="A18">
        <v>1186</v>
      </c>
      <c r="B18" t="s">
        <v>192</v>
      </c>
      <c r="C18">
        <v>4</v>
      </c>
      <c r="D18">
        <v>3</v>
      </c>
      <c r="E18">
        <v>2</v>
      </c>
      <c r="F18">
        <v>2</v>
      </c>
      <c r="G18" t="s">
        <v>954</v>
      </c>
      <c r="H18">
        <v>4800</v>
      </c>
      <c r="I18">
        <v>120</v>
      </c>
      <c r="J18">
        <v>60</v>
      </c>
      <c r="K18">
        <v>60</v>
      </c>
      <c r="M18">
        <v>480</v>
      </c>
      <c r="N18">
        <v>12</v>
      </c>
      <c r="O18">
        <v>6</v>
      </c>
      <c r="P18">
        <v>6</v>
      </c>
    </row>
    <row r="19" spans="1:16">
      <c r="A19">
        <v>1187</v>
      </c>
      <c r="B19" t="s">
        <v>193</v>
      </c>
      <c r="C19">
        <v>4</v>
      </c>
      <c r="D19">
        <v>3</v>
      </c>
      <c r="E19">
        <v>2</v>
      </c>
      <c r="F19">
        <v>2</v>
      </c>
      <c r="G19" t="s">
        <v>954</v>
      </c>
      <c r="H19">
        <v>4800</v>
      </c>
      <c r="I19">
        <v>120</v>
      </c>
      <c r="J19">
        <v>60</v>
      </c>
      <c r="K19">
        <v>60</v>
      </c>
      <c r="M19">
        <v>480</v>
      </c>
      <c r="N19">
        <v>12</v>
      </c>
      <c r="O19">
        <v>6</v>
      </c>
      <c r="P19">
        <v>6</v>
      </c>
    </row>
    <row r="20" spans="1:16">
      <c r="A20">
        <v>1188</v>
      </c>
      <c r="B20" t="s">
        <v>194</v>
      </c>
      <c r="C20">
        <v>4</v>
      </c>
      <c r="D20">
        <v>3</v>
      </c>
      <c r="E20">
        <v>2</v>
      </c>
      <c r="F20">
        <v>2</v>
      </c>
      <c r="G20" t="s">
        <v>954</v>
      </c>
      <c r="H20">
        <v>4800</v>
      </c>
      <c r="I20">
        <v>120</v>
      </c>
      <c r="J20">
        <v>60</v>
      </c>
      <c r="K20">
        <v>60</v>
      </c>
      <c r="M20">
        <v>480</v>
      </c>
      <c r="N20">
        <v>12</v>
      </c>
      <c r="O20">
        <v>6</v>
      </c>
      <c r="P20">
        <v>6</v>
      </c>
    </row>
    <row r="21" spans="1:16">
      <c r="A21">
        <v>1193</v>
      </c>
      <c r="B21" t="s">
        <v>313</v>
      </c>
      <c r="C21">
        <v>4</v>
      </c>
      <c r="D21">
        <v>3</v>
      </c>
      <c r="E21">
        <v>2</v>
      </c>
      <c r="F21">
        <v>2</v>
      </c>
      <c r="G21" t="s">
        <v>954</v>
      </c>
      <c r="H21">
        <v>4800</v>
      </c>
      <c r="I21">
        <v>120</v>
      </c>
      <c r="J21">
        <v>60</v>
      </c>
      <c r="K21">
        <v>60</v>
      </c>
      <c r="M21">
        <v>480</v>
      </c>
      <c r="N21">
        <v>12</v>
      </c>
      <c r="O21">
        <v>6</v>
      </c>
      <c r="P21">
        <v>6</v>
      </c>
    </row>
    <row r="22" spans="1:16">
      <c r="A22">
        <v>1194</v>
      </c>
      <c r="B22" t="s">
        <v>307</v>
      </c>
      <c r="C22">
        <v>4</v>
      </c>
      <c r="D22">
        <v>2</v>
      </c>
      <c r="E22">
        <v>2</v>
      </c>
      <c r="F22">
        <v>2</v>
      </c>
      <c r="G22" t="s">
        <v>954</v>
      </c>
      <c r="H22">
        <v>4800</v>
      </c>
      <c r="I22">
        <v>120</v>
      </c>
      <c r="J22">
        <v>60</v>
      </c>
      <c r="K22">
        <v>60</v>
      </c>
      <c r="M22">
        <v>480</v>
      </c>
      <c r="N22">
        <v>12</v>
      </c>
      <c r="O22">
        <v>6</v>
      </c>
      <c r="P22">
        <v>6</v>
      </c>
    </row>
    <row r="23" spans="1:16">
      <c r="A23">
        <v>1217</v>
      </c>
      <c r="B23" t="s">
        <v>959</v>
      </c>
      <c r="C23">
        <v>4</v>
      </c>
      <c r="D23">
        <v>3</v>
      </c>
      <c r="E23">
        <v>2</v>
      </c>
      <c r="F23">
        <v>2</v>
      </c>
      <c r="G23" t="s">
        <v>954</v>
      </c>
      <c r="H23">
        <v>4800</v>
      </c>
      <c r="I23">
        <v>120</v>
      </c>
      <c r="J23">
        <v>60</v>
      </c>
      <c r="K23">
        <v>60</v>
      </c>
      <c r="M23">
        <v>480</v>
      </c>
      <c r="N23">
        <v>12</v>
      </c>
      <c r="O23">
        <v>6</v>
      </c>
      <c r="P23">
        <v>6</v>
      </c>
    </row>
    <row r="24" spans="1:16">
      <c r="A24">
        <v>1501</v>
      </c>
      <c r="B24" t="s">
        <v>960</v>
      </c>
      <c r="C24">
        <v>4</v>
      </c>
      <c r="D24">
        <v>2</v>
      </c>
      <c r="E24">
        <v>2</v>
      </c>
      <c r="F24">
        <v>2</v>
      </c>
      <c r="G24" t="s">
        <v>954</v>
      </c>
      <c r="H24">
        <v>4800</v>
      </c>
      <c r="I24">
        <v>120</v>
      </c>
      <c r="J24">
        <v>60</v>
      </c>
      <c r="K24">
        <v>60</v>
      </c>
      <c r="M24">
        <v>480</v>
      </c>
      <c r="N24">
        <v>12</v>
      </c>
      <c r="O24">
        <v>6</v>
      </c>
      <c r="P24">
        <v>6</v>
      </c>
    </row>
    <row r="25" spans="1:16">
      <c r="A25">
        <v>1502</v>
      </c>
      <c r="B25" t="s">
        <v>961</v>
      </c>
      <c r="C25">
        <v>4</v>
      </c>
      <c r="D25">
        <v>3</v>
      </c>
      <c r="E25">
        <v>2</v>
      </c>
      <c r="F25">
        <v>2</v>
      </c>
      <c r="G25" t="s">
        <v>954</v>
      </c>
      <c r="H25">
        <v>4800</v>
      </c>
      <c r="I25">
        <v>120</v>
      </c>
      <c r="J25">
        <v>60</v>
      </c>
      <c r="K25">
        <v>60</v>
      </c>
      <c r="M25">
        <v>480</v>
      </c>
      <c r="N25">
        <v>12</v>
      </c>
      <c r="O25">
        <v>6</v>
      </c>
      <c r="P25">
        <v>6</v>
      </c>
    </row>
    <row r="26" spans="1:16">
      <c r="A26">
        <v>1503</v>
      </c>
      <c r="B26" t="s">
        <v>962</v>
      </c>
      <c r="C26">
        <v>4</v>
      </c>
      <c r="D26">
        <v>3</v>
      </c>
      <c r="E26">
        <v>2</v>
      </c>
      <c r="F26">
        <v>2</v>
      </c>
      <c r="G26" t="s">
        <v>954</v>
      </c>
      <c r="H26">
        <v>4800</v>
      </c>
      <c r="I26">
        <v>120</v>
      </c>
      <c r="J26">
        <v>60</v>
      </c>
      <c r="K26">
        <v>60</v>
      </c>
      <c r="M26">
        <v>480</v>
      </c>
      <c r="N26">
        <v>12</v>
      </c>
      <c r="O26">
        <v>6</v>
      </c>
      <c r="P26">
        <v>6</v>
      </c>
    </row>
    <row r="27" spans="1:16">
      <c r="A27">
        <v>1167</v>
      </c>
      <c r="B27" t="s">
        <v>183</v>
      </c>
      <c r="C27">
        <v>4</v>
      </c>
      <c r="D27">
        <v>4</v>
      </c>
      <c r="E27">
        <v>4</v>
      </c>
      <c r="F27">
        <v>2</v>
      </c>
      <c r="G27" t="s">
        <v>954</v>
      </c>
      <c r="H27">
        <v>4800</v>
      </c>
      <c r="I27">
        <v>120</v>
      </c>
      <c r="J27">
        <v>60</v>
      </c>
      <c r="K27">
        <v>60</v>
      </c>
      <c r="M27">
        <v>480</v>
      </c>
      <c r="N27">
        <v>12</v>
      </c>
      <c r="O27">
        <v>6</v>
      </c>
      <c r="P27">
        <v>6</v>
      </c>
    </row>
    <row r="28" spans="1:16">
      <c r="A28">
        <v>1168</v>
      </c>
      <c r="B28" t="s">
        <v>184</v>
      </c>
      <c r="C28">
        <v>4</v>
      </c>
      <c r="D28">
        <v>4</v>
      </c>
      <c r="E28">
        <v>4</v>
      </c>
      <c r="F28">
        <v>2</v>
      </c>
      <c r="G28" t="s">
        <v>954</v>
      </c>
      <c r="H28">
        <v>4800</v>
      </c>
      <c r="I28">
        <v>120</v>
      </c>
      <c r="J28">
        <v>60</v>
      </c>
      <c r="K28">
        <v>60</v>
      </c>
      <c r="M28">
        <v>480</v>
      </c>
      <c r="N28">
        <v>12</v>
      </c>
      <c r="O28">
        <v>6</v>
      </c>
      <c r="P28">
        <v>6</v>
      </c>
    </row>
    <row r="29" spans="1:16">
      <c r="A29">
        <v>1169</v>
      </c>
      <c r="B29" t="s">
        <v>185</v>
      </c>
      <c r="C29">
        <v>4</v>
      </c>
      <c r="D29">
        <v>4</v>
      </c>
      <c r="E29">
        <v>4</v>
      </c>
      <c r="F29">
        <v>2</v>
      </c>
      <c r="G29" t="s">
        <v>954</v>
      </c>
      <c r="H29">
        <v>4800</v>
      </c>
      <c r="I29">
        <v>120</v>
      </c>
      <c r="J29">
        <v>60</v>
      </c>
      <c r="K29">
        <v>60</v>
      </c>
      <c r="M29">
        <v>480</v>
      </c>
      <c r="N29">
        <v>12</v>
      </c>
      <c r="O29">
        <v>6</v>
      </c>
      <c r="P29">
        <v>6</v>
      </c>
    </row>
    <row r="30" spans="1:16">
      <c r="A30">
        <v>1170</v>
      </c>
      <c r="B30" t="s">
        <v>186</v>
      </c>
      <c r="C30">
        <v>4</v>
      </c>
      <c r="D30">
        <v>4</v>
      </c>
      <c r="E30">
        <v>4</v>
      </c>
      <c r="F30">
        <v>2</v>
      </c>
      <c r="G30" t="s">
        <v>954</v>
      </c>
      <c r="H30">
        <v>4800</v>
      </c>
      <c r="I30">
        <v>120</v>
      </c>
      <c r="J30">
        <v>60</v>
      </c>
      <c r="K30">
        <v>60</v>
      </c>
      <c r="M30">
        <v>480</v>
      </c>
      <c r="N30">
        <v>12</v>
      </c>
      <c r="O30">
        <v>6</v>
      </c>
      <c r="P30">
        <v>6</v>
      </c>
    </row>
    <row r="31" spans="1:16">
      <c r="A31">
        <v>1171</v>
      </c>
      <c r="B31" t="s">
        <v>187</v>
      </c>
      <c r="C31">
        <v>4</v>
      </c>
      <c r="D31">
        <v>4</v>
      </c>
      <c r="E31">
        <v>4</v>
      </c>
      <c r="F31">
        <v>2</v>
      </c>
      <c r="G31" t="s">
        <v>954</v>
      </c>
      <c r="H31">
        <v>4800</v>
      </c>
      <c r="I31">
        <v>120</v>
      </c>
      <c r="J31">
        <v>60</v>
      </c>
      <c r="K31">
        <v>60</v>
      </c>
      <c r="M31">
        <v>480</v>
      </c>
      <c r="N31">
        <v>12</v>
      </c>
      <c r="O31">
        <v>6</v>
      </c>
      <c r="P31">
        <v>6</v>
      </c>
    </row>
    <row r="32" spans="1:16">
      <c r="A32">
        <v>1155</v>
      </c>
      <c r="B32" t="s">
        <v>963</v>
      </c>
      <c r="C32">
        <v>4</v>
      </c>
      <c r="D32">
        <v>2</v>
      </c>
      <c r="E32">
        <v>2</v>
      </c>
      <c r="F32">
        <v>6</v>
      </c>
      <c r="G32" t="s">
        <v>964</v>
      </c>
      <c r="H32">
        <v>5600</v>
      </c>
      <c r="I32">
        <v>140</v>
      </c>
      <c r="J32">
        <v>70</v>
      </c>
      <c r="K32">
        <v>70</v>
      </c>
      <c r="M32">
        <v>560</v>
      </c>
      <c r="N32">
        <v>14</v>
      </c>
      <c r="O32">
        <v>7</v>
      </c>
      <c r="P32">
        <v>7</v>
      </c>
    </row>
    <row r="33" spans="1:16">
      <c r="A33">
        <v>1156</v>
      </c>
      <c r="B33" t="s">
        <v>965</v>
      </c>
      <c r="C33">
        <v>4</v>
      </c>
      <c r="D33">
        <v>2</v>
      </c>
      <c r="E33">
        <v>2</v>
      </c>
      <c r="F33">
        <v>6</v>
      </c>
      <c r="G33" t="s">
        <v>964</v>
      </c>
      <c r="H33">
        <v>5600</v>
      </c>
      <c r="I33">
        <v>140</v>
      </c>
      <c r="J33">
        <v>70</v>
      </c>
      <c r="K33">
        <v>70</v>
      </c>
      <c r="M33">
        <v>560</v>
      </c>
      <c r="N33">
        <v>14</v>
      </c>
      <c r="O33">
        <v>7</v>
      </c>
      <c r="P33">
        <v>7</v>
      </c>
    </row>
    <row r="34" spans="1:16">
      <c r="A34">
        <v>1157</v>
      </c>
      <c r="B34" t="s">
        <v>966</v>
      </c>
      <c r="C34">
        <v>4</v>
      </c>
      <c r="D34">
        <v>3</v>
      </c>
      <c r="E34">
        <v>2</v>
      </c>
      <c r="F34">
        <v>6</v>
      </c>
      <c r="G34" t="s">
        <v>964</v>
      </c>
      <c r="H34">
        <v>5600</v>
      </c>
      <c r="I34">
        <v>140</v>
      </c>
      <c r="J34">
        <v>70</v>
      </c>
      <c r="K34">
        <v>70</v>
      </c>
      <c r="M34">
        <v>560</v>
      </c>
      <c r="N34">
        <v>14</v>
      </c>
      <c r="O34">
        <v>7</v>
      </c>
      <c r="P34">
        <v>7</v>
      </c>
    </row>
    <row r="35" spans="1:16">
      <c r="A35">
        <v>1158</v>
      </c>
      <c r="B35" t="s">
        <v>967</v>
      </c>
      <c r="C35">
        <v>4</v>
      </c>
      <c r="D35">
        <v>3</v>
      </c>
      <c r="E35">
        <v>2</v>
      </c>
      <c r="F35">
        <v>6</v>
      </c>
      <c r="G35" t="s">
        <v>964</v>
      </c>
      <c r="H35">
        <v>5600</v>
      </c>
      <c r="I35">
        <v>140</v>
      </c>
      <c r="J35">
        <v>70</v>
      </c>
      <c r="K35">
        <v>70</v>
      </c>
      <c r="M35">
        <v>560</v>
      </c>
      <c r="N35">
        <v>14</v>
      </c>
      <c r="O35">
        <v>7</v>
      </c>
      <c r="P35">
        <v>7</v>
      </c>
    </row>
    <row r="36" spans="1:16">
      <c r="A36">
        <v>1159</v>
      </c>
      <c r="B36" t="s">
        <v>968</v>
      </c>
      <c r="C36">
        <v>4</v>
      </c>
      <c r="D36">
        <v>3</v>
      </c>
      <c r="E36">
        <v>2</v>
      </c>
      <c r="F36">
        <v>6</v>
      </c>
      <c r="G36" t="s">
        <v>964</v>
      </c>
      <c r="H36">
        <v>5600</v>
      </c>
      <c r="I36">
        <v>140</v>
      </c>
      <c r="J36">
        <v>70</v>
      </c>
      <c r="K36">
        <v>70</v>
      </c>
      <c r="M36">
        <v>560</v>
      </c>
      <c r="N36">
        <v>14</v>
      </c>
      <c r="O36">
        <v>7</v>
      </c>
      <c r="P36">
        <v>7</v>
      </c>
    </row>
    <row r="37" spans="1:16">
      <c r="A37">
        <v>1162</v>
      </c>
      <c r="B37" t="s">
        <v>178</v>
      </c>
      <c r="C37">
        <v>4</v>
      </c>
      <c r="D37">
        <v>2</v>
      </c>
      <c r="E37">
        <v>2</v>
      </c>
      <c r="F37">
        <v>6</v>
      </c>
      <c r="G37" t="s">
        <v>964</v>
      </c>
      <c r="H37">
        <v>5600</v>
      </c>
      <c r="I37">
        <v>140</v>
      </c>
      <c r="J37">
        <v>70</v>
      </c>
      <c r="K37">
        <v>70</v>
      </c>
      <c r="M37">
        <v>560</v>
      </c>
      <c r="N37">
        <v>14</v>
      </c>
      <c r="O37">
        <v>7</v>
      </c>
      <c r="P37">
        <v>7</v>
      </c>
    </row>
    <row r="38" spans="1:16">
      <c r="A38">
        <v>1163</v>
      </c>
      <c r="B38" t="s">
        <v>179</v>
      </c>
      <c r="C38">
        <v>4</v>
      </c>
      <c r="D38">
        <v>2</v>
      </c>
      <c r="E38">
        <v>2</v>
      </c>
      <c r="F38">
        <v>6</v>
      </c>
      <c r="G38" t="s">
        <v>964</v>
      </c>
      <c r="H38">
        <v>5600</v>
      </c>
      <c r="I38">
        <v>140</v>
      </c>
      <c r="J38">
        <v>70</v>
      </c>
      <c r="K38">
        <v>70</v>
      </c>
      <c r="M38">
        <v>560</v>
      </c>
      <c r="N38">
        <v>14</v>
      </c>
      <c r="O38">
        <v>7</v>
      </c>
      <c r="P38">
        <v>7</v>
      </c>
    </row>
    <row r="39" spans="1:16">
      <c r="A39">
        <v>1505</v>
      </c>
      <c r="B39" t="s">
        <v>969</v>
      </c>
      <c r="C39">
        <v>4</v>
      </c>
      <c r="D39">
        <v>3</v>
      </c>
      <c r="E39">
        <v>2</v>
      </c>
      <c r="F39">
        <v>6</v>
      </c>
      <c r="G39" t="s">
        <v>964</v>
      </c>
      <c r="H39">
        <v>5600</v>
      </c>
      <c r="I39">
        <v>140</v>
      </c>
      <c r="J39">
        <v>70</v>
      </c>
      <c r="K39">
        <v>70</v>
      </c>
      <c r="M39">
        <v>560</v>
      </c>
      <c r="N39">
        <v>14</v>
      </c>
      <c r="O39">
        <v>7</v>
      </c>
      <c r="P39">
        <v>7</v>
      </c>
    </row>
    <row r="40" spans="1:16">
      <c r="A40">
        <v>1506</v>
      </c>
      <c r="B40" t="s">
        <v>970</v>
      </c>
      <c r="C40">
        <v>4</v>
      </c>
      <c r="D40">
        <v>3</v>
      </c>
      <c r="E40">
        <v>2</v>
      </c>
      <c r="F40">
        <v>6</v>
      </c>
      <c r="G40" t="s">
        <v>964</v>
      </c>
      <c r="H40">
        <v>5600</v>
      </c>
      <c r="I40">
        <v>140</v>
      </c>
      <c r="J40">
        <v>70</v>
      </c>
      <c r="K40">
        <v>70</v>
      </c>
      <c r="M40">
        <v>560</v>
      </c>
      <c r="N40">
        <v>14</v>
      </c>
      <c r="O40">
        <v>7</v>
      </c>
      <c r="P40">
        <v>7</v>
      </c>
    </row>
    <row r="41" spans="1:16">
      <c r="A41">
        <v>1507</v>
      </c>
      <c r="B41" t="s">
        <v>971</v>
      </c>
      <c r="C41">
        <v>4</v>
      </c>
      <c r="D41">
        <v>2</v>
      </c>
      <c r="E41">
        <v>2</v>
      </c>
      <c r="F41">
        <v>6</v>
      </c>
      <c r="G41" t="s">
        <v>964</v>
      </c>
      <c r="H41">
        <v>5600</v>
      </c>
      <c r="I41">
        <v>140</v>
      </c>
      <c r="J41">
        <v>70</v>
      </c>
      <c r="K41">
        <v>70</v>
      </c>
      <c r="M41">
        <v>560</v>
      </c>
      <c r="N41">
        <v>14</v>
      </c>
      <c r="O41">
        <v>7</v>
      </c>
      <c r="P41">
        <v>7</v>
      </c>
    </row>
    <row r="42" spans="1:16">
      <c r="A42">
        <v>1508</v>
      </c>
      <c r="B42" t="s">
        <v>972</v>
      </c>
      <c r="C42">
        <v>4</v>
      </c>
      <c r="D42">
        <v>3</v>
      </c>
      <c r="E42">
        <v>2</v>
      </c>
      <c r="F42">
        <v>6</v>
      </c>
      <c r="G42" t="s">
        <v>964</v>
      </c>
      <c r="H42">
        <v>5600</v>
      </c>
      <c r="I42">
        <v>140</v>
      </c>
      <c r="J42">
        <v>70</v>
      </c>
      <c r="K42">
        <v>70</v>
      </c>
      <c r="M42">
        <v>560</v>
      </c>
      <c r="N42">
        <v>14</v>
      </c>
      <c r="O42">
        <v>7</v>
      </c>
      <c r="P42">
        <v>7</v>
      </c>
    </row>
    <row r="43" spans="1:16">
      <c r="A43">
        <v>2018</v>
      </c>
      <c r="B43" t="s">
        <v>973</v>
      </c>
      <c r="C43">
        <v>4</v>
      </c>
      <c r="D43">
        <v>3</v>
      </c>
      <c r="E43">
        <v>2</v>
      </c>
      <c r="F43">
        <v>6</v>
      </c>
      <c r="G43" t="s">
        <v>964</v>
      </c>
      <c r="H43">
        <v>5600</v>
      </c>
      <c r="I43">
        <v>140</v>
      </c>
      <c r="J43">
        <v>70</v>
      </c>
      <c r="K43">
        <v>70</v>
      </c>
      <c r="M43">
        <v>560</v>
      </c>
      <c r="N43">
        <v>14</v>
      </c>
      <c r="O43">
        <v>7</v>
      </c>
      <c r="P43">
        <v>7</v>
      </c>
    </row>
    <row r="44" spans="1:16">
      <c r="A44">
        <v>1142</v>
      </c>
      <c r="B44" t="s">
        <v>176</v>
      </c>
      <c r="C44">
        <v>4</v>
      </c>
      <c r="D44">
        <v>4</v>
      </c>
      <c r="E44">
        <v>4</v>
      </c>
      <c r="F44">
        <v>6</v>
      </c>
      <c r="G44" t="s">
        <v>964</v>
      </c>
      <c r="H44">
        <v>5600</v>
      </c>
      <c r="I44">
        <v>140</v>
      </c>
      <c r="J44">
        <v>70</v>
      </c>
      <c r="K44">
        <v>70</v>
      </c>
      <c r="M44">
        <v>560</v>
      </c>
      <c r="N44">
        <v>14</v>
      </c>
      <c r="O44">
        <v>7</v>
      </c>
      <c r="P44">
        <v>7</v>
      </c>
    </row>
    <row r="45" spans="1:16">
      <c r="A45">
        <v>1143</v>
      </c>
      <c r="B45" t="s">
        <v>177</v>
      </c>
      <c r="C45">
        <v>4</v>
      </c>
      <c r="D45">
        <v>4</v>
      </c>
      <c r="E45">
        <v>4</v>
      </c>
      <c r="F45">
        <v>6</v>
      </c>
      <c r="G45" t="s">
        <v>964</v>
      </c>
      <c r="H45">
        <v>5600</v>
      </c>
      <c r="I45">
        <v>140</v>
      </c>
      <c r="J45">
        <v>70</v>
      </c>
      <c r="K45">
        <v>70</v>
      </c>
      <c r="M45">
        <v>560</v>
      </c>
      <c r="N45">
        <v>14</v>
      </c>
      <c r="O45">
        <v>7</v>
      </c>
      <c r="P45">
        <v>7</v>
      </c>
    </row>
    <row r="46" spans="1:16">
      <c r="A46">
        <v>1146</v>
      </c>
      <c r="B46" t="s">
        <v>974</v>
      </c>
      <c r="C46">
        <v>4</v>
      </c>
      <c r="D46">
        <v>4</v>
      </c>
      <c r="E46">
        <v>4</v>
      </c>
      <c r="F46">
        <v>6</v>
      </c>
      <c r="G46" t="s">
        <v>964</v>
      </c>
      <c r="H46">
        <v>5600</v>
      </c>
      <c r="I46">
        <v>140</v>
      </c>
      <c r="J46">
        <v>70</v>
      </c>
      <c r="K46">
        <v>70</v>
      </c>
      <c r="M46">
        <v>560</v>
      </c>
      <c r="N46">
        <v>14</v>
      </c>
      <c r="O46">
        <v>7</v>
      </c>
      <c r="P46">
        <v>7</v>
      </c>
    </row>
    <row r="47" spans="1:16">
      <c r="A47">
        <v>1147</v>
      </c>
      <c r="B47" t="s">
        <v>975</v>
      </c>
      <c r="C47">
        <v>4</v>
      </c>
      <c r="D47">
        <v>4</v>
      </c>
      <c r="E47">
        <v>4</v>
      </c>
      <c r="F47">
        <v>6</v>
      </c>
      <c r="G47" t="s">
        <v>964</v>
      </c>
      <c r="H47">
        <v>5600</v>
      </c>
      <c r="I47">
        <v>140</v>
      </c>
      <c r="J47">
        <v>70</v>
      </c>
      <c r="K47">
        <v>70</v>
      </c>
      <c r="M47">
        <v>560</v>
      </c>
      <c r="N47">
        <v>14</v>
      </c>
      <c r="O47">
        <v>7</v>
      </c>
      <c r="P47">
        <v>7</v>
      </c>
    </row>
    <row r="48" spans="1:16">
      <c r="A48">
        <v>1148</v>
      </c>
      <c r="B48" t="s">
        <v>976</v>
      </c>
      <c r="C48">
        <v>4</v>
      </c>
      <c r="D48">
        <v>4</v>
      </c>
      <c r="E48">
        <v>4</v>
      </c>
      <c r="F48">
        <v>6</v>
      </c>
      <c r="G48" t="s">
        <v>964</v>
      </c>
      <c r="H48">
        <v>5600</v>
      </c>
      <c r="I48">
        <v>140</v>
      </c>
      <c r="J48">
        <v>70</v>
      </c>
      <c r="K48">
        <v>70</v>
      </c>
      <c r="M48">
        <v>560</v>
      </c>
      <c r="N48">
        <v>14</v>
      </c>
      <c r="O48">
        <v>7</v>
      </c>
      <c r="P48">
        <v>7</v>
      </c>
    </row>
    <row r="49" spans="1:16">
      <c r="A49">
        <v>1141</v>
      </c>
      <c r="B49" t="s">
        <v>977</v>
      </c>
      <c r="C49">
        <v>2</v>
      </c>
      <c r="D49">
        <v>1</v>
      </c>
      <c r="E49">
        <v>1</v>
      </c>
      <c r="F49">
        <v>11</v>
      </c>
      <c r="G49" t="s">
        <v>978</v>
      </c>
      <c r="H49">
        <v>6400</v>
      </c>
      <c r="I49">
        <v>160</v>
      </c>
      <c r="J49">
        <v>80</v>
      </c>
      <c r="K49">
        <v>80</v>
      </c>
      <c r="M49">
        <v>640</v>
      </c>
      <c r="N49">
        <v>16</v>
      </c>
      <c r="O49">
        <v>8</v>
      </c>
      <c r="P49">
        <v>8</v>
      </c>
    </row>
    <row r="50" spans="1:16">
      <c r="A50">
        <v>1138</v>
      </c>
      <c r="B50" t="s">
        <v>36</v>
      </c>
      <c r="C50">
        <v>2</v>
      </c>
      <c r="D50">
        <v>2</v>
      </c>
      <c r="E50">
        <v>1</v>
      </c>
      <c r="F50">
        <v>11</v>
      </c>
      <c r="G50" t="s">
        <v>978</v>
      </c>
      <c r="H50">
        <v>6400</v>
      </c>
      <c r="I50">
        <v>160</v>
      </c>
      <c r="J50">
        <v>80</v>
      </c>
      <c r="K50">
        <v>80</v>
      </c>
      <c r="M50">
        <v>640</v>
      </c>
      <c r="N50">
        <v>16</v>
      </c>
      <c r="O50">
        <v>8</v>
      </c>
      <c r="P50">
        <v>8</v>
      </c>
    </row>
    <row r="51" spans="1:16">
      <c r="A51">
        <v>1139</v>
      </c>
      <c r="B51" t="s">
        <v>301</v>
      </c>
      <c r="C51">
        <v>2</v>
      </c>
      <c r="D51">
        <v>3</v>
      </c>
      <c r="E51">
        <v>2</v>
      </c>
      <c r="F51">
        <v>11</v>
      </c>
      <c r="G51" t="s">
        <v>978</v>
      </c>
      <c r="H51">
        <v>6400</v>
      </c>
      <c r="I51">
        <v>160</v>
      </c>
      <c r="J51">
        <v>80</v>
      </c>
      <c r="K51">
        <v>80</v>
      </c>
      <c r="M51">
        <v>640</v>
      </c>
      <c r="N51">
        <v>16</v>
      </c>
      <c r="O51">
        <v>8</v>
      </c>
      <c r="P51">
        <v>8</v>
      </c>
    </row>
    <row r="52" spans="1:16">
      <c r="A52">
        <v>1140</v>
      </c>
      <c r="B52" t="s">
        <v>35</v>
      </c>
      <c r="C52">
        <v>2</v>
      </c>
      <c r="D52">
        <v>3</v>
      </c>
      <c r="E52">
        <v>2</v>
      </c>
      <c r="F52">
        <v>11</v>
      </c>
      <c r="G52" t="s">
        <v>978</v>
      </c>
      <c r="H52">
        <v>6400</v>
      </c>
      <c r="I52">
        <v>160</v>
      </c>
      <c r="J52">
        <v>80</v>
      </c>
      <c r="K52">
        <v>80</v>
      </c>
      <c r="M52">
        <v>640</v>
      </c>
      <c r="N52">
        <v>16</v>
      </c>
      <c r="O52">
        <v>8</v>
      </c>
      <c r="P52">
        <v>8</v>
      </c>
    </row>
    <row r="53" spans="1:16">
      <c r="A53">
        <v>1203</v>
      </c>
      <c r="B53" t="s">
        <v>979</v>
      </c>
      <c r="C53">
        <v>1</v>
      </c>
      <c r="D53">
        <v>3</v>
      </c>
      <c r="E53">
        <v>2</v>
      </c>
      <c r="F53">
        <v>11</v>
      </c>
      <c r="G53" t="s">
        <v>978</v>
      </c>
      <c r="H53">
        <v>6400</v>
      </c>
      <c r="I53">
        <v>160</v>
      </c>
      <c r="J53">
        <v>80</v>
      </c>
      <c r="K53">
        <v>80</v>
      </c>
      <c r="M53">
        <v>640</v>
      </c>
      <c r="N53">
        <v>16</v>
      </c>
      <c r="O53">
        <v>8</v>
      </c>
      <c r="P53">
        <v>8</v>
      </c>
    </row>
    <row r="54" spans="1:16">
      <c r="A54">
        <v>1205</v>
      </c>
      <c r="B54" t="s">
        <v>299</v>
      </c>
      <c r="C54">
        <v>1</v>
      </c>
      <c r="D54">
        <v>3</v>
      </c>
      <c r="E54">
        <v>2</v>
      </c>
      <c r="F54">
        <v>11</v>
      </c>
      <c r="G54" t="s">
        <v>978</v>
      </c>
      <c r="H54">
        <v>6400</v>
      </c>
      <c r="I54">
        <v>160</v>
      </c>
      <c r="J54">
        <v>80</v>
      </c>
      <c r="K54">
        <v>80</v>
      </c>
      <c r="M54">
        <v>640</v>
      </c>
      <c r="N54">
        <v>16</v>
      </c>
      <c r="O54">
        <v>8</v>
      </c>
      <c r="P54">
        <v>8</v>
      </c>
    </row>
    <row r="55" spans="1:16">
      <c r="A55">
        <v>1133</v>
      </c>
      <c r="B55" t="s">
        <v>68</v>
      </c>
      <c r="C55">
        <v>1</v>
      </c>
      <c r="D55">
        <v>3</v>
      </c>
      <c r="E55">
        <v>2</v>
      </c>
      <c r="F55">
        <v>11</v>
      </c>
      <c r="G55" t="s">
        <v>978</v>
      </c>
      <c r="H55">
        <v>6400</v>
      </c>
      <c r="I55">
        <v>160</v>
      </c>
      <c r="J55">
        <v>80</v>
      </c>
      <c r="K55">
        <v>80</v>
      </c>
      <c r="M55">
        <v>640</v>
      </c>
      <c r="N55">
        <v>16</v>
      </c>
      <c r="O55">
        <v>8</v>
      </c>
      <c r="P55">
        <v>8</v>
      </c>
    </row>
    <row r="56" spans="1:16">
      <c r="A56">
        <v>1204</v>
      </c>
      <c r="B56" t="s">
        <v>980</v>
      </c>
      <c r="C56">
        <v>1</v>
      </c>
      <c r="D56">
        <v>2</v>
      </c>
      <c r="E56">
        <v>2</v>
      </c>
      <c r="F56">
        <v>11</v>
      </c>
      <c r="G56" t="s">
        <v>978</v>
      </c>
      <c r="H56">
        <v>6400</v>
      </c>
      <c r="I56">
        <v>160</v>
      </c>
      <c r="J56">
        <v>80</v>
      </c>
      <c r="K56">
        <v>80</v>
      </c>
      <c r="M56">
        <v>640</v>
      </c>
      <c r="N56">
        <v>16</v>
      </c>
      <c r="O56">
        <v>8</v>
      </c>
      <c r="P56">
        <v>8</v>
      </c>
    </row>
    <row r="57" spans="1:16">
      <c r="A57">
        <v>1128</v>
      </c>
      <c r="B57" t="s">
        <v>61</v>
      </c>
      <c r="C57">
        <v>3</v>
      </c>
      <c r="D57">
        <v>2</v>
      </c>
      <c r="E57">
        <v>2</v>
      </c>
      <c r="F57">
        <v>11</v>
      </c>
      <c r="G57" t="s">
        <v>978</v>
      </c>
      <c r="H57">
        <v>6400</v>
      </c>
      <c r="I57">
        <v>160</v>
      </c>
      <c r="J57">
        <v>80</v>
      </c>
      <c r="K57">
        <v>80</v>
      </c>
      <c r="M57">
        <v>640</v>
      </c>
      <c r="N57">
        <v>16</v>
      </c>
      <c r="O57">
        <v>8</v>
      </c>
      <c r="P57">
        <v>8</v>
      </c>
    </row>
    <row r="58" spans="1:16">
      <c r="A58">
        <v>1118</v>
      </c>
      <c r="B58" t="s">
        <v>50</v>
      </c>
      <c r="C58">
        <v>3</v>
      </c>
      <c r="D58">
        <v>2</v>
      </c>
      <c r="E58">
        <v>2</v>
      </c>
      <c r="F58">
        <v>11</v>
      </c>
      <c r="G58" t="s">
        <v>978</v>
      </c>
      <c r="H58">
        <v>6400</v>
      </c>
      <c r="I58">
        <v>160</v>
      </c>
      <c r="J58">
        <v>80</v>
      </c>
      <c r="K58">
        <v>80</v>
      </c>
      <c r="M58">
        <v>640</v>
      </c>
      <c r="N58">
        <v>16</v>
      </c>
      <c r="O58">
        <v>8</v>
      </c>
      <c r="P58">
        <v>8</v>
      </c>
    </row>
    <row r="59" spans="1:16">
      <c r="A59">
        <v>1136</v>
      </c>
      <c r="B59" t="s">
        <v>72</v>
      </c>
      <c r="C59">
        <v>3</v>
      </c>
      <c r="D59">
        <v>2</v>
      </c>
      <c r="E59">
        <v>2</v>
      </c>
      <c r="F59">
        <v>11</v>
      </c>
      <c r="G59" t="s">
        <v>978</v>
      </c>
      <c r="H59">
        <v>6400</v>
      </c>
      <c r="I59">
        <v>160</v>
      </c>
      <c r="J59">
        <v>80</v>
      </c>
      <c r="K59">
        <v>80</v>
      </c>
      <c r="M59">
        <v>640</v>
      </c>
      <c r="N59">
        <v>16</v>
      </c>
      <c r="O59">
        <v>8</v>
      </c>
      <c r="P59">
        <v>8</v>
      </c>
    </row>
    <row r="60" spans="1:16">
      <c r="A60">
        <v>1152</v>
      </c>
      <c r="B60" t="s">
        <v>79</v>
      </c>
      <c r="C60">
        <v>3</v>
      </c>
      <c r="D60">
        <v>3</v>
      </c>
      <c r="E60">
        <v>2</v>
      </c>
      <c r="F60">
        <v>11</v>
      </c>
      <c r="G60" t="s">
        <v>978</v>
      </c>
      <c r="H60">
        <v>6400</v>
      </c>
      <c r="I60">
        <v>160</v>
      </c>
      <c r="J60">
        <v>80</v>
      </c>
      <c r="K60">
        <v>80</v>
      </c>
      <c r="M60">
        <v>640</v>
      </c>
      <c r="N60">
        <v>16</v>
      </c>
      <c r="O60">
        <v>8</v>
      </c>
      <c r="P60">
        <v>8</v>
      </c>
    </row>
    <row r="61" spans="1:16">
      <c r="A61">
        <v>1192</v>
      </c>
      <c r="B61" t="s">
        <v>303</v>
      </c>
      <c r="C61">
        <v>3</v>
      </c>
      <c r="D61">
        <v>2</v>
      </c>
      <c r="E61">
        <v>2</v>
      </c>
      <c r="F61">
        <v>11</v>
      </c>
      <c r="G61" t="s">
        <v>978</v>
      </c>
      <c r="H61">
        <v>6400</v>
      </c>
      <c r="I61">
        <v>160</v>
      </c>
      <c r="J61">
        <v>80</v>
      </c>
      <c r="K61">
        <v>80</v>
      </c>
      <c r="M61">
        <v>640</v>
      </c>
      <c r="N61">
        <v>16</v>
      </c>
      <c r="O61">
        <v>8</v>
      </c>
      <c r="P61">
        <v>8</v>
      </c>
    </row>
    <row r="62" spans="1:16">
      <c r="A62">
        <v>1226</v>
      </c>
      <c r="B62" t="s">
        <v>981</v>
      </c>
      <c r="C62">
        <v>2</v>
      </c>
      <c r="D62">
        <v>2</v>
      </c>
      <c r="E62">
        <v>2</v>
      </c>
      <c r="F62">
        <v>11</v>
      </c>
      <c r="G62" t="s">
        <v>978</v>
      </c>
      <c r="H62">
        <v>6400</v>
      </c>
      <c r="I62">
        <v>160</v>
      </c>
      <c r="J62">
        <v>80</v>
      </c>
      <c r="K62">
        <v>80</v>
      </c>
      <c r="M62">
        <v>640</v>
      </c>
      <c r="N62">
        <v>16</v>
      </c>
      <c r="O62">
        <v>8</v>
      </c>
      <c r="P62">
        <v>8</v>
      </c>
    </row>
    <row r="63" spans="1:16">
      <c r="A63">
        <v>1134</v>
      </c>
      <c r="B63" t="s">
        <v>982</v>
      </c>
      <c r="C63">
        <v>1</v>
      </c>
      <c r="D63">
        <v>4</v>
      </c>
      <c r="E63">
        <v>4</v>
      </c>
      <c r="F63">
        <v>11</v>
      </c>
      <c r="G63" t="s">
        <v>978</v>
      </c>
      <c r="H63">
        <v>6400</v>
      </c>
      <c r="I63">
        <v>160</v>
      </c>
      <c r="J63">
        <v>80</v>
      </c>
      <c r="K63">
        <v>80</v>
      </c>
      <c r="M63">
        <v>640</v>
      </c>
      <c r="N63">
        <v>16</v>
      </c>
      <c r="O63">
        <v>8</v>
      </c>
      <c r="P63">
        <v>8</v>
      </c>
    </row>
    <row r="64" spans="1:16">
      <c r="A64">
        <v>1206</v>
      </c>
      <c r="B64" t="s">
        <v>300</v>
      </c>
      <c r="C64">
        <v>1</v>
      </c>
      <c r="D64">
        <v>4</v>
      </c>
      <c r="E64">
        <v>4</v>
      </c>
      <c r="F64">
        <v>11</v>
      </c>
      <c r="G64" t="s">
        <v>978</v>
      </c>
      <c r="H64">
        <v>6400</v>
      </c>
      <c r="I64">
        <v>160</v>
      </c>
      <c r="J64">
        <v>80</v>
      </c>
      <c r="K64">
        <v>80</v>
      </c>
      <c r="M64">
        <v>640</v>
      </c>
      <c r="N64">
        <v>16</v>
      </c>
      <c r="O64">
        <v>8</v>
      </c>
      <c r="P64">
        <v>8</v>
      </c>
    </row>
    <row r="65" spans="1:16">
      <c r="A65">
        <v>1130</v>
      </c>
      <c r="B65" t="s">
        <v>63</v>
      </c>
      <c r="C65">
        <v>3</v>
      </c>
      <c r="D65">
        <v>4</v>
      </c>
      <c r="E65">
        <v>4</v>
      </c>
      <c r="F65">
        <v>11</v>
      </c>
      <c r="G65" t="s">
        <v>978</v>
      </c>
      <c r="H65">
        <v>6400</v>
      </c>
      <c r="I65">
        <v>160</v>
      </c>
      <c r="J65">
        <v>80</v>
      </c>
      <c r="K65">
        <v>80</v>
      </c>
      <c r="M65">
        <v>640</v>
      </c>
      <c r="N65">
        <v>16</v>
      </c>
      <c r="O65">
        <v>8</v>
      </c>
      <c r="P65">
        <v>8</v>
      </c>
    </row>
    <row r="66" spans="1:16">
      <c r="A66">
        <v>1504</v>
      </c>
      <c r="B66" t="s">
        <v>983</v>
      </c>
      <c r="C66">
        <v>2</v>
      </c>
      <c r="D66">
        <v>3</v>
      </c>
      <c r="E66">
        <v>4</v>
      </c>
      <c r="F66">
        <v>11</v>
      </c>
      <c r="G66" t="s">
        <v>978</v>
      </c>
      <c r="H66">
        <v>6400</v>
      </c>
      <c r="I66">
        <v>160</v>
      </c>
      <c r="J66">
        <v>80</v>
      </c>
      <c r="K66">
        <v>80</v>
      </c>
      <c r="M66">
        <v>640</v>
      </c>
      <c r="N66">
        <v>16</v>
      </c>
      <c r="O66">
        <v>8</v>
      </c>
      <c r="P66">
        <v>8</v>
      </c>
    </row>
    <row r="67" spans="1:16">
      <c r="A67">
        <v>1107</v>
      </c>
      <c r="B67" t="s">
        <v>118</v>
      </c>
      <c r="C67">
        <v>1</v>
      </c>
      <c r="D67">
        <v>4</v>
      </c>
      <c r="E67">
        <v>4</v>
      </c>
      <c r="F67">
        <v>13</v>
      </c>
      <c r="G67" t="s">
        <v>984</v>
      </c>
      <c r="H67">
        <v>7200</v>
      </c>
      <c r="I67">
        <v>180</v>
      </c>
      <c r="J67">
        <v>90</v>
      </c>
      <c r="K67">
        <v>90</v>
      </c>
      <c r="M67">
        <v>720</v>
      </c>
      <c r="N67">
        <v>18</v>
      </c>
      <c r="O67">
        <v>9</v>
      </c>
      <c r="P67">
        <v>9</v>
      </c>
    </row>
    <row r="68" spans="1:16">
      <c r="A68">
        <v>1103</v>
      </c>
      <c r="B68" t="s">
        <v>108</v>
      </c>
      <c r="C68">
        <v>1</v>
      </c>
      <c r="D68">
        <v>1</v>
      </c>
      <c r="E68">
        <v>1</v>
      </c>
      <c r="F68">
        <v>13</v>
      </c>
      <c r="G68" t="s">
        <v>984</v>
      </c>
      <c r="H68">
        <v>7200</v>
      </c>
      <c r="I68">
        <v>180</v>
      </c>
      <c r="J68">
        <v>90</v>
      </c>
      <c r="K68">
        <v>90</v>
      </c>
      <c r="M68">
        <v>720</v>
      </c>
      <c r="N68">
        <v>18</v>
      </c>
      <c r="O68">
        <v>9</v>
      </c>
      <c r="P68">
        <v>9</v>
      </c>
    </row>
    <row r="69" spans="1:16">
      <c r="A69">
        <v>1109</v>
      </c>
      <c r="B69" t="s">
        <v>122</v>
      </c>
      <c r="C69">
        <v>1</v>
      </c>
      <c r="D69">
        <v>1</v>
      </c>
      <c r="E69">
        <v>1</v>
      </c>
      <c r="F69">
        <v>13</v>
      </c>
      <c r="G69" t="s">
        <v>984</v>
      </c>
      <c r="H69">
        <v>7200</v>
      </c>
      <c r="I69">
        <v>180</v>
      </c>
      <c r="J69">
        <v>90</v>
      </c>
      <c r="K69">
        <v>90</v>
      </c>
      <c r="M69">
        <v>720</v>
      </c>
      <c r="N69">
        <v>18</v>
      </c>
      <c r="O69">
        <v>9</v>
      </c>
      <c r="P69">
        <v>9</v>
      </c>
    </row>
    <row r="70" spans="1:16">
      <c r="A70">
        <v>1116</v>
      </c>
      <c r="B70" t="s">
        <v>27</v>
      </c>
      <c r="C70">
        <v>2</v>
      </c>
      <c r="D70">
        <v>1</v>
      </c>
      <c r="E70">
        <v>1</v>
      </c>
      <c r="F70">
        <v>13</v>
      </c>
      <c r="G70" t="s">
        <v>984</v>
      </c>
      <c r="H70">
        <v>7200</v>
      </c>
      <c r="I70">
        <v>180</v>
      </c>
      <c r="J70">
        <v>90</v>
      </c>
      <c r="K70">
        <v>90</v>
      </c>
      <c r="M70">
        <v>720</v>
      </c>
      <c r="N70">
        <v>18</v>
      </c>
      <c r="O70">
        <v>9</v>
      </c>
      <c r="P70">
        <v>9</v>
      </c>
    </row>
    <row r="71" spans="1:16">
      <c r="A71">
        <v>1215</v>
      </c>
      <c r="B71" t="s">
        <v>985</v>
      </c>
      <c r="C71">
        <v>3</v>
      </c>
      <c r="D71">
        <v>1</v>
      </c>
      <c r="E71">
        <v>1</v>
      </c>
      <c r="F71">
        <v>13</v>
      </c>
      <c r="G71" t="s">
        <v>984</v>
      </c>
      <c r="H71">
        <v>7200</v>
      </c>
      <c r="I71">
        <v>180</v>
      </c>
      <c r="J71">
        <v>90</v>
      </c>
      <c r="K71">
        <v>90</v>
      </c>
      <c r="M71">
        <v>720</v>
      </c>
      <c r="N71">
        <v>18</v>
      </c>
      <c r="O71">
        <v>9</v>
      </c>
      <c r="P71">
        <v>9</v>
      </c>
    </row>
    <row r="72" spans="1:16">
      <c r="A72">
        <v>1106</v>
      </c>
      <c r="B72" t="s">
        <v>114</v>
      </c>
      <c r="C72">
        <v>1</v>
      </c>
      <c r="D72">
        <v>1</v>
      </c>
      <c r="E72">
        <v>1</v>
      </c>
      <c r="F72">
        <v>13</v>
      </c>
      <c r="G72" t="s">
        <v>984</v>
      </c>
      <c r="H72">
        <v>7200</v>
      </c>
      <c r="I72">
        <v>180</v>
      </c>
      <c r="J72">
        <v>90</v>
      </c>
      <c r="K72">
        <v>90</v>
      </c>
      <c r="M72">
        <v>720</v>
      </c>
      <c r="N72">
        <v>18</v>
      </c>
      <c r="O72">
        <v>9</v>
      </c>
      <c r="P72">
        <v>9</v>
      </c>
    </row>
    <row r="73" spans="1:16">
      <c r="A73">
        <v>1115</v>
      </c>
      <c r="B73" t="s">
        <v>30</v>
      </c>
      <c r="C73">
        <v>2</v>
      </c>
      <c r="D73">
        <v>1</v>
      </c>
      <c r="E73">
        <v>1</v>
      </c>
      <c r="F73">
        <v>13</v>
      </c>
      <c r="G73" t="s">
        <v>984</v>
      </c>
      <c r="H73">
        <v>7200</v>
      </c>
      <c r="I73">
        <v>180</v>
      </c>
      <c r="J73">
        <v>90</v>
      </c>
      <c r="K73">
        <v>90</v>
      </c>
      <c r="M73">
        <v>720</v>
      </c>
      <c r="N73">
        <v>18</v>
      </c>
      <c r="O73">
        <v>9</v>
      </c>
      <c r="P73">
        <v>9</v>
      </c>
    </row>
    <row r="74" spans="1:16">
      <c r="A74">
        <v>1208</v>
      </c>
      <c r="B74" t="s">
        <v>986</v>
      </c>
      <c r="C74">
        <v>2</v>
      </c>
      <c r="D74">
        <v>1</v>
      </c>
      <c r="E74">
        <v>1</v>
      </c>
      <c r="F74">
        <v>13</v>
      </c>
      <c r="G74" t="s">
        <v>984</v>
      </c>
      <c r="H74">
        <v>7200</v>
      </c>
      <c r="I74">
        <v>180</v>
      </c>
      <c r="J74">
        <v>90</v>
      </c>
      <c r="K74">
        <v>90</v>
      </c>
      <c r="M74">
        <v>720</v>
      </c>
      <c r="N74">
        <v>18</v>
      </c>
      <c r="O74">
        <v>9</v>
      </c>
      <c r="P74">
        <v>9</v>
      </c>
    </row>
    <row r="75" spans="1:16">
      <c r="A75">
        <v>1122</v>
      </c>
      <c r="B75" t="s">
        <v>49</v>
      </c>
      <c r="C75">
        <v>3</v>
      </c>
      <c r="D75">
        <v>3</v>
      </c>
      <c r="E75">
        <v>1</v>
      </c>
      <c r="F75">
        <v>13</v>
      </c>
      <c r="G75" t="s">
        <v>984</v>
      </c>
      <c r="H75">
        <v>7200</v>
      </c>
      <c r="I75">
        <v>180</v>
      </c>
      <c r="J75">
        <v>90</v>
      </c>
      <c r="K75">
        <v>90</v>
      </c>
      <c r="M75">
        <v>720</v>
      </c>
      <c r="N75">
        <v>18</v>
      </c>
      <c r="O75">
        <v>9</v>
      </c>
      <c r="P75">
        <v>9</v>
      </c>
    </row>
    <row r="76" spans="1:16">
      <c r="A76">
        <v>1207</v>
      </c>
      <c r="B76" t="s">
        <v>840</v>
      </c>
      <c r="C76">
        <v>3</v>
      </c>
      <c r="D76">
        <v>1</v>
      </c>
      <c r="E76">
        <v>1</v>
      </c>
      <c r="F76">
        <v>13</v>
      </c>
      <c r="G76" t="s">
        <v>984</v>
      </c>
      <c r="H76">
        <v>7200</v>
      </c>
      <c r="I76">
        <v>180</v>
      </c>
      <c r="J76">
        <v>90</v>
      </c>
      <c r="K76">
        <v>90</v>
      </c>
      <c r="M76">
        <v>720</v>
      </c>
      <c r="N76">
        <v>18</v>
      </c>
      <c r="O76">
        <v>9</v>
      </c>
      <c r="P76">
        <v>9</v>
      </c>
    </row>
    <row r="77" spans="1:16">
      <c r="A77" t="s">
        <v>287</v>
      </c>
      <c r="B77" t="s">
        <v>288</v>
      </c>
      <c r="C77">
        <v>2</v>
      </c>
      <c r="D77">
        <v>5</v>
      </c>
      <c r="E77">
        <v>2</v>
      </c>
      <c r="F77">
        <v>13</v>
      </c>
      <c r="G77" t="s">
        <v>984</v>
      </c>
      <c r="H77">
        <v>7200</v>
      </c>
      <c r="I77">
        <v>180</v>
      </c>
      <c r="J77">
        <v>90</v>
      </c>
      <c r="K77">
        <v>90</v>
      </c>
      <c r="M77">
        <v>720</v>
      </c>
      <c r="N77">
        <v>18</v>
      </c>
      <c r="O77">
        <v>9</v>
      </c>
      <c r="P77">
        <v>9</v>
      </c>
    </row>
    <row r="78" spans="1:16">
      <c r="A78" t="s">
        <v>291</v>
      </c>
      <c r="B78" t="s">
        <v>292</v>
      </c>
      <c r="C78">
        <v>6</v>
      </c>
      <c r="D78">
        <v>5</v>
      </c>
      <c r="E78">
        <v>2</v>
      </c>
      <c r="F78">
        <v>13</v>
      </c>
      <c r="G78" t="s">
        <v>984</v>
      </c>
      <c r="H78">
        <v>7200</v>
      </c>
      <c r="I78">
        <v>180</v>
      </c>
      <c r="J78">
        <v>90</v>
      </c>
      <c r="K78">
        <v>90</v>
      </c>
      <c r="M78">
        <v>720</v>
      </c>
      <c r="N78">
        <v>18</v>
      </c>
      <c r="O78">
        <v>9</v>
      </c>
      <c r="P78">
        <v>9</v>
      </c>
    </row>
    <row r="79" spans="1:16">
      <c r="A79">
        <v>1114</v>
      </c>
      <c r="B79" t="s">
        <v>987</v>
      </c>
      <c r="C79">
        <v>2</v>
      </c>
      <c r="D79">
        <v>3</v>
      </c>
      <c r="E79">
        <v>2</v>
      </c>
      <c r="F79">
        <v>13</v>
      </c>
      <c r="G79" t="s">
        <v>984</v>
      </c>
      <c r="H79">
        <v>7200</v>
      </c>
      <c r="I79">
        <v>180</v>
      </c>
      <c r="J79">
        <v>90</v>
      </c>
      <c r="K79">
        <v>90</v>
      </c>
      <c r="M79">
        <v>720</v>
      </c>
      <c r="N79">
        <v>18</v>
      </c>
      <c r="O79">
        <v>9</v>
      </c>
      <c r="P79">
        <v>9</v>
      </c>
    </row>
    <row r="80" spans="1:16">
      <c r="A80">
        <v>1110</v>
      </c>
      <c r="B80" t="s">
        <v>32</v>
      </c>
      <c r="C80">
        <v>3</v>
      </c>
      <c r="D80">
        <v>3</v>
      </c>
      <c r="E80">
        <v>2</v>
      </c>
      <c r="F80">
        <v>13</v>
      </c>
      <c r="G80" t="s">
        <v>984</v>
      </c>
      <c r="H80">
        <v>7200</v>
      </c>
      <c r="I80">
        <v>180</v>
      </c>
      <c r="J80">
        <v>90</v>
      </c>
      <c r="K80">
        <v>90</v>
      </c>
      <c r="M80">
        <v>720</v>
      </c>
      <c r="N80">
        <v>18</v>
      </c>
      <c r="O80">
        <v>9</v>
      </c>
      <c r="P80">
        <v>9</v>
      </c>
    </row>
    <row r="81" spans="1:16">
      <c r="A81">
        <v>1123</v>
      </c>
      <c r="B81" t="s">
        <v>51</v>
      </c>
      <c r="C81">
        <v>1</v>
      </c>
      <c r="D81">
        <v>3</v>
      </c>
      <c r="E81">
        <v>2</v>
      </c>
      <c r="F81">
        <v>13</v>
      </c>
      <c r="G81" t="s">
        <v>984</v>
      </c>
      <c r="H81">
        <v>7200</v>
      </c>
      <c r="I81">
        <v>180</v>
      </c>
      <c r="J81">
        <v>90</v>
      </c>
      <c r="K81">
        <v>90</v>
      </c>
      <c r="M81">
        <v>720</v>
      </c>
      <c r="N81">
        <v>18</v>
      </c>
      <c r="O81">
        <v>9</v>
      </c>
      <c r="P81">
        <v>9</v>
      </c>
    </row>
    <row r="82" spans="1:16">
      <c r="A82">
        <v>1117</v>
      </c>
      <c r="B82" t="s">
        <v>26</v>
      </c>
      <c r="C82">
        <v>2</v>
      </c>
      <c r="D82">
        <v>3</v>
      </c>
      <c r="E82">
        <v>2</v>
      </c>
      <c r="F82">
        <v>13</v>
      </c>
      <c r="G82" t="s">
        <v>984</v>
      </c>
      <c r="H82">
        <v>7200</v>
      </c>
      <c r="I82">
        <v>180</v>
      </c>
      <c r="J82">
        <v>90</v>
      </c>
      <c r="K82">
        <v>90</v>
      </c>
      <c r="M82">
        <v>720</v>
      </c>
      <c r="N82">
        <v>18</v>
      </c>
      <c r="O82">
        <v>9</v>
      </c>
      <c r="P82">
        <v>9</v>
      </c>
    </row>
    <row r="83" spans="1:16">
      <c r="A83">
        <v>1201</v>
      </c>
      <c r="B83" t="s">
        <v>37</v>
      </c>
      <c r="C83">
        <v>1</v>
      </c>
      <c r="D83">
        <v>2</v>
      </c>
      <c r="E83">
        <v>2</v>
      </c>
      <c r="F83">
        <v>13</v>
      </c>
      <c r="G83" t="s">
        <v>984</v>
      </c>
      <c r="H83">
        <v>7200</v>
      </c>
      <c r="I83">
        <v>180</v>
      </c>
      <c r="J83">
        <v>90</v>
      </c>
      <c r="K83">
        <v>90</v>
      </c>
      <c r="M83">
        <v>720</v>
      </c>
      <c r="N83">
        <v>18</v>
      </c>
      <c r="O83">
        <v>9</v>
      </c>
      <c r="P83">
        <v>9</v>
      </c>
    </row>
    <row r="84" spans="1:16">
      <c r="A84">
        <v>1131</v>
      </c>
      <c r="B84" t="s">
        <v>38</v>
      </c>
      <c r="C84">
        <v>2</v>
      </c>
      <c r="D84">
        <v>2</v>
      </c>
      <c r="E84">
        <v>2</v>
      </c>
      <c r="F84">
        <v>13</v>
      </c>
      <c r="G84" t="s">
        <v>984</v>
      </c>
      <c r="H84">
        <v>7200</v>
      </c>
      <c r="I84">
        <v>180</v>
      </c>
      <c r="J84">
        <v>90</v>
      </c>
      <c r="K84">
        <v>90</v>
      </c>
      <c r="M84">
        <v>720</v>
      </c>
      <c r="N84">
        <v>18</v>
      </c>
      <c r="O84">
        <v>9</v>
      </c>
      <c r="P84">
        <v>9</v>
      </c>
    </row>
    <row r="85" spans="1:16">
      <c r="A85">
        <v>1137</v>
      </c>
      <c r="B85" t="s">
        <v>166</v>
      </c>
      <c r="C85">
        <v>2</v>
      </c>
      <c r="D85">
        <v>2</v>
      </c>
      <c r="E85">
        <v>2</v>
      </c>
      <c r="F85">
        <v>13</v>
      </c>
      <c r="G85" t="s">
        <v>984</v>
      </c>
      <c r="H85">
        <v>7200</v>
      </c>
      <c r="I85">
        <v>180</v>
      </c>
      <c r="J85">
        <v>90</v>
      </c>
      <c r="K85">
        <v>90</v>
      </c>
      <c r="M85">
        <v>720</v>
      </c>
      <c r="N85">
        <v>18</v>
      </c>
      <c r="O85">
        <v>9</v>
      </c>
      <c r="P85">
        <v>9</v>
      </c>
    </row>
    <row r="86" spans="1:16">
      <c r="A86">
        <v>1216</v>
      </c>
      <c r="B86" t="s">
        <v>296</v>
      </c>
      <c r="C86">
        <v>3</v>
      </c>
      <c r="D86">
        <v>2</v>
      </c>
      <c r="E86">
        <v>2</v>
      </c>
      <c r="F86">
        <v>13</v>
      </c>
      <c r="G86" t="s">
        <v>984</v>
      </c>
      <c r="H86">
        <v>7200</v>
      </c>
      <c r="I86">
        <v>180</v>
      </c>
      <c r="J86">
        <v>90</v>
      </c>
      <c r="K86">
        <v>90</v>
      </c>
      <c r="M86">
        <v>720</v>
      </c>
      <c r="N86">
        <v>18</v>
      </c>
      <c r="O86">
        <v>9</v>
      </c>
      <c r="P86">
        <v>9</v>
      </c>
    </row>
    <row r="87" spans="1:16">
      <c r="A87">
        <v>1104</v>
      </c>
      <c r="B87" t="s">
        <v>58</v>
      </c>
      <c r="C87">
        <v>1</v>
      </c>
      <c r="D87">
        <v>4</v>
      </c>
      <c r="E87">
        <v>4</v>
      </c>
      <c r="F87">
        <v>13</v>
      </c>
      <c r="G87" t="s">
        <v>984</v>
      </c>
      <c r="H87">
        <v>7200</v>
      </c>
      <c r="I87">
        <v>180</v>
      </c>
      <c r="J87">
        <v>90</v>
      </c>
      <c r="K87">
        <v>90</v>
      </c>
      <c r="M87">
        <v>720</v>
      </c>
      <c r="N87">
        <v>18</v>
      </c>
      <c r="O87">
        <v>9</v>
      </c>
      <c r="P87">
        <v>9</v>
      </c>
    </row>
    <row r="88" spans="1:16">
      <c r="A88">
        <v>1135</v>
      </c>
      <c r="B88" t="s">
        <v>39</v>
      </c>
      <c r="C88">
        <v>1</v>
      </c>
      <c r="D88">
        <v>4</v>
      </c>
      <c r="E88">
        <v>4</v>
      </c>
      <c r="F88">
        <v>13</v>
      </c>
      <c r="G88" t="s">
        <v>984</v>
      </c>
      <c r="H88">
        <v>7200</v>
      </c>
      <c r="I88">
        <v>180</v>
      </c>
      <c r="J88">
        <v>90</v>
      </c>
      <c r="K88">
        <v>90</v>
      </c>
      <c r="M88">
        <v>720</v>
      </c>
      <c r="N88">
        <v>18</v>
      </c>
      <c r="O88">
        <v>9</v>
      </c>
      <c r="P88">
        <v>9</v>
      </c>
    </row>
    <row r="89" spans="1:16">
      <c r="A89">
        <v>1132</v>
      </c>
      <c r="B89" t="s">
        <v>64</v>
      </c>
      <c r="C89">
        <v>2</v>
      </c>
      <c r="D89">
        <v>4</v>
      </c>
      <c r="E89">
        <v>4</v>
      </c>
      <c r="F89">
        <v>13</v>
      </c>
      <c r="G89" t="s">
        <v>984</v>
      </c>
      <c r="H89">
        <v>7200</v>
      </c>
      <c r="I89">
        <v>180</v>
      </c>
      <c r="J89">
        <v>90</v>
      </c>
      <c r="K89">
        <v>90</v>
      </c>
      <c r="M89">
        <v>720</v>
      </c>
      <c r="N89">
        <v>18</v>
      </c>
      <c r="O89">
        <v>9</v>
      </c>
      <c r="P89">
        <v>9</v>
      </c>
    </row>
    <row r="90" spans="1:16">
      <c r="A90">
        <v>1125</v>
      </c>
      <c r="B90" t="s">
        <v>143</v>
      </c>
      <c r="C90">
        <v>3</v>
      </c>
      <c r="D90">
        <v>4</v>
      </c>
      <c r="E90">
        <v>4</v>
      </c>
      <c r="F90">
        <v>13</v>
      </c>
      <c r="G90" t="s">
        <v>984</v>
      </c>
      <c r="H90">
        <v>7200</v>
      </c>
      <c r="I90">
        <v>180</v>
      </c>
      <c r="J90">
        <v>90</v>
      </c>
      <c r="K90">
        <v>90</v>
      </c>
      <c r="M90">
        <v>720</v>
      </c>
      <c r="N90">
        <v>18</v>
      </c>
      <c r="O90">
        <v>9</v>
      </c>
      <c r="P90">
        <v>9</v>
      </c>
    </row>
    <row r="91" spans="1:16">
      <c r="A91">
        <v>1202</v>
      </c>
      <c r="B91" t="s">
        <v>988</v>
      </c>
      <c r="C91">
        <v>3</v>
      </c>
      <c r="D91">
        <v>4</v>
      </c>
      <c r="E91">
        <v>4</v>
      </c>
      <c r="F91">
        <v>13</v>
      </c>
      <c r="G91" t="s">
        <v>984</v>
      </c>
      <c r="H91">
        <v>7200</v>
      </c>
      <c r="I91">
        <v>180</v>
      </c>
      <c r="J91">
        <v>90</v>
      </c>
      <c r="K91">
        <v>90</v>
      </c>
      <c r="M91">
        <v>720</v>
      </c>
      <c r="N91">
        <v>18</v>
      </c>
      <c r="O91">
        <v>9</v>
      </c>
      <c r="P91">
        <v>9</v>
      </c>
    </row>
    <row r="92" spans="1:16">
      <c r="A92">
        <v>1126</v>
      </c>
      <c r="B92" t="s">
        <v>147</v>
      </c>
      <c r="C92">
        <v>3</v>
      </c>
      <c r="D92">
        <v>2</v>
      </c>
      <c r="E92">
        <v>1</v>
      </c>
      <c r="F92">
        <v>13</v>
      </c>
      <c r="G92" t="s">
        <v>984</v>
      </c>
      <c r="H92">
        <v>7200</v>
      </c>
      <c r="I92">
        <v>180</v>
      </c>
      <c r="J92">
        <v>90</v>
      </c>
      <c r="K92">
        <v>90</v>
      </c>
      <c r="M92">
        <v>720</v>
      </c>
      <c r="N92">
        <v>18</v>
      </c>
      <c r="O92">
        <v>9</v>
      </c>
      <c r="P92">
        <v>9</v>
      </c>
    </row>
    <row r="93" spans="1:16">
      <c r="A93">
        <v>1102</v>
      </c>
      <c r="B93" t="s">
        <v>33</v>
      </c>
      <c r="C93">
        <v>1</v>
      </c>
      <c r="D93">
        <v>3</v>
      </c>
      <c r="E93">
        <v>2</v>
      </c>
      <c r="F93">
        <v>16</v>
      </c>
      <c r="G93" t="s">
        <v>989</v>
      </c>
      <c r="H93">
        <v>8000</v>
      </c>
      <c r="I93">
        <v>200</v>
      </c>
      <c r="J93">
        <v>100</v>
      </c>
      <c r="K93">
        <v>100</v>
      </c>
      <c r="M93">
        <v>800</v>
      </c>
      <c r="N93">
        <v>20</v>
      </c>
      <c r="O93">
        <v>10</v>
      </c>
      <c r="P93">
        <v>10</v>
      </c>
    </row>
    <row r="94" spans="1:16">
      <c r="A94">
        <v>1211</v>
      </c>
      <c r="B94" t="s">
        <v>990</v>
      </c>
      <c r="C94">
        <v>3</v>
      </c>
      <c r="D94">
        <v>3</v>
      </c>
      <c r="E94">
        <v>2</v>
      </c>
      <c r="F94">
        <v>16</v>
      </c>
      <c r="G94" t="s">
        <v>989</v>
      </c>
      <c r="H94">
        <v>8000</v>
      </c>
      <c r="I94">
        <v>200</v>
      </c>
      <c r="J94">
        <v>100</v>
      </c>
      <c r="K94">
        <v>100</v>
      </c>
      <c r="M94">
        <v>800</v>
      </c>
      <c r="N94">
        <v>20</v>
      </c>
      <c r="O94">
        <v>10</v>
      </c>
      <c r="P94">
        <v>10</v>
      </c>
    </row>
    <row r="95" spans="1:16">
      <c r="A95">
        <v>1101</v>
      </c>
      <c r="B95" t="s">
        <v>41</v>
      </c>
      <c r="C95">
        <v>1</v>
      </c>
      <c r="D95">
        <v>4</v>
      </c>
      <c r="E95">
        <v>2</v>
      </c>
      <c r="F95">
        <v>16</v>
      </c>
      <c r="G95" t="s">
        <v>989</v>
      </c>
      <c r="H95">
        <v>8000</v>
      </c>
      <c r="I95">
        <v>200</v>
      </c>
      <c r="J95">
        <v>100</v>
      </c>
      <c r="K95">
        <v>100</v>
      </c>
      <c r="M95">
        <v>800</v>
      </c>
      <c r="N95">
        <v>20</v>
      </c>
      <c r="O95">
        <v>10</v>
      </c>
      <c r="P95">
        <v>10</v>
      </c>
    </row>
    <row r="96" spans="1:16">
      <c r="A96">
        <v>1112</v>
      </c>
      <c r="B96" t="s">
        <v>991</v>
      </c>
      <c r="C96">
        <v>2</v>
      </c>
      <c r="D96">
        <v>3</v>
      </c>
      <c r="E96">
        <v>2</v>
      </c>
      <c r="F96">
        <v>16</v>
      </c>
      <c r="G96" t="s">
        <v>989</v>
      </c>
      <c r="H96">
        <v>8000</v>
      </c>
      <c r="I96">
        <v>200</v>
      </c>
      <c r="J96">
        <v>100</v>
      </c>
      <c r="K96">
        <v>100</v>
      </c>
      <c r="M96">
        <v>800</v>
      </c>
      <c r="N96">
        <v>20</v>
      </c>
      <c r="O96">
        <v>10</v>
      </c>
      <c r="P96">
        <v>10</v>
      </c>
    </row>
    <row r="97" spans="1:16">
      <c r="A97">
        <v>1119</v>
      </c>
      <c r="B97" t="s">
        <v>132</v>
      </c>
      <c r="C97">
        <v>2</v>
      </c>
      <c r="D97">
        <v>3</v>
      </c>
      <c r="E97">
        <v>2</v>
      </c>
      <c r="F97">
        <v>16</v>
      </c>
      <c r="G97" t="s">
        <v>989</v>
      </c>
      <c r="H97">
        <v>8000</v>
      </c>
      <c r="I97">
        <v>200</v>
      </c>
      <c r="J97">
        <v>100</v>
      </c>
      <c r="K97">
        <v>100</v>
      </c>
      <c r="M97">
        <v>800</v>
      </c>
      <c r="N97">
        <v>20</v>
      </c>
      <c r="O97">
        <v>10</v>
      </c>
      <c r="P97">
        <v>10</v>
      </c>
    </row>
    <row r="98" spans="1:16">
      <c r="A98">
        <v>1105</v>
      </c>
      <c r="B98" t="s">
        <v>111</v>
      </c>
      <c r="C98">
        <v>1</v>
      </c>
      <c r="D98">
        <v>2</v>
      </c>
      <c r="E98">
        <v>2</v>
      </c>
      <c r="F98">
        <v>16</v>
      </c>
      <c r="G98" t="s">
        <v>989</v>
      </c>
      <c r="H98">
        <v>8000</v>
      </c>
      <c r="I98">
        <v>200</v>
      </c>
      <c r="J98">
        <v>100</v>
      </c>
      <c r="K98">
        <v>100</v>
      </c>
      <c r="M98">
        <v>800</v>
      </c>
      <c r="N98">
        <v>20</v>
      </c>
      <c r="O98">
        <v>10</v>
      </c>
      <c r="P98">
        <v>10</v>
      </c>
    </row>
    <row r="99" spans="1:16">
      <c r="A99">
        <v>1218</v>
      </c>
      <c r="B99" t="s">
        <v>471</v>
      </c>
      <c r="C99">
        <v>1</v>
      </c>
      <c r="D99">
        <v>2</v>
      </c>
      <c r="E99">
        <v>2</v>
      </c>
      <c r="F99">
        <v>16</v>
      </c>
      <c r="G99" t="s">
        <v>989</v>
      </c>
      <c r="H99">
        <v>8000</v>
      </c>
      <c r="I99">
        <v>200</v>
      </c>
      <c r="J99">
        <v>100</v>
      </c>
      <c r="K99">
        <v>100</v>
      </c>
      <c r="M99">
        <v>800</v>
      </c>
      <c r="N99">
        <v>20</v>
      </c>
      <c r="O99">
        <v>10</v>
      </c>
      <c r="P99">
        <v>10</v>
      </c>
    </row>
    <row r="100" spans="1:16">
      <c r="A100">
        <v>1124</v>
      </c>
      <c r="B100" t="s">
        <v>992</v>
      </c>
      <c r="C100">
        <v>2</v>
      </c>
      <c r="D100">
        <v>3</v>
      </c>
      <c r="E100">
        <v>2</v>
      </c>
      <c r="F100">
        <v>16</v>
      </c>
      <c r="G100" t="s">
        <v>989</v>
      </c>
      <c r="H100">
        <v>8000</v>
      </c>
      <c r="I100">
        <v>200</v>
      </c>
      <c r="J100">
        <v>100</v>
      </c>
      <c r="K100">
        <v>100</v>
      </c>
      <c r="M100">
        <v>800</v>
      </c>
      <c r="N100">
        <v>20</v>
      </c>
      <c r="O100">
        <v>10</v>
      </c>
      <c r="P100">
        <v>10</v>
      </c>
    </row>
    <row r="101" spans="1:16">
      <c r="A101">
        <v>1213</v>
      </c>
      <c r="B101" t="s">
        <v>226</v>
      </c>
      <c r="C101">
        <v>3</v>
      </c>
      <c r="D101">
        <v>3</v>
      </c>
      <c r="E101">
        <v>2</v>
      </c>
      <c r="F101">
        <v>16</v>
      </c>
      <c r="G101" t="s">
        <v>989</v>
      </c>
      <c r="H101">
        <v>8000</v>
      </c>
      <c r="I101">
        <v>200</v>
      </c>
      <c r="J101">
        <v>100</v>
      </c>
      <c r="K101">
        <v>100</v>
      </c>
      <c r="M101">
        <v>800</v>
      </c>
      <c r="N101">
        <v>20</v>
      </c>
      <c r="O101">
        <v>10</v>
      </c>
      <c r="P101">
        <v>10</v>
      </c>
    </row>
    <row r="102" spans="1:16">
      <c r="A102">
        <v>1214</v>
      </c>
      <c r="B102" t="s">
        <v>993</v>
      </c>
      <c r="C102">
        <v>3</v>
      </c>
      <c r="D102">
        <v>2</v>
      </c>
      <c r="E102">
        <v>2</v>
      </c>
      <c r="F102">
        <v>16</v>
      </c>
      <c r="G102" t="s">
        <v>989</v>
      </c>
      <c r="H102">
        <v>8000</v>
      </c>
      <c r="I102">
        <v>200</v>
      </c>
      <c r="J102">
        <v>100</v>
      </c>
      <c r="K102">
        <v>100</v>
      </c>
      <c r="M102">
        <v>800</v>
      </c>
      <c r="N102">
        <v>20</v>
      </c>
      <c r="O102">
        <v>10</v>
      </c>
      <c r="P102">
        <v>10</v>
      </c>
    </row>
    <row r="103" spans="1:16">
      <c r="A103">
        <v>1111</v>
      </c>
      <c r="B103" t="s">
        <v>31</v>
      </c>
      <c r="C103">
        <v>2</v>
      </c>
      <c r="D103">
        <v>1</v>
      </c>
      <c r="E103">
        <v>2</v>
      </c>
      <c r="F103">
        <v>16</v>
      </c>
      <c r="G103" t="s">
        <v>989</v>
      </c>
      <c r="H103">
        <v>8000</v>
      </c>
      <c r="I103">
        <v>200</v>
      </c>
      <c r="J103">
        <v>100</v>
      </c>
      <c r="K103">
        <v>100</v>
      </c>
      <c r="M103">
        <v>800</v>
      </c>
      <c r="N103">
        <v>20</v>
      </c>
      <c r="O103">
        <v>10</v>
      </c>
      <c r="P103">
        <v>10</v>
      </c>
    </row>
    <row r="104" spans="1:16">
      <c r="A104">
        <v>1121</v>
      </c>
      <c r="B104" t="s">
        <v>28</v>
      </c>
      <c r="C104">
        <v>3</v>
      </c>
      <c r="D104">
        <v>1</v>
      </c>
      <c r="E104">
        <v>2</v>
      </c>
      <c r="F104">
        <v>16</v>
      </c>
      <c r="G104" t="s">
        <v>989</v>
      </c>
      <c r="H104">
        <v>8000</v>
      </c>
      <c r="I104">
        <v>200</v>
      </c>
      <c r="J104">
        <v>100</v>
      </c>
      <c r="K104">
        <v>100</v>
      </c>
      <c r="M104">
        <v>800</v>
      </c>
      <c r="N104">
        <v>20</v>
      </c>
      <c r="O104">
        <v>10</v>
      </c>
      <c r="P104">
        <v>10</v>
      </c>
    </row>
    <row r="105" spans="1:16">
      <c r="A105">
        <v>1108</v>
      </c>
      <c r="B105" t="s">
        <v>994</v>
      </c>
      <c r="C105">
        <v>1</v>
      </c>
      <c r="D105">
        <v>4</v>
      </c>
      <c r="E105">
        <v>4</v>
      </c>
      <c r="F105">
        <v>16</v>
      </c>
      <c r="G105" t="s">
        <v>989</v>
      </c>
      <c r="H105">
        <v>8000</v>
      </c>
      <c r="I105">
        <v>200</v>
      </c>
      <c r="J105">
        <v>100</v>
      </c>
      <c r="K105">
        <v>100</v>
      </c>
      <c r="M105">
        <v>800</v>
      </c>
      <c r="N105">
        <v>20</v>
      </c>
      <c r="O105">
        <v>10</v>
      </c>
      <c r="P105">
        <v>10</v>
      </c>
    </row>
    <row r="106" spans="1:16">
      <c r="A106">
        <v>1113</v>
      </c>
      <c r="B106" t="s">
        <v>29</v>
      </c>
      <c r="C106">
        <v>2</v>
      </c>
      <c r="D106">
        <v>4</v>
      </c>
      <c r="E106">
        <v>4</v>
      </c>
      <c r="F106">
        <v>16</v>
      </c>
      <c r="G106" t="s">
        <v>989</v>
      </c>
      <c r="H106">
        <v>8000</v>
      </c>
      <c r="I106">
        <v>200</v>
      </c>
      <c r="J106">
        <v>100</v>
      </c>
      <c r="K106">
        <v>100</v>
      </c>
      <c r="M106">
        <v>800</v>
      </c>
      <c r="N106">
        <v>20</v>
      </c>
      <c r="O106">
        <v>10</v>
      </c>
      <c r="P106">
        <v>10</v>
      </c>
    </row>
    <row r="107" spans="1:16">
      <c r="A107">
        <v>1120</v>
      </c>
      <c r="B107" t="s">
        <v>34</v>
      </c>
      <c r="C107">
        <v>2</v>
      </c>
      <c r="D107">
        <v>4</v>
      </c>
      <c r="E107">
        <v>4</v>
      </c>
      <c r="F107">
        <v>16</v>
      </c>
      <c r="G107" t="s">
        <v>989</v>
      </c>
      <c r="H107">
        <v>8000</v>
      </c>
      <c r="I107">
        <v>200</v>
      </c>
      <c r="J107">
        <v>100</v>
      </c>
      <c r="K107">
        <v>100</v>
      </c>
      <c r="M107">
        <v>800</v>
      </c>
      <c r="N107">
        <v>20</v>
      </c>
      <c r="O107">
        <v>10</v>
      </c>
      <c r="P107">
        <v>10</v>
      </c>
    </row>
    <row r="108" spans="1:16">
      <c r="A108">
        <v>1127</v>
      </c>
      <c r="B108" t="s">
        <v>151</v>
      </c>
      <c r="C108">
        <v>3</v>
      </c>
      <c r="D108">
        <v>4</v>
      </c>
      <c r="E108">
        <v>4</v>
      </c>
      <c r="F108">
        <v>16</v>
      </c>
      <c r="G108" t="s">
        <v>989</v>
      </c>
      <c r="H108">
        <v>8000</v>
      </c>
      <c r="I108">
        <v>200</v>
      </c>
      <c r="J108">
        <v>100</v>
      </c>
      <c r="K108">
        <v>100</v>
      </c>
      <c r="M108">
        <v>800</v>
      </c>
      <c r="N108">
        <v>20</v>
      </c>
      <c r="O108">
        <v>10</v>
      </c>
      <c r="P108">
        <v>10</v>
      </c>
    </row>
    <row r="109" spans="1:16">
      <c r="A109">
        <v>1212</v>
      </c>
      <c r="B109" t="s">
        <v>225</v>
      </c>
      <c r="C109">
        <v>3</v>
      </c>
      <c r="D109">
        <v>4</v>
      </c>
      <c r="E109">
        <v>4</v>
      </c>
      <c r="F109">
        <v>16</v>
      </c>
      <c r="G109" t="s">
        <v>989</v>
      </c>
      <c r="H109">
        <v>8000</v>
      </c>
      <c r="I109">
        <v>200</v>
      </c>
      <c r="J109">
        <v>100</v>
      </c>
      <c r="K109">
        <v>100</v>
      </c>
      <c r="M109">
        <v>800</v>
      </c>
      <c r="N109">
        <v>20</v>
      </c>
      <c r="O109">
        <v>10</v>
      </c>
      <c r="P109">
        <v>10</v>
      </c>
    </row>
    <row r="110" spans="1:16">
      <c r="A110">
        <v>1219</v>
      </c>
      <c r="B110" t="s">
        <v>476</v>
      </c>
      <c r="C110">
        <v>1</v>
      </c>
      <c r="D110">
        <v>3</v>
      </c>
      <c r="E110">
        <v>4</v>
      </c>
      <c r="F110">
        <v>16</v>
      </c>
      <c r="G110" t="s">
        <v>989</v>
      </c>
      <c r="H110">
        <v>8000</v>
      </c>
      <c r="I110">
        <v>200</v>
      </c>
      <c r="J110">
        <v>100</v>
      </c>
      <c r="K110">
        <v>100</v>
      </c>
      <c r="M110">
        <v>800</v>
      </c>
      <c r="N110">
        <v>20</v>
      </c>
      <c r="O110">
        <v>10</v>
      </c>
      <c r="P110">
        <v>10</v>
      </c>
    </row>
    <row r="111" spans="1:16">
      <c r="A111">
        <v>1220</v>
      </c>
      <c r="B111" t="s">
        <v>995</v>
      </c>
      <c r="C111">
        <v>4</v>
      </c>
      <c r="D111">
        <v>2</v>
      </c>
      <c r="E111">
        <v>2</v>
      </c>
      <c r="F111">
        <v>20</v>
      </c>
      <c r="G111" t="s">
        <v>953</v>
      </c>
      <c r="H111">
        <v>3600</v>
      </c>
      <c r="I111">
        <v>240</v>
      </c>
      <c r="J111">
        <v>120</v>
      </c>
      <c r="K111">
        <v>120</v>
      </c>
      <c r="M111">
        <v>360</v>
      </c>
      <c r="N111">
        <v>24</v>
      </c>
      <c r="O111">
        <v>12</v>
      </c>
      <c r="P111">
        <v>12</v>
      </c>
    </row>
    <row r="112" spans="1:16">
      <c r="A112">
        <v>1221</v>
      </c>
      <c r="B112" t="s">
        <v>996</v>
      </c>
      <c r="C112">
        <v>4</v>
      </c>
      <c r="D112">
        <v>2</v>
      </c>
      <c r="E112">
        <v>2</v>
      </c>
      <c r="F112">
        <v>20</v>
      </c>
      <c r="G112" t="s">
        <v>953</v>
      </c>
      <c r="H112">
        <v>3600</v>
      </c>
      <c r="I112">
        <v>240</v>
      </c>
      <c r="J112">
        <v>120</v>
      </c>
      <c r="K112">
        <v>120</v>
      </c>
      <c r="M112">
        <v>360</v>
      </c>
      <c r="N112">
        <v>24</v>
      </c>
      <c r="O112">
        <v>12</v>
      </c>
      <c r="P112">
        <v>12</v>
      </c>
    </row>
    <row r="113" spans="1:16">
      <c r="A113">
        <v>1222</v>
      </c>
      <c r="B113" t="s">
        <v>997</v>
      </c>
      <c r="C113">
        <v>4</v>
      </c>
      <c r="D113">
        <v>2</v>
      </c>
      <c r="E113">
        <v>2</v>
      </c>
      <c r="F113">
        <v>20</v>
      </c>
      <c r="G113" t="s">
        <v>953</v>
      </c>
      <c r="H113">
        <v>3600</v>
      </c>
      <c r="I113">
        <v>240</v>
      </c>
      <c r="J113">
        <v>120</v>
      </c>
      <c r="K113">
        <v>120</v>
      </c>
      <c r="M113">
        <v>360</v>
      </c>
      <c r="N113">
        <v>24</v>
      </c>
      <c r="O113">
        <v>12</v>
      </c>
      <c r="P113">
        <v>12</v>
      </c>
    </row>
    <row r="114" spans="1:16">
      <c r="A114">
        <v>1223</v>
      </c>
      <c r="B114" t="s">
        <v>998</v>
      </c>
      <c r="C114">
        <v>4</v>
      </c>
      <c r="D114">
        <v>5</v>
      </c>
      <c r="E114">
        <v>2</v>
      </c>
      <c r="F114">
        <v>20</v>
      </c>
      <c r="G114" t="s">
        <v>953</v>
      </c>
      <c r="H114">
        <v>3600</v>
      </c>
      <c r="I114">
        <v>240</v>
      </c>
      <c r="J114">
        <v>120</v>
      </c>
      <c r="K114">
        <v>120</v>
      </c>
      <c r="M114">
        <v>360</v>
      </c>
      <c r="N114">
        <v>24</v>
      </c>
      <c r="O114">
        <v>12</v>
      </c>
      <c r="P114">
        <v>12</v>
      </c>
    </row>
    <row r="115" spans="1:16">
      <c r="A115">
        <v>1224</v>
      </c>
      <c r="B115" t="s">
        <v>985</v>
      </c>
      <c r="C115">
        <v>4</v>
      </c>
      <c r="D115">
        <v>2</v>
      </c>
      <c r="E115">
        <v>2</v>
      </c>
      <c r="F115">
        <v>20</v>
      </c>
      <c r="G115" t="s">
        <v>953</v>
      </c>
      <c r="H115">
        <v>3600</v>
      </c>
      <c r="I115">
        <v>240</v>
      </c>
      <c r="J115">
        <v>120</v>
      </c>
      <c r="K115">
        <v>120</v>
      </c>
      <c r="M115">
        <v>360</v>
      </c>
      <c r="N115">
        <v>24</v>
      </c>
      <c r="O115">
        <v>12</v>
      </c>
      <c r="P115">
        <v>12</v>
      </c>
    </row>
    <row r="116" spans="1:16">
      <c r="A116">
        <v>1225</v>
      </c>
      <c r="B116" t="s">
        <v>999</v>
      </c>
      <c r="C116">
        <v>4</v>
      </c>
      <c r="D116">
        <v>2</v>
      </c>
      <c r="E116">
        <v>2</v>
      </c>
      <c r="F116">
        <v>20</v>
      </c>
      <c r="G116" t="s">
        <v>953</v>
      </c>
      <c r="H116">
        <v>3600</v>
      </c>
      <c r="I116">
        <v>240</v>
      </c>
      <c r="J116">
        <v>120</v>
      </c>
      <c r="K116">
        <v>120</v>
      </c>
      <c r="M116">
        <v>400</v>
      </c>
      <c r="N116">
        <v>44</v>
      </c>
      <c r="O116">
        <v>25</v>
      </c>
      <c r="P116">
        <v>24</v>
      </c>
    </row>
    <row r="117" spans="1:16">
      <c r="A117">
        <v>1227</v>
      </c>
      <c r="B117" t="s">
        <v>1000</v>
      </c>
      <c r="C117">
        <v>4</v>
      </c>
      <c r="D117">
        <v>2</v>
      </c>
      <c r="E117">
        <v>2</v>
      </c>
      <c r="F117">
        <v>20</v>
      </c>
      <c r="G117" t="s">
        <v>953</v>
      </c>
      <c r="H117">
        <v>3600</v>
      </c>
      <c r="I117">
        <v>240</v>
      </c>
      <c r="J117">
        <v>120</v>
      </c>
      <c r="K117">
        <v>120</v>
      </c>
      <c r="M117">
        <v>400</v>
      </c>
      <c r="N117">
        <v>44</v>
      </c>
      <c r="O117">
        <v>25</v>
      </c>
      <c r="P117">
        <v>24</v>
      </c>
    </row>
  </sheetData>
  <phoneticPr fontId="2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Sheet1</vt:lpstr>
      <vt:lpstr>Sheet3</vt:lpstr>
      <vt:lpstr>Sheet2</vt:lpstr>
      <vt:lpstr>Sheet4</vt:lpstr>
      <vt:lpstr>Sheet5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ALin</dc:creator>
  <cp:lastModifiedBy>Administrator</cp:lastModifiedBy>
  <dcterms:created xsi:type="dcterms:W3CDTF">2006-09-16T00:00:00Z</dcterms:created>
  <dcterms:modified xsi:type="dcterms:W3CDTF">2018-03-14T10:13:02Z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2052-9.1.0.5133</vt:lpwstr>
  </property>
</Properties>
</file>