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0" windowWidth="28695" windowHeight="13050"/>
  </bookViews>
  <sheets>
    <sheet name="Sheet1" sheetId="2" r:id="rId1"/>
  </sheets>
  <functionGroups builtInGroupCount="17"/>
  <calcPr calcId="144525"/>
</workbook>
</file>

<file path=xl/calcChain.xml><?xml version="1.0" encoding="utf-8"?>
<calcChain xmlns="http://schemas.openxmlformats.org/spreadsheetml/2006/main">
  <c r="AA5" i="2" l="1"/>
  <c r="Z5" i="2"/>
  <c r="Y5" i="2"/>
  <c r="X5" i="2"/>
  <c r="Y4" i="2" l="1"/>
  <c r="Z4" i="2"/>
  <c r="AA4" i="2"/>
  <c r="X4" i="2"/>
</calcChain>
</file>

<file path=xl/sharedStrings.xml><?xml version="1.0" encoding="utf-8"?>
<sst xmlns="http://schemas.openxmlformats.org/spreadsheetml/2006/main" count="88" uniqueCount="68">
  <si>
    <t>id</t>
  </si>
  <si>
    <t>s</t>
  </si>
  <si>
    <r>
      <t xml:space="preserve">活动开始展示时间
填写时间戳
</t>
    </r>
    <r>
      <rPr>
        <sz val="11"/>
        <color rgb="FFFF0000"/>
        <rFont val="微软雅黑"/>
        <family val="2"/>
        <charset val="134"/>
      </rPr>
      <t>开始展示活动的时间</t>
    </r>
    <phoneticPr fontId="3" type="noConversion"/>
  </si>
  <si>
    <r>
      <t xml:space="preserve">活动结束展示时间
</t>
    </r>
    <r>
      <rPr>
        <sz val="11"/>
        <color rgb="FFFF0000"/>
        <rFont val="微软雅黑"/>
        <family val="2"/>
        <charset val="134"/>
      </rPr>
      <t>同样是活动结束领奖的时间</t>
    </r>
    <r>
      <rPr>
        <sz val="11"/>
        <color theme="1"/>
        <rFont val="微软雅黑"/>
        <family val="2"/>
        <charset val="134"/>
      </rPr>
      <t xml:space="preserve">
填写时间戳
</t>
    </r>
    <r>
      <rPr>
        <sz val="11"/>
        <color rgb="FFFF0000"/>
        <rFont val="微软雅黑"/>
        <family val="2"/>
        <charset val="134"/>
      </rPr>
      <t>活动隐藏的时间</t>
    </r>
    <phoneticPr fontId="3" type="noConversion"/>
  </si>
  <si>
    <r>
      <t xml:space="preserve">活动正式开启时间
</t>
    </r>
    <r>
      <rPr>
        <sz val="11"/>
        <color rgb="FFFF0000"/>
        <rFont val="微软雅黑"/>
        <family val="2"/>
        <charset val="134"/>
      </rPr>
      <t>同样是活动可开始领奖的时间</t>
    </r>
    <r>
      <rPr>
        <sz val="11"/>
        <color theme="1"/>
        <rFont val="微软雅黑"/>
        <family val="2"/>
        <charset val="134"/>
      </rPr>
      <t xml:space="preserve">
填写时间戳
</t>
    </r>
    <r>
      <rPr>
        <sz val="11"/>
        <color rgb="FFFF0000"/>
        <rFont val="微软雅黑"/>
        <family val="2"/>
        <charset val="134"/>
      </rPr>
      <t>可以开始参与活动的时间</t>
    </r>
    <phoneticPr fontId="3" type="noConversion"/>
  </si>
  <si>
    <r>
      <t xml:space="preserve">活动正式结束时间
填写时间戳
</t>
    </r>
    <r>
      <rPr>
        <sz val="11"/>
        <color rgb="FFFF0000"/>
        <rFont val="微软雅黑"/>
        <family val="2"/>
        <charset val="134"/>
      </rPr>
      <t>活动结束的时间</t>
    </r>
    <phoneticPr fontId="3" type="noConversion"/>
  </si>
  <si>
    <t>showtime</t>
    <phoneticPr fontId="3" type="noConversion"/>
  </si>
  <si>
    <t>hidetime</t>
    <phoneticPr fontId="3" type="noConversion"/>
  </si>
  <si>
    <t>starttime</t>
    <phoneticPr fontId="3" type="noConversion"/>
  </si>
  <si>
    <t>endtime</t>
    <phoneticPr fontId="3" type="noConversion"/>
  </si>
  <si>
    <t>s</t>
    <phoneticPr fontId="3" type="noConversion"/>
  </si>
  <si>
    <t>s</t>
    <phoneticPr fontId="3" type="noConversion"/>
  </si>
  <si>
    <t>s</t>
    <phoneticPr fontId="3" type="noConversion"/>
  </si>
  <si>
    <t>time_type</t>
    <phoneticPr fontId="3" type="noConversion"/>
  </si>
  <si>
    <t>i</t>
    <phoneticPr fontId="3" type="noConversion"/>
  </si>
  <si>
    <r>
      <t xml:space="preserve">活动结束展示时间
</t>
    </r>
    <r>
      <rPr>
        <sz val="11"/>
        <color rgb="FFFF0000"/>
        <rFont val="微软雅黑"/>
        <family val="2"/>
        <charset val="134"/>
      </rPr>
      <t>同样是活动结束领奖的时间</t>
    </r>
    <r>
      <rPr>
        <sz val="11"/>
        <color theme="1"/>
        <rFont val="微软雅黑"/>
        <family val="2"/>
        <charset val="134"/>
      </rPr>
      <t xml:space="preserve">
时间参数（根据字段time_type决定）
1-时间戳
2-距离开服x天开始
3-星期几
</t>
    </r>
    <r>
      <rPr>
        <sz val="11"/>
        <color rgb="FFFF0000"/>
        <rFont val="微软雅黑"/>
        <family val="2"/>
        <charset val="134"/>
      </rPr>
      <t>活动隐藏的时间</t>
    </r>
    <phoneticPr fontId="3" type="noConversion"/>
  </si>
  <si>
    <r>
      <t xml:space="preserve">活动正式开启时间
</t>
    </r>
    <r>
      <rPr>
        <sz val="11"/>
        <color rgb="FFFF0000"/>
        <rFont val="微软雅黑"/>
        <family val="2"/>
        <charset val="134"/>
      </rPr>
      <t xml:space="preserve">同样是活动可开始领奖的时间
</t>
    </r>
    <r>
      <rPr>
        <sz val="11"/>
        <color theme="1"/>
        <rFont val="微软雅黑"/>
        <family val="2"/>
        <charset val="134"/>
      </rPr>
      <t xml:space="preserve">
时间参数（根据字段time_type决定）
1-时间戳
2-距离开服x天开始
3-星期几
</t>
    </r>
    <r>
      <rPr>
        <sz val="11"/>
        <color rgb="FFFF0000"/>
        <rFont val="微软雅黑"/>
        <family val="2"/>
        <charset val="134"/>
      </rPr>
      <t>可以开始参与活动的时间</t>
    </r>
    <phoneticPr fontId="3" type="noConversion"/>
  </si>
  <si>
    <r>
      <t xml:space="preserve">活动正式结束时间
时间参数（根据字段time_type决定）
1-时间戳
2-距离开服x天开始
3-星期几
</t>
    </r>
    <r>
      <rPr>
        <sz val="11"/>
        <color rgb="FFFF0000"/>
        <rFont val="微软雅黑"/>
        <family val="2"/>
        <charset val="134"/>
      </rPr>
      <t>活动结束的时间</t>
    </r>
    <phoneticPr fontId="3" type="noConversion"/>
  </si>
  <si>
    <t>reward</t>
  </si>
  <si>
    <t>integral</t>
  </si>
  <si>
    <t>a</t>
    <phoneticPr fontId="3" type="noConversion"/>
  </si>
  <si>
    <r>
      <t>活动期间内每日积分排行</t>
    </r>
    <r>
      <rPr>
        <b/>
        <sz val="11"/>
        <color theme="1"/>
        <rFont val="微软雅黑"/>
        <family val="2"/>
        <charset val="134"/>
      </rPr>
      <t xml:space="preserve">
额外奖励领取条件
活动时间内累计积分要求</t>
    </r>
    <phoneticPr fontId="3" type="noConversion"/>
  </si>
  <si>
    <r>
      <t xml:space="preserve">活动期间内每日积分排行
</t>
    </r>
    <r>
      <rPr>
        <b/>
        <sz val="11"/>
        <color theme="1"/>
        <rFont val="微软雅黑"/>
        <family val="2"/>
        <charset val="134"/>
      </rPr>
      <t>额外奖励领取条件
活动时间内每日积分要求</t>
    </r>
    <phoneticPr fontId="3" type="noConversion"/>
  </si>
  <si>
    <t>integral_daily</t>
    <phoneticPr fontId="3" type="noConversion"/>
  </si>
  <si>
    <t>integral_cumul</t>
    <phoneticPr fontId="3" type="noConversion"/>
  </si>
  <si>
    <r>
      <t xml:space="preserve">每日排行上榜条件
</t>
    </r>
    <r>
      <rPr>
        <b/>
        <sz val="11"/>
        <color theme="1"/>
        <rFont val="微软雅黑"/>
        <family val="2"/>
        <charset val="134"/>
      </rPr>
      <t>活动时间内每日积分要求</t>
    </r>
    <phoneticPr fontId="3" type="noConversion"/>
  </si>
  <si>
    <r>
      <t xml:space="preserve">累计排行上榜条件
</t>
    </r>
    <r>
      <rPr>
        <b/>
        <sz val="11"/>
        <color theme="1"/>
        <rFont val="微软雅黑"/>
        <family val="2"/>
        <charset val="134"/>
      </rPr>
      <t>活动时间内累计积分要求</t>
    </r>
    <phoneticPr fontId="3" type="noConversion"/>
  </si>
  <si>
    <t>1,2,3,4,5</t>
  </si>
  <si>
    <t>limit</t>
    <phoneticPr fontId="3" type="noConversion"/>
  </si>
  <si>
    <t>cost</t>
    <phoneticPr fontId="3" type="noConversion"/>
  </si>
  <si>
    <t>cost_ten</t>
    <phoneticPr fontId="3" type="noConversion"/>
  </si>
  <si>
    <t>free</t>
    <phoneticPr fontId="3" type="noConversion"/>
  </si>
  <si>
    <t>单1次转消耗
type,id,value
[]-无消耗</t>
    <phoneticPr fontId="3" type="noConversion"/>
  </si>
  <si>
    <t>转10次消耗
type,id,value
[]-无消耗</t>
    <phoneticPr fontId="3" type="noConversion"/>
  </si>
  <si>
    <t>转盘随机奖励
[[类型,物品ID,数量,随机权重],[类型,物品ID,数量,随机权重]]
类型：
1=道具（game_items）
2=装备(game_equpment)
4=资源（currency）
5=伙伴（hero_main）
6=法宝(game_fabao)
只能填10个奖励</t>
    <phoneticPr fontId="3" type="noConversion"/>
  </si>
  <si>
    <t>1001,1002,1003,1004,1005</t>
  </si>
  <si>
    <t>活动期间内每日积分排行奖励
填写activity_zhuanpan_list的id集合
[id,id,id]</t>
    <phoneticPr fontId="3" type="noConversion"/>
  </si>
  <si>
    <t>活动期间内累计积分排行奖励
填写activity_zhuanpan_list的id集合
[id,id,id]</t>
    <phoneticPr fontId="3" type="noConversion"/>
  </si>
  <si>
    <t>condition_daily</t>
    <phoneticPr fontId="3" type="noConversion"/>
  </si>
  <si>
    <t>rank_daily</t>
    <phoneticPr fontId="3" type="noConversion"/>
  </si>
  <si>
    <t>condition_cumul</t>
    <phoneticPr fontId="3" type="noConversion"/>
  </si>
  <si>
    <t>rank_cumul</t>
    <phoneticPr fontId="3" type="noConversion"/>
  </si>
  <si>
    <t>每转1次获得积分数量</t>
    <phoneticPr fontId="3" type="noConversion"/>
  </si>
  <si>
    <t>integral_list</t>
    <phoneticPr fontId="3" type="noConversion"/>
  </si>
  <si>
    <t>s</t>
    <phoneticPr fontId="3" type="noConversion"/>
  </si>
  <si>
    <t>音效
转的过程中的音效
[]-空</t>
    <phoneticPr fontId="3" type="noConversion"/>
  </si>
  <si>
    <t>音效
抽中时候的音效
[]-空</t>
    <phoneticPr fontId="3" type="noConversion"/>
  </si>
  <si>
    <t>sound_1</t>
    <phoneticPr fontId="3" type="noConversion"/>
  </si>
  <si>
    <t>sound_2</t>
  </si>
  <si>
    <t>s</t>
    <phoneticPr fontId="3" type="noConversion"/>
  </si>
  <si>
    <t>start_day</t>
    <phoneticPr fontId="3" type="noConversion"/>
  </si>
  <si>
    <t>i</t>
    <phoneticPr fontId="3" type="noConversion"/>
  </si>
  <si>
    <t>积分奖励
填写activity_zhuanpan_box_reward的id集合
需要是7个</t>
    <phoneticPr fontId="3" type="noConversion"/>
  </si>
  <si>
    <t>每日可转次数
次数上限
currency表ID</t>
    <phoneticPr fontId="3" type="noConversion"/>
  </si>
  <si>
    <t>每日免费次数
0-无免费次数
填数值
currency表ID</t>
    <phoneticPr fontId="3" type="noConversion"/>
  </si>
  <si>
    <t>[4,2,60]</t>
  </si>
  <si>
    <t>id
转盘ID
同期不能有2个转盘
ID不可复用，用于区分新旧活动和有内容修改</t>
    <phoneticPr fontId="3" type="noConversion"/>
  </si>
  <si>
    <t>时间类型
1-时间戳
2-距离开服x天开始
3-星期几
轮盘不要配星期偏移</t>
    <phoneticPr fontId="3" type="noConversion"/>
  </si>
  <si>
    <r>
      <t xml:space="preserve">活动开始展示时间
时间参数（根据字段time_type决定）
1-时间戳
2-距离开服x天开始
3-星期几
</t>
    </r>
    <r>
      <rPr>
        <sz val="11"/>
        <color rgb="FFFF0000"/>
        <rFont val="微软雅黑"/>
        <family val="2"/>
        <charset val="134"/>
      </rPr>
      <t>开始展示活动的时间
填2表示第2天0点</t>
    </r>
    <phoneticPr fontId="3" type="noConversion"/>
  </si>
  <si>
    <t>44</t>
  </si>
  <si>
    <t>[4,2,560]</t>
  </si>
  <si>
    <t>[]</t>
  </si>
  <si>
    <t>101,102,103,104,105,106,107</t>
  </si>
  <si>
    <t>开服第几天可以正常参与
填天数（包含关系）
举例：8-开服第8天可以看到和参与</t>
    <phoneticPr fontId="3" type="noConversion"/>
  </si>
  <si>
    <t>1|14106|10|5,1|16010|5|2,1|16005|5|10,4|1|50000|5,1|14201|10|5,1|14106|5|10,1|16005|10|5,1|16010|2|10,4|1|100000|2,1|14201|5|10</t>
  </si>
  <si>
    <t>11,12,13,14,15</t>
    <phoneticPr fontId="3" type="noConversion"/>
  </si>
  <si>
    <t>1011,1012,1013,1014,1015</t>
    <phoneticPr fontId="3" type="noConversion"/>
  </si>
  <si>
    <t>201,202,203,204,205,206,207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</si>
</sst>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rgb="FFFF000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3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1" fillId="0" borderId="0" xfId="0" applyFont="1">
      <alignment vertical="center"/>
    </xf>
    <xf numFmtId="0" fontId="2" fillId="3" borderId="1" xfId="0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1" fillId="0" borderId="0" xfId="0" applyFont="1" applyFill="1">
      <alignment vertical="center"/>
    </xf>
    <xf numFmtId="0" fontId="1" fillId="2" borderId="1" xfId="0" applyFont="1" applyFill="1" applyBorder="1" applyAlignment="1">
      <alignment vertical="top" wrapText="1"/>
    </xf>
    <xf numFmtId="0" fontId="1" fillId="2" borderId="1" xfId="0" applyNumberFormat="1" applyFont="1" applyFill="1" applyBorder="1" applyAlignment="1">
      <alignment vertical="top" wrapText="1"/>
    </xf>
    <xf numFmtId="0" fontId="1" fillId="5" borderId="1" xfId="0" applyFont="1" applyFill="1" applyBorder="1" applyAlignment="1">
      <alignment vertical="top" wrapText="1"/>
    </xf>
    <xf numFmtId="0" fontId="1" fillId="0" borderId="1" xfId="0" applyFont="1" applyFill="1" applyBorder="1" applyAlignment="1">
      <alignment vertical="top" wrapText="1"/>
    </xf>
    <xf numFmtId="0" fontId="1" fillId="2" borderId="0" xfId="0" applyFont="1" applyFill="1" applyAlignment="1">
      <alignment vertical="top"/>
    </xf>
    <xf numFmtId="0" fontId="1" fillId="7" borderId="1" xfId="0" applyFont="1" applyFill="1" applyBorder="1" applyAlignment="1">
      <alignment vertical="top" wrapText="1"/>
    </xf>
    <xf numFmtId="0" fontId="1" fillId="7" borderId="1" xfId="0" applyNumberFormat="1" applyFont="1" applyFill="1" applyBorder="1" applyAlignment="1">
      <alignment vertical="top" wrapText="1"/>
    </xf>
    <xf numFmtId="0" fontId="1" fillId="6" borderId="1" xfId="0" applyFont="1" applyFill="1" applyBorder="1" applyAlignment="1">
      <alignment vertical="top" wrapText="1"/>
    </xf>
    <xf numFmtId="0" fontId="1" fillId="6" borderId="1" xfId="0" applyNumberFormat="1" applyFont="1" applyFill="1" applyBorder="1" applyAlignment="1">
      <alignment vertical="top" wrapText="1"/>
    </xf>
    <xf numFmtId="49" fontId="1" fillId="6" borderId="1" xfId="0" applyNumberFormat="1" applyFont="1" applyFill="1" applyBorder="1" applyAlignment="1">
      <alignment vertical="top" wrapText="1"/>
    </xf>
    <xf numFmtId="49" fontId="2" fillId="3" borderId="1" xfId="0" applyNumberFormat="1" applyFont="1" applyFill="1" applyBorder="1" applyAlignment="1">
      <alignment vertical="center" wrapText="1"/>
    </xf>
    <xf numFmtId="49" fontId="1" fillId="0" borderId="0" xfId="0" applyNumberFormat="1" applyFont="1">
      <alignment vertical="center"/>
    </xf>
    <xf numFmtId="49" fontId="1" fillId="7" borderId="1" xfId="0" applyNumberFormat="1" applyFont="1" applyFill="1" applyBorder="1" applyAlignment="1">
      <alignment vertical="top" wrapText="1"/>
    </xf>
    <xf numFmtId="0" fontId="5" fillId="6" borderId="1" xfId="0" applyFont="1" applyFill="1" applyBorder="1" applyAlignment="1">
      <alignment vertical="top" wrapText="1"/>
    </xf>
    <xf numFmtId="0" fontId="6" fillId="3" borderId="1" xfId="0" applyFont="1" applyFill="1" applyBorder="1" applyAlignment="1">
      <alignment vertical="center" wrapText="1"/>
    </xf>
    <xf numFmtId="0" fontId="6" fillId="3" borderId="1" xfId="0" applyNumberFormat="1" applyFont="1" applyFill="1" applyBorder="1" applyAlignment="1">
      <alignment vertical="center" wrapText="1"/>
    </xf>
    <xf numFmtId="0" fontId="5" fillId="0" borderId="0" xfId="0" applyFont="1">
      <alignment vertical="center"/>
    </xf>
    <xf numFmtId="49" fontId="1" fillId="4" borderId="1" xfId="1" applyNumberFormat="1" applyFont="1" applyFill="1" applyBorder="1">
      <alignment vertical="center"/>
    </xf>
    <xf numFmtId="0" fontId="1" fillId="4" borderId="1" xfId="1" applyNumberFormat="1" applyFont="1" applyFill="1" applyBorder="1" applyAlignment="1">
      <alignment vertical="center" wrapText="1"/>
    </xf>
    <xf numFmtId="49" fontId="1" fillId="0" borderId="1" xfId="1" applyNumberFormat="1" applyFont="1" applyFill="1" applyBorder="1">
      <alignment vertical="center"/>
    </xf>
    <xf numFmtId="0" fontId="1" fillId="4" borderId="1" xfId="1" applyNumberFormat="1" applyFont="1" applyFill="1" applyBorder="1">
      <alignment vertical="center"/>
    </xf>
    <xf numFmtId="0" fontId="5" fillId="4" borderId="1" xfId="1" applyNumberFormat="1" applyFont="1" applyFill="1" applyBorder="1">
      <alignment vertical="center"/>
    </xf>
    <xf numFmtId="49" fontId="1" fillId="4" borderId="1" xfId="1" applyNumberFormat="1" applyFont="1" applyFill="1" applyBorder="1" applyAlignment="1">
      <alignment vertical="center" wrapText="1"/>
    </xf>
    <xf numFmtId="0" fontId="1" fillId="4" borderId="1" xfId="0" applyNumberFormat="1" applyFont="1" applyFill="1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"/>
  <sheetViews>
    <sheetView tabSelected="1" zoomScale="85" zoomScaleNormal="85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G5" sqref="G5"/>
    </sheetView>
  </sheetViews>
  <sheetFormatPr defaultRowHeight="16.5" x14ac:dyDescent="0.15"/>
  <cols>
    <col min="1" max="1" width="13.125" style="5" customWidth="1"/>
    <col min="2" max="6" width="13.375" style="5" customWidth="1"/>
    <col min="7" max="8" width="17.5" style="5" bestFit="1" customWidth="1"/>
    <col min="9" max="9" width="112.625" style="2" bestFit="1" customWidth="1"/>
    <col min="10" max="10" width="50.625" style="2" bestFit="1" customWidth="1"/>
    <col min="11" max="11" width="27" style="19" bestFit="1" customWidth="1"/>
    <col min="12" max="12" width="18.75" style="5" bestFit="1" customWidth="1"/>
    <col min="13" max="13" width="18.75" style="2" bestFit="1" customWidth="1"/>
    <col min="14" max="14" width="33.125" style="19" bestFit="1" customWidth="1"/>
    <col min="15" max="15" width="18.75" style="5" bestFit="1" customWidth="1"/>
    <col min="16" max="16" width="18.75" style="2" bestFit="1" customWidth="1"/>
    <col min="17" max="17" width="18.75" style="24" customWidth="1"/>
    <col min="18" max="18" width="18.625" style="5" bestFit="1" customWidth="1"/>
    <col min="19" max="19" width="21.75" style="2" customWidth="1"/>
    <col min="20" max="20" width="25.75" style="2" bestFit="1" customWidth="1"/>
    <col min="21" max="21" width="27.875" style="2" bestFit="1" customWidth="1"/>
    <col min="22" max="22" width="17.5" style="2" bestFit="1" customWidth="1"/>
    <col min="23" max="23" width="8" style="7" customWidth="1"/>
    <col min="24" max="24" width="21.625" style="2" bestFit="1" customWidth="1"/>
    <col min="25" max="25" width="25.75" style="2" bestFit="1" customWidth="1"/>
    <col min="26" max="26" width="27.875" style="2" bestFit="1" customWidth="1"/>
    <col min="27" max="27" width="21.625" style="2" bestFit="1" customWidth="1"/>
    <col min="28" max="16384" width="9" style="2"/>
  </cols>
  <sheetData>
    <row r="1" spans="1:27" s="12" customFormat="1" ht="181.5" x14ac:dyDescent="0.15">
      <c r="A1" s="9" t="s">
        <v>56</v>
      </c>
      <c r="B1" s="9" t="s">
        <v>53</v>
      </c>
      <c r="C1" s="9" t="s">
        <v>54</v>
      </c>
      <c r="D1" s="9" t="s">
        <v>32</v>
      </c>
      <c r="E1" s="9" t="s">
        <v>33</v>
      </c>
      <c r="F1" s="9" t="s">
        <v>42</v>
      </c>
      <c r="G1" s="9" t="s">
        <v>45</v>
      </c>
      <c r="H1" s="9" t="s">
        <v>46</v>
      </c>
      <c r="I1" s="8" t="s">
        <v>34</v>
      </c>
      <c r="J1" s="8" t="s">
        <v>52</v>
      </c>
      <c r="K1" s="20" t="s">
        <v>36</v>
      </c>
      <c r="L1" s="14" t="s">
        <v>25</v>
      </c>
      <c r="M1" s="13" t="s">
        <v>22</v>
      </c>
      <c r="N1" s="17" t="s">
        <v>37</v>
      </c>
      <c r="O1" s="16" t="s">
        <v>26</v>
      </c>
      <c r="P1" s="15" t="s">
        <v>21</v>
      </c>
      <c r="Q1" s="21" t="s">
        <v>63</v>
      </c>
      <c r="R1" s="9" t="s">
        <v>57</v>
      </c>
      <c r="S1" s="10" t="s">
        <v>58</v>
      </c>
      <c r="T1" s="10" t="s">
        <v>15</v>
      </c>
      <c r="U1" s="8" t="s">
        <v>16</v>
      </c>
      <c r="V1" s="8" t="s">
        <v>17</v>
      </c>
      <c r="W1" s="11"/>
      <c r="X1" s="10" t="s">
        <v>2</v>
      </c>
      <c r="Y1" s="10" t="s">
        <v>3</v>
      </c>
      <c r="Z1" s="8" t="s">
        <v>4</v>
      </c>
      <c r="AA1" s="8" t="s">
        <v>5</v>
      </c>
    </row>
    <row r="2" spans="1:27" s="1" customFormat="1" x14ac:dyDescent="0.15">
      <c r="A2" s="4" t="s">
        <v>0</v>
      </c>
      <c r="B2" s="4" t="s">
        <v>28</v>
      </c>
      <c r="C2" s="4" t="s">
        <v>31</v>
      </c>
      <c r="D2" s="4" t="s">
        <v>29</v>
      </c>
      <c r="E2" s="4" t="s">
        <v>30</v>
      </c>
      <c r="F2" s="4" t="s">
        <v>19</v>
      </c>
      <c r="G2" s="4" t="s">
        <v>47</v>
      </c>
      <c r="H2" s="4" t="s">
        <v>48</v>
      </c>
      <c r="I2" s="3" t="s">
        <v>18</v>
      </c>
      <c r="J2" s="3" t="s">
        <v>43</v>
      </c>
      <c r="K2" s="18" t="s">
        <v>39</v>
      </c>
      <c r="L2" s="4" t="s">
        <v>38</v>
      </c>
      <c r="M2" s="3" t="s">
        <v>23</v>
      </c>
      <c r="N2" s="18" t="s">
        <v>41</v>
      </c>
      <c r="O2" s="4" t="s">
        <v>40</v>
      </c>
      <c r="P2" s="3" t="s">
        <v>24</v>
      </c>
      <c r="Q2" s="22" t="s">
        <v>50</v>
      </c>
      <c r="R2" s="4" t="s">
        <v>13</v>
      </c>
      <c r="S2" s="3" t="s">
        <v>6</v>
      </c>
      <c r="T2" s="3" t="s">
        <v>7</v>
      </c>
      <c r="U2" s="3" t="s">
        <v>8</v>
      </c>
      <c r="V2" s="3" t="s">
        <v>9</v>
      </c>
      <c r="W2" s="6"/>
      <c r="X2" s="3"/>
      <c r="Y2" s="3"/>
      <c r="Z2" s="3"/>
      <c r="AA2" s="3"/>
    </row>
    <row r="3" spans="1:27" s="1" customFormat="1" x14ac:dyDescent="0.15">
      <c r="A3" s="4" t="s">
        <v>1</v>
      </c>
      <c r="B3" s="4" t="s">
        <v>14</v>
      </c>
      <c r="C3" s="4" t="s">
        <v>14</v>
      </c>
      <c r="D3" s="4" t="s">
        <v>20</v>
      </c>
      <c r="E3" s="4" t="s">
        <v>20</v>
      </c>
      <c r="F3" s="4" t="s">
        <v>14</v>
      </c>
      <c r="G3" s="4" t="s">
        <v>44</v>
      </c>
      <c r="H3" s="4" t="s">
        <v>44</v>
      </c>
      <c r="I3" s="3" t="s">
        <v>49</v>
      </c>
      <c r="J3" s="3" t="s">
        <v>20</v>
      </c>
      <c r="K3" s="18" t="s">
        <v>20</v>
      </c>
      <c r="L3" s="4" t="s">
        <v>14</v>
      </c>
      <c r="M3" s="4" t="s">
        <v>14</v>
      </c>
      <c r="N3" s="18" t="s">
        <v>20</v>
      </c>
      <c r="O3" s="4" t="s">
        <v>14</v>
      </c>
      <c r="P3" s="4" t="s">
        <v>14</v>
      </c>
      <c r="Q3" s="23" t="s">
        <v>51</v>
      </c>
      <c r="R3" s="4" t="s">
        <v>14</v>
      </c>
      <c r="S3" s="3" t="s">
        <v>10</v>
      </c>
      <c r="T3" s="3" t="s">
        <v>10</v>
      </c>
      <c r="U3" s="3" t="s">
        <v>11</v>
      </c>
      <c r="V3" s="3" t="s">
        <v>12</v>
      </c>
      <c r="W3" s="6"/>
      <c r="X3" s="3"/>
      <c r="Y3" s="3"/>
      <c r="Z3" s="3"/>
      <c r="AA3" s="3"/>
    </row>
    <row r="4" spans="1:27" x14ac:dyDescent="0.15">
      <c r="A4" s="26">
        <v>101</v>
      </c>
      <c r="B4" s="30" t="s">
        <v>59</v>
      </c>
      <c r="C4" s="26">
        <v>43</v>
      </c>
      <c r="D4" s="26" t="s">
        <v>55</v>
      </c>
      <c r="E4" s="26" t="s">
        <v>60</v>
      </c>
      <c r="F4" s="26">
        <v>10</v>
      </c>
      <c r="G4" s="26" t="s">
        <v>61</v>
      </c>
      <c r="H4" s="26" t="s">
        <v>61</v>
      </c>
      <c r="I4" s="28" t="s">
        <v>64</v>
      </c>
      <c r="J4" s="25" t="s">
        <v>62</v>
      </c>
      <c r="K4" s="25" t="s">
        <v>27</v>
      </c>
      <c r="L4" s="26">
        <v>100</v>
      </c>
      <c r="M4" s="28">
        <v>500</v>
      </c>
      <c r="N4" s="25" t="s">
        <v>35</v>
      </c>
      <c r="O4" s="26">
        <v>500</v>
      </c>
      <c r="P4" s="28">
        <v>2000</v>
      </c>
      <c r="Q4" s="29">
        <v>4</v>
      </c>
      <c r="R4" s="26">
        <v>2</v>
      </c>
      <c r="S4" s="28">
        <v>4</v>
      </c>
      <c r="T4" s="28">
        <v>8</v>
      </c>
      <c r="U4" s="28">
        <v>4</v>
      </c>
      <c r="V4" s="28">
        <v>7</v>
      </c>
      <c r="W4" s="27"/>
      <c r="X4" s="31" t="str">
        <f>IF($R4=1,TEXT((S4+8*3600)/86400+70*365+19,"yyyy-mm-dd hh:mm:ss"),"")</f>
        <v/>
      </c>
      <c r="Y4" s="31" t="str">
        <f t="shared" ref="Y4:AA4" si="0">IF($R4=1,TEXT((T4+8*3600)/86400+70*365+19,"yyyy-mm-dd hh:mm:ss"),"")</f>
        <v/>
      </c>
      <c r="Z4" s="31" t="str">
        <f t="shared" si="0"/>
        <v/>
      </c>
      <c r="AA4" s="31" t="str">
        <f t="shared" si="0"/>
        <v/>
      </c>
    </row>
    <row r="5" spans="1:27" x14ac:dyDescent="0.15">
      <c r="A5" s="26">
        <v>102</v>
      </c>
      <c r="B5" s="30" t="s">
        <v>59</v>
      </c>
      <c r="C5" s="26">
        <v>43</v>
      </c>
      <c r="D5" s="26" t="s">
        <v>55</v>
      </c>
      <c r="E5" s="26" t="s">
        <v>60</v>
      </c>
      <c r="F5" s="26">
        <v>10</v>
      </c>
      <c r="G5" s="26" t="s">
        <v>61</v>
      </c>
      <c r="H5" s="26" t="s">
        <v>61</v>
      </c>
      <c r="I5" s="28" t="s">
        <v>64</v>
      </c>
      <c r="J5" s="25" t="s">
        <v>67</v>
      </c>
      <c r="K5" s="25" t="s">
        <v>65</v>
      </c>
      <c r="L5" s="26">
        <v>100</v>
      </c>
      <c r="M5" s="28">
        <v>500</v>
      </c>
      <c r="N5" s="25" t="s">
        <v>66</v>
      </c>
      <c r="O5" s="26">
        <v>500</v>
      </c>
      <c r="P5" s="28">
        <v>2000</v>
      </c>
      <c r="Q5" s="29">
        <v>10</v>
      </c>
      <c r="R5" s="26">
        <v>2</v>
      </c>
      <c r="S5" s="28">
        <v>10</v>
      </c>
      <c r="T5" s="28">
        <v>14</v>
      </c>
      <c r="U5" s="28">
        <v>10</v>
      </c>
      <c r="V5" s="28">
        <v>13</v>
      </c>
      <c r="W5" s="27"/>
      <c r="X5" s="31" t="str">
        <f>IF($R5=1,TEXT((S5+8*3600)/86400+70*365+19,"yyyy-mm-dd hh:mm:ss"),"")</f>
        <v/>
      </c>
      <c r="Y5" s="31" t="str">
        <f t="shared" ref="Y5" si="1">IF($R5=1,TEXT((T5+8*3600)/86400+70*365+19,"yyyy-mm-dd hh:mm:ss"),"")</f>
        <v/>
      </c>
      <c r="Z5" s="31" t="str">
        <f t="shared" ref="Z5" si="2">IF($R5=1,TEXT((U5+8*3600)/86400+70*365+19,"yyyy-mm-dd hh:mm:ss"),"")</f>
        <v/>
      </c>
      <c r="AA5" s="31" t="str">
        <f t="shared" ref="AA5" si="3">IF($R5=1,TEXT((V5+8*3600)/86400+70*365+19,"yyyy-mm-dd hh:mm:ss"),"")</f>
        <v/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2006-09-13T11:21:00Z</dcterms:created>
  <dcterms:modified xsi:type="dcterms:W3CDTF">2018-01-10T08:44:06Z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