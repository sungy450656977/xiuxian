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210" windowWidth="20010" windowHeight="102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functionGroups builtInGroupCount="17"/>
  <externalReferences>
    <externalReference r:id="rId7"/>
    <externalReference r:id="rId8"/>
    <externalReference r:id="rId9"/>
  </externalReferences>
  <definedNames>
    <definedName name="_xlnm._FilterDatabase" localSheetId="0" hidden="1">Sheet1!$A$3:$AA$532</definedName>
    <definedName name="_xlnm._FilterDatabase" localSheetId="1" hidden="1">Sheet2!$A$1:$E$87</definedName>
    <definedName name="_xlnm._FilterDatabase" localSheetId="3" hidden="1">Sheet4!$B$5:$W$136</definedName>
  </definedNames>
  <calcPr calcId="144525"/>
</workbook>
</file>

<file path=xl/calcChain.xml><?xml version="1.0" encoding="utf-8"?>
<calcChain xmlns="http://schemas.openxmlformats.org/spreadsheetml/2006/main">
  <c r="V534" i="1" l="1"/>
  <c r="W534" i="1" s="1"/>
  <c r="V535" i="1"/>
  <c r="W535" i="1" s="1"/>
  <c r="V536" i="1"/>
  <c r="W536" i="1" s="1"/>
  <c r="V537" i="1"/>
  <c r="W537" i="1" s="1"/>
  <c r="V538" i="1"/>
  <c r="W538" i="1" s="1"/>
  <c r="V539" i="1"/>
  <c r="W539" i="1" s="1"/>
  <c r="V540" i="1"/>
  <c r="W540" i="1" s="1"/>
  <c r="V541" i="1"/>
  <c r="W541" i="1" s="1"/>
  <c r="V542" i="1"/>
  <c r="W542" i="1" s="1"/>
  <c r="V543" i="1"/>
  <c r="W543" i="1" s="1"/>
  <c r="V544" i="1"/>
  <c r="W544" i="1" s="1"/>
  <c r="V545" i="1"/>
  <c r="W545" i="1" s="1"/>
  <c r="V546" i="1"/>
  <c r="W546" i="1" s="1"/>
  <c r="V547" i="1"/>
  <c r="W547" i="1" s="1"/>
  <c r="V533" i="1"/>
  <c r="W533" i="1" s="1"/>
  <c r="AD5" i="1" l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4" i="1"/>
  <c r="V362" i="1"/>
  <c r="W362" i="1" s="1"/>
  <c r="V363" i="1"/>
  <c r="W363" i="1" s="1"/>
  <c r="V364" i="1"/>
  <c r="W364" i="1"/>
  <c r="V365" i="1"/>
  <c r="W365" i="1" s="1"/>
  <c r="V366" i="1"/>
  <c r="W366" i="1" s="1"/>
  <c r="V367" i="1"/>
  <c r="W367" i="1" s="1"/>
  <c r="V368" i="1"/>
  <c r="W368" i="1"/>
  <c r="V369" i="1"/>
  <c r="W369" i="1" s="1"/>
  <c r="V370" i="1"/>
  <c r="W370" i="1" s="1"/>
  <c r="V371" i="1"/>
  <c r="W371" i="1" s="1"/>
  <c r="V372" i="1"/>
  <c r="W372" i="1"/>
  <c r="V373" i="1"/>
  <c r="W373" i="1" s="1"/>
  <c r="V374" i="1"/>
  <c r="W374" i="1" s="1"/>
  <c r="V375" i="1"/>
  <c r="W375" i="1" s="1"/>
  <c r="V376" i="1"/>
  <c r="W376" i="1"/>
  <c r="V377" i="1"/>
  <c r="W377" i="1" s="1"/>
  <c r="V378" i="1"/>
  <c r="W378" i="1" s="1"/>
  <c r="V379" i="1"/>
  <c r="W379" i="1" s="1"/>
  <c r="V380" i="1"/>
  <c r="W380" i="1"/>
  <c r="V381" i="1"/>
  <c r="W381" i="1" s="1"/>
  <c r="V382" i="1"/>
  <c r="W382" i="1" s="1"/>
  <c r="V383" i="1"/>
  <c r="W383" i="1" s="1"/>
  <c r="V384" i="1"/>
  <c r="W384" i="1"/>
  <c r="V385" i="1"/>
  <c r="W385" i="1" s="1"/>
  <c r="V386" i="1"/>
  <c r="W386" i="1" s="1"/>
  <c r="V387" i="1"/>
  <c r="W387" i="1" s="1"/>
  <c r="V388" i="1"/>
  <c r="W388" i="1"/>
  <c r="V389" i="1"/>
  <c r="W389" i="1" s="1"/>
  <c r="V390" i="1"/>
  <c r="W390" i="1" s="1"/>
  <c r="V391" i="1"/>
  <c r="W391" i="1" s="1"/>
  <c r="V392" i="1"/>
  <c r="W392" i="1"/>
  <c r="V393" i="1"/>
  <c r="W393" i="1" s="1"/>
  <c r="V394" i="1"/>
  <c r="W394" i="1" s="1"/>
  <c r="V395" i="1"/>
  <c r="W395" i="1" s="1"/>
  <c r="V304" i="1"/>
  <c r="W304" i="1"/>
  <c r="V305" i="1"/>
  <c r="W305" i="1" s="1"/>
  <c r="V306" i="1"/>
  <c r="W306" i="1" s="1"/>
  <c r="V307" i="1"/>
  <c r="W307" i="1" s="1"/>
  <c r="V308" i="1"/>
  <c r="W308" i="1"/>
  <c r="V309" i="1"/>
  <c r="W309" i="1" s="1"/>
  <c r="V310" i="1"/>
  <c r="W310" i="1" s="1"/>
  <c r="V311" i="1"/>
  <c r="W311" i="1" s="1"/>
  <c r="V312" i="1"/>
  <c r="W312" i="1"/>
  <c r="V313" i="1"/>
  <c r="W313" i="1" s="1"/>
  <c r="V314" i="1"/>
  <c r="W314" i="1" s="1"/>
  <c r="V315" i="1"/>
  <c r="W315" i="1" s="1"/>
  <c r="V316" i="1"/>
  <c r="W316" i="1"/>
  <c r="V317" i="1"/>
  <c r="W317" i="1" s="1"/>
  <c r="V318" i="1"/>
  <c r="W318" i="1" s="1"/>
  <c r="V319" i="1"/>
  <c r="W319" i="1" s="1"/>
  <c r="V320" i="1"/>
  <c r="W320" i="1"/>
  <c r="V321" i="1"/>
  <c r="W321" i="1" s="1"/>
  <c r="V322" i="1"/>
  <c r="W322" i="1" s="1"/>
  <c r="V323" i="1"/>
  <c r="W323" i="1" s="1"/>
  <c r="V324" i="1"/>
  <c r="W324" i="1"/>
  <c r="V325" i="1"/>
  <c r="W325" i="1" s="1"/>
  <c r="V326" i="1"/>
  <c r="W326" i="1" s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5" i="1"/>
  <c r="W417" i="1"/>
  <c r="W418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V396" i="1"/>
  <c r="W396" i="1" s="1"/>
  <c r="V397" i="1"/>
  <c r="W397" i="1"/>
  <c r="V414" i="1"/>
  <c r="W414" i="1" s="1"/>
  <c r="V416" i="1"/>
  <c r="W416" i="1" s="1"/>
  <c r="V419" i="1"/>
  <c r="W419" i="1" s="1"/>
  <c r="V420" i="1"/>
  <c r="W420" i="1"/>
  <c r="V421" i="1"/>
  <c r="W421" i="1" s="1"/>
  <c r="V422" i="1"/>
  <c r="W422" i="1" s="1"/>
  <c r="V423" i="1"/>
  <c r="W423" i="1" s="1"/>
  <c r="V424" i="1"/>
  <c r="W424" i="1"/>
  <c r="V425" i="1"/>
  <c r="W425" i="1" s="1"/>
  <c r="V426" i="1"/>
  <c r="W426" i="1" s="1"/>
  <c r="V427" i="1"/>
  <c r="W427" i="1" s="1"/>
  <c r="V428" i="1"/>
  <c r="W428" i="1"/>
  <c r="V429" i="1"/>
  <c r="W429" i="1" s="1"/>
  <c r="V430" i="1"/>
  <c r="W430" i="1" s="1"/>
  <c r="V431" i="1"/>
  <c r="W431" i="1" s="1"/>
  <c r="V432" i="1"/>
  <c r="W432" i="1"/>
  <c r="V433" i="1"/>
  <c r="W433" i="1" s="1"/>
  <c r="V434" i="1"/>
  <c r="W434" i="1" s="1"/>
  <c r="V435" i="1"/>
  <c r="W435" i="1" s="1"/>
  <c r="V436" i="1"/>
  <c r="W436" i="1"/>
  <c r="V437" i="1"/>
  <c r="W437" i="1" s="1"/>
  <c r="V438" i="1"/>
  <c r="W438" i="1" s="1"/>
  <c r="V439" i="1"/>
  <c r="W439" i="1" s="1"/>
  <c r="V440" i="1"/>
  <c r="W440" i="1"/>
  <c r="V441" i="1"/>
  <c r="W441" i="1" s="1"/>
  <c r="V442" i="1"/>
  <c r="W442" i="1" s="1"/>
  <c r="V443" i="1"/>
  <c r="W443" i="1" s="1"/>
  <c r="V444" i="1"/>
  <c r="W444" i="1"/>
  <c r="V445" i="1"/>
  <c r="W445" i="1" s="1"/>
  <c r="V446" i="1"/>
  <c r="W446" i="1" s="1"/>
  <c r="V447" i="1"/>
  <c r="W447" i="1" s="1"/>
  <c r="V448" i="1"/>
  <c r="W448" i="1"/>
  <c r="V449" i="1"/>
  <c r="W449" i="1" s="1"/>
  <c r="V450" i="1"/>
  <c r="W450" i="1" s="1"/>
  <c r="AB151" i="1"/>
  <c r="AB152" i="1"/>
  <c r="AB153" i="1"/>
  <c r="AB154" i="1"/>
  <c r="X5" i="1"/>
  <c r="V6" i="1"/>
  <c r="X7" i="1"/>
  <c r="V8" i="1"/>
  <c r="X9" i="1"/>
  <c r="V10" i="1"/>
  <c r="X11" i="1"/>
  <c r="X12" i="1"/>
  <c r="V13" i="1"/>
  <c r="V14" i="1"/>
  <c r="V15" i="1"/>
  <c r="V16" i="1"/>
  <c r="X17" i="1"/>
  <c r="X18" i="1"/>
  <c r="V19" i="1"/>
  <c r="V20" i="1"/>
  <c r="V21" i="1"/>
  <c r="X22" i="1"/>
  <c r="V23" i="1"/>
  <c r="V24" i="1"/>
  <c r="V25" i="1"/>
  <c r="V26" i="1"/>
  <c r="X27" i="1"/>
  <c r="V28" i="1"/>
  <c r="X29" i="1"/>
  <c r="X30" i="1"/>
  <c r="V31" i="1"/>
  <c r="X32" i="1"/>
  <c r="V33" i="1"/>
  <c r="V34" i="1"/>
  <c r="V35" i="1"/>
  <c r="X36" i="1"/>
  <c r="V37" i="1"/>
  <c r="X38" i="1"/>
  <c r="X39" i="1"/>
  <c r="V40" i="1"/>
  <c r="V41" i="1"/>
  <c r="V42" i="1"/>
  <c r="V43" i="1"/>
  <c r="V44" i="1"/>
  <c r="V45" i="1"/>
  <c r="V46" i="1"/>
  <c r="V47" i="1"/>
  <c r="X48" i="1"/>
  <c r="X49" i="1"/>
  <c r="V50" i="1"/>
  <c r="V51" i="1"/>
  <c r="V52" i="1"/>
  <c r="V53" i="1"/>
  <c r="V54" i="1"/>
  <c r="V55" i="1"/>
  <c r="X56" i="1"/>
  <c r="X57" i="1"/>
  <c r="X58" i="1"/>
  <c r="V59" i="1"/>
  <c r="V60" i="1"/>
  <c r="V61" i="1"/>
  <c r="V62" i="1"/>
  <c r="X63" i="1"/>
  <c r="X64" i="1"/>
  <c r="V65" i="1"/>
  <c r="V66" i="1"/>
  <c r="V67" i="1"/>
  <c r="V68" i="1"/>
  <c r="V69" i="1"/>
  <c r="X70" i="1"/>
  <c r="X71" i="1"/>
  <c r="V72" i="1"/>
  <c r="X73" i="1"/>
  <c r="X74" i="1"/>
  <c r="X75" i="1"/>
  <c r="V76" i="1"/>
  <c r="V77" i="1"/>
  <c r="V78" i="1"/>
  <c r="V79" i="1"/>
  <c r="X80" i="1"/>
  <c r="V81" i="1"/>
  <c r="V82" i="1"/>
  <c r="X83" i="1"/>
  <c r="X84" i="1"/>
  <c r="V85" i="1"/>
  <c r="V86" i="1"/>
  <c r="X87" i="1"/>
  <c r="V88" i="1"/>
  <c r="V89" i="1"/>
  <c r="X90" i="1"/>
  <c r="X91" i="1"/>
  <c r="X92" i="1"/>
  <c r="X93" i="1"/>
  <c r="V94" i="1"/>
  <c r="X95" i="1"/>
  <c r="V96" i="1"/>
  <c r="X97" i="1"/>
  <c r="X98" i="1"/>
  <c r="X99" i="1"/>
  <c r="X100" i="1"/>
  <c r="V101" i="1"/>
  <c r="X102" i="1"/>
  <c r="X103" i="1"/>
  <c r="V104" i="1"/>
  <c r="X105" i="1"/>
  <c r="V106" i="1"/>
  <c r="V107" i="1"/>
  <c r="V108" i="1"/>
  <c r="X109" i="1"/>
  <c r="V110" i="1"/>
  <c r="X111" i="1"/>
  <c r="X112" i="1"/>
  <c r="V113" i="1"/>
  <c r="V114" i="1"/>
  <c r="X4" i="1"/>
  <c r="W4" i="1"/>
  <c r="W5" i="1"/>
  <c r="W6" i="1"/>
  <c r="W7" i="1"/>
  <c r="W8" i="1"/>
  <c r="W9" i="1"/>
  <c r="W10" i="1"/>
  <c r="W11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D114" i="1"/>
  <c r="I2" i="5"/>
  <c r="J2" i="5" s="1"/>
  <c r="I3" i="5"/>
  <c r="J3" i="5" s="1"/>
  <c r="I4" i="5"/>
  <c r="J4" i="5" s="1"/>
  <c r="I5" i="5"/>
  <c r="J5" i="5"/>
  <c r="I6" i="5"/>
  <c r="J6" i="5" s="1"/>
  <c r="I7" i="5"/>
  <c r="J7" i="5" s="1"/>
  <c r="I8" i="5"/>
  <c r="J8" i="5" s="1"/>
  <c r="I9" i="5"/>
  <c r="J9" i="5"/>
  <c r="I10" i="5"/>
  <c r="J10" i="5" s="1"/>
  <c r="I11" i="5"/>
  <c r="J11" i="5" s="1"/>
  <c r="I12" i="5"/>
  <c r="J12" i="5" s="1"/>
  <c r="I13" i="5"/>
  <c r="J13" i="5"/>
  <c r="I14" i="5"/>
  <c r="J14" i="5" s="1"/>
  <c r="I15" i="5"/>
  <c r="J15" i="5" s="1"/>
  <c r="I16" i="5"/>
  <c r="J16" i="5" s="1"/>
  <c r="I17" i="5"/>
  <c r="J17" i="5"/>
  <c r="I18" i="5"/>
  <c r="J18" i="5" s="1"/>
  <c r="I19" i="5"/>
  <c r="J19" i="5" s="1"/>
  <c r="I20" i="5"/>
  <c r="J20" i="5" s="1"/>
  <c r="I21" i="5"/>
  <c r="J21" i="5"/>
  <c r="I22" i="5"/>
  <c r="J22" i="5" s="1"/>
  <c r="I23" i="5"/>
  <c r="J23" i="5" s="1"/>
  <c r="I24" i="5"/>
  <c r="J24" i="5" s="1"/>
  <c r="I25" i="5"/>
  <c r="J25" i="5"/>
  <c r="I26" i="5"/>
  <c r="J26" i="5" s="1"/>
  <c r="I27" i="5"/>
  <c r="J27" i="5" s="1"/>
  <c r="I28" i="5"/>
  <c r="J28" i="5" s="1"/>
  <c r="I29" i="5"/>
  <c r="J29" i="5"/>
  <c r="I30" i="5"/>
  <c r="J30" i="5" s="1"/>
  <c r="I31" i="5"/>
  <c r="J31" i="5" s="1"/>
  <c r="I32" i="5"/>
  <c r="J32" i="5" s="1"/>
  <c r="I33" i="5"/>
  <c r="J33" i="5"/>
  <c r="I34" i="5"/>
  <c r="J34" i="5" s="1"/>
  <c r="I35" i="5"/>
  <c r="J35" i="5" s="1"/>
  <c r="I36" i="5"/>
  <c r="J36" i="5" s="1"/>
  <c r="I37" i="5"/>
  <c r="J37" i="5"/>
  <c r="I1" i="5"/>
  <c r="J1" i="5" s="1"/>
  <c r="K66" i="2"/>
  <c r="J66" i="2"/>
  <c r="I66" i="2"/>
  <c r="H66" i="2"/>
  <c r="K65" i="2"/>
  <c r="J65" i="2"/>
  <c r="I65" i="2"/>
  <c r="H65" i="2"/>
  <c r="K64" i="2"/>
  <c r="J64" i="2"/>
  <c r="I64" i="2"/>
  <c r="H64" i="2"/>
  <c r="K63" i="2"/>
  <c r="J63" i="2"/>
  <c r="I63" i="2"/>
  <c r="H63" i="2"/>
  <c r="K62" i="2"/>
  <c r="J62" i="2"/>
  <c r="I62" i="2"/>
  <c r="H62" i="2"/>
  <c r="K61" i="2"/>
  <c r="J61" i="2"/>
  <c r="I61" i="2"/>
  <c r="H61" i="2"/>
  <c r="K60" i="2"/>
  <c r="J60" i="2"/>
  <c r="I60" i="2"/>
  <c r="H60" i="2"/>
  <c r="K59" i="2"/>
  <c r="J59" i="2"/>
  <c r="I59" i="2"/>
  <c r="H59" i="2"/>
  <c r="K58" i="2"/>
  <c r="J58" i="2"/>
  <c r="I58" i="2"/>
  <c r="H58" i="2"/>
  <c r="K57" i="2"/>
  <c r="J57" i="2"/>
  <c r="I57" i="2"/>
  <c r="H57" i="2"/>
  <c r="K56" i="2"/>
  <c r="J56" i="2"/>
  <c r="I56" i="2"/>
  <c r="H56" i="2"/>
  <c r="K55" i="2"/>
  <c r="J55" i="2"/>
  <c r="I55" i="2"/>
  <c r="H55" i="2"/>
  <c r="K54" i="2"/>
  <c r="J54" i="2"/>
  <c r="I54" i="2"/>
  <c r="H54" i="2"/>
  <c r="K53" i="2"/>
  <c r="J53" i="2"/>
  <c r="I53" i="2"/>
  <c r="H53" i="2"/>
  <c r="K52" i="2"/>
  <c r="J52" i="2"/>
  <c r="I52" i="2"/>
  <c r="H52" i="2"/>
  <c r="E52" i="2"/>
  <c r="E53" i="2" s="1"/>
  <c r="E54" i="2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K51" i="2"/>
  <c r="J51" i="2"/>
  <c r="I51" i="2"/>
  <c r="H51" i="2"/>
  <c r="K50" i="2"/>
  <c r="J50" i="2"/>
  <c r="I50" i="2"/>
  <c r="H50" i="2"/>
  <c r="K49" i="2"/>
  <c r="J49" i="2"/>
  <c r="I49" i="2"/>
  <c r="H49" i="2"/>
  <c r="K48" i="2"/>
  <c r="J48" i="2"/>
  <c r="I48" i="2"/>
  <c r="H48" i="2"/>
  <c r="K47" i="2"/>
  <c r="J47" i="2"/>
  <c r="I47" i="2"/>
  <c r="H47" i="2"/>
  <c r="K46" i="2"/>
  <c r="J46" i="2"/>
  <c r="I46" i="2"/>
  <c r="H46" i="2"/>
  <c r="K45" i="2"/>
  <c r="J45" i="2"/>
  <c r="I45" i="2"/>
  <c r="H45" i="2"/>
  <c r="K44" i="2"/>
  <c r="J44" i="2"/>
  <c r="I44" i="2"/>
  <c r="H44" i="2"/>
  <c r="K43" i="2"/>
  <c r="J43" i="2"/>
  <c r="I43" i="2"/>
  <c r="H43" i="2"/>
  <c r="K42" i="2"/>
  <c r="J42" i="2"/>
  <c r="I42" i="2"/>
  <c r="H42" i="2"/>
  <c r="K41" i="2"/>
  <c r="J41" i="2"/>
  <c r="I41" i="2"/>
  <c r="H41" i="2"/>
  <c r="K40" i="2"/>
  <c r="J40" i="2"/>
  <c r="I40" i="2"/>
  <c r="H40" i="2"/>
  <c r="K39" i="2"/>
  <c r="J39" i="2"/>
  <c r="I39" i="2"/>
  <c r="H39" i="2"/>
  <c r="K38" i="2"/>
  <c r="J38" i="2"/>
  <c r="I38" i="2"/>
  <c r="H38" i="2"/>
  <c r="K37" i="2"/>
  <c r="J37" i="2"/>
  <c r="I37" i="2"/>
  <c r="H37" i="2"/>
  <c r="E36" i="2"/>
  <c r="E37" i="2" s="1"/>
  <c r="E38" i="2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K36" i="2"/>
  <c r="J36" i="2"/>
  <c r="I36" i="2"/>
  <c r="H36" i="2"/>
  <c r="K35" i="2"/>
  <c r="J35" i="2"/>
  <c r="I35" i="2"/>
  <c r="H35" i="2"/>
  <c r="K34" i="2"/>
  <c r="J34" i="2"/>
  <c r="I34" i="2"/>
  <c r="H34" i="2"/>
  <c r="K33" i="2"/>
  <c r="J33" i="2"/>
  <c r="I33" i="2"/>
  <c r="H33" i="2"/>
  <c r="K32" i="2"/>
  <c r="J32" i="2"/>
  <c r="I32" i="2"/>
  <c r="H32" i="2"/>
  <c r="K31" i="2"/>
  <c r="J31" i="2"/>
  <c r="I31" i="2"/>
  <c r="H31" i="2"/>
  <c r="K30" i="2"/>
  <c r="J30" i="2"/>
  <c r="I30" i="2"/>
  <c r="H30" i="2"/>
  <c r="K29" i="2"/>
  <c r="J29" i="2"/>
  <c r="I29" i="2"/>
  <c r="H29" i="2"/>
  <c r="K28" i="2"/>
  <c r="J28" i="2"/>
  <c r="I28" i="2"/>
  <c r="H28" i="2"/>
  <c r="K27" i="2"/>
  <c r="J27" i="2"/>
  <c r="I27" i="2"/>
  <c r="H27" i="2"/>
  <c r="K26" i="2"/>
  <c r="J26" i="2"/>
  <c r="I26" i="2"/>
  <c r="H26" i="2"/>
  <c r="K25" i="2"/>
  <c r="J25" i="2"/>
  <c r="I25" i="2"/>
  <c r="H25" i="2"/>
  <c r="K24" i="2"/>
  <c r="J24" i="2"/>
  <c r="I24" i="2"/>
  <c r="H24" i="2"/>
  <c r="K23" i="2"/>
  <c r="J23" i="2"/>
  <c r="I23" i="2"/>
  <c r="H23" i="2"/>
  <c r="K22" i="2"/>
  <c r="J22" i="2"/>
  <c r="I22" i="2"/>
  <c r="H22" i="2"/>
  <c r="K21" i="2"/>
  <c r="J21" i="2"/>
  <c r="I21" i="2"/>
  <c r="H21" i="2"/>
  <c r="K20" i="2"/>
  <c r="J20" i="2"/>
  <c r="I20" i="2"/>
  <c r="H20" i="2"/>
  <c r="K19" i="2"/>
  <c r="J19" i="2"/>
  <c r="I19" i="2"/>
  <c r="H19" i="2"/>
  <c r="K18" i="2"/>
  <c r="J18" i="2"/>
  <c r="I18" i="2"/>
  <c r="H18" i="2"/>
  <c r="K17" i="2"/>
  <c r="J17" i="2"/>
  <c r="I17" i="2"/>
  <c r="H17" i="2"/>
  <c r="E17" i="2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K16" i="2"/>
  <c r="J16" i="2"/>
  <c r="I16" i="2"/>
  <c r="H16" i="2"/>
  <c r="K15" i="2"/>
  <c r="J15" i="2"/>
  <c r="I15" i="2"/>
  <c r="H15" i="2"/>
  <c r="K14" i="2"/>
  <c r="J14" i="2"/>
  <c r="I14" i="2"/>
  <c r="H14" i="2"/>
  <c r="K13" i="2"/>
  <c r="J13" i="2"/>
  <c r="I13" i="2"/>
  <c r="H13" i="2"/>
  <c r="K12" i="2"/>
  <c r="J12" i="2"/>
  <c r="I12" i="2"/>
  <c r="H12" i="2"/>
  <c r="K11" i="2"/>
  <c r="J11" i="2"/>
  <c r="I11" i="2"/>
  <c r="H11" i="2"/>
  <c r="K10" i="2"/>
  <c r="J10" i="2"/>
  <c r="I10" i="2"/>
  <c r="H10" i="2"/>
  <c r="K9" i="2"/>
  <c r="J9" i="2"/>
  <c r="I9" i="2"/>
  <c r="H9" i="2"/>
  <c r="K8" i="2"/>
  <c r="J8" i="2"/>
  <c r="I8" i="2"/>
  <c r="H8" i="2"/>
  <c r="K7" i="2"/>
  <c r="J7" i="2"/>
  <c r="I7" i="2"/>
  <c r="H7" i="2"/>
  <c r="K6" i="2"/>
  <c r="J6" i="2"/>
  <c r="I6" i="2"/>
  <c r="H6" i="2"/>
  <c r="K5" i="2"/>
  <c r="J5" i="2"/>
  <c r="I5" i="2"/>
  <c r="H5" i="2"/>
  <c r="K4" i="2"/>
  <c r="J4" i="2"/>
  <c r="I4" i="2"/>
  <c r="H4" i="2"/>
  <c r="K3" i="2"/>
  <c r="J3" i="2"/>
  <c r="I3" i="2"/>
  <c r="H3" i="2"/>
  <c r="K2" i="2"/>
  <c r="J2" i="2"/>
  <c r="I2" i="2"/>
  <c r="H2" i="2"/>
  <c r="A440" i="4"/>
  <c r="A441" i="4"/>
  <c r="A442" i="4"/>
  <c r="A443" i="4"/>
  <c r="A444" i="4"/>
  <c r="A445" i="4"/>
  <c r="A446" i="4"/>
  <c r="A447" i="4"/>
  <c r="A448" i="4"/>
  <c r="A449" i="4"/>
  <c r="AF16" i="4"/>
  <c r="AN16" i="4"/>
  <c r="AF17" i="4"/>
  <c r="AN17" i="4"/>
  <c r="AF18" i="4"/>
  <c r="P347" i="4" s="1"/>
  <c r="AN18" i="4"/>
  <c r="AF9" i="4"/>
  <c r="P370" i="4" s="1"/>
  <c r="AN9" i="4"/>
  <c r="AN2" i="4"/>
  <c r="AN3" i="4"/>
  <c r="AN4" i="4"/>
  <c r="AN5" i="4"/>
  <c r="AN6" i="4"/>
  <c r="AN7" i="4"/>
  <c r="AN8" i="4"/>
  <c r="AN10" i="4"/>
  <c r="AN11" i="4"/>
  <c r="AN12" i="4"/>
  <c r="AN13" i="4"/>
  <c r="AN14" i="4"/>
  <c r="AN15" i="4"/>
  <c r="AN1" i="4"/>
  <c r="AF2" i="4"/>
  <c r="AF3" i="4"/>
  <c r="AF4" i="4"/>
  <c r="P202" i="4" s="1"/>
  <c r="AF5" i="4"/>
  <c r="P437" i="4" s="1"/>
  <c r="AF6" i="4"/>
  <c r="P184" i="4" s="1"/>
  <c r="P181" i="4"/>
  <c r="AF7" i="4"/>
  <c r="P284" i="4" s="1"/>
  <c r="AF8" i="4"/>
  <c r="AF10" i="4"/>
  <c r="AF11" i="4"/>
  <c r="AF12" i="4"/>
  <c r="AF13" i="4"/>
  <c r="AF14" i="4"/>
  <c r="AF15" i="4"/>
  <c r="AF1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183" i="4"/>
  <c r="C181" i="4"/>
  <c r="C182" i="4"/>
  <c r="C183" i="4"/>
  <c r="C184" i="4"/>
  <c r="K184" i="4" s="1"/>
  <c r="C185" i="4"/>
  <c r="C186" i="4"/>
  <c r="C187" i="4"/>
  <c r="C188" i="4"/>
  <c r="C189" i="4"/>
  <c r="C190" i="4"/>
  <c r="K190" i="4" s="1"/>
  <c r="C191" i="4"/>
  <c r="C192" i="4"/>
  <c r="K192" i="4" s="1"/>
  <c r="A192" i="4" s="1"/>
  <c r="K191" i="4"/>
  <c r="A191" i="4" s="1"/>
  <c r="C193" i="4"/>
  <c r="C194" i="4"/>
  <c r="C195" i="4"/>
  <c r="K195" i="4" s="1"/>
  <c r="A195" i="4" s="1"/>
  <c r="C196" i="4"/>
  <c r="C197" i="4"/>
  <c r="C198" i="4"/>
  <c r="C199" i="4"/>
  <c r="C200" i="4"/>
  <c r="C201" i="4"/>
  <c r="C202" i="4"/>
  <c r="C203" i="4"/>
  <c r="C204" i="4"/>
  <c r="C205" i="4"/>
  <c r="K205" i="4" s="1"/>
  <c r="C206" i="4"/>
  <c r="C207" i="4"/>
  <c r="C208" i="4"/>
  <c r="C209" i="4"/>
  <c r="C210" i="4"/>
  <c r="C211" i="4"/>
  <c r="C212" i="4"/>
  <c r="E212" i="4" s="1"/>
  <c r="J212" i="4" s="1"/>
  <c r="Q212" i="4" s="1"/>
  <c r="C213" i="4"/>
  <c r="C214" i="4"/>
  <c r="C215" i="4"/>
  <c r="C216" i="4"/>
  <c r="C217" i="4"/>
  <c r="C218" i="4"/>
  <c r="C219" i="4"/>
  <c r="C220" i="4"/>
  <c r="C221" i="4"/>
  <c r="C222" i="4"/>
  <c r="C223" i="4"/>
  <c r="K223" i="4" s="1"/>
  <c r="A223" i="4" s="1"/>
  <c r="C224" i="4"/>
  <c r="C225" i="4"/>
  <c r="K225" i="4" s="1"/>
  <c r="C226" i="4"/>
  <c r="C227" i="4"/>
  <c r="C228" i="4"/>
  <c r="C229" i="4"/>
  <c r="C230" i="4"/>
  <c r="C231" i="4"/>
  <c r="K230" i="4" s="1"/>
  <c r="C232" i="4"/>
  <c r="C233" i="4"/>
  <c r="K233" i="4" s="1"/>
  <c r="C234" i="4"/>
  <c r="C235" i="4"/>
  <c r="C236" i="4"/>
  <c r="C237" i="4"/>
  <c r="C238" i="4"/>
  <c r="C239" i="4"/>
  <c r="K239" i="4" s="1"/>
  <c r="A239" i="4" s="1"/>
  <c r="C240" i="4"/>
  <c r="C241" i="4"/>
  <c r="C242" i="4"/>
  <c r="C243" i="4"/>
  <c r="K242" i="4" s="1"/>
  <c r="A242" i="4" s="1"/>
  <c r="C244" i="4"/>
  <c r="C245" i="4"/>
  <c r="C246" i="4"/>
  <c r="C247" i="4"/>
  <c r="K247" i="4" s="1"/>
  <c r="C248" i="4"/>
  <c r="C249" i="4"/>
  <c r="K248" i="4" s="1"/>
  <c r="C250" i="4"/>
  <c r="C251" i="4"/>
  <c r="K251" i="4" s="1"/>
  <c r="A251" i="4" s="1"/>
  <c r="C252" i="4"/>
  <c r="C253" i="4"/>
  <c r="C254" i="4"/>
  <c r="C255" i="4"/>
  <c r="C256" i="4"/>
  <c r="C257" i="4"/>
  <c r="C258" i="4"/>
  <c r="K257" i="4" s="1"/>
  <c r="C259" i="4"/>
  <c r="C260" i="4"/>
  <c r="C261" i="4"/>
  <c r="C262" i="4"/>
  <c r="K262" i="4" s="1"/>
  <c r="A262" i="4" s="1"/>
  <c r="C263" i="4"/>
  <c r="C264" i="4"/>
  <c r="C265" i="4"/>
  <c r="C266" i="4"/>
  <c r="C267" i="4"/>
  <c r="C268" i="4"/>
  <c r="C269" i="4"/>
  <c r="C270" i="4"/>
  <c r="C271" i="4"/>
  <c r="C272" i="4"/>
  <c r="K272" i="4" s="1"/>
  <c r="C273" i="4"/>
  <c r="C274" i="4"/>
  <c r="C275" i="4"/>
  <c r="C276" i="4"/>
  <c r="C277" i="4"/>
  <c r="C278" i="4"/>
  <c r="C279" i="4"/>
  <c r="C280" i="4"/>
  <c r="C281" i="4"/>
  <c r="K280" i="4" s="1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E295" i="4" s="1"/>
  <c r="J295" i="4" s="1"/>
  <c r="Q295" i="4" s="1"/>
  <c r="C295" i="4"/>
  <c r="C296" i="4"/>
  <c r="C297" i="4"/>
  <c r="C298" i="4"/>
  <c r="K298" i="4" s="1"/>
  <c r="A298" i="4" s="1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K324" i="4"/>
  <c r="C326" i="4"/>
  <c r="C327" i="4"/>
  <c r="C328" i="4"/>
  <c r="K327" i="4"/>
  <c r="C329" i="4"/>
  <c r="C330" i="4"/>
  <c r="K330" i="4" s="1"/>
  <c r="A330" i="4" s="1"/>
  <c r="C331" i="4"/>
  <c r="C332" i="4"/>
  <c r="K332" i="4" s="1"/>
  <c r="A332" i="4" s="1"/>
  <c r="C333" i="4"/>
  <c r="C334" i="4"/>
  <c r="C335" i="4"/>
  <c r="C336" i="4"/>
  <c r="C337" i="4"/>
  <c r="C338" i="4"/>
  <c r="C339" i="4"/>
  <c r="K338" i="4"/>
  <c r="C340" i="4"/>
  <c r="C341" i="4"/>
  <c r="C342" i="4"/>
  <c r="C343" i="4"/>
  <c r="C344" i="4"/>
  <c r="C345" i="4"/>
  <c r="C346" i="4"/>
  <c r="K345" i="4"/>
  <c r="C347" i="4"/>
  <c r="C348" i="4"/>
  <c r="C349" i="4"/>
  <c r="C350" i="4"/>
  <c r="K350" i="4" s="1"/>
  <c r="A350" i="4" s="1"/>
  <c r="C351" i="4"/>
  <c r="C352" i="4"/>
  <c r="K352" i="4" s="1"/>
  <c r="A352" i="4" s="1"/>
  <c r="C353" i="4"/>
  <c r="C354" i="4"/>
  <c r="C355" i="4"/>
  <c r="C356" i="4"/>
  <c r="C357" i="4"/>
  <c r="C358" i="4"/>
  <c r="K357" i="4" s="1"/>
  <c r="A357" i="4" s="1"/>
  <c r="C359" i="4"/>
  <c r="C360" i="4"/>
  <c r="C361" i="4"/>
  <c r="C362" i="4"/>
  <c r="K362" i="4" s="1"/>
  <c r="C363" i="4"/>
  <c r="C364" i="4"/>
  <c r="C365" i="4"/>
  <c r="C366" i="4"/>
  <c r="E367" i="4" s="1"/>
  <c r="J367" i="4" s="1"/>
  <c r="C367" i="4"/>
  <c r="C368" i="4"/>
  <c r="K367" i="4" s="1"/>
  <c r="A367" i="4" s="1"/>
  <c r="C369" i="4"/>
  <c r="C370" i="4"/>
  <c r="K369" i="4" s="1"/>
  <c r="A369" i="4" s="1"/>
  <c r="C371" i="4"/>
  <c r="C372" i="4"/>
  <c r="C373" i="4"/>
  <c r="K372" i="4"/>
  <c r="A372" i="4" s="1"/>
  <c r="C374" i="4"/>
  <c r="K373" i="4"/>
  <c r="A373" i="4" s="1"/>
  <c r="C375" i="4"/>
  <c r="C376" i="4"/>
  <c r="K375" i="4" s="1"/>
  <c r="A375" i="4" s="1"/>
  <c r="C377" i="4"/>
  <c r="C378" i="4"/>
  <c r="C379" i="4"/>
  <c r="C380" i="4"/>
  <c r="C381" i="4"/>
  <c r="C382" i="4"/>
  <c r="K382" i="4" s="1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K397" i="4" s="1"/>
  <c r="C399" i="4"/>
  <c r="A399" i="4" s="1"/>
  <c r="C400" i="4"/>
  <c r="C401" i="4"/>
  <c r="C402" i="4"/>
  <c r="C403" i="4"/>
  <c r="C404" i="4"/>
  <c r="C405" i="4"/>
  <c r="C406" i="4"/>
  <c r="K406" i="4" s="1"/>
  <c r="C407" i="4"/>
  <c r="C408" i="4"/>
  <c r="K407" i="4" s="1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E423" i="4" s="1"/>
  <c r="E424" i="4" s="1"/>
  <c r="J424" i="4" s="1"/>
  <c r="Q424" i="4" s="1"/>
  <c r="C424" i="4"/>
  <c r="C425" i="4"/>
  <c r="C426" i="4"/>
  <c r="C427" i="4"/>
  <c r="C428" i="4"/>
  <c r="C429" i="4"/>
  <c r="C430" i="4"/>
  <c r="C431" i="4"/>
  <c r="C432" i="4"/>
  <c r="C433" i="4"/>
  <c r="C434" i="4"/>
  <c r="C435" i="4"/>
  <c r="K435" i="4" s="1"/>
  <c r="A435" i="4" s="1"/>
  <c r="C436" i="4"/>
  <c r="C437" i="4"/>
  <c r="C438" i="4"/>
  <c r="C439" i="4"/>
  <c r="E253" i="4"/>
  <c r="J253" i="4" s="1"/>
  <c r="Q253" i="4" s="1"/>
  <c r="K283" i="4"/>
  <c r="A233" i="4"/>
  <c r="K320" i="4"/>
  <c r="K185" i="4"/>
  <c r="K292" i="4"/>
  <c r="E368" i="4"/>
  <c r="J368" i="4" s="1"/>
  <c r="C1" i="4"/>
  <c r="C95" i="4"/>
  <c r="C96" i="4"/>
  <c r="C97" i="4"/>
  <c r="C98" i="4"/>
  <c r="C99" i="4"/>
  <c r="C100" i="4"/>
  <c r="C101" i="4"/>
  <c r="C102" i="4"/>
  <c r="K102" i="4" s="1"/>
  <c r="A102" i="4" s="1"/>
  <c r="C103" i="4"/>
  <c r="C104" i="4"/>
  <c r="C105" i="4"/>
  <c r="C106" i="4"/>
  <c r="C107" i="4"/>
  <c r="C108" i="4"/>
  <c r="C109" i="4"/>
  <c r="C110" i="4"/>
  <c r="E111" i="4" s="1"/>
  <c r="J111" i="4" s="1"/>
  <c r="Q111" i="4" s="1"/>
  <c r="C111" i="4"/>
  <c r="C112" i="4"/>
  <c r="C113" i="4"/>
  <c r="C114" i="4"/>
  <c r="K114" i="4" s="1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E136" i="4" s="1"/>
  <c r="C137" i="4"/>
  <c r="C138" i="4"/>
  <c r="C139" i="4"/>
  <c r="K138" i="4" s="1"/>
  <c r="A138" i="4" s="1"/>
  <c r="C140" i="4"/>
  <c r="K139" i="4" s="1"/>
  <c r="A139" i="4" s="1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K158" i="4"/>
  <c r="A158" i="4" s="1"/>
  <c r="C160" i="4"/>
  <c r="K160" i="4" s="1"/>
  <c r="A160" i="4" s="1"/>
  <c r="C161" i="4"/>
  <c r="C162" i="4"/>
  <c r="C163" i="4"/>
  <c r="E164" i="4" s="1"/>
  <c r="C164" i="4"/>
  <c r="C165" i="4"/>
  <c r="C166" i="4"/>
  <c r="C167" i="4"/>
  <c r="C168" i="4"/>
  <c r="C169" i="4"/>
  <c r="C170" i="4"/>
  <c r="C171" i="4"/>
  <c r="K171" i="4" s="1"/>
  <c r="C172" i="4"/>
  <c r="C173" i="4"/>
  <c r="C174" i="4"/>
  <c r="C175" i="4"/>
  <c r="K175" i="4" s="1"/>
  <c r="C176" i="4"/>
  <c r="K176" i="4" s="1"/>
  <c r="A176" i="4" s="1"/>
  <c r="C177" i="4"/>
  <c r="C178" i="4"/>
  <c r="C179" i="4"/>
  <c r="J9" i="4"/>
  <c r="Q9" i="4" s="1"/>
  <c r="E10" i="4"/>
  <c r="J10" i="4" s="1"/>
  <c r="Q10" i="4" s="1"/>
  <c r="C3" i="4"/>
  <c r="C4" i="4"/>
  <c r="C5" i="4"/>
  <c r="C6" i="4"/>
  <c r="C78" i="4"/>
  <c r="C8" i="4"/>
  <c r="E8" i="4" s="1"/>
  <c r="C7" i="4"/>
  <c r="E7" i="4" s="1"/>
  <c r="C33" i="4"/>
  <c r="K33" i="4" s="1"/>
  <c r="A33" i="4" s="1"/>
  <c r="C32" i="4"/>
  <c r="E33" i="4"/>
  <c r="J33" i="4" s="1"/>
  <c r="Q33" i="4" s="1"/>
  <c r="C35" i="4"/>
  <c r="C75" i="4"/>
  <c r="E75" i="4" s="1"/>
  <c r="J75" i="4" s="1"/>
  <c r="Q75" i="4" s="1"/>
  <c r="C77" i="4"/>
  <c r="C53" i="4"/>
  <c r="E53" i="4" s="1"/>
  <c r="J53" i="4" s="1"/>
  <c r="Q53" i="4" s="1"/>
  <c r="C55" i="4"/>
  <c r="C34" i="4"/>
  <c r="E35" i="4" s="1"/>
  <c r="E36" i="4" s="1"/>
  <c r="J36" i="4" s="1"/>
  <c r="Q36" i="4" s="1"/>
  <c r="C2" i="4"/>
  <c r="C9" i="4"/>
  <c r="K9" i="4" s="1"/>
  <c r="A9" i="4" s="1"/>
  <c r="C10" i="4"/>
  <c r="C11" i="4"/>
  <c r="E11" i="4" s="1"/>
  <c r="C12" i="4"/>
  <c r="C13" i="4"/>
  <c r="K12" i="4" s="1"/>
  <c r="A12" i="4" s="1"/>
  <c r="C14" i="4"/>
  <c r="C15" i="4"/>
  <c r="K15" i="4" s="1"/>
  <c r="A15" i="4" s="1"/>
  <c r="C16" i="4"/>
  <c r="C17" i="4"/>
  <c r="C18" i="4"/>
  <c r="C19" i="4"/>
  <c r="K19" i="4" s="1"/>
  <c r="A19" i="4" s="1"/>
  <c r="C20" i="4"/>
  <c r="C21" i="4"/>
  <c r="C22" i="4"/>
  <c r="C23" i="4"/>
  <c r="K23" i="4" s="1"/>
  <c r="C24" i="4"/>
  <c r="C25" i="4"/>
  <c r="K25" i="4" s="1"/>
  <c r="C26" i="4"/>
  <c r="C27" i="4"/>
  <c r="C28" i="4"/>
  <c r="C29" i="4"/>
  <c r="C30" i="4"/>
  <c r="C31" i="4"/>
  <c r="K31" i="4" s="1"/>
  <c r="C36" i="4"/>
  <c r="K35" i="4" s="1"/>
  <c r="A35" i="4" s="1"/>
  <c r="C37" i="4"/>
  <c r="C38" i="4"/>
  <c r="C39" i="4"/>
  <c r="K39" i="4" s="1"/>
  <c r="A39" i="4" s="1"/>
  <c r="C40" i="4"/>
  <c r="C41" i="4"/>
  <c r="C42" i="4"/>
  <c r="C43" i="4"/>
  <c r="K43" i="4" s="1"/>
  <c r="C44" i="4"/>
  <c r="C45" i="4"/>
  <c r="C46" i="4"/>
  <c r="C47" i="4"/>
  <c r="K47" i="4" s="1"/>
  <c r="A47" i="4" s="1"/>
  <c r="C48" i="4"/>
  <c r="C49" i="4"/>
  <c r="C50" i="4"/>
  <c r="C51" i="4"/>
  <c r="C52" i="4"/>
  <c r="C54" i="4"/>
  <c r="C56" i="4"/>
  <c r="C57" i="4"/>
  <c r="K57" i="4" s="1"/>
  <c r="A57" i="4" s="1"/>
  <c r="C58" i="4"/>
  <c r="C59" i="4"/>
  <c r="C60" i="4"/>
  <c r="C61" i="4"/>
  <c r="K61" i="4" s="1"/>
  <c r="C62" i="4"/>
  <c r="C63" i="4"/>
  <c r="K63" i="4" s="1"/>
  <c r="C64" i="4"/>
  <c r="C65" i="4"/>
  <c r="C66" i="4"/>
  <c r="C67" i="4"/>
  <c r="C68" i="4"/>
  <c r="C69" i="4"/>
  <c r="K69" i="4" s="1"/>
  <c r="C70" i="4"/>
  <c r="C71" i="4"/>
  <c r="K70" i="4" s="1"/>
  <c r="A70" i="4" s="1"/>
  <c r="C72" i="4"/>
  <c r="C73" i="4"/>
  <c r="K73" i="4" s="1"/>
  <c r="C74" i="4"/>
  <c r="C76" i="4"/>
  <c r="C79" i="4"/>
  <c r="C80" i="4"/>
  <c r="C81" i="4"/>
  <c r="C82" i="4"/>
  <c r="E83" i="4" s="1"/>
  <c r="E84" i="4" s="1"/>
  <c r="J84" i="4" s="1"/>
  <c r="Q84" i="4" s="1"/>
  <c r="C83" i="4"/>
  <c r="C84" i="4"/>
  <c r="K84" i="4" s="1"/>
  <c r="C85" i="4"/>
  <c r="C86" i="4"/>
  <c r="C87" i="4"/>
  <c r="C88" i="4"/>
  <c r="C89" i="4"/>
  <c r="C90" i="4"/>
  <c r="C91" i="4"/>
  <c r="C92" i="4"/>
  <c r="C93" i="4"/>
  <c r="C94" i="4"/>
  <c r="K93" i="4" s="1"/>
  <c r="A93" i="4" s="1"/>
  <c r="K64" i="4"/>
  <c r="K164" i="4"/>
  <c r="K88" i="4"/>
  <c r="A88" i="4" s="1"/>
  <c r="K157" i="4"/>
  <c r="K92" i="4"/>
  <c r="A171" i="4"/>
  <c r="E103" i="4"/>
  <c r="X76" i="1"/>
  <c r="X44" i="1"/>
  <c r="X28" i="1"/>
  <c r="K293" i="4"/>
  <c r="A293" i="4" s="1"/>
  <c r="K281" i="4"/>
  <c r="A281" i="4" s="1"/>
  <c r="A247" i="4"/>
  <c r="P201" i="4"/>
  <c r="P200" i="4"/>
  <c r="P349" i="4"/>
  <c r="K32" i="4"/>
  <c r="A32" i="4" s="1"/>
  <c r="K121" i="4"/>
  <c r="A121" i="4" s="1"/>
  <c r="K177" i="4"/>
  <c r="A177" i="4" s="1"/>
  <c r="K145" i="4"/>
  <c r="A145" i="4" s="1"/>
  <c r="E115" i="4"/>
  <c r="J115" i="4" s="1"/>
  <c r="Q115" i="4" s="1"/>
  <c r="E213" i="4"/>
  <c r="J213" i="4" s="1"/>
  <c r="Q213" i="4" s="1"/>
  <c r="K376" i="4"/>
  <c r="A376" i="4" s="1"/>
  <c r="K46" i="4"/>
  <c r="A46" i="4" s="1"/>
  <c r="K149" i="4"/>
  <c r="A149" i="4" s="1"/>
  <c r="A114" i="4"/>
  <c r="K304" i="4"/>
  <c r="K305" i="4"/>
  <c r="A305" i="4" s="1"/>
  <c r="E346" i="4"/>
  <c r="J346" i="4" s="1"/>
  <c r="Q346" i="4" s="1"/>
  <c r="E330" i="4"/>
  <c r="J330" i="4" s="1"/>
  <c r="Q330" i="4" s="1"/>
  <c r="K325" i="4"/>
  <c r="A325" i="4" s="1"/>
  <c r="A248" i="4"/>
  <c r="E228" i="4"/>
  <c r="K220" i="4"/>
  <c r="K216" i="4"/>
  <c r="K197" i="4"/>
  <c r="E193" i="4"/>
  <c r="J193" i="4" s="1"/>
  <c r="E187" i="4"/>
  <c r="J187" i="4" s="1"/>
  <c r="K383" i="4"/>
  <c r="A383" i="4" s="1"/>
  <c r="K336" i="4"/>
  <c r="A336" i="4" s="1"/>
  <c r="A320" i="4"/>
  <c r="K316" i="4"/>
  <c r="A316" i="4" s="1"/>
  <c r="K285" i="4"/>
  <c r="K265" i="4"/>
  <c r="A265" i="4" s="1"/>
  <c r="K261" i="4"/>
  <c r="A261" i="4" s="1"/>
  <c r="A69" i="4"/>
  <c r="K374" i="4"/>
  <c r="A374" i="4" s="1"/>
  <c r="K363" i="4"/>
  <c r="A363" i="4" s="1"/>
  <c r="K424" i="4"/>
  <c r="K310" i="4"/>
  <c r="K237" i="4"/>
  <c r="A237" i="4" s="1"/>
  <c r="P371" i="4"/>
  <c r="V71" i="1"/>
  <c r="X54" i="1"/>
  <c r="V90" i="1"/>
  <c r="V22" i="1"/>
  <c r="V70" i="1"/>
  <c r="X78" i="1"/>
  <c r="X104" i="1"/>
  <c r="V91" i="1"/>
  <c r="X15" i="1"/>
  <c r="X31" i="1"/>
  <c r="X96" i="1"/>
  <c r="V103" i="1"/>
  <c r="V102" i="1"/>
  <c r="X47" i="1"/>
  <c r="V100" i="1"/>
  <c r="X42" i="1"/>
  <c r="X14" i="1"/>
  <c r="V63" i="1"/>
  <c r="X20" i="1"/>
  <c r="X60" i="1"/>
  <c r="V48" i="1"/>
  <c r="X88" i="1"/>
  <c r="X34" i="1"/>
  <c r="X66" i="1"/>
  <c r="X68" i="1"/>
  <c r="V30" i="1"/>
  <c r="X62" i="1"/>
  <c r="X106" i="1"/>
  <c r="V112" i="1"/>
  <c r="X6" i="1"/>
  <c r="V7" i="1"/>
  <c r="X52" i="1"/>
  <c r="V12" i="1"/>
  <c r="V36" i="1"/>
  <c r="V84" i="1"/>
  <c r="X108" i="1"/>
  <c r="X16" i="1"/>
  <c r="V32" i="1"/>
  <c r="V56" i="1"/>
  <c r="X110" i="1"/>
  <c r="X72" i="1"/>
  <c r="V64" i="1"/>
  <c r="X24" i="1"/>
  <c r="V74" i="1"/>
  <c r="V11" i="1"/>
  <c r="X10" i="1"/>
  <c r="X50" i="1"/>
  <c r="V92" i="1"/>
  <c r="X51" i="1"/>
  <c r="V18" i="1"/>
  <c r="X40" i="1"/>
  <c r="X8" i="1"/>
  <c r="X43" i="1"/>
  <c r="V99" i="1"/>
  <c r="V80" i="1"/>
  <c r="X26" i="1"/>
  <c r="K72" i="4"/>
  <c r="A72" i="4" s="1"/>
  <c r="E188" i="4"/>
  <c r="E189" i="4" s="1"/>
  <c r="E190" i="4"/>
  <c r="J190" i="4" s="1"/>
  <c r="Q190" i="4" s="1"/>
  <c r="Q187" i="4"/>
  <c r="K408" i="4"/>
  <c r="A408" i="4" s="1"/>
  <c r="K399" i="4"/>
  <c r="K396" i="4"/>
  <c r="A396" i="4"/>
  <c r="K392" i="4"/>
  <c r="K393" i="4"/>
  <c r="K389" i="4"/>
  <c r="A389" i="4"/>
  <c r="K384" i="4"/>
  <c r="A384" i="4" s="1"/>
  <c r="K381" i="4"/>
  <c r="A381" i="4" s="1"/>
  <c r="K380" i="4"/>
  <c r="K339" i="4"/>
  <c r="A339" i="4" s="1"/>
  <c r="E340" i="4"/>
  <c r="E335" i="4"/>
  <c r="J335" i="4" s="1"/>
  <c r="E331" i="4"/>
  <c r="J331" i="4" s="1"/>
  <c r="Q331" i="4" s="1"/>
  <c r="A327" i="4"/>
  <c r="K326" i="4"/>
  <c r="A326" i="4"/>
  <c r="K323" i="4"/>
  <c r="A323" i="4"/>
  <c r="K319" i="4"/>
  <c r="A319" i="4"/>
  <c r="K342" i="4"/>
  <c r="A342" i="4" s="1"/>
  <c r="K430" i="4"/>
  <c r="A430" i="4" s="1"/>
  <c r="K418" i="4"/>
  <c r="A418" i="4" s="1"/>
  <c r="P439" i="4"/>
  <c r="P435" i="4"/>
  <c r="K422" i="4"/>
  <c r="E411" i="4"/>
  <c r="E412" i="4" s="1"/>
  <c r="K361" i="4"/>
  <c r="A361" i="4" s="1"/>
  <c r="K421" i="4"/>
  <c r="A421" i="4" s="1"/>
  <c r="K377" i="4"/>
  <c r="A377" i="4" s="1"/>
  <c r="K378" i="4"/>
  <c r="A378" i="4" s="1"/>
  <c r="A304" i="4"/>
  <c r="E305" i="4"/>
  <c r="K300" i="4"/>
  <c r="A300" i="4" s="1"/>
  <c r="K289" i="4"/>
  <c r="A289" i="4"/>
  <c r="K288" i="4"/>
  <c r="K353" i="4"/>
  <c r="A353" i="4" s="1"/>
  <c r="K346" i="4"/>
  <c r="A346" i="4" s="1"/>
  <c r="K232" i="4"/>
  <c r="A232" i="4" s="1"/>
  <c r="K231" i="4"/>
  <c r="A231" i="4" s="1"/>
  <c r="K228" i="4"/>
  <c r="A228" i="4" s="1"/>
  <c r="A205" i="4"/>
  <c r="K348" i="4"/>
  <c r="K349" i="4"/>
  <c r="A349" i="4" s="1"/>
  <c r="E283" i="4"/>
  <c r="J283" i="4" s="1"/>
  <c r="Q283" i="4" s="1"/>
  <c r="K277" i="4"/>
  <c r="A277" i="4" s="1"/>
  <c r="K270" i="4"/>
  <c r="A270" i="4"/>
  <c r="K266" i="4"/>
  <c r="A266" i="4" s="1"/>
  <c r="K258" i="4"/>
  <c r="A258" i="4" s="1"/>
  <c r="K246" i="4"/>
  <c r="A246" i="4"/>
  <c r="K243" i="4"/>
  <c r="A243" i="4"/>
  <c r="K259" i="4"/>
  <c r="A259" i="4" s="1"/>
  <c r="K307" i="4"/>
  <c r="A307" i="4"/>
  <c r="K296" i="4"/>
  <c r="A296" i="4" s="1"/>
  <c r="K295" i="4"/>
  <c r="P203" i="4"/>
  <c r="P204" i="4"/>
  <c r="P205" i="4"/>
  <c r="P346" i="4"/>
  <c r="P350" i="4"/>
  <c r="P348" i="4"/>
  <c r="P351" i="4"/>
  <c r="K240" i="4"/>
  <c r="A240" i="4" s="1"/>
  <c r="K410" i="4"/>
  <c r="A410" i="4" s="1"/>
  <c r="K386" i="4"/>
  <c r="A386" i="4" s="1"/>
  <c r="K360" i="4"/>
  <c r="A360" i="4" s="1"/>
  <c r="K306" i="4"/>
  <c r="A306" i="4" s="1"/>
  <c r="K290" i="4"/>
  <c r="A290" i="4" s="1"/>
  <c r="E234" i="4"/>
  <c r="K181" i="4"/>
  <c r="A181" i="4" s="1"/>
  <c r="P384" i="4"/>
  <c r="P285" i="4"/>
  <c r="P287" i="4"/>
  <c r="P186" i="4"/>
  <c r="P185" i="4"/>
  <c r="P182" i="4"/>
  <c r="P316" i="4"/>
  <c r="P317" i="4"/>
  <c r="P369" i="4"/>
  <c r="K344" i="4"/>
  <c r="A344" i="4" s="1"/>
  <c r="J188" i="4"/>
  <c r="Q188" i="4" s="1"/>
  <c r="E336" i="4"/>
  <c r="J189" i="4"/>
  <c r="Q189" i="4" s="1"/>
  <c r="E191" i="4"/>
  <c r="J234" i="4"/>
  <c r="Q234" i="4" s="1"/>
  <c r="A61" i="4"/>
  <c r="K173" i="4"/>
  <c r="A173" i="4" s="1"/>
  <c r="E107" i="4"/>
  <c r="J107" i="4" s="1"/>
  <c r="Q107" i="4" s="1"/>
  <c r="K107" i="4"/>
  <c r="A107" i="4" s="1"/>
  <c r="E318" i="4"/>
  <c r="K309" i="4"/>
  <c r="A309" i="4"/>
  <c r="K271" i="4"/>
  <c r="A271" i="4" s="1"/>
  <c r="K268" i="4"/>
  <c r="A268" i="4" s="1"/>
  <c r="K267" i="4"/>
  <c r="A267" i="4" s="1"/>
  <c r="K263" i="4"/>
  <c r="K125" i="4"/>
  <c r="A125" i="4" s="1"/>
  <c r="J103" i="4"/>
  <c r="Q103" i="4" s="1"/>
  <c r="A225" i="4"/>
  <c r="K224" i="4"/>
  <c r="A224" i="4" s="1"/>
  <c r="K210" i="4"/>
  <c r="J411" i="4"/>
  <c r="Q411" i="4" s="1"/>
  <c r="J340" i="4"/>
  <c r="Q340" i="4" s="1"/>
  <c r="E341" i="4"/>
  <c r="E342" i="4" s="1"/>
  <c r="E343" i="4" s="1"/>
  <c r="J341" i="4"/>
  <c r="Q341" i="4" s="1"/>
  <c r="E194" i="4"/>
  <c r="K217" i="4"/>
  <c r="A175" i="4"/>
  <c r="K153" i="4"/>
  <c r="A153" i="4" s="1"/>
  <c r="E154" i="4"/>
  <c r="J154" i="4" s="1"/>
  <c r="Q154" i="4"/>
  <c r="E124" i="4"/>
  <c r="J124" i="4" s="1"/>
  <c r="Q124" i="4" s="1"/>
  <c r="A406" i="4"/>
  <c r="A397" i="4"/>
  <c r="E380" i="4"/>
  <c r="E381" i="4" s="1"/>
  <c r="J381" i="4" s="1"/>
  <c r="K379" i="4"/>
  <c r="A379" i="4" s="1"/>
  <c r="K355" i="4"/>
  <c r="A355" i="4" s="1"/>
  <c r="K356" i="4"/>
  <c r="A356" i="4" s="1"/>
  <c r="K303" i="4"/>
  <c r="A303" i="4" s="1"/>
  <c r="K302" i="4"/>
  <c r="A302" i="4" s="1"/>
  <c r="A283" i="4"/>
  <c r="E160" i="4"/>
  <c r="K99" i="4"/>
  <c r="K98" i="4"/>
  <c r="A98" i="4" s="1"/>
  <c r="A393" i="4"/>
  <c r="K358" i="4"/>
  <c r="A358" i="4"/>
  <c r="P367" i="4"/>
  <c r="Q367" i="4" s="1"/>
  <c r="P368" i="4"/>
  <c r="P372" i="4"/>
  <c r="J228" i="4"/>
  <c r="Q228" i="4" s="1"/>
  <c r="E229" i="4"/>
  <c r="J229" i="4" s="1"/>
  <c r="Q229" i="4" s="1"/>
  <c r="K65" i="4"/>
  <c r="A65" i="4" s="1"/>
  <c r="K38" i="4"/>
  <c r="A38" i="4" s="1"/>
  <c r="K169" i="4"/>
  <c r="A169" i="4" s="1"/>
  <c r="K168" i="4"/>
  <c r="A168" i="4" s="1"/>
  <c r="K165" i="4"/>
  <c r="A165" i="4" s="1"/>
  <c r="K159" i="4"/>
  <c r="A159" i="4" s="1"/>
  <c r="A157" i="4"/>
  <c r="E113" i="4"/>
  <c r="J113" i="4" s="1"/>
  <c r="Q113" i="4" s="1"/>
  <c r="K426" i="4"/>
  <c r="A426" i="4" s="1"/>
  <c r="A422" i="4"/>
  <c r="K409" i="4"/>
  <c r="A409" i="4" s="1"/>
  <c r="K391" i="4"/>
  <c r="A391" i="4" s="1"/>
  <c r="Q193" i="4"/>
  <c r="E332" i="4"/>
  <c r="E333" i="4" s="1"/>
  <c r="J333" i="4" s="1"/>
  <c r="Q333" i="4" s="1"/>
  <c r="A324" i="4"/>
  <c r="E324" i="4"/>
  <c r="E325" i="4" s="1"/>
  <c r="J325" i="4" s="1"/>
  <c r="Q325" i="4" s="1"/>
  <c r="K311" i="4"/>
  <c r="A311" i="4" s="1"/>
  <c r="K312" i="4"/>
  <c r="A312" i="4" s="1"/>
  <c r="K294" i="4"/>
  <c r="A294" i="4" s="1"/>
  <c r="K260" i="4"/>
  <c r="A260" i="4"/>
  <c r="A257" i="4"/>
  <c r="K252" i="4"/>
  <c r="A252" i="4" s="1"/>
  <c r="K238" i="4"/>
  <c r="A238" i="4" s="1"/>
  <c r="K235" i="4"/>
  <c r="A235" i="4" s="1"/>
  <c r="K234" i="4"/>
  <c r="A234" i="4" s="1"/>
  <c r="K198" i="4"/>
  <c r="A198" i="4" s="1"/>
  <c r="K189" i="4"/>
  <c r="A189" i="4" s="1"/>
  <c r="K182" i="4"/>
  <c r="A182" i="4" s="1"/>
  <c r="Q335" i="4"/>
  <c r="P283" i="4"/>
  <c r="P288" i="4"/>
  <c r="P286" i="4"/>
  <c r="K74" i="4"/>
  <c r="A74" i="4" s="1"/>
  <c r="K14" i="4"/>
  <c r="A14" i="4" s="1"/>
  <c r="K68" i="4"/>
  <c r="A68" i="4" s="1"/>
  <c r="K161" i="4"/>
  <c r="A161" i="4" s="1"/>
  <c r="E132" i="4"/>
  <c r="J132" i="4" s="1"/>
  <c r="Q132" i="4" s="1"/>
  <c r="K109" i="4"/>
  <c r="A109" i="4" s="1"/>
  <c r="K256" i="4"/>
  <c r="A256" i="4" s="1"/>
  <c r="K188" i="4"/>
  <c r="A188" i="4" s="1"/>
  <c r="K394" i="4"/>
  <c r="A394" i="4" s="1"/>
  <c r="K370" i="4"/>
  <c r="A370" i="4"/>
  <c r="K365" i="4"/>
  <c r="A365" i="4" s="1"/>
  <c r="K364" i="4"/>
  <c r="A364" i="4" s="1"/>
  <c r="A345" i="4"/>
  <c r="K337" i="4"/>
  <c r="A337" i="4"/>
  <c r="K333" i="4"/>
  <c r="A333" i="4" s="1"/>
  <c r="E254" i="4"/>
  <c r="K241" i="4"/>
  <c r="A241" i="4" s="1"/>
  <c r="E241" i="4"/>
  <c r="K226" i="4"/>
  <c r="A226" i="4" s="1"/>
  <c r="K227" i="4"/>
  <c r="A227" i="4" s="1"/>
  <c r="K222" i="4"/>
  <c r="A222" i="4" s="1"/>
  <c r="K196" i="4"/>
  <c r="A196" i="4" s="1"/>
  <c r="P373" i="4"/>
  <c r="K11" i="4"/>
  <c r="A11" i="4" s="1"/>
  <c r="J11" i="4"/>
  <c r="Q11" i="4" s="1"/>
  <c r="K27" i="4"/>
  <c r="A27" i="4" s="1"/>
  <c r="A164" i="4"/>
  <c r="E300" i="4"/>
  <c r="A292" i="4"/>
  <c r="K249" i="4"/>
  <c r="A249" i="4" s="1"/>
  <c r="K236" i="4"/>
  <c r="A236" i="4" s="1"/>
  <c r="K208" i="4"/>
  <c r="A208" i="4" s="1"/>
  <c r="P314" i="4"/>
  <c r="P315" i="4"/>
  <c r="K55" i="4"/>
  <c r="A55" i="4" s="1"/>
  <c r="K106" i="4"/>
  <c r="A106" i="4" s="1"/>
  <c r="A382" i="4"/>
  <c r="K366" i="4"/>
  <c r="A366" i="4" s="1"/>
  <c r="E357" i="4"/>
  <c r="J357" i="4" s="1"/>
  <c r="Q357" i="4"/>
  <c r="K351" i="4"/>
  <c r="A351" i="4" s="1"/>
  <c r="K347" i="4"/>
  <c r="A347" i="4" s="1"/>
  <c r="A263" i="4"/>
  <c r="K194" i="4"/>
  <c r="A194" i="4" s="1"/>
  <c r="X59" i="1"/>
  <c r="V111" i="1"/>
  <c r="X85" i="1"/>
  <c r="X37" i="1"/>
  <c r="V4" i="1"/>
  <c r="V27" i="1"/>
  <c r="V75" i="1"/>
  <c r="X65" i="1"/>
  <c r="X55" i="1"/>
  <c r="V87" i="1"/>
  <c r="X79" i="1"/>
  <c r="V39" i="1"/>
  <c r="X77" i="1"/>
  <c r="V97" i="1"/>
  <c r="X21" i="1"/>
  <c r="X101" i="1"/>
  <c r="X69" i="1"/>
  <c r="X25" i="1"/>
  <c r="V93" i="1"/>
  <c r="V5" i="1"/>
  <c r="X33" i="1"/>
  <c r="X113" i="1"/>
  <c r="V57" i="1"/>
  <c r="V49" i="1"/>
  <c r="V98" i="1"/>
  <c r="V105" i="1"/>
  <c r="X45" i="1"/>
  <c r="V109" i="1"/>
  <c r="V29" i="1"/>
  <c r="X53" i="1"/>
  <c r="X61" i="1"/>
  <c r="X89" i="1"/>
  <c r="X35" i="1"/>
  <c r="V95" i="1"/>
  <c r="V83" i="1"/>
  <c r="X13" i="1"/>
  <c r="V58" i="1"/>
  <c r="X114" i="1"/>
  <c r="V38" i="1"/>
  <c r="X82" i="1"/>
  <c r="V17" i="1"/>
  <c r="X19" i="1"/>
  <c r="V73" i="1"/>
  <c r="X23" i="1"/>
  <c r="V9" i="1"/>
  <c r="X41" i="1"/>
  <c r="X67" i="1"/>
  <c r="X86" i="1"/>
  <c r="X81" i="1"/>
  <c r="X107" i="1"/>
  <c r="X46" i="1"/>
  <c r="X94" i="1"/>
  <c r="AB121" i="1"/>
  <c r="J342" i="4"/>
  <c r="Q342" i="4" s="1"/>
  <c r="J136" i="4"/>
  <c r="Q136" i="4" s="1"/>
  <c r="J332" i="4"/>
  <c r="Q332" i="4" s="1"/>
  <c r="E358" i="4"/>
  <c r="J358" i="4" s="1"/>
  <c r="J380" i="4"/>
  <c r="E125" i="4"/>
  <c r="J125" i="4" s="1"/>
  <c r="Q125" i="4" s="1"/>
  <c r="J35" i="4"/>
  <c r="Q35" i="4" s="1"/>
  <c r="J318" i="4"/>
  <c r="Q318" i="4" s="1"/>
  <c r="E319" i="4"/>
  <c r="E195" i="4"/>
  <c r="E196" i="4" s="1"/>
  <c r="J194" i="4"/>
  <c r="Q194" i="4" s="1"/>
  <c r="J254" i="4"/>
  <c r="Q254" i="4" s="1"/>
  <c r="E255" i="4"/>
  <c r="E256" i="4" s="1"/>
  <c r="J256" i="4" s="1"/>
  <c r="Q256" i="4" s="1"/>
  <c r="E114" i="4"/>
  <c r="J114" i="4" s="1"/>
  <c r="Q114" i="4" s="1"/>
  <c r="E230" i="4"/>
  <c r="J412" i="4"/>
  <c r="Q412" i="4" s="1"/>
  <c r="E12" i="4"/>
  <c r="J12" i="4" s="1"/>
  <c r="Q12" i="4" s="1"/>
  <c r="AB117" i="1"/>
  <c r="AB116" i="1"/>
  <c r="AB124" i="1"/>
  <c r="AB133" i="1"/>
  <c r="AB125" i="1"/>
  <c r="AB120" i="1"/>
  <c r="AB129" i="1"/>
  <c r="AB136" i="1"/>
  <c r="J255" i="4"/>
  <c r="Q255" i="4" s="1"/>
  <c r="E382" i="4"/>
  <c r="E383" i="4" s="1"/>
  <c r="E334" i="4"/>
  <c r="J334" i="4" s="1"/>
  <c r="Q334" i="4" s="1"/>
  <c r="E13" i="4"/>
  <c r="J13" i="4" s="1"/>
  <c r="Q13" i="4" s="1"/>
  <c r="J319" i="4"/>
  <c r="Q319" i="4" s="1"/>
  <c r="E320" i="4"/>
  <c r="E321" i="4" s="1"/>
  <c r="E126" i="4"/>
  <c r="J126" i="4" s="1"/>
  <c r="Q126" i="4" s="1"/>
  <c r="E326" i="4"/>
  <c r="Q358" i="4"/>
  <c r="E359" i="4"/>
  <c r="J359" i="4" s="1"/>
  <c r="Q359" i="4" s="1"/>
  <c r="AB128" i="1"/>
  <c r="AB137" i="1"/>
  <c r="AB132" i="1"/>
  <c r="J320" i="4"/>
  <c r="Q320" i="4" s="1"/>
  <c r="J382" i="4"/>
  <c r="AB134" i="1"/>
  <c r="AB135" i="1"/>
  <c r="AB131" i="1"/>
  <c r="AB138" i="1"/>
  <c r="AB148" i="1"/>
  <c r="AB141" i="1"/>
  <c r="AB149" i="1"/>
  <c r="AB130" i="1"/>
  <c r="AB145" i="1"/>
  <c r="AB140" i="1"/>
  <c r="AB144" i="1"/>
  <c r="AB127" i="1"/>
  <c r="AB115" i="1"/>
  <c r="AB118" i="1"/>
  <c r="AB126" i="1"/>
  <c r="AB123" i="1"/>
  <c r="AB122" i="1"/>
  <c r="AB119" i="1"/>
  <c r="AB146" i="1"/>
  <c r="AB143" i="1"/>
  <c r="AB142" i="1"/>
  <c r="AB150" i="1"/>
  <c r="AB139" i="1"/>
  <c r="AB147" i="1"/>
  <c r="AO7" i="4" l="1"/>
  <c r="E181" i="4"/>
  <c r="K179" i="4"/>
  <c r="A179" i="4" s="1"/>
  <c r="K178" i="4"/>
  <c r="A178" i="4" s="1"/>
  <c r="J164" i="4"/>
  <c r="Q164" i="4" s="1"/>
  <c r="E165" i="4"/>
  <c r="K151" i="4"/>
  <c r="A151" i="4" s="1"/>
  <c r="E152" i="4"/>
  <c r="J152" i="4" s="1"/>
  <c r="Q152" i="4" s="1"/>
  <c r="K152" i="4"/>
  <c r="A152" i="4" s="1"/>
  <c r="E153" i="4"/>
  <c r="J153" i="4" s="1"/>
  <c r="Q153" i="4" s="1"/>
  <c r="E144" i="4"/>
  <c r="J144" i="4" s="1"/>
  <c r="Q144" i="4" s="1"/>
  <c r="K144" i="4"/>
  <c r="A144" i="4"/>
  <c r="A128" i="4"/>
  <c r="K127" i="4"/>
  <c r="A127" i="4" s="1"/>
  <c r="K128" i="4"/>
  <c r="K120" i="4"/>
  <c r="A120" i="4"/>
  <c r="K111" i="4"/>
  <c r="A111" i="4" s="1"/>
  <c r="E112" i="4"/>
  <c r="J112" i="4" s="1"/>
  <c r="Q112" i="4" s="1"/>
  <c r="E104" i="4"/>
  <c r="J104" i="4" s="1"/>
  <c r="Q104" i="4" s="1"/>
  <c r="K103" i="4"/>
  <c r="A103" i="4" s="1"/>
  <c r="A276" i="4"/>
  <c r="K275" i="4"/>
  <c r="A275" i="4" s="1"/>
  <c r="E277" i="4"/>
  <c r="K276" i="4"/>
  <c r="A216" i="4"/>
  <c r="E127" i="4"/>
  <c r="J127" i="4" s="1"/>
  <c r="Q127" i="4" s="1"/>
  <c r="J343" i="4"/>
  <c r="Q343" i="4" s="1"/>
  <c r="E344" i="4"/>
  <c r="E434" i="4"/>
  <c r="K433" i="4"/>
  <c r="A433" i="4" s="1"/>
  <c r="K432" i="4"/>
  <c r="A432" i="4" s="1"/>
  <c r="K429" i="4"/>
  <c r="A429" i="4" s="1"/>
  <c r="K428" i="4"/>
  <c r="A428" i="4" s="1"/>
  <c r="K404" i="4"/>
  <c r="A404" i="4" s="1"/>
  <c r="K405" i="4"/>
  <c r="A405" i="4" s="1"/>
  <c r="E406" i="4"/>
  <c r="J406" i="4" s="1"/>
  <c r="Q406" i="4" s="1"/>
  <c r="K287" i="4"/>
  <c r="A287" i="4" s="1"/>
  <c r="K286" i="4"/>
  <c r="E284" i="4"/>
  <c r="K282" i="4"/>
  <c r="A282" i="4" s="1"/>
  <c r="A199" i="4"/>
  <c r="K199" i="4"/>
  <c r="P376" i="4"/>
  <c r="P375" i="4"/>
  <c r="P379" i="4"/>
  <c r="P377" i="4"/>
  <c r="J230" i="4"/>
  <c r="Q230" i="4" s="1"/>
  <c r="E231" i="4"/>
  <c r="K100" i="4"/>
  <c r="K101" i="4"/>
  <c r="A101" i="4" s="1"/>
  <c r="Q368" i="4"/>
  <c r="E384" i="4"/>
  <c r="E385" i="4" s="1"/>
  <c r="J385" i="4" s="1"/>
  <c r="J383" i="4"/>
  <c r="E301" i="4"/>
  <c r="E302" i="4" s="1"/>
  <c r="J302" i="4" s="1"/>
  <c r="Q302" i="4" s="1"/>
  <c r="J300" i="4"/>
  <c r="Q300" i="4" s="1"/>
  <c r="K85" i="4"/>
  <c r="A85" i="4" s="1"/>
  <c r="K86" i="4"/>
  <c r="AO5" i="4"/>
  <c r="K167" i="4"/>
  <c r="A167" i="4"/>
  <c r="K166" i="4"/>
  <c r="A166" i="4" s="1"/>
  <c r="K155" i="4"/>
  <c r="A155" i="4" s="1"/>
  <c r="K156" i="4"/>
  <c r="A156" i="4" s="1"/>
  <c r="K148" i="4"/>
  <c r="A148" i="4" s="1"/>
  <c r="K132" i="4"/>
  <c r="A132" i="4" s="1"/>
  <c r="E133" i="4"/>
  <c r="J133" i="4" s="1"/>
  <c r="Q133" i="4" s="1"/>
  <c r="K131" i="4"/>
  <c r="A131" i="4" s="1"/>
  <c r="K123" i="4"/>
  <c r="A123" i="4" s="1"/>
  <c r="K124" i="4"/>
  <c r="A124" i="4" s="1"/>
  <c r="E117" i="4"/>
  <c r="J117" i="4" s="1"/>
  <c r="Q117" i="4" s="1"/>
  <c r="K115" i="4"/>
  <c r="A115" i="4" s="1"/>
  <c r="E116" i="4"/>
  <c r="J116" i="4" s="1"/>
  <c r="Q116" i="4" s="1"/>
  <c r="K108" i="4"/>
  <c r="E108" i="4"/>
  <c r="A108" i="4"/>
  <c r="J326" i="4"/>
  <c r="Q326" i="4" s="1"/>
  <c r="E327" i="4"/>
  <c r="E328" i="4" s="1"/>
  <c r="A99" i="4"/>
  <c r="K425" i="4"/>
  <c r="A425" i="4" s="1"/>
  <c r="E425" i="4"/>
  <c r="J425" i="4" s="1"/>
  <c r="Q425" i="4" s="1"/>
  <c r="K417" i="4"/>
  <c r="A417" i="4"/>
  <c r="E417" i="4"/>
  <c r="J417" i="4" s="1"/>
  <c r="Q417" i="4" s="1"/>
  <c r="E418" i="4"/>
  <c r="E414" i="4"/>
  <c r="K413" i="4"/>
  <c r="A413" i="4" s="1"/>
  <c r="E413" i="4"/>
  <c r="J413" i="4" s="1"/>
  <c r="Q413" i="4" s="1"/>
  <c r="K400" i="4"/>
  <c r="A400" i="4" s="1"/>
  <c r="A401" i="4"/>
  <c r="E402" i="4"/>
  <c r="J402" i="4" s="1"/>
  <c r="Q402" i="4" s="1"/>
  <c r="K278" i="4"/>
  <c r="A278" i="4" s="1"/>
  <c r="K279" i="4"/>
  <c r="A279" i="4" s="1"/>
  <c r="K206" i="4"/>
  <c r="A206" i="4" s="1"/>
  <c r="K207" i="4"/>
  <c r="A207" i="4" s="1"/>
  <c r="K203" i="4"/>
  <c r="A203" i="4" s="1"/>
  <c r="E360" i="4"/>
  <c r="E145" i="4"/>
  <c r="J145" i="4" s="1"/>
  <c r="Q145" i="4" s="1"/>
  <c r="J241" i="4"/>
  <c r="Q241" i="4" s="1"/>
  <c r="E242" i="4"/>
  <c r="J242" i="4" s="1"/>
  <c r="Q242" i="4" s="1"/>
  <c r="E369" i="4"/>
  <c r="E429" i="4"/>
  <c r="K174" i="4"/>
  <c r="A174" i="4" s="1"/>
  <c r="E337" i="4"/>
  <c r="J336" i="4"/>
  <c r="Q336" i="4" s="1"/>
  <c r="E401" i="4"/>
  <c r="J401" i="4" s="1"/>
  <c r="Q401" i="4" s="1"/>
  <c r="K94" i="4"/>
  <c r="A94" i="4" s="1"/>
  <c r="K221" i="4"/>
  <c r="A221" i="4" s="1"/>
  <c r="E223" i="4"/>
  <c r="J223" i="4" s="1"/>
  <c r="Q223" i="4" s="1"/>
  <c r="K218" i="4"/>
  <c r="A218" i="4"/>
  <c r="K213" i="4"/>
  <c r="A213" i="4" s="1"/>
  <c r="K214" i="4"/>
  <c r="A214" i="4" s="1"/>
  <c r="A210" i="4"/>
  <c r="K209" i="4"/>
  <c r="A209" i="4" s="1"/>
  <c r="A92" i="4"/>
  <c r="K80" i="4"/>
  <c r="A80" i="4" s="1"/>
  <c r="K79" i="4"/>
  <c r="A79" i="4" s="1"/>
  <c r="K50" i="4"/>
  <c r="K51" i="4"/>
  <c r="A51" i="4" s="1"/>
  <c r="E118" i="4"/>
  <c r="J118" i="4" s="1"/>
  <c r="Q118" i="4" s="1"/>
  <c r="E95" i="4"/>
  <c r="E96" i="4" s="1"/>
  <c r="J96" i="4" s="1"/>
  <c r="Q96" i="4" s="1"/>
  <c r="K439" i="4"/>
  <c r="K438" i="4"/>
  <c r="A438" i="4" s="1"/>
  <c r="A431" i="4"/>
  <c r="A285" i="4"/>
  <c r="A220" i="4"/>
  <c r="K201" i="4"/>
  <c r="A201" i="4" s="1"/>
  <c r="K200" i="4"/>
  <c r="A197" i="4"/>
  <c r="P382" i="4"/>
  <c r="Q382" i="4" s="1"/>
  <c r="P385" i="4"/>
  <c r="P380" i="4"/>
  <c r="A73" i="4"/>
  <c r="K212" i="4"/>
  <c r="A212" i="4" s="1"/>
  <c r="K434" i="4"/>
  <c r="A434" i="4" s="1"/>
  <c r="K402" i="4"/>
  <c r="A402" i="4" s="1"/>
  <c r="E155" i="4"/>
  <c r="J155" i="4" s="1"/>
  <c r="Q155" i="4" s="1"/>
  <c r="A23" i="4"/>
  <c r="K22" i="4"/>
  <c r="A22" i="4" s="1"/>
  <c r="K110" i="4"/>
  <c r="P383" i="4"/>
  <c r="K403" i="4"/>
  <c r="A403" i="4" s="1"/>
  <c r="K10" i="4"/>
  <c r="K118" i="4"/>
  <c r="A118" i="4" s="1"/>
  <c r="A31" i="4"/>
  <c r="A43" i="4"/>
  <c r="K398" i="4"/>
  <c r="A398" i="4" s="1"/>
  <c r="K385" i="4"/>
  <c r="A385" i="4" s="1"/>
  <c r="E386" i="4"/>
  <c r="J386" i="4" s="1"/>
  <c r="Q386" i="4" s="1"/>
  <c r="E387" i="4"/>
  <c r="J387" i="4" s="1"/>
  <c r="Q387" i="4" s="1"/>
  <c r="E373" i="4"/>
  <c r="K371" i="4"/>
  <c r="A371" i="4" s="1"/>
  <c r="A348" i="4"/>
  <c r="K340" i="4"/>
  <c r="A340" i="4" s="1"/>
  <c r="K341" i="4"/>
  <c r="A341" i="4" s="1"/>
  <c r="A338" i="4"/>
  <c r="E289" i="4"/>
  <c r="J289" i="4" s="1"/>
  <c r="Q289" i="4" s="1"/>
  <c r="A288" i="4"/>
  <c r="K274" i="4"/>
  <c r="A274" i="4" s="1"/>
  <c r="K273" i="4"/>
  <c r="A273" i="4" s="1"/>
  <c r="K254" i="4"/>
  <c r="A254" i="4" s="1"/>
  <c r="K253" i="4"/>
  <c r="A253" i="4" s="1"/>
  <c r="E235" i="4"/>
  <c r="A84" i="4"/>
  <c r="A110" i="4"/>
  <c r="K42" i="4"/>
  <c r="A42" i="4" s="1"/>
  <c r="K113" i="4"/>
  <c r="A113" i="4" s="1"/>
  <c r="K83" i="4"/>
  <c r="A83" i="4" s="1"/>
  <c r="E34" i="4"/>
  <c r="J34" i="4" s="1"/>
  <c r="Q34" i="4" s="1"/>
  <c r="K34" i="4"/>
  <c r="A34" i="4" s="1"/>
  <c r="P381" i="4"/>
  <c r="Q381" i="4" s="1"/>
  <c r="K414" i="4"/>
  <c r="A414" i="4" s="1"/>
  <c r="K211" i="4"/>
  <c r="A211" i="4" s="1"/>
  <c r="E66" i="4"/>
  <c r="J66" i="4" s="1"/>
  <c r="Q66" i="4" s="1"/>
  <c r="K16" i="4"/>
  <c r="A16" i="4" s="1"/>
  <c r="K411" i="4"/>
  <c r="A411" i="4" s="1"/>
  <c r="K412" i="4"/>
  <c r="A412" i="4" s="1"/>
  <c r="A392" i="4"/>
  <c r="K318" i="4"/>
  <c r="A318" i="4" s="1"/>
  <c r="K317" i="4"/>
  <c r="A317" i="4" s="1"/>
  <c r="E290" i="4"/>
  <c r="J290" i="4" s="1"/>
  <c r="Q290" i="4" s="1"/>
  <c r="K264" i="4"/>
  <c r="A264" i="4" s="1"/>
  <c r="E264" i="4"/>
  <c r="K117" i="4"/>
  <c r="A117" i="4"/>
  <c r="K112" i="4"/>
  <c r="A112" i="4" s="1"/>
  <c r="K105" i="4"/>
  <c r="A105" i="4" s="1"/>
  <c r="K97" i="4"/>
  <c r="A97" i="4" s="1"/>
  <c r="K329" i="4"/>
  <c r="A329" i="4" s="1"/>
  <c r="E271" i="4"/>
  <c r="J271" i="4" s="1"/>
  <c r="Q271" i="4" s="1"/>
  <c r="K244" i="4"/>
  <c r="A244" i="4" s="1"/>
  <c r="E206" i="4"/>
  <c r="K202" i="4"/>
  <c r="A202" i="4" s="1"/>
  <c r="K170" i="4"/>
  <c r="A170" i="4" s="1"/>
  <c r="K162" i="4"/>
  <c r="A162" i="4" s="1"/>
  <c r="K143" i="4"/>
  <c r="A143" i="4" s="1"/>
  <c r="K135" i="4"/>
  <c r="A135" i="4" s="1"/>
  <c r="K431" i="4"/>
  <c r="K427" i="4"/>
  <c r="A427" i="4" s="1"/>
  <c r="K415" i="4"/>
  <c r="A415" i="4" s="1"/>
  <c r="K416" i="4"/>
  <c r="A416" i="4" s="1"/>
  <c r="K401" i="4"/>
  <c r="K368" i="4"/>
  <c r="A368" i="4" s="1"/>
  <c r="K335" i="4"/>
  <c r="A335" i="4" s="1"/>
  <c r="K331" i="4"/>
  <c r="K328" i="4"/>
  <c r="A328" i="4" s="1"/>
  <c r="K297" i="4"/>
  <c r="A297" i="4" s="1"/>
  <c r="K219" i="4"/>
  <c r="A219" i="4" s="1"/>
  <c r="K215" i="4"/>
  <c r="A215" i="4" s="1"/>
  <c r="K204" i="4"/>
  <c r="A204" i="4" s="1"/>
  <c r="K186" i="4"/>
  <c r="A186" i="4"/>
  <c r="K60" i="4"/>
  <c r="A60" i="4" s="1"/>
  <c r="K56" i="4"/>
  <c r="A56" i="4" s="1"/>
  <c r="K26" i="4"/>
  <c r="A26" i="4" s="1"/>
  <c r="K18" i="4"/>
  <c r="A18" i="4" s="1"/>
  <c r="K154" i="4"/>
  <c r="A154" i="4" s="1"/>
  <c r="K142" i="4"/>
  <c r="A142" i="4" s="1"/>
  <c r="K126" i="4"/>
  <c r="A126" i="4" s="1"/>
  <c r="K354" i="4"/>
  <c r="A354" i="4" s="1"/>
  <c r="K343" i="4"/>
  <c r="A343" i="4" s="1"/>
  <c r="K308" i="4"/>
  <c r="A308" i="4" s="1"/>
  <c r="K250" i="4"/>
  <c r="A250" i="4" s="1"/>
  <c r="K193" i="4"/>
  <c r="A193" i="4" s="1"/>
  <c r="E322" i="4"/>
  <c r="J321" i="4"/>
  <c r="Q321" i="4" s="1"/>
  <c r="E197" i="4"/>
  <c r="J196" i="4"/>
  <c r="Q196" i="4" s="1"/>
  <c r="J429" i="4"/>
  <c r="Q429" i="4" s="1"/>
  <c r="E430" i="4"/>
  <c r="K136" i="4"/>
  <c r="A136" i="4" s="1"/>
  <c r="E137" i="4"/>
  <c r="J137" i="4" s="1"/>
  <c r="Q137" i="4" s="1"/>
  <c r="E128" i="4"/>
  <c r="E257" i="4"/>
  <c r="E85" i="4"/>
  <c r="J324" i="4"/>
  <c r="Q324" i="4" s="1"/>
  <c r="K29" i="4"/>
  <c r="A29" i="4" s="1"/>
  <c r="K62" i="4"/>
  <c r="A62" i="4" s="1"/>
  <c r="J160" i="4"/>
  <c r="Q160" i="4" s="1"/>
  <c r="E161" i="4"/>
  <c r="E91" i="4"/>
  <c r="E347" i="4"/>
  <c r="K89" i="4"/>
  <c r="A89" i="4" s="1"/>
  <c r="J95" i="4"/>
  <c r="Q95" i="4" s="1"/>
  <c r="J191" i="4"/>
  <c r="Q191" i="4" s="1"/>
  <c r="E192" i="4"/>
  <c r="J192" i="4" s="1"/>
  <c r="Q192" i="4" s="1"/>
  <c r="J284" i="4"/>
  <c r="Q284" i="4" s="1"/>
  <c r="E285" i="4"/>
  <c r="K71" i="4"/>
  <c r="K141" i="4"/>
  <c r="A141" i="4" s="1"/>
  <c r="J327" i="4"/>
  <c r="Q327" i="4" s="1"/>
  <c r="E303" i="4"/>
  <c r="E14" i="4"/>
  <c r="E138" i="4"/>
  <c r="J301" i="4"/>
  <c r="Q301" i="4" s="1"/>
  <c r="J195" i="4"/>
  <c r="Q195" i="4" s="1"/>
  <c r="E426" i="4"/>
  <c r="K137" i="4"/>
  <c r="A137" i="4" s="1"/>
  <c r="E296" i="4"/>
  <c r="A63" i="4"/>
  <c r="A86" i="4"/>
  <c r="E388" i="4"/>
  <c r="J388" i="4" s="1"/>
  <c r="Q388" i="4" s="1"/>
  <c r="J423" i="4"/>
  <c r="Q423" i="4" s="1"/>
  <c r="E243" i="4"/>
  <c r="J83" i="4"/>
  <c r="Q83" i="4" s="1"/>
  <c r="AO14" i="4"/>
  <c r="E419" i="4"/>
  <c r="J419" i="4" s="1"/>
  <c r="Q419" i="4" s="1"/>
  <c r="J418" i="4"/>
  <c r="Q418" i="4" s="1"/>
  <c r="Q380" i="4"/>
  <c r="K90" i="4"/>
  <c r="A90" i="4" s="1"/>
  <c r="K81" i="4"/>
  <c r="A81" i="4" s="1"/>
  <c r="K82" i="4"/>
  <c r="A82" i="4" s="1"/>
  <c r="K75" i="4"/>
  <c r="A75" i="4" s="1"/>
  <c r="K76" i="4"/>
  <c r="A76" i="4" s="1"/>
  <c r="E76" i="4"/>
  <c r="J76" i="4" s="1"/>
  <c r="Q76" i="4" s="1"/>
  <c r="E77" i="4"/>
  <c r="A71" i="4"/>
  <c r="K67" i="4"/>
  <c r="A67" i="4" s="1"/>
  <c r="K66" i="4"/>
  <c r="A66" i="4" s="1"/>
  <c r="K58" i="4"/>
  <c r="A58" i="4" s="1"/>
  <c r="K59" i="4"/>
  <c r="A59" i="4" s="1"/>
  <c r="E55" i="4"/>
  <c r="E54" i="4"/>
  <c r="J54" i="4" s="1"/>
  <c r="Q54" i="4" s="1"/>
  <c r="K54" i="4"/>
  <c r="A54" i="4" s="1"/>
  <c r="K48" i="4"/>
  <c r="A48" i="4" s="1"/>
  <c r="K49" i="4"/>
  <c r="A49" i="4" s="1"/>
  <c r="K45" i="4"/>
  <c r="A45" i="4" s="1"/>
  <c r="K44" i="4"/>
  <c r="A44" i="4" s="1"/>
  <c r="E45" i="4"/>
  <c r="J45" i="4" s="1"/>
  <c r="Q45" i="4" s="1"/>
  <c r="K41" i="4"/>
  <c r="A41" i="4" s="1"/>
  <c r="K40" i="4"/>
  <c r="A40" i="4" s="1"/>
  <c r="K37" i="4"/>
  <c r="A37" i="4" s="1"/>
  <c r="K36" i="4"/>
  <c r="A36" i="4" s="1"/>
  <c r="E37" i="4"/>
  <c r="J37" i="4" s="1"/>
  <c r="Q37" i="4" s="1"/>
  <c r="E29" i="4"/>
  <c r="J29" i="4" s="1"/>
  <c r="Q29" i="4" s="1"/>
  <c r="K28" i="4"/>
  <c r="A28" i="4" s="1"/>
  <c r="E25" i="4"/>
  <c r="J25" i="4" s="1"/>
  <c r="Q25" i="4" s="1"/>
  <c r="K24" i="4"/>
  <c r="A24" i="4" s="1"/>
  <c r="A25" i="4"/>
  <c r="K21" i="4"/>
  <c r="A21" i="4"/>
  <c r="K20" i="4"/>
  <c r="A20" i="4" s="1"/>
  <c r="E17" i="4"/>
  <c r="K17" i="4"/>
  <c r="A17" i="4" s="1"/>
  <c r="K13" i="4"/>
  <c r="A13" i="4" s="1"/>
  <c r="E146" i="4"/>
  <c r="AO9" i="4"/>
  <c r="AO15" i="4"/>
  <c r="AO13" i="4"/>
  <c r="AO6" i="4"/>
  <c r="J305" i="4"/>
  <c r="Q305" i="4" s="1"/>
  <c r="E306" i="4"/>
  <c r="A78" i="4"/>
  <c r="K78" i="4"/>
  <c r="K77" i="4"/>
  <c r="A77" i="4" s="1"/>
  <c r="A230" i="4"/>
  <c r="E218" i="4"/>
  <c r="A217" i="4"/>
  <c r="E214" i="4"/>
  <c r="E200" i="4"/>
  <c r="A200" i="4"/>
  <c r="K52" i="4"/>
  <c r="A52" i="4" s="1"/>
  <c r="AO16" i="4"/>
  <c r="AO2" i="4"/>
  <c r="AO8" i="4"/>
  <c r="K388" i="4"/>
  <c r="A388" i="4" s="1"/>
  <c r="K387" i="4"/>
  <c r="A387" i="4" s="1"/>
  <c r="E389" i="4"/>
  <c r="A380" i="4"/>
  <c r="E362" i="4"/>
  <c r="A362" i="4"/>
  <c r="K299" i="4"/>
  <c r="A299" i="4" s="1"/>
  <c r="A295" i="4"/>
  <c r="K53" i="4"/>
  <c r="A53" i="4" s="1"/>
  <c r="K150" i="4"/>
  <c r="A150" i="4" s="1"/>
  <c r="K146" i="4"/>
  <c r="A146" i="4"/>
  <c r="K134" i="4"/>
  <c r="A134" i="4" s="1"/>
  <c r="K133" i="4"/>
  <c r="A133" i="4" s="1"/>
  <c r="E134" i="4"/>
  <c r="K130" i="4"/>
  <c r="A130" i="4" s="1"/>
  <c r="K129" i="4"/>
  <c r="A129" i="4" s="1"/>
  <c r="K122" i="4"/>
  <c r="A122" i="4" s="1"/>
  <c r="AO4" i="4"/>
  <c r="AO10" i="4"/>
  <c r="AO12" i="4"/>
  <c r="AO17" i="4"/>
  <c r="AO1" i="4"/>
  <c r="AO11" i="4"/>
  <c r="AO18" i="4"/>
  <c r="AO3" i="4"/>
  <c r="K436" i="4"/>
  <c r="A436" i="4"/>
  <c r="A424" i="4"/>
  <c r="K423" i="4"/>
  <c r="A423" i="4" s="1"/>
  <c r="K420" i="4"/>
  <c r="A420" i="4" s="1"/>
  <c r="K419" i="4"/>
  <c r="A419" i="4" s="1"/>
  <c r="E396" i="4"/>
  <c r="K395" i="4"/>
  <c r="A395" i="4" s="1"/>
  <c r="E391" i="4"/>
  <c r="K390" i="4"/>
  <c r="A390" i="4" s="1"/>
  <c r="K291" i="4"/>
  <c r="A291" i="4" s="1"/>
  <c r="E291" i="4"/>
  <c r="A272" i="4"/>
  <c r="K91" i="4"/>
  <c r="A91" i="4" s="1"/>
  <c r="E87" i="4"/>
  <c r="K87" i="4"/>
  <c r="A87" i="4" s="1"/>
  <c r="E79" i="4"/>
  <c r="J79" i="4" s="1"/>
  <c r="Q79" i="4" s="1"/>
  <c r="A64" i="4"/>
  <c r="A50" i="4"/>
  <c r="E46" i="4"/>
  <c r="K30" i="4"/>
  <c r="A30" i="4" s="1"/>
  <c r="A10" i="4"/>
  <c r="E6" i="4"/>
  <c r="E156" i="4"/>
  <c r="A331" i="4"/>
  <c r="K322" i="4"/>
  <c r="A322" i="4" s="1"/>
  <c r="K321" i="4"/>
  <c r="A321" i="4" s="1"/>
  <c r="K313" i="4"/>
  <c r="A313" i="4" s="1"/>
  <c r="K314" i="4"/>
  <c r="A314" i="4" s="1"/>
  <c r="E311" i="4"/>
  <c r="A310" i="4"/>
  <c r="K284" i="4"/>
  <c r="A284" i="4" s="1"/>
  <c r="A280" i="4"/>
  <c r="K359" i="4"/>
  <c r="A359" i="4" s="1"/>
  <c r="P434" i="4"/>
  <c r="P436" i="4"/>
  <c r="P438" i="4"/>
  <c r="P312" i="4"/>
  <c r="P311" i="4"/>
  <c r="P313" i="4"/>
  <c r="P374" i="4"/>
  <c r="P378" i="4"/>
  <c r="K172" i="4"/>
  <c r="A172" i="4" s="1"/>
  <c r="E172" i="4"/>
  <c r="J172" i="4" s="1"/>
  <c r="Q172" i="4" s="1"/>
  <c r="E99" i="4"/>
  <c r="K96" i="4"/>
  <c r="A96" i="4" s="1"/>
  <c r="K95" i="4"/>
  <c r="A95" i="4" s="1"/>
  <c r="E246" i="4"/>
  <c r="K245" i="4"/>
  <c r="A245" i="4" s="1"/>
  <c r="K229" i="4"/>
  <c r="A229" i="4" s="1"/>
  <c r="A190" i="4"/>
  <c r="A184" i="4"/>
  <c r="A407" i="4"/>
  <c r="A286" i="4"/>
  <c r="E57" i="4"/>
  <c r="K163" i="4"/>
  <c r="A163" i="4" s="1"/>
  <c r="K147" i="4"/>
  <c r="A147" i="4" s="1"/>
  <c r="K140" i="4"/>
  <c r="A140" i="4" s="1"/>
  <c r="A100" i="4"/>
  <c r="A439" i="4"/>
  <c r="K437" i="4"/>
  <c r="A437" i="4" s="1"/>
  <c r="E352" i="4"/>
  <c r="K334" i="4"/>
  <c r="A334" i="4" s="1"/>
  <c r="K301" i="4"/>
  <c r="A301" i="4" s="1"/>
  <c r="K269" i="4"/>
  <c r="A269" i="4" s="1"/>
  <c r="A185" i="4"/>
  <c r="K119" i="4"/>
  <c r="A119" i="4" s="1"/>
  <c r="K116" i="4"/>
  <c r="A116" i="4" s="1"/>
  <c r="K104" i="4"/>
  <c r="A104" i="4" s="1"/>
  <c r="K315" i="4"/>
  <c r="A315" i="4" s="1"/>
  <c r="E259" i="4"/>
  <c r="K255" i="4"/>
  <c r="A255" i="4" s="1"/>
  <c r="K187" i="4"/>
  <c r="A187" i="4" s="1"/>
  <c r="K183" i="4"/>
  <c r="A183" i="4" s="1"/>
  <c r="J181" i="4" l="1"/>
  <c r="Q181" i="4" s="1"/>
  <c r="E182" i="4"/>
  <c r="J206" i="4"/>
  <c r="Q206" i="4" s="1"/>
  <c r="E207" i="4"/>
  <c r="J414" i="4"/>
  <c r="Q414" i="4" s="1"/>
  <c r="E415" i="4"/>
  <c r="E109" i="4"/>
  <c r="J108" i="4"/>
  <c r="Q108" i="4" s="1"/>
  <c r="E435" i="4"/>
  <c r="J434" i="4"/>
  <c r="E67" i="4"/>
  <c r="E407" i="4"/>
  <c r="E329" i="4"/>
  <c r="J329" i="4" s="1"/>
  <c r="Q329" i="4" s="1"/>
  <c r="J328" i="4"/>
  <c r="Q328" i="4" s="1"/>
  <c r="J344" i="4"/>
  <c r="Q344" i="4" s="1"/>
  <c r="E345" i="4"/>
  <c r="J345" i="4" s="1"/>
  <c r="Q345" i="4" s="1"/>
  <c r="E403" i="4"/>
  <c r="J369" i="4"/>
  <c r="Q369" i="4" s="1"/>
  <c r="E370" i="4"/>
  <c r="E361" i="4"/>
  <c r="J361" i="4" s="1"/>
  <c r="Q361" i="4" s="1"/>
  <c r="J360" i="4"/>
  <c r="Q360" i="4" s="1"/>
  <c r="Q385" i="4"/>
  <c r="J231" i="4"/>
  <c r="Q231" i="4" s="1"/>
  <c r="E232" i="4"/>
  <c r="J277" i="4"/>
  <c r="Q277" i="4" s="1"/>
  <c r="E278" i="4"/>
  <c r="J165" i="4"/>
  <c r="Q165" i="4" s="1"/>
  <c r="E166" i="4"/>
  <c r="J384" i="4"/>
  <c r="Q384" i="4" s="1"/>
  <c r="J337" i="4"/>
  <c r="Q337" i="4" s="1"/>
  <c r="E338" i="4"/>
  <c r="Q434" i="4"/>
  <c r="E272" i="4"/>
  <c r="E420" i="4"/>
  <c r="E421" i="4" s="1"/>
  <c r="E224" i="4"/>
  <c r="E119" i="4"/>
  <c r="J119" i="4" s="1"/>
  <c r="Q119" i="4" s="1"/>
  <c r="J264" i="4"/>
  <c r="Q264" i="4" s="1"/>
  <c r="E265" i="4"/>
  <c r="J235" i="4"/>
  <c r="Q235" i="4" s="1"/>
  <c r="E236" i="4"/>
  <c r="J373" i="4"/>
  <c r="Q373" i="4" s="1"/>
  <c r="E374" i="4"/>
  <c r="Q383" i="4"/>
  <c r="E105" i="4"/>
  <c r="E97" i="4"/>
  <c r="J156" i="4"/>
  <c r="Q156" i="4" s="1"/>
  <c r="E157" i="4"/>
  <c r="J134" i="4"/>
  <c r="Q134" i="4" s="1"/>
  <c r="E135" i="4"/>
  <c r="J135" i="4" s="1"/>
  <c r="Q135" i="4" s="1"/>
  <c r="J128" i="4"/>
  <c r="Q128" i="4" s="1"/>
  <c r="E129" i="4"/>
  <c r="E198" i="4"/>
  <c r="J197" i="4"/>
  <c r="Q197" i="4" s="1"/>
  <c r="J259" i="4"/>
  <c r="Q259" i="4" s="1"/>
  <c r="E260" i="4"/>
  <c r="J391" i="4"/>
  <c r="Q391" i="4" s="1"/>
  <c r="E392" i="4"/>
  <c r="E363" i="4"/>
  <c r="J362" i="4"/>
  <c r="Q362" i="4" s="1"/>
  <c r="J214" i="4"/>
  <c r="Q214" i="4" s="1"/>
  <c r="E215" i="4"/>
  <c r="J306" i="4"/>
  <c r="Q306" i="4" s="1"/>
  <c r="E307" i="4"/>
  <c r="J146" i="4"/>
  <c r="Q146" i="4" s="1"/>
  <c r="E147" i="4"/>
  <c r="J55" i="4"/>
  <c r="Q55" i="4" s="1"/>
  <c r="E56" i="4"/>
  <c r="J56" i="4" s="1"/>
  <c r="Q56" i="4" s="1"/>
  <c r="E15" i="4"/>
  <c r="J14" i="4"/>
  <c r="Q14" i="4" s="1"/>
  <c r="J322" i="4"/>
  <c r="Q322" i="4" s="1"/>
  <c r="E323" i="4"/>
  <c r="J323" i="4" s="1"/>
  <c r="Q323" i="4" s="1"/>
  <c r="J272" i="4"/>
  <c r="Q272" i="4" s="1"/>
  <c r="E273" i="4"/>
  <c r="E78" i="4"/>
  <c r="J78" i="4" s="1"/>
  <c r="Q78" i="4" s="1"/>
  <c r="J77" i="4"/>
  <c r="Q77" i="4" s="1"/>
  <c r="E139" i="4"/>
  <c r="J138" i="4"/>
  <c r="Q138" i="4" s="1"/>
  <c r="J285" i="4"/>
  <c r="Q285" i="4" s="1"/>
  <c r="E286" i="4"/>
  <c r="E162" i="4"/>
  <c r="J161" i="4"/>
  <c r="Q161" i="4" s="1"/>
  <c r="J311" i="4"/>
  <c r="Q311" i="4" s="1"/>
  <c r="E312" i="4"/>
  <c r="E38" i="4"/>
  <c r="E88" i="4"/>
  <c r="J87" i="4"/>
  <c r="Q87" i="4" s="1"/>
  <c r="E353" i="4"/>
  <c r="J352" i="4"/>
  <c r="Q352" i="4" s="1"/>
  <c r="J246" i="4"/>
  <c r="Q246" i="4" s="1"/>
  <c r="E247" i="4"/>
  <c r="J99" i="4"/>
  <c r="Q99" i="4" s="1"/>
  <c r="E100" i="4"/>
  <c r="E80" i="4"/>
  <c r="E292" i="4"/>
  <c r="J291" i="4"/>
  <c r="Q291" i="4" s="1"/>
  <c r="J17" i="4"/>
  <c r="Q17" i="4" s="1"/>
  <c r="E18" i="4"/>
  <c r="J243" i="4"/>
  <c r="Q243" i="4" s="1"/>
  <c r="E244" i="4"/>
  <c r="J303" i="4"/>
  <c r="Q303" i="4" s="1"/>
  <c r="E304" i="4"/>
  <c r="J304" i="4" s="1"/>
  <c r="Q304" i="4" s="1"/>
  <c r="E348" i="4"/>
  <c r="J347" i="4"/>
  <c r="Q347" i="4" s="1"/>
  <c r="E26" i="4"/>
  <c r="J420" i="4"/>
  <c r="Q420" i="4" s="1"/>
  <c r="E120" i="4"/>
  <c r="J296" i="4"/>
  <c r="Q296" i="4" s="1"/>
  <c r="E297" i="4"/>
  <c r="J257" i="4"/>
  <c r="Q257" i="4" s="1"/>
  <c r="E258" i="4"/>
  <c r="J258" i="4" s="1"/>
  <c r="Q258" i="4" s="1"/>
  <c r="E58" i="4"/>
  <c r="J57" i="4"/>
  <c r="Q57" i="4" s="1"/>
  <c r="E173" i="4"/>
  <c r="E47" i="4"/>
  <c r="J46" i="4"/>
  <c r="Q46" i="4" s="1"/>
  <c r="E397" i="4"/>
  <c r="J396" i="4"/>
  <c r="Q396" i="4" s="1"/>
  <c r="E390" i="4"/>
  <c r="J390" i="4" s="1"/>
  <c r="Q390" i="4" s="1"/>
  <c r="J389" i="4"/>
  <c r="Q389" i="4" s="1"/>
  <c r="J200" i="4"/>
  <c r="Q200" i="4" s="1"/>
  <c r="E201" i="4"/>
  <c r="J218" i="4"/>
  <c r="Q218" i="4" s="1"/>
  <c r="E219" i="4"/>
  <c r="E225" i="4"/>
  <c r="J224" i="4"/>
  <c r="Q224" i="4" s="1"/>
  <c r="E408" i="4"/>
  <c r="J407" i="4"/>
  <c r="Q407" i="4" s="1"/>
  <c r="E427" i="4"/>
  <c r="J426" i="4"/>
  <c r="Q426" i="4" s="1"/>
  <c r="J91" i="4"/>
  <c r="Q91" i="4" s="1"/>
  <c r="E92" i="4"/>
  <c r="J85" i="4"/>
  <c r="Q85" i="4" s="1"/>
  <c r="E86" i="4"/>
  <c r="J86" i="4" s="1"/>
  <c r="Q86" i="4" s="1"/>
  <c r="J430" i="4"/>
  <c r="Q430" i="4" s="1"/>
  <c r="E431" i="4"/>
  <c r="E30" i="4"/>
  <c r="E375" i="4" l="1"/>
  <c r="J374" i="4"/>
  <c r="Q374" i="4" s="1"/>
  <c r="E266" i="4"/>
  <c r="J265" i="4"/>
  <c r="Q265" i="4" s="1"/>
  <c r="E371" i="4"/>
  <c r="J370" i="4"/>
  <c r="Q370" i="4" s="1"/>
  <c r="J67" i="4"/>
  <c r="Q67" i="4" s="1"/>
  <c r="E68" i="4"/>
  <c r="E208" i="4"/>
  <c r="J207" i="4"/>
  <c r="Q207" i="4" s="1"/>
  <c r="E98" i="4"/>
  <c r="J98" i="4" s="1"/>
  <c r="Q98" i="4" s="1"/>
  <c r="J97" i="4"/>
  <c r="Q97" i="4" s="1"/>
  <c r="J278" i="4"/>
  <c r="Q278" i="4" s="1"/>
  <c r="E279" i="4"/>
  <c r="J109" i="4"/>
  <c r="Q109" i="4" s="1"/>
  <c r="E110" i="4"/>
  <c r="J110" i="4" s="1"/>
  <c r="Q110" i="4" s="1"/>
  <c r="J105" i="4"/>
  <c r="Q105" i="4" s="1"/>
  <c r="E106" i="4"/>
  <c r="J106" i="4" s="1"/>
  <c r="Q106" i="4" s="1"/>
  <c r="E237" i="4"/>
  <c r="J236" i="4"/>
  <c r="Q236" i="4" s="1"/>
  <c r="J403" i="4"/>
  <c r="Q403" i="4" s="1"/>
  <c r="E404" i="4"/>
  <c r="J415" i="4"/>
  <c r="Q415" i="4" s="1"/>
  <c r="E416" i="4"/>
  <c r="J416" i="4" s="1"/>
  <c r="Q416" i="4" s="1"/>
  <c r="J182" i="4"/>
  <c r="Q182" i="4" s="1"/>
  <c r="E183" i="4"/>
  <c r="E339" i="4"/>
  <c r="J339" i="4" s="1"/>
  <c r="Q339" i="4" s="1"/>
  <c r="J338" i="4"/>
  <c r="Q338" i="4" s="1"/>
  <c r="E167" i="4"/>
  <c r="J166" i="4"/>
  <c r="Q166" i="4" s="1"/>
  <c r="J232" i="4"/>
  <c r="Q232" i="4" s="1"/>
  <c r="E233" i="4"/>
  <c r="J233" i="4" s="1"/>
  <c r="Q233" i="4" s="1"/>
  <c r="J435" i="4"/>
  <c r="Q435" i="4" s="1"/>
  <c r="E436" i="4"/>
  <c r="J408" i="4"/>
  <c r="Q408" i="4" s="1"/>
  <c r="E409" i="4"/>
  <c r="J173" i="4"/>
  <c r="Q173" i="4" s="1"/>
  <c r="E174" i="4"/>
  <c r="E19" i="4"/>
  <c r="J18" i="4"/>
  <c r="Q18" i="4" s="1"/>
  <c r="J92" i="4"/>
  <c r="Q92" i="4" s="1"/>
  <c r="E93" i="4"/>
  <c r="J26" i="4"/>
  <c r="Q26" i="4" s="1"/>
  <c r="E27" i="4"/>
  <c r="J348" i="4"/>
  <c r="Q348" i="4" s="1"/>
  <c r="E349" i="4"/>
  <c r="E248" i="4"/>
  <c r="J247" i="4"/>
  <c r="Q247" i="4" s="1"/>
  <c r="E308" i="4"/>
  <c r="J307" i="4"/>
  <c r="Q307" i="4" s="1"/>
  <c r="E199" i="4"/>
  <c r="J199" i="4" s="1"/>
  <c r="Q199" i="4" s="1"/>
  <c r="J198" i="4"/>
  <c r="Q198" i="4" s="1"/>
  <c r="J30" i="4"/>
  <c r="Q30" i="4" s="1"/>
  <c r="E31" i="4"/>
  <c r="E398" i="4"/>
  <c r="J397" i="4"/>
  <c r="Q397" i="4" s="1"/>
  <c r="J421" i="4"/>
  <c r="Q421" i="4" s="1"/>
  <c r="E422" i="4"/>
  <c r="J422" i="4" s="1"/>
  <c r="Q422" i="4" s="1"/>
  <c r="J312" i="4"/>
  <c r="Q312" i="4" s="1"/>
  <c r="E313" i="4"/>
  <c r="E432" i="4"/>
  <c r="J431" i="4"/>
  <c r="Q431" i="4" s="1"/>
  <c r="E220" i="4"/>
  <c r="J219" i="4"/>
  <c r="Q219" i="4" s="1"/>
  <c r="E298" i="4"/>
  <c r="J297" i="4"/>
  <c r="Q297" i="4" s="1"/>
  <c r="E428" i="4"/>
  <c r="J428" i="4" s="1"/>
  <c r="Q428" i="4" s="1"/>
  <c r="J427" i="4"/>
  <c r="Q427" i="4" s="1"/>
  <c r="J47" i="4"/>
  <c r="Q47" i="4" s="1"/>
  <c r="E48" i="4"/>
  <c r="J58" i="4"/>
  <c r="Q58" i="4" s="1"/>
  <c r="E59" i="4"/>
  <c r="E245" i="4"/>
  <c r="J245" i="4" s="1"/>
  <c r="Q245" i="4" s="1"/>
  <c r="J244" i="4"/>
  <c r="Q244" i="4" s="1"/>
  <c r="J88" i="4"/>
  <c r="Q88" i="4" s="1"/>
  <c r="E89" i="4"/>
  <c r="J273" i="4"/>
  <c r="Q273" i="4" s="1"/>
  <c r="E274" i="4"/>
  <c r="J15" i="4"/>
  <c r="Q15" i="4" s="1"/>
  <c r="E16" i="4"/>
  <c r="J16" i="4" s="1"/>
  <c r="Q16" i="4" s="1"/>
  <c r="J363" i="4"/>
  <c r="Q363" i="4" s="1"/>
  <c r="E364" i="4"/>
  <c r="J260" i="4"/>
  <c r="Q260" i="4" s="1"/>
  <c r="E261" i="4"/>
  <c r="E130" i="4"/>
  <c r="J129" i="4"/>
  <c r="Q129" i="4" s="1"/>
  <c r="E158" i="4"/>
  <c r="J157" i="4"/>
  <c r="Q157" i="4" s="1"/>
  <c r="J225" i="4"/>
  <c r="Q225" i="4" s="1"/>
  <c r="E226" i="4"/>
  <c r="E81" i="4"/>
  <c r="J80" i="4"/>
  <c r="Q80" i="4" s="1"/>
  <c r="J353" i="4"/>
  <c r="Q353" i="4" s="1"/>
  <c r="E354" i="4"/>
  <c r="J286" i="4"/>
  <c r="Q286" i="4" s="1"/>
  <c r="E287" i="4"/>
  <c r="J201" i="4"/>
  <c r="Q201" i="4" s="1"/>
  <c r="E202" i="4"/>
  <c r="E121" i="4"/>
  <c r="J120" i="4"/>
  <c r="Q120" i="4" s="1"/>
  <c r="E293" i="4"/>
  <c r="J292" i="4"/>
  <c r="Q292" i="4" s="1"/>
  <c r="E101" i="4"/>
  <c r="J100" i="4"/>
  <c r="Q100" i="4" s="1"/>
  <c r="J38" i="4"/>
  <c r="Q38" i="4" s="1"/>
  <c r="E39" i="4"/>
  <c r="E163" i="4"/>
  <c r="J163" i="4" s="1"/>
  <c r="Q163" i="4" s="1"/>
  <c r="J162" i="4"/>
  <c r="Q162" i="4" s="1"/>
  <c r="E140" i="4"/>
  <c r="J139" i="4"/>
  <c r="Q139" i="4" s="1"/>
  <c r="E148" i="4"/>
  <c r="J147" i="4"/>
  <c r="Q147" i="4" s="1"/>
  <c r="J215" i="4"/>
  <c r="Q215" i="4" s="1"/>
  <c r="E216" i="4"/>
  <c r="E393" i="4"/>
  <c r="J392" i="4"/>
  <c r="Q392" i="4" s="1"/>
  <c r="J266" i="4" l="1"/>
  <c r="Q266" i="4" s="1"/>
  <c r="E267" i="4"/>
  <c r="E437" i="4"/>
  <c r="J436" i="4"/>
  <c r="Q436" i="4" s="1"/>
  <c r="E184" i="4"/>
  <c r="J183" i="4"/>
  <c r="Q183" i="4" s="1"/>
  <c r="J404" i="4"/>
  <c r="Q404" i="4" s="1"/>
  <c r="E405" i="4"/>
  <c r="J405" i="4" s="1"/>
  <c r="Q405" i="4" s="1"/>
  <c r="E280" i="4"/>
  <c r="J279" i="4"/>
  <c r="Q279" i="4" s="1"/>
  <c r="E69" i="4"/>
  <c r="J68" i="4"/>
  <c r="Q68" i="4" s="1"/>
  <c r="E238" i="4"/>
  <c r="J237" i="4"/>
  <c r="Q237" i="4" s="1"/>
  <c r="J167" i="4"/>
  <c r="Q167" i="4" s="1"/>
  <c r="E168" i="4"/>
  <c r="E209" i="4"/>
  <c r="J208" i="4"/>
  <c r="Q208" i="4" s="1"/>
  <c r="J371" i="4"/>
  <c r="Q371" i="4" s="1"/>
  <c r="E372" i="4"/>
  <c r="J372" i="4" s="1"/>
  <c r="Q372" i="4" s="1"/>
  <c r="J375" i="4"/>
  <c r="Q375" i="4" s="1"/>
  <c r="E376" i="4"/>
  <c r="J274" i="4"/>
  <c r="Q274" i="4" s="1"/>
  <c r="E275" i="4"/>
  <c r="J313" i="4"/>
  <c r="Q313" i="4" s="1"/>
  <c r="E314" i="4"/>
  <c r="E94" i="4"/>
  <c r="J94" i="4" s="1"/>
  <c r="Q94" i="4" s="1"/>
  <c r="J93" i="4"/>
  <c r="Q93" i="4" s="1"/>
  <c r="J140" i="4"/>
  <c r="Q140" i="4" s="1"/>
  <c r="E141" i="4"/>
  <c r="E294" i="4"/>
  <c r="J294" i="4" s="1"/>
  <c r="Q294" i="4" s="1"/>
  <c r="J293" i="4"/>
  <c r="Q293" i="4" s="1"/>
  <c r="J130" i="4"/>
  <c r="Q130" i="4" s="1"/>
  <c r="E131" i="4"/>
  <c r="J131" i="4" s="1"/>
  <c r="Q131" i="4" s="1"/>
  <c r="E299" i="4"/>
  <c r="J299" i="4" s="1"/>
  <c r="Q299" i="4" s="1"/>
  <c r="J298" i="4"/>
  <c r="Q298" i="4" s="1"/>
  <c r="E433" i="4"/>
  <c r="J433" i="4" s="1"/>
  <c r="Q433" i="4" s="1"/>
  <c r="J432" i="4"/>
  <c r="Q432" i="4" s="1"/>
  <c r="E399" i="4"/>
  <c r="J398" i="4"/>
  <c r="Q398" i="4" s="1"/>
  <c r="J248" i="4"/>
  <c r="Q248" i="4" s="1"/>
  <c r="E249" i="4"/>
  <c r="E217" i="4"/>
  <c r="J217" i="4" s="1"/>
  <c r="Q217" i="4" s="1"/>
  <c r="J216" i="4"/>
  <c r="Q216" i="4" s="1"/>
  <c r="J354" i="4"/>
  <c r="Q354" i="4" s="1"/>
  <c r="E355" i="4"/>
  <c r="J27" i="4"/>
  <c r="Q27" i="4" s="1"/>
  <c r="E28" i="4"/>
  <c r="J28" i="4" s="1"/>
  <c r="Q28" i="4" s="1"/>
  <c r="J174" i="4"/>
  <c r="Q174" i="4" s="1"/>
  <c r="E175" i="4"/>
  <c r="E288" i="4"/>
  <c r="J288" i="4" s="1"/>
  <c r="Q288" i="4" s="1"/>
  <c r="J287" i="4"/>
  <c r="Q287" i="4" s="1"/>
  <c r="J261" i="4"/>
  <c r="Q261" i="4" s="1"/>
  <c r="E262" i="4"/>
  <c r="J89" i="4"/>
  <c r="Q89" i="4" s="1"/>
  <c r="E90" i="4"/>
  <c r="J90" i="4" s="1"/>
  <c r="Q90" i="4" s="1"/>
  <c r="J59" i="4"/>
  <c r="Q59" i="4" s="1"/>
  <c r="E60" i="4"/>
  <c r="E32" i="4"/>
  <c r="J32" i="4" s="1"/>
  <c r="Q32" i="4" s="1"/>
  <c r="J31" i="4"/>
  <c r="Q31" i="4" s="1"/>
  <c r="E350" i="4"/>
  <c r="J349" i="4"/>
  <c r="Q349" i="4" s="1"/>
  <c r="J409" i="4"/>
  <c r="Q409" i="4" s="1"/>
  <c r="E410" i="4"/>
  <c r="J410" i="4" s="1"/>
  <c r="Q410" i="4" s="1"/>
  <c r="J39" i="4"/>
  <c r="Q39" i="4" s="1"/>
  <c r="E40" i="4"/>
  <c r="E203" i="4"/>
  <c r="J202" i="4"/>
  <c r="Q202" i="4" s="1"/>
  <c r="E227" i="4"/>
  <c r="J227" i="4" s="1"/>
  <c r="Q227" i="4" s="1"/>
  <c r="J226" i="4"/>
  <c r="Q226" i="4" s="1"/>
  <c r="J364" i="4"/>
  <c r="Q364" i="4" s="1"/>
  <c r="E365" i="4"/>
  <c r="J48" i="4"/>
  <c r="Q48" i="4" s="1"/>
  <c r="E49" i="4"/>
  <c r="J393" i="4"/>
  <c r="Q393" i="4" s="1"/>
  <c r="E394" i="4"/>
  <c r="J148" i="4"/>
  <c r="Q148" i="4" s="1"/>
  <c r="E149" i="4"/>
  <c r="E102" i="4"/>
  <c r="J102" i="4" s="1"/>
  <c r="Q102" i="4" s="1"/>
  <c r="J101" i="4"/>
  <c r="Q101" i="4" s="1"/>
  <c r="J121" i="4"/>
  <c r="Q121" i="4" s="1"/>
  <c r="E122" i="4"/>
  <c r="J81" i="4"/>
  <c r="Q81" i="4" s="1"/>
  <c r="E82" i="4"/>
  <c r="J82" i="4" s="1"/>
  <c r="Q82" i="4" s="1"/>
  <c r="J158" i="4"/>
  <c r="Q158" i="4" s="1"/>
  <c r="E159" i="4"/>
  <c r="J159" i="4" s="1"/>
  <c r="Q159" i="4" s="1"/>
  <c r="E221" i="4"/>
  <c r="J220" i="4"/>
  <c r="Q220" i="4" s="1"/>
  <c r="E309" i="4"/>
  <c r="J308" i="4"/>
  <c r="Q308" i="4" s="1"/>
  <c r="J19" i="4"/>
  <c r="Q19" i="4" s="1"/>
  <c r="E20" i="4"/>
  <c r="J69" i="4" l="1"/>
  <c r="Q69" i="4" s="1"/>
  <c r="E70" i="4"/>
  <c r="J437" i="4"/>
  <c r="Q437" i="4" s="1"/>
  <c r="E438" i="4"/>
  <c r="J376" i="4"/>
  <c r="Q376" i="4" s="1"/>
  <c r="E377" i="4"/>
  <c r="J267" i="4"/>
  <c r="Q267" i="4" s="1"/>
  <c r="E268" i="4"/>
  <c r="E169" i="4"/>
  <c r="J168" i="4"/>
  <c r="Q168" i="4" s="1"/>
  <c r="J209" i="4"/>
  <c r="Q209" i="4" s="1"/>
  <c r="E210" i="4"/>
  <c r="J238" i="4"/>
  <c r="Q238" i="4" s="1"/>
  <c r="E239" i="4"/>
  <c r="J280" i="4"/>
  <c r="Q280" i="4" s="1"/>
  <c r="E281" i="4"/>
  <c r="E185" i="4"/>
  <c r="J184" i="4"/>
  <c r="Q184" i="4" s="1"/>
  <c r="E310" i="4"/>
  <c r="J310" i="4" s="1"/>
  <c r="Q310" i="4" s="1"/>
  <c r="J309" i="4"/>
  <c r="Q309" i="4" s="1"/>
  <c r="J20" i="4"/>
  <c r="Q20" i="4" s="1"/>
  <c r="E21" i="4"/>
  <c r="J394" i="4"/>
  <c r="Q394" i="4" s="1"/>
  <c r="E395" i="4"/>
  <c r="J395" i="4" s="1"/>
  <c r="Q395" i="4" s="1"/>
  <c r="E366" i="4"/>
  <c r="J366" i="4" s="1"/>
  <c r="Q366" i="4" s="1"/>
  <c r="J365" i="4"/>
  <c r="Q365" i="4" s="1"/>
  <c r="J60" i="4"/>
  <c r="Q60" i="4" s="1"/>
  <c r="E61" i="4"/>
  <c r="E263" i="4"/>
  <c r="J263" i="4" s="1"/>
  <c r="Q263" i="4" s="1"/>
  <c r="J262" i="4"/>
  <c r="Q262" i="4" s="1"/>
  <c r="E176" i="4"/>
  <c r="J175" i="4"/>
  <c r="Q175" i="4" s="1"/>
  <c r="J355" i="4"/>
  <c r="Q355" i="4" s="1"/>
  <c r="E356" i="4"/>
  <c r="J356" i="4" s="1"/>
  <c r="Q356" i="4" s="1"/>
  <c r="J249" i="4"/>
  <c r="Q249" i="4" s="1"/>
  <c r="E250" i="4"/>
  <c r="E142" i="4"/>
  <c r="J141" i="4"/>
  <c r="Q141" i="4" s="1"/>
  <c r="J314" i="4"/>
  <c r="Q314" i="4" s="1"/>
  <c r="E315" i="4"/>
  <c r="E204" i="4"/>
  <c r="J203" i="4"/>
  <c r="Q203" i="4" s="1"/>
  <c r="J122" i="4"/>
  <c r="Q122" i="4" s="1"/>
  <c r="E123" i="4"/>
  <c r="J123" i="4" s="1"/>
  <c r="Q123" i="4" s="1"/>
  <c r="E150" i="4"/>
  <c r="J149" i="4"/>
  <c r="Q149" i="4" s="1"/>
  <c r="J49" i="4"/>
  <c r="Q49" i="4" s="1"/>
  <c r="E50" i="4"/>
  <c r="J40" i="4"/>
  <c r="Q40" i="4" s="1"/>
  <c r="E41" i="4"/>
  <c r="E276" i="4"/>
  <c r="J276" i="4" s="1"/>
  <c r="Q276" i="4" s="1"/>
  <c r="J275" i="4"/>
  <c r="Q275" i="4" s="1"/>
  <c r="E222" i="4"/>
  <c r="J222" i="4" s="1"/>
  <c r="Q222" i="4" s="1"/>
  <c r="J221" i="4"/>
  <c r="Q221" i="4" s="1"/>
  <c r="E351" i="4"/>
  <c r="J351" i="4" s="1"/>
  <c r="Q351" i="4" s="1"/>
  <c r="J350" i="4"/>
  <c r="Q350" i="4" s="1"/>
  <c r="J399" i="4"/>
  <c r="Q399" i="4" s="1"/>
  <c r="E400" i="4"/>
  <c r="J400" i="4" s="1"/>
  <c r="Q400" i="4" s="1"/>
  <c r="E282" i="4" l="1"/>
  <c r="J282" i="4" s="1"/>
  <c r="Q282" i="4" s="1"/>
  <c r="J281" i="4"/>
  <c r="Q281" i="4" s="1"/>
  <c r="E211" i="4"/>
  <c r="J211" i="4" s="1"/>
  <c r="Q211" i="4" s="1"/>
  <c r="J210" i="4"/>
  <c r="Q210" i="4" s="1"/>
  <c r="E439" i="4"/>
  <c r="J439" i="4" s="1"/>
  <c r="Q439" i="4" s="1"/>
  <c r="J438" i="4"/>
  <c r="Q438" i="4" s="1"/>
  <c r="E240" i="4"/>
  <c r="J240" i="4" s="1"/>
  <c r="Q240" i="4" s="1"/>
  <c r="J239" i="4"/>
  <c r="Q239" i="4" s="1"/>
  <c r="E378" i="4"/>
  <c r="J377" i="4"/>
  <c r="Q377" i="4" s="1"/>
  <c r="J70" i="4"/>
  <c r="Q70" i="4" s="1"/>
  <c r="E71" i="4"/>
  <c r="J268" i="4"/>
  <c r="Q268" i="4" s="1"/>
  <c r="E269" i="4"/>
  <c r="E186" i="4"/>
  <c r="J186" i="4" s="1"/>
  <c r="Q186" i="4" s="1"/>
  <c r="J185" i="4"/>
  <c r="Q185" i="4" s="1"/>
  <c r="J169" i="4"/>
  <c r="Q169" i="4" s="1"/>
  <c r="E170" i="4"/>
  <c r="E151" i="4"/>
  <c r="J151" i="4" s="1"/>
  <c r="Q151" i="4" s="1"/>
  <c r="J150" i="4"/>
  <c r="Q150" i="4" s="1"/>
  <c r="J204" i="4"/>
  <c r="Q204" i="4" s="1"/>
  <c r="E205" i="4"/>
  <c r="J205" i="4" s="1"/>
  <c r="Q205" i="4" s="1"/>
  <c r="E143" i="4"/>
  <c r="J143" i="4" s="1"/>
  <c r="Q143" i="4" s="1"/>
  <c r="J142" i="4"/>
  <c r="Q142" i="4" s="1"/>
  <c r="J41" i="4"/>
  <c r="Q41" i="4" s="1"/>
  <c r="E42" i="4"/>
  <c r="J21" i="4"/>
  <c r="Q21" i="4" s="1"/>
  <c r="E22" i="4"/>
  <c r="J50" i="4"/>
  <c r="Q50" i="4" s="1"/>
  <c r="E51" i="4"/>
  <c r="E316" i="4"/>
  <c r="J315" i="4"/>
  <c r="Q315" i="4" s="1"/>
  <c r="J250" i="4"/>
  <c r="Q250" i="4" s="1"/>
  <c r="E251" i="4"/>
  <c r="J61" i="4"/>
  <c r="Q61" i="4" s="1"/>
  <c r="E62" i="4"/>
  <c r="E177" i="4"/>
  <c r="J176" i="4"/>
  <c r="Q176" i="4" s="1"/>
  <c r="E171" i="4" l="1"/>
  <c r="J171" i="4" s="1"/>
  <c r="Q171" i="4" s="1"/>
  <c r="J170" i="4"/>
  <c r="Q170" i="4" s="1"/>
  <c r="E270" i="4"/>
  <c r="J270" i="4" s="1"/>
  <c r="Q270" i="4" s="1"/>
  <c r="J269" i="4"/>
  <c r="Q269" i="4" s="1"/>
  <c r="E72" i="4"/>
  <c r="J71" i="4"/>
  <c r="Q71" i="4" s="1"/>
  <c r="J378" i="4"/>
  <c r="Q378" i="4" s="1"/>
  <c r="E379" i="4"/>
  <c r="J379" i="4" s="1"/>
  <c r="Q379" i="4" s="1"/>
  <c r="J42" i="4"/>
  <c r="Q42" i="4" s="1"/>
  <c r="E43" i="4"/>
  <c r="J316" i="4"/>
  <c r="Q316" i="4" s="1"/>
  <c r="E317" i="4"/>
  <c r="J317" i="4" s="1"/>
  <c r="Q317" i="4" s="1"/>
  <c r="J62" i="4"/>
  <c r="Q62" i="4" s="1"/>
  <c r="E63" i="4"/>
  <c r="J251" i="4"/>
  <c r="Q251" i="4" s="1"/>
  <c r="E252" i="4"/>
  <c r="J252" i="4" s="1"/>
  <c r="Q252" i="4" s="1"/>
  <c r="E52" i="4"/>
  <c r="J52" i="4" s="1"/>
  <c r="Q52" i="4" s="1"/>
  <c r="J51" i="4"/>
  <c r="Q51" i="4" s="1"/>
  <c r="J22" i="4"/>
  <c r="Q22" i="4" s="1"/>
  <c r="E23" i="4"/>
  <c r="J177" i="4"/>
  <c r="Q177" i="4" s="1"/>
  <c r="E178" i="4"/>
  <c r="E73" i="4" l="1"/>
  <c r="J72" i="4"/>
  <c r="Q72" i="4" s="1"/>
  <c r="J178" i="4"/>
  <c r="Q178" i="4" s="1"/>
  <c r="E179" i="4"/>
  <c r="J179" i="4" s="1"/>
  <c r="Q179" i="4" s="1"/>
  <c r="J63" i="4"/>
  <c r="Q63" i="4" s="1"/>
  <c r="E64" i="4"/>
  <c r="J23" i="4"/>
  <c r="Q23" i="4" s="1"/>
  <c r="E24" i="4"/>
  <c r="J24" i="4" s="1"/>
  <c r="Q24" i="4" s="1"/>
  <c r="J43" i="4"/>
  <c r="Q43" i="4" s="1"/>
  <c r="E44" i="4"/>
  <c r="J44" i="4" s="1"/>
  <c r="Q44" i="4" s="1"/>
  <c r="J73" i="4" l="1"/>
  <c r="Q73" i="4" s="1"/>
  <c r="E74" i="4"/>
  <c r="J74" i="4" s="1"/>
  <c r="Q74" i="4" s="1"/>
  <c r="E65" i="4"/>
  <c r="J65" i="4" s="1"/>
  <c r="Q65" i="4" s="1"/>
  <c r="J64" i="4"/>
  <c r="Q64" i="4" s="1"/>
</calcChain>
</file>

<file path=xl/sharedStrings.xml><?xml version="1.0" encoding="utf-8"?>
<sst xmlns="http://schemas.openxmlformats.org/spreadsheetml/2006/main" count="19919" uniqueCount="2383">
  <si>
    <t>items_id</t>
  </si>
  <si>
    <t>name</t>
  </si>
  <si>
    <t>role</t>
  </si>
  <si>
    <t>describe</t>
  </si>
  <si>
    <t>level</t>
  </si>
  <si>
    <t>icon</t>
  </si>
  <si>
    <t>synthetic_way</t>
  </si>
  <si>
    <t>consumption</t>
  </si>
  <si>
    <t>synthetic_id</t>
  </si>
  <si>
    <t>attribute</t>
  </si>
  <si>
    <t>s</t>
  </si>
  <si>
    <t>i</t>
  </si>
  <si>
    <t>[]</t>
  </si>
  <si>
    <t>1</t>
  </si>
  <si>
    <t>0</t>
  </si>
  <si>
    <t>蓝色装备碎片宝箱</t>
  </si>
  <si>
    <t>低级装备精炼石</t>
  </si>
  <si>
    <t>中级装备精炼石</t>
  </si>
  <si>
    <t>高级装备精炼石</t>
  </si>
  <si>
    <t>极品装备精炼石</t>
  </si>
  <si>
    <t>装备魔魂宝箱</t>
  </si>
  <si>
    <t>技能卷轴</t>
  </si>
  <si>
    <t>培养丹</t>
  </si>
  <si>
    <t>jyys_chuji</t>
  </si>
  <si>
    <t>2</t>
    <phoneticPr fontId="1" type="noConversion"/>
  </si>
  <si>
    <t>3</t>
    <phoneticPr fontId="1" type="noConversion"/>
  </si>
  <si>
    <t>4</t>
    <phoneticPr fontId="1" type="noConversion"/>
  </si>
  <si>
    <t>jyys_zhongji</t>
  </si>
  <si>
    <t>jyys_gaoji</t>
  </si>
  <si>
    <t>jyys_shenqi</t>
    <phoneticPr fontId="1" type="noConversion"/>
  </si>
  <si>
    <t>1</t>
    <phoneticPr fontId="1" type="noConversion"/>
  </si>
  <si>
    <t>0</t>
    <phoneticPr fontId="1" type="noConversion"/>
  </si>
  <si>
    <t>5</t>
    <phoneticPr fontId="1" type="noConversion"/>
  </si>
  <si>
    <t>5</t>
    <phoneticPr fontId="1" type="noConversion"/>
  </si>
  <si>
    <t>tilidan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</si>
  <si>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</si>
  <si>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</si>
  <si>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</si>
  <si>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</si>
  <si>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合成方式                              [整数]                             1.合成道具                       2.分解道具
3合成hero
4分解hero</t>
    <phoneticPr fontId="1" type="noConversion"/>
  </si>
  <si>
    <t>0</t>
    <phoneticPr fontId="1" type="noConversion"/>
  </si>
  <si>
    <t>jpzhuangbeijinglianshi</t>
    <phoneticPr fontId="1" type="noConversion"/>
  </si>
  <si>
    <t>djzhuangbeijinglianshi</t>
    <phoneticPr fontId="1" type="noConversion"/>
  </si>
  <si>
    <t>zjzhuangbeijinglianshi</t>
    <phoneticPr fontId="1" type="noConversion"/>
  </si>
  <si>
    <t>gjzhuangbeijinglianshi</t>
    <phoneticPr fontId="1" type="noConversion"/>
  </si>
  <si>
    <t>shuaxinfu</t>
    <phoneticPr fontId="1" type="noConversion"/>
  </si>
  <si>
    <t>jinengjuanzhou</t>
    <phoneticPr fontId="1" type="noConversion"/>
  </si>
  <si>
    <t>fabaojinglianshi</t>
    <phoneticPr fontId="1" type="noConversion"/>
  </si>
  <si>
    <t>xiaopantao</t>
    <phoneticPr fontId="1" type="noConversion"/>
  </si>
  <si>
    <t>peiyangdan</t>
    <phoneticPr fontId="1" type="noConversion"/>
  </si>
  <si>
    <t>sell</t>
    <phoneticPr fontId="1" type="noConversion"/>
  </si>
  <si>
    <t>i</t>
    <phoneticPr fontId="1" type="noConversion"/>
  </si>
  <si>
    <t>8</t>
    <phoneticPr fontId="1" type="noConversion"/>
  </si>
  <si>
    <t>8</t>
    <phoneticPr fontId="1" type="noConversion"/>
  </si>
  <si>
    <t>8</t>
    <phoneticPr fontId="1" type="noConversion"/>
  </si>
  <si>
    <t>5</t>
    <phoneticPr fontId="1" type="noConversion"/>
  </si>
  <si>
    <t>reward</t>
    <phoneticPr fontId="1" type="noConversion"/>
  </si>
  <si>
    <t>12|5</t>
    <phoneticPr fontId="1" type="noConversion"/>
  </si>
  <si>
    <t>12|10</t>
    <phoneticPr fontId="1" type="noConversion"/>
  </si>
  <si>
    <t>12|25</t>
    <phoneticPr fontId="1" type="noConversion"/>
  </si>
  <si>
    <t>12|50</t>
    <phoneticPr fontId="1" type="noConversion"/>
  </si>
  <si>
    <t>s</t>
    <phoneticPr fontId="1" type="noConversion"/>
  </si>
  <si>
    <t>fenjie</t>
    <phoneticPr fontId="1" type="noConversion"/>
  </si>
  <si>
    <t>zisezhuangbeisuipianbaoxiang</t>
    <phoneticPr fontId="1" type="noConversion"/>
  </si>
  <si>
    <t>chengsezhuangbeisuipianbaoxiang</t>
    <phoneticPr fontId="1" type="noConversion"/>
  </si>
  <si>
    <t>zisefabaosuipianbaoxiang</t>
    <phoneticPr fontId="1" type="noConversion"/>
  </si>
  <si>
    <t>zisehuobansuipianbaoxiang</t>
    <phoneticPr fontId="1" type="noConversion"/>
  </si>
  <si>
    <t>chengsehuobansuipianbaoxiang</t>
    <phoneticPr fontId="1" type="noConversion"/>
  </si>
  <si>
    <t>mohunbaoxiang</t>
    <phoneticPr fontId="1" type="noConversion"/>
  </si>
  <si>
    <t>6</t>
    <phoneticPr fontId="1" type="noConversion"/>
  </si>
  <si>
    <t>[]</t>
    <phoneticPr fontId="1" type="noConversion"/>
  </si>
  <si>
    <t>13|25</t>
    <phoneticPr fontId="1" type="noConversion"/>
  </si>
  <si>
    <t>14|10</t>
    <phoneticPr fontId="1" type="noConversion"/>
  </si>
  <si>
    <t>9</t>
    <phoneticPr fontId="1" type="noConversion"/>
  </si>
  <si>
    <t>11</t>
    <phoneticPr fontId="1" type="noConversion"/>
  </si>
  <si>
    <t>7</t>
    <phoneticPr fontId="1" type="noConversion"/>
  </si>
  <si>
    <t>使用是消耗金币</t>
    <phoneticPr fontId="1" type="noConversion"/>
  </si>
  <si>
    <t>i</t>
    <phoneticPr fontId="1" type="noConversion"/>
  </si>
  <si>
    <t>use_cost</t>
    <phoneticPr fontId="1" type="noConversion"/>
  </si>
  <si>
    <t>9</t>
    <phoneticPr fontId="1" type="noConversion"/>
  </si>
  <si>
    <t>quality</t>
    <phoneticPr fontId="1" type="noConversion"/>
  </si>
  <si>
    <t>测试用</t>
    <phoneticPr fontId="1" type="noConversion"/>
  </si>
  <si>
    <t>zijin_hujia</t>
  </si>
  <si>
    <t>zijin_wuqi</t>
  </si>
  <si>
    <t>zijin_toukui</t>
  </si>
  <si>
    <t>zijin_yaodai</t>
  </si>
  <si>
    <t>精力之心</t>
    <phoneticPr fontId="1" type="noConversion"/>
  </si>
  <si>
    <t>体力药水</t>
    <phoneticPr fontId="1" type="noConversion"/>
  </si>
  <si>
    <t>可以使用普通寻仙一次</t>
    <phoneticPr fontId="1" type="noConversion"/>
  </si>
  <si>
    <t>可以使用高级寻仙一次</t>
    <phoneticPr fontId="1" type="noConversion"/>
  </si>
  <si>
    <t>元灵晶石宝箱</t>
    <phoneticPr fontId="1" type="noConversion"/>
  </si>
  <si>
    <t>技能书宝箱</t>
    <phoneticPr fontId="1" type="noConversion"/>
  </si>
  <si>
    <t>哪吒碎片</t>
  </si>
  <si>
    <t>红孩儿碎片</t>
  </si>
  <si>
    <t>猪八戒碎片</t>
  </si>
  <si>
    <t>牛魔王碎片</t>
  </si>
  <si>
    <t>托塔天王碎片</t>
  </si>
  <si>
    <t>紫霞仙子碎片</t>
  </si>
  <si>
    <t>唐三藏碎片</t>
  </si>
  <si>
    <t>沙和尚碎片</t>
  </si>
  <si>
    <t>六耳猕猴碎片</t>
  </si>
  <si>
    <t>白骨夫人碎片</t>
  </si>
  <si>
    <t>混沌碎片</t>
  </si>
  <si>
    <t>小白龙碎片</t>
  </si>
  <si>
    <t>羊力大仙碎片</t>
  </si>
  <si>
    <t>虎力大仙碎片</t>
  </si>
  <si>
    <t>鹿力大仙碎片</t>
  </si>
  <si>
    <t>铁扇公主碎片</t>
  </si>
  <si>
    <t>嫦娥碎片</t>
  </si>
  <si>
    <t>赛太岁碎片</t>
  </si>
  <si>
    <t>阎罗王碎片</t>
  </si>
  <si>
    <t>地藏王碎片</t>
  </si>
  <si>
    <t>蝎子精碎片</t>
  </si>
  <si>
    <t>混世魔王碎片</t>
  </si>
  <si>
    <t>雷公碎片</t>
  </si>
  <si>
    <t>东海龙王碎片</t>
  </si>
  <si>
    <t>白龙公主碎片</t>
  </si>
  <si>
    <t>玉面夫人碎片</t>
  </si>
  <si>
    <t>金钱豹王碎片</t>
  </si>
  <si>
    <t>墨鱼精碎片</t>
  </si>
  <si>
    <t>黑熊精碎片</t>
  </si>
  <si>
    <t>head_erlangshen</t>
  </si>
  <si>
    <t>head_tieshangongzhu</t>
  </si>
  <si>
    <t>head_honghaier</t>
  </si>
  <si>
    <t>head_niumowang</t>
  </si>
  <si>
    <t>head_hulidaxian</t>
  </si>
  <si>
    <t>head_bailonggongzhu</t>
  </si>
  <si>
    <t>head_moyujing</t>
  </si>
  <si>
    <t>head_yuhuangdadi</t>
  </si>
  <si>
    <t>head_dizangwang</t>
  </si>
  <si>
    <t>head_hunshimowang</t>
  </si>
  <si>
    <t>head_jinghelongwang</t>
  </si>
  <si>
    <t>head_jinqianbaowang</t>
  </si>
  <si>
    <t>head_heixiongjing</t>
  </si>
  <si>
    <t>daoju_jinli</t>
    <phoneticPr fontId="1" type="noConversion"/>
  </si>
  <si>
    <t>jinjieshi</t>
    <phoneticPr fontId="1" type="noConversion"/>
  </si>
  <si>
    <t>head_sunwukong</t>
  </si>
  <si>
    <t>head_nezha</t>
  </si>
  <si>
    <t>head_yanglidaxian</t>
  </si>
  <si>
    <t>head_lulidaxian</t>
  </si>
  <si>
    <t>head_baigufuren</t>
  </si>
  <si>
    <t>head_hundun</t>
  </si>
  <si>
    <t>head_xiaobailong</t>
  </si>
  <si>
    <t>head_change</t>
  </si>
  <si>
    <t>head_xiezijing</t>
  </si>
  <si>
    <t>head_leigong</t>
  </si>
  <si>
    <t>head_donghailongwang</t>
  </si>
  <si>
    <t>head_zhizhujing</t>
  </si>
  <si>
    <t>head_yumianfuren</t>
  </si>
  <si>
    <t>灵石</t>
    <phoneticPr fontId="1" type="noConversion"/>
  </si>
  <si>
    <t>用于变身修炼</t>
    <phoneticPr fontId="1" type="noConversion"/>
  </si>
  <si>
    <t>type</t>
    <phoneticPr fontId="1" type="noConversion"/>
  </si>
  <si>
    <t>12</t>
    <phoneticPr fontId="1" type="noConversion"/>
  </si>
  <si>
    <t>[]</t>
    <phoneticPr fontId="1" type="noConversion"/>
  </si>
  <si>
    <t>觉醒合成时金币消耗                         [整数]</t>
    <phoneticPr fontId="1" type="noConversion"/>
  </si>
  <si>
    <t>juexinghecheng</t>
    <phoneticPr fontId="1" type="noConversion"/>
  </si>
  <si>
    <t>jinbi</t>
    <phoneticPr fontId="1" type="noConversion"/>
  </si>
  <si>
    <t>在角色觉醒时使用</t>
    <phoneticPr fontId="1" type="noConversion"/>
  </si>
  <si>
    <t>初级涅槃攻击结晶</t>
    <phoneticPr fontId="2" type="noConversion"/>
  </si>
  <si>
    <t>8|500</t>
    <phoneticPr fontId="1" type="noConversion"/>
  </si>
  <si>
    <t>初级涅槃防御结晶</t>
    <phoneticPr fontId="2" type="noConversion"/>
  </si>
  <si>
    <t>初级涅槃生命结晶</t>
    <phoneticPr fontId="2" type="noConversion"/>
  </si>
  <si>
    <t>8|500</t>
  </si>
  <si>
    <t>仙晶</t>
    <phoneticPr fontId="1" type="noConversion"/>
  </si>
  <si>
    <t>用于伙伴涅槃</t>
    <phoneticPr fontId="1" type="noConversion"/>
  </si>
  <si>
    <t>8</t>
    <phoneticPr fontId="1" type="noConversion"/>
  </si>
  <si>
    <t>chujigongjijiejing</t>
  </si>
  <si>
    <t>chujifangyujiejing</t>
  </si>
  <si>
    <t>chujishengmingjiejing</t>
  </si>
  <si>
    <t>gaojigongjijiejing</t>
  </si>
  <si>
    <t>gaojifangyujiejing</t>
  </si>
  <si>
    <t>gaojishengmingjiejing</t>
  </si>
  <si>
    <t>4</t>
  </si>
  <si>
    <t>3</t>
  </si>
  <si>
    <t>head_wangmuniangniang</t>
  </si>
  <si>
    <t>太白金星碎片</t>
  </si>
  <si>
    <t>head_taibaijinxing</t>
  </si>
  <si>
    <t>赤脚大仙碎片</t>
  </si>
  <si>
    <t>head_chijiaodaxian</t>
  </si>
  <si>
    <t>head_tuotatianwang</t>
  </si>
  <si>
    <t>九天玄女碎片</t>
  </si>
  <si>
    <t>head_jiutianxuannv</t>
  </si>
  <si>
    <t>head_liuermihou</t>
  </si>
  <si>
    <t>head_zhubajie</t>
  </si>
  <si>
    <t>head_zixiaxianzi</t>
  </si>
  <si>
    <t>head_tangsanzang</t>
  </si>
  <si>
    <t>head_shaheshang</t>
  </si>
  <si>
    <t>迦叶碎片</t>
  </si>
  <si>
    <t>head_jiaye</t>
  </si>
  <si>
    <t>文殊菩萨碎片</t>
  </si>
  <si>
    <t>head_wenshupusa</t>
  </si>
  <si>
    <t>弥勒佛碎片</t>
  </si>
  <si>
    <t>head_milefo</t>
  </si>
  <si>
    <t>蜘蛛精碎片</t>
  </si>
  <si>
    <t>2</t>
  </si>
  <si>
    <t>jingying_hujia</t>
  </si>
  <si>
    <t>jingying_wuqi</t>
  </si>
  <si>
    <t>jingying_toukui</t>
  </si>
  <si>
    <t>jingying_yaodai</t>
  </si>
  <si>
    <t>6</t>
  </si>
  <si>
    <t>lansezhuangbeisuipianbaoxiang</t>
    <phoneticPr fontId="1" type="noConversion"/>
  </si>
  <si>
    <t>chengsefabaosuipianbaoxiang</t>
    <phoneticPr fontId="1" type="noConversion"/>
  </si>
  <si>
    <t>2|2022</t>
  </si>
  <si>
    <t>2|2023</t>
  </si>
  <si>
    <t>2|2024</t>
  </si>
  <si>
    <t>2|2025</t>
  </si>
  <si>
    <t>2|2026</t>
  </si>
  <si>
    <t>2|2027</t>
  </si>
  <si>
    <t>2|2028</t>
  </si>
  <si>
    <t>2|2041</t>
  </si>
  <si>
    <t>2|2042</t>
  </si>
  <si>
    <t>2|2043</t>
  </si>
  <si>
    <t>2|2044</t>
  </si>
  <si>
    <t>2|2045</t>
  </si>
  <si>
    <t>2|2046</t>
  </si>
  <si>
    <t>2|2047</t>
  </si>
  <si>
    <t>2|2048</t>
  </si>
  <si>
    <t>2|2061</t>
  </si>
  <si>
    <t>2|2062</t>
  </si>
  <si>
    <t>2|2063</t>
  </si>
  <si>
    <t>2|2064</t>
  </si>
  <si>
    <t>2|2065</t>
  </si>
  <si>
    <t>2|2066</t>
  </si>
  <si>
    <t>2|2067</t>
  </si>
  <si>
    <t>2|2068</t>
  </si>
  <si>
    <t>2|2069</t>
  </si>
  <si>
    <t>2|2070</t>
  </si>
  <si>
    <t>2|2071</t>
  </si>
  <si>
    <t>2|2072</t>
  </si>
  <si>
    <t>1|1101</t>
  </si>
  <si>
    <t>1|1102</t>
  </si>
  <si>
    <t>1|1103</t>
  </si>
  <si>
    <t>1|1104</t>
  </si>
  <si>
    <t>1|1105</t>
  </si>
  <si>
    <t>1|1106</t>
  </si>
  <si>
    <t>1|1107</t>
  </si>
  <si>
    <t>1|1108</t>
  </si>
  <si>
    <t>1|1109</t>
  </si>
  <si>
    <t>1|1110</t>
  </si>
  <si>
    <t>1|1111</t>
  </si>
  <si>
    <t>1|1112</t>
  </si>
  <si>
    <t>1|1113</t>
  </si>
  <si>
    <t>1|1114</t>
  </si>
  <si>
    <t>1|1115</t>
  </si>
  <si>
    <t>1|1116</t>
  </si>
  <si>
    <t>1|1117</t>
  </si>
  <si>
    <t>1|1118</t>
  </si>
  <si>
    <t>1|1119</t>
  </si>
  <si>
    <t>1|1120</t>
  </si>
  <si>
    <t>1|1121</t>
  </si>
  <si>
    <t>1|1122</t>
  </si>
  <si>
    <t>1|1123</t>
  </si>
  <si>
    <t>1|1124</t>
  </si>
  <si>
    <t>1|1125</t>
  </si>
  <si>
    <t>1|1126</t>
  </si>
  <si>
    <t>1|1127</t>
  </si>
  <si>
    <t>1|1128</t>
  </si>
  <si>
    <t>1|1130</t>
  </si>
  <si>
    <t>1|1131</t>
  </si>
  <si>
    <t>1|1132</t>
  </si>
  <si>
    <t>1|1133</t>
  </si>
  <si>
    <t>1|1134</t>
  </si>
  <si>
    <t>1|1135</t>
  </si>
  <si>
    <t>1|1136</t>
  </si>
  <si>
    <t>1|1137</t>
  </si>
  <si>
    <t>1|1138</t>
  </si>
  <si>
    <t>1|1139</t>
  </si>
  <si>
    <t>1|1140</t>
  </si>
  <si>
    <t>1|1141</t>
  </si>
  <si>
    <t>1|1142</t>
  </si>
  <si>
    <t>1|1143</t>
  </si>
  <si>
    <t>1|1146</t>
  </si>
  <si>
    <t>1|1147</t>
  </si>
  <si>
    <t>1|1148</t>
  </si>
  <si>
    <t>1|1152</t>
  </si>
  <si>
    <t>1|1153</t>
  </si>
  <si>
    <t>1|1154</t>
  </si>
  <si>
    <t>1|1155</t>
  </si>
  <si>
    <t>1|1156</t>
  </si>
  <si>
    <t>1|1157</t>
  </si>
  <si>
    <t>1|1158</t>
  </si>
  <si>
    <t>1|1159</t>
  </si>
  <si>
    <t>1|1162</t>
  </si>
  <si>
    <t>1|1163</t>
  </si>
  <si>
    <t>3|3001</t>
    <phoneticPr fontId="1" type="noConversion"/>
  </si>
  <si>
    <t>3|3002</t>
    <phoneticPr fontId="1" type="noConversion"/>
  </si>
  <si>
    <t>3|3005</t>
    <phoneticPr fontId="1" type="noConversion"/>
  </si>
  <si>
    <t>3|3006</t>
    <phoneticPr fontId="1" type="noConversion"/>
  </si>
  <si>
    <t>3|3011</t>
    <phoneticPr fontId="1" type="noConversion"/>
  </si>
  <si>
    <t>3|3012</t>
    <phoneticPr fontId="1" type="noConversion"/>
  </si>
  <si>
    <t>鎏金点翠碎片1</t>
  </si>
  <si>
    <t>鎏金点翠碎片2</t>
  </si>
  <si>
    <t>鎏金点翠碎片3</t>
  </si>
  <si>
    <t>鎏金点翠碎片4</t>
  </si>
  <si>
    <t>鎏金点翠碎片5</t>
  </si>
  <si>
    <t>紫金曼陀碎片1</t>
  </si>
  <si>
    <t>紫金曼陀碎片2</t>
  </si>
  <si>
    <t>紫金曼陀碎片3</t>
  </si>
  <si>
    <t>紫金曼陀碎片4</t>
  </si>
  <si>
    <t>紫金曼陀碎片5</t>
  </si>
  <si>
    <t>3|4502</t>
    <phoneticPr fontId="1" type="noConversion"/>
  </si>
  <si>
    <t>3|4501</t>
    <phoneticPr fontId="1" type="noConversion"/>
  </si>
  <si>
    <t>3|4503</t>
    <phoneticPr fontId="1" type="noConversion"/>
  </si>
  <si>
    <t>lingshi_lianyinjue</t>
  </si>
  <si>
    <t>lingshi_furongjie</t>
  </si>
  <si>
    <t>lingshi_yiyunpei</t>
  </si>
  <si>
    <t>lingshi_biyueshui</t>
  </si>
  <si>
    <t>lingshi_fengweipei</t>
  </si>
  <si>
    <t>lingshi_yulingrao</t>
  </si>
  <si>
    <t>lingshi_xiangsixue</t>
  </si>
  <si>
    <t>lingshi_youmingyue</t>
  </si>
  <si>
    <t>lingshi_dianxingmang</t>
  </si>
  <si>
    <t>lingshi_jinyuyuan</t>
  </si>
  <si>
    <t>lingshi_bihaiqingtian</t>
  </si>
  <si>
    <t>lingshi_jiuyaoguanghua</t>
  </si>
  <si>
    <t>lingshi_qianfangjiyu</t>
  </si>
  <si>
    <t>lingshi_shilongzhifeng</t>
  </si>
  <si>
    <t>lingshi_liujindiancui</t>
  </si>
  <si>
    <t>lingshi_zijinmantuo</t>
  </si>
  <si>
    <t>8</t>
  </si>
  <si>
    <t>get_module</t>
    <phoneticPr fontId="1" type="noConversion"/>
  </si>
  <si>
    <t>10</t>
  </si>
  <si>
    <t>4,7</t>
    <phoneticPr fontId="1" type="noConversion"/>
  </si>
  <si>
    <t>xunxianling</t>
    <phoneticPr fontId="1" type="noConversion"/>
  </si>
  <si>
    <t>gjxunxianling</t>
    <phoneticPr fontId="1" type="noConversion"/>
  </si>
  <si>
    <t>yuanlingjinshi</t>
    <phoneticPr fontId="1" type="noConversion"/>
  </si>
  <si>
    <t>橙色灵饰碎片1</t>
  </si>
  <si>
    <t>橙色灵饰碎片2</t>
  </si>
  <si>
    <t>橙色灵饰碎片3</t>
  </si>
  <si>
    <t>橙色灵饰碎片4</t>
  </si>
  <si>
    <t>橙色灵饰碎片5</t>
  </si>
  <si>
    <t>50090</t>
    <phoneticPr fontId="1" type="noConversion"/>
  </si>
  <si>
    <t>50091</t>
    <phoneticPr fontId="1" type="noConversion"/>
  </si>
  <si>
    <t>2,8</t>
    <phoneticPr fontId="1" type="noConversion"/>
  </si>
  <si>
    <t>龙帝元神</t>
    <phoneticPr fontId="1" type="noConversion"/>
  </si>
  <si>
    <t>孙悟空元神</t>
    <phoneticPr fontId="1" type="noConversion"/>
  </si>
  <si>
    <t>紫霞仙子元神</t>
    <phoneticPr fontId="1" type="noConversion"/>
  </si>
  <si>
    <t>用于激活龙帝变身术</t>
    <phoneticPr fontId="1" type="noConversion"/>
  </si>
  <si>
    <t>用于激活孙悟空变身术</t>
    <phoneticPr fontId="1" type="noConversion"/>
  </si>
  <si>
    <t>用于激活紫霞仙子变身术</t>
    <phoneticPr fontId="1" type="noConversion"/>
  </si>
  <si>
    <t>head_xiaobailong</t>
    <phoneticPr fontId="1" type="noConversion"/>
  </si>
  <si>
    <t>head_zixiaxianzi</t>
    <phoneticPr fontId="1" type="noConversion"/>
  </si>
  <si>
    <t>哪吒元神</t>
    <phoneticPr fontId="1" type="noConversion"/>
  </si>
  <si>
    <t>用于激活哪吒变身术</t>
    <phoneticPr fontId="1" type="noConversion"/>
  </si>
  <si>
    <t>head_sunwukong</t>
    <phoneticPr fontId="1" type="noConversion"/>
  </si>
  <si>
    <t>head_nezha</t>
    <phoneticPr fontId="1" type="noConversion"/>
  </si>
  <si>
    <t>普通聚仙令</t>
    <phoneticPr fontId="1" type="noConversion"/>
  </si>
  <si>
    <t>可以使用普通聚仙一次</t>
    <phoneticPr fontId="1" type="noConversion"/>
  </si>
  <si>
    <t>高级聚仙令</t>
    <phoneticPr fontId="1" type="noConversion"/>
  </si>
  <si>
    <t>可以使用高级聚仙一次</t>
    <phoneticPr fontId="1" type="noConversion"/>
  </si>
  <si>
    <t>15|10</t>
    <phoneticPr fontId="1" type="noConversion"/>
  </si>
  <si>
    <t>16|50</t>
    <phoneticPr fontId="1" type="noConversion"/>
  </si>
  <si>
    <t>task_vip</t>
    <phoneticPr fontId="1" type="noConversion"/>
  </si>
  <si>
    <t>task_exp</t>
    <phoneticPr fontId="1" type="noConversion"/>
  </si>
  <si>
    <t>50009</t>
    <phoneticPr fontId="1" type="noConversion"/>
  </si>
  <si>
    <t>50010</t>
    <phoneticPr fontId="1" type="noConversion"/>
  </si>
  <si>
    <t>金币</t>
    <phoneticPr fontId="1" type="noConversion"/>
  </si>
  <si>
    <t>jinbi2</t>
    <phoneticPr fontId="1" type="noConversion"/>
  </si>
  <si>
    <t>VIP经验卡</t>
    <phoneticPr fontId="1" type="noConversion"/>
  </si>
  <si>
    <t>玩家经验</t>
    <phoneticPr fontId="1" type="noConversion"/>
  </si>
  <si>
    <t>5</t>
    <phoneticPr fontId="1" type="noConversion"/>
  </si>
  <si>
    <t>50012</t>
    <phoneticPr fontId="1" type="noConversion"/>
  </si>
  <si>
    <t>50011</t>
    <phoneticPr fontId="1" type="noConversion"/>
  </si>
  <si>
    <t>高级涅槃攻击结晶</t>
  </si>
  <si>
    <t>中级涅槃攻击结晶</t>
  </si>
  <si>
    <t>中级涅槃防御结晶</t>
  </si>
  <si>
    <t>中级涅槃生命结晶</t>
  </si>
  <si>
    <t>高级涅槃防御结晶</t>
  </si>
  <si>
    <t>高级涅槃生命结晶</t>
  </si>
  <si>
    <t>极品涅槃攻击结晶</t>
  </si>
  <si>
    <t>极品涅槃防御结晶</t>
  </si>
  <si>
    <t>极品涅槃生命结晶</t>
  </si>
  <si>
    <t>13002|2,13001|1</t>
  </si>
  <si>
    <t>13003|2,13002|1</t>
  </si>
  <si>
    <t>13004|2,13006|1</t>
  </si>
  <si>
    <t>13005|2,13004|1</t>
  </si>
  <si>
    <t>13006|2,13005|1</t>
  </si>
  <si>
    <t>13007|2,13009|1</t>
  </si>
  <si>
    <t>13008|2,13007|1</t>
  </si>
  <si>
    <t>13009|2,13008|1</t>
  </si>
  <si>
    <t>13001|2,13003|1</t>
    <phoneticPr fontId="1" type="noConversion"/>
  </si>
  <si>
    <t>1|84,2|20,3|12</t>
    <phoneticPr fontId="1" type="noConversion"/>
  </si>
  <si>
    <t>3|12,4|12,1|196</t>
    <phoneticPr fontId="1" type="noConversion"/>
  </si>
  <si>
    <t>1|196,2|8,4|12</t>
    <phoneticPr fontId="1" type="noConversion"/>
  </si>
  <si>
    <t>1|126,2|30,3|18</t>
    <phoneticPr fontId="1" type="noConversion"/>
  </si>
  <si>
    <t>3|18,4|18,1|294</t>
    <phoneticPr fontId="1" type="noConversion"/>
  </si>
  <si>
    <t>1|294,2|12,4|18</t>
    <phoneticPr fontId="1" type="noConversion"/>
  </si>
  <si>
    <t>1|168,2|40,3|24</t>
    <phoneticPr fontId="1" type="noConversion"/>
  </si>
  <si>
    <t>3|24,4|24,1|392</t>
    <phoneticPr fontId="1" type="noConversion"/>
  </si>
  <si>
    <t>1|392,2|16,4|24</t>
    <phoneticPr fontId="1" type="noConversion"/>
  </si>
  <si>
    <t>1|232,2|55,3|33</t>
    <phoneticPr fontId="1" type="noConversion"/>
  </si>
  <si>
    <t>3|33,4|33,1|539</t>
    <phoneticPr fontId="1" type="noConversion"/>
  </si>
  <si>
    <t>1|539,2|23,4|33</t>
    <phoneticPr fontId="1" type="noConversion"/>
  </si>
  <si>
    <t>分解（现只用于觉醒道具出售，id为货币ID）[字符串] 
ID|数量</t>
    <phoneticPr fontId="1" type="noConversion"/>
  </si>
  <si>
    <t>保护符(现在没用到)</t>
    <phoneticPr fontId="1" type="noConversion"/>
  </si>
  <si>
    <t>yuntie_hujia</t>
  </si>
  <si>
    <t>yuntie_wuqi</t>
  </si>
  <si>
    <t>yuntie_toukui</t>
  </si>
  <si>
    <t>yuntie_yaodai</t>
  </si>
  <si>
    <t>longlin_hujia</t>
  </si>
  <si>
    <t>longlin_wuqi</t>
  </si>
  <si>
    <t>longlin_toukui</t>
  </si>
  <si>
    <t>longlin_yaodai</t>
  </si>
  <si>
    <t>xiangmo_hujia</t>
  </si>
  <si>
    <t>xiangmo_wuqi</t>
  </si>
  <si>
    <t>xiangmo_toukui</t>
  </si>
  <si>
    <t>xiangmo_yaodai</t>
  </si>
  <si>
    <t>zhuxian_hujia</t>
  </si>
  <si>
    <t>zhuxian_wuqi</t>
  </si>
  <si>
    <t>zhuxian_toukui</t>
  </si>
  <si>
    <t>zhuxian_yaodai</t>
  </si>
  <si>
    <t>狮人-立辉碎片</t>
  </si>
  <si>
    <t>夜叉-金利碎片</t>
  </si>
  <si>
    <t>夜叉-碧涛碎片</t>
  </si>
  <si>
    <t>鲛人-嫦曦碎片</t>
  </si>
  <si>
    <t>鲛人-月婵碎片</t>
  </si>
  <si>
    <t>lingshi_gaojijingyan</t>
  </si>
  <si>
    <t>lingshi_zhongjijingyan</t>
  </si>
  <si>
    <t>lingshi_chujijingyan</t>
  </si>
  <si>
    <t>pojun_hujia</t>
  </si>
  <si>
    <t>pojun_wuqi</t>
  </si>
  <si>
    <t>pojun_toukui</t>
  </si>
  <si>
    <t>pojun_yaodai</t>
  </si>
  <si>
    <t>zhanshen_hujia</t>
  </si>
  <si>
    <t>zhanshen_wuqi</t>
  </si>
  <si>
    <t>zhanshen_toukui</t>
  </si>
  <si>
    <t>zhanshen_yaodai</t>
  </si>
  <si>
    <t>xuanyuan_hujia</t>
  </si>
  <si>
    <t>xuanyuan_wuqi</t>
  </si>
  <si>
    <t>xuanyuan_toukui</t>
  </si>
  <si>
    <t>xuanyuan_yaodai</t>
  </si>
  <si>
    <t>2|2021</t>
  </si>
  <si>
    <t>2|2049</t>
  </si>
  <si>
    <t>2|2050</t>
  </si>
  <si>
    <t>2|2051</t>
  </si>
  <si>
    <t>2|2052</t>
  </si>
  <si>
    <t>玉皇大帝碎片</t>
  </si>
  <si>
    <t>王母娘娘碎片</t>
  </si>
  <si>
    <t>泾河龙王碎片</t>
  </si>
  <si>
    <t>狮人-光启碎片</t>
  </si>
  <si>
    <t>琴仙碎片</t>
  </si>
  <si>
    <t>head_qinxian</t>
  </si>
  <si>
    <t>1|1192</t>
  </si>
  <si>
    <t>1|1201</t>
  </si>
  <si>
    <t>人参娃碎片</t>
  </si>
  <si>
    <t>1|1202</t>
  </si>
  <si>
    <t>1|1203</t>
  </si>
  <si>
    <t>1|1204</t>
  </si>
  <si>
    <t>马面碎片</t>
  </si>
  <si>
    <t>1|1205</t>
  </si>
  <si>
    <t>牛头碎片</t>
  </si>
  <si>
    <t>1|1206</t>
  </si>
  <si>
    <t>幽萤魂碎片</t>
  </si>
  <si>
    <t>1|1207</t>
  </si>
  <si>
    <t>蝶妖碎片</t>
  </si>
  <si>
    <t>head_dieyao</t>
  </si>
  <si>
    <t>1|1208</t>
  </si>
  <si>
    <t>斗战胜佛碎片</t>
  </si>
  <si>
    <t>1|1211</t>
  </si>
  <si>
    <t>金蝉子碎片</t>
  </si>
  <si>
    <t>1|1212</t>
  </si>
  <si>
    <t>龙帝碎片</t>
  </si>
  <si>
    <t>1|1213</t>
  </si>
  <si>
    <t>八部天龙碎片</t>
  </si>
  <si>
    <t>1|1214</t>
  </si>
  <si>
    <t>善财童子碎片</t>
  </si>
  <si>
    <t>1|1215</t>
  </si>
  <si>
    <t>女儿国国王碎片</t>
  </si>
  <si>
    <t>1|1216</t>
  </si>
  <si>
    <t>3|4504</t>
    <phoneticPr fontId="1" type="noConversion"/>
  </si>
  <si>
    <t>迎战券</t>
    <phoneticPr fontId="1" type="noConversion"/>
  </si>
  <si>
    <t>使用后增加血战迎战次数</t>
    <phoneticPr fontId="1" type="noConversion"/>
  </si>
  <si>
    <t>星辰碎片</t>
    <phoneticPr fontId="1" type="noConversion"/>
  </si>
  <si>
    <t>17|1</t>
    <phoneticPr fontId="1" type="noConversion"/>
  </si>
  <si>
    <t>绿10级通用1</t>
  </si>
  <si>
    <t>绿10级通用2</t>
  </si>
  <si>
    <t>绿10级武盔1</t>
  </si>
  <si>
    <t>绿10级武盔2</t>
  </si>
  <si>
    <t>绿10级甲鞋1</t>
  </si>
  <si>
    <t>绿10级甲鞋2</t>
  </si>
  <si>
    <t>蓝15级通用1</t>
  </si>
  <si>
    <t>蓝15级通用2</t>
  </si>
  <si>
    <t>蓝15级武盔1</t>
  </si>
  <si>
    <t>蓝15级武盔2</t>
  </si>
  <si>
    <t>蓝15级甲鞋1</t>
  </si>
  <si>
    <t>蓝15级甲鞋2</t>
  </si>
  <si>
    <t>蓝20级通用1</t>
  </si>
  <si>
    <t>蓝20级通用2</t>
  </si>
  <si>
    <t>蓝20级武盔1</t>
  </si>
  <si>
    <t>蓝20级武盔2</t>
  </si>
  <si>
    <t>蓝20级甲鞋1</t>
  </si>
  <si>
    <t>蓝20级甲鞋2</t>
  </si>
  <si>
    <t>紫25级通用1</t>
  </si>
  <si>
    <t>紫25级通用2</t>
  </si>
  <si>
    <t>紫25级武盔1</t>
  </si>
  <si>
    <t>紫25级武盔2</t>
  </si>
  <si>
    <t>紫25级甲鞋1</t>
  </si>
  <si>
    <t>紫25级甲鞋2</t>
  </si>
  <si>
    <t>紫30级通用1</t>
  </si>
  <si>
    <t>紫30级通用2</t>
  </si>
  <si>
    <t>紫30级武盔1</t>
  </si>
  <si>
    <t>紫30级武盔2</t>
  </si>
  <si>
    <t>紫30级甲鞋1</t>
  </si>
  <si>
    <t>紫30级甲鞋2</t>
  </si>
  <si>
    <t>橙35级通用1</t>
  </si>
  <si>
    <t>橙35级通用2</t>
  </si>
  <si>
    <t>橙35级武盔1</t>
  </si>
  <si>
    <t>橙35级武盔2</t>
  </si>
  <si>
    <t>橙35级甲鞋1</t>
  </si>
  <si>
    <t>橙35级甲鞋2</t>
  </si>
  <si>
    <t>橙40级通用1</t>
  </si>
  <si>
    <t>橙40级通用2</t>
  </si>
  <si>
    <t>橙40级武盔1</t>
  </si>
  <si>
    <t>橙40级武盔2</t>
  </si>
  <si>
    <t>橙40级甲鞋1</t>
  </si>
  <si>
    <t>橙40级甲鞋2</t>
  </si>
  <si>
    <t>橙45级通用1</t>
  </si>
  <si>
    <t>橙45级通用2</t>
  </si>
  <si>
    <t>橙45级武盔1</t>
  </si>
  <si>
    <t>橙45级武盔2</t>
  </si>
  <si>
    <t>橙45级甲鞋1</t>
  </si>
  <si>
    <t>橙45级甲鞋2</t>
  </si>
  <si>
    <t>橙50级通用1</t>
  </si>
  <si>
    <t>橙50级通用2</t>
  </si>
  <si>
    <t>橙50级武盔1</t>
  </si>
  <si>
    <t>橙50级武盔2</t>
  </si>
  <si>
    <t>橙50级甲鞋1</t>
  </si>
  <si>
    <t>橙50级甲鞋2</t>
  </si>
  <si>
    <t>绿10级通用1精炼道具</t>
  </si>
  <si>
    <t>绿10级通用2精炼道具</t>
  </si>
  <si>
    <t>绿10级武盔1精炼道具</t>
  </si>
  <si>
    <t>绿10级武盔2精炼道具</t>
  </si>
  <si>
    <t>绿10级甲鞋1精炼道具</t>
  </si>
  <si>
    <t>绿10级甲鞋2精炼道具</t>
  </si>
  <si>
    <t>蓝15级通用1精炼道具</t>
  </si>
  <si>
    <t>蓝15级通用2精炼道具</t>
  </si>
  <si>
    <t>蓝15级武盔1精炼道具</t>
  </si>
  <si>
    <t>蓝15级武盔2精炼道具</t>
  </si>
  <si>
    <t>蓝15级甲鞋1精炼道具</t>
  </si>
  <si>
    <t>蓝15级甲鞋2精炼道具</t>
  </si>
  <si>
    <t>蓝20级通用1精炼道具</t>
  </si>
  <si>
    <t>蓝20级通用2精炼道具</t>
  </si>
  <si>
    <t>蓝20级武盔1精炼道具</t>
  </si>
  <si>
    <t>蓝20级武盔2精炼道具</t>
  </si>
  <si>
    <t>蓝20级甲鞋1精炼道具</t>
  </si>
  <si>
    <t>蓝20级甲鞋2精炼道具</t>
  </si>
  <si>
    <t>紫25级通用1精炼道具</t>
  </si>
  <si>
    <t>紫25级通用2精炼道具</t>
  </si>
  <si>
    <t>紫25级武盔1精炼道具</t>
  </si>
  <si>
    <t>紫25级武盔2精炼道具</t>
  </si>
  <si>
    <t>紫25级甲鞋1精炼道具</t>
  </si>
  <si>
    <t>紫25级甲鞋2精炼道具</t>
  </si>
  <si>
    <t>紫30级通用1精炼道具</t>
  </si>
  <si>
    <t>紫30级通用2精炼道具</t>
  </si>
  <si>
    <t>紫30级武盔1精炼道具</t>
  </si>
  <si>
    <t>紫30级武盔2精炼道具</t>
  </si>
  <si>
    <t>紫30级甲鞋1精炼道具</t>
  </si>
  <si>
    <t>紫30级甲鞋2精炼道具</t>
  </si>
  <si>
    <t>橙35级通用1精炼道具</t>
  </si>
  <si>
    <t>橙35级通用2精炼道具</t>
  </si>
  <si>
    <t>橙35级武盔1精炼道具</t>
  </si>
  <si>
    <t>橙35级武盔2精炼道具</t>
  </si>
  <si>
    <t>橙35级甲鞋1精炼道具</t>
  </si>
  <si>
    <t>橙35级甲鞋2精炼道具</t>
  </si>
  <si>
    <t>橙40级通用1精炼道具</t>
  </si>
  <si>
    <t>橙40级通用2精炼道具</t>
  </si>
  <si>
    <t>橙40级武盔1精炼道具</t>
  </si>
  <si>
    <t>橙40级武盔2精炼道具</t>
  </si>
  <si>
    <t>橙40级甲鞋1精炼道具</t>
  </si>
  <si>
    <t>橙40级甲鞋2精炼道具</t>
  </si>
  <si>
    <t>橙45级通用1精炼道具</t>
  </si>
  <si>
    <t>橙45级通用2精炼道具</t>
  </si>
  <si>
    <t>橙45级武盔1精炼道具</t>
  </si>
  <si>
    <t>橙45级武盔2精炼道具</t>
  </si>
  <si>
    <t>橙45级甲鞋1精炼道具</t>
  </si>
  <si>
    <t>橙45级甲鞋2精炼道具</t>
  </si>
  <si>
    <t>橙50级通用1精炼道具</t>
  </si>
  <si>
    <t>橙50级通用2精炼道具</t>
  </si>
  <si>
    <t>橙50级武盔1精炼道具</t>
  </si>
  <si>
    <t>橙50级武盔2精炼道具</t>
  </si>
  <si>
    <t>橙50级甲鞋1精炼道具</t>
  </si>
  <si>
    <t>橙50级甲鞋2精炼道具</t>
  </si>
  <si>
    <t>4阶蓝+1材料1</t>
    <phoneticPr fontId="1" type="noConversion"/>
  </si>
  <si>
    <t>4阶蓝+1材料2</t>
  </si>
  <si>
    <t>4阶蓝+1材料3</t>
  </si>
  <si>
    <t>4阶蓝+1材料4</t>
  </si>
  <si>
    <t>5阶紫材料1</t>
    <phoneticPr fontId="1" type="noConversion"/>
  </si>
  <si>
    <t>5阶紫材料2</t>
  </si>
  <si>
    <t>5阶紫材料3</t>
  </si>
  <si>
    <t>5阶紫材料4</t>
  </si>
  <si>
    <t>6阶紫+1材料1</t>
    <phoneticPr fontId="1" type="noConversion"/>
  </si>
  <si>
    <t>6阶紫+1材料2</t>
  </si>
  <si>
    <t>6阶紫+1材料3</t>
  </si>
  <si>
    <t>6阶紫+1材料4</t>
  </si>
  <si>
    <t>7阶紫+2材料1</t>
    <phoneticPr fontId="1" type="noConversion"/>
  </si>
  <si>
    <t>7阶紫+2材料2</t>
  </si>
  <si>
    <t>7阶紫+2材料3</t>
  </si>
  <si>
    <t>7阶紫+2材料4</t>
  </si>
  <si>
    <t>8阶橙材料1</t>
    <phoneticPr fontId="1" type="noConversion"/>
  </si>
  <si>
    <t>8阶橙材料2</t>
  </si>
  <si>
    <t>8阶橙材料3</t>
  </si>
  <si>
    <t>8阶橙材料4</t>
  </si>
  <si>
    <t>9阶橙+1材料1</t>
    <phoneticPr fontId="1" type="noConversion"/>
  </si>
  <si>
    <t>9阶橙+1材料2</t>
  </si>
  <si>
    <t>9阶橙+1材料3</t>
  </si>
  <si>
    <t>9阶橙+1材料4</t>
  </si>
  <si>
    <t>10阶橙+2材料1</t>
    <phoneticPr fontId="1" type="noConversion"/>
  </si>
  <si>
    <t>10阶橙+2材料2</t>
  </si>
  <si>
    <t>10阶橙+2材料3</t>
  </si>
  <si>
    <t>10阶橙+2材料4</t>
  </si>
  <si>
    <t>物品ID
[字符串]                               角色碎片10001~11000            装备碎片11001~12000           灵饰碎片12001~13000        涅槃碎片13001~14000               道具14001~15000
精炼16001~16500
主角进阶16501-17000</t>
    <phoneticPr fontId="1" type="noConversion"/>
  </si>
  <si>
    <t>精炼武器道具</t>
  </si>
  <si>
    <t>精炼护甲道具</t>
  </si>
  <si>
    <t>精炼头盔道具</t>
  </si>
  <si>
    <t>精炼鞋道具</t>
  </si>
  <si>
    <t>主角进阶材料4</t>
  </si>
  <si>
    <t>5</t>
  </si>
  <si>
    <t>mohunbaoxiang</t>
  </si>
  <si>
    <t>精炼专有道具</t>
    <phoneticPr fontId="1" type="noConversion"/>
  </si>
  <si>
    <t>70101</t>
    <phoneticPr fontId="1" type="noConversion"/>
  </si>
  <si>
    <t>70111</t>
    <phoneticPr fontId="1" type="noConversion"/>
  </si>
  <si>
    <t>70112</t>
    <phoneticPr fontId="1" type="noConversion"/>
  </si>
  <si>
    <t>普通伙伴进阶箱</t>
    <phoneticPr fontId="1" type="noConversion"/>
  </si>
  <si>
    <t>困难伙伴进阶箱</t>
    <phoneticPr fontId="1" type="noConversion"/>
  </si>
  <si>
    <t>器魂</t>
    <phoneticPr fontId="1" type="noConversion"/>
  </si>
  <si>
    <t>xuantie2</t>
  </si>
  <si>
    <t>2|2029</t>
  </si>
  <si>
    <t>2|2030</t>
  </si>
  <si>
    <t>2|2031</t>
  </si>
  <si>
    <t>2|2032</t>
  </si>
  <si>
    <t>紫色装备碎片宝箱</t>
    <phoneticPr fontId="1" type="noConversion"/>
  </si>
  <si>
    <t>橙色装备碎片宝箱</t>
    <phoneticPr fontId="1" type="noConversion"/>
  </si>
  <si>
    <t>测试装备碎片宝箱</t>
    <phoneticPr fontId="1" type="noConversion"/>
  </si>
  <si>
    <t>杨頔</t>
    <phoneticPr fontId="1" type="noConversion"/>
  </si>
  <si>
    <t>chengsezhuangbeisuipianbaoxiang</t>
    <phoneticPr fontId="1" type="noConversion"/>
  </si>
  <si>
    <t>50001</t>
    <phoneticPr fontId="1" type="noConversion"/>
  </si>
  <si>
    <t>伙伴进阶的材料</t>
    <phoneticPr fontId="1" type="noConversion"/>
  </si>
  <si>
    <t>紫色伙伴碎片宝箱</t>
    <phoneticPr fontId="1" type="noConversion"/>
  </si>
  <si>
    <t>蓝色伙伴碎片宝箱</t>
    <phoneticPr fontId="1" type="noConversion"/>
  </si>
  <si>
    <t>橙色伙伴碎片宝箱</t>
    <phoneticPr fontId="1" type="noConversion"/>
  </si>
  <si>
    <t>极品橙将碎片宝箱</t>
    <phoneticPr fontId="1" type="noConversion"/>
  </si>
  <si>
    <t>主角进阶丹</t>
  </si>
  <si>
    <t>专属装备精炼箱</t>
    <phoneticPr fontId="1" type="noConversion"/>
  </si>
  <si>
    <t>雁虞战甲碎片</t>
  </si>
  <si>
    <t>雁虞长剑碎片</t>
  </si>
  <si>
    <t>雁虞头盔碎片</t>
  </si>
  <si>
    <t>岚影战甲碎片</t>
  </si>
  <si>
    <t>岚影长剑碎片</t>
  </si>
  <si>
    <t>岚影头盔碎片</t>
  </si>
  <si>
    <t>朔雪战甲碎片</t>
  </si>
  <si>
    <t>朔雪长剑碎片</t>
  </si>
  <si>
    <t>朔雪头盔碎片</t>
  </si>
  <si>
    <t>封魂战甲碎片</t>
  </si>
  <si>
    <t>封魂长剑碎片</t>
  </si>
  <si>
    <t>封魂头盔碎片</t>
  </si>
  <si>
    <t>游龙战甲碎片</t>
  </si>
  <si>
    <t>游龙长剑碎片</t>
  </si>
  <si>
    <t>游龙头盔碎片</t>
  </si>
  <si>
    <t>蚩灵战甲碎片</t>
  </si>
  <si>
    <t>蚩灵长剑碎片</t>
  </si>
  <si>
    <t>蚩灵头盔碎片</t>
  </si>
  <si>
    <t>破军战甲碎片</t>
  </si>
  <si>
    <t>破军长剑碎片</t>
  </si>
  <si>
    <t>破军头盔碎片</t>
  </si>
  <si>
    <t>烛天战甲碎片</t>
  </si>
  <si>
    <t>烛天长剑碎片</t>
  </si>
  <si>
    <t>烛天头盔碎片</t>
  </si>
  <si>
    <t>太虚战甲碎片</t>
  </si>
  <si>
    <t>太虚长剑碎片</t>
  </si>
  <si>
    <t>太虚头盔碎片</t>
  </si>
  <si>
    <t>获得装备专属精炼石</t>
    <phoneticPr fontId="1" type="noConversion"/>
  </si>
  <si>
    <t>jiutianjingshi</t>
  </si>
  <si>
    <t>shanggulingyu</t>
  </si>
  <si>
    <t>bailianyunshi</t>
  </si>
  <si>
    <t>feixinglingshi</t>
  </si>
  <si>
    <t>fulingyushi</t>
  </si>
  <si>
    <t>wushenzhenyuan</t>
    <phoneticPr fontId="1" type="noConversion"/>
  </si>
  <si>
    <t>xisuidan</t>
  </si>
  <si>
    <t>yijingdan</t>
  </si>
  <si>
    <t>易经丹</t>
  </si>
  <si>
    <t>洗髓丹</t>
  </si>
  <si>
    <t>武神真元</t>
  </si>
  <si>
    <t>九天晶石</t>
  </si>
  <si>
    <t>百炼陨石</t>
  </si>
  <si>
    <t>附灵玉石</t>
  </si>
  <si>
    <t>飞星灵石</t>
  </si>
  <si>
    <t>主角普通进阶材料</t>
  </si>
  <si>
    <t>主角高级进阶材料</t>
    <phoneticPr fontId="1" type="noConversion"/>
  </si>
  <si>
    <t>武器精炼专属道具</t>
    <phoneticPr fontId="1" type="noConversion"/>
  </si>
  <si>
    <t>腰带精炼专属道具</t>
    <phoneticPr fontId="1" type="noConversion"/>
  </si>
  <si>
    <t>头盔精炼专属道具</t>
    <phoneticPr fontId="1" type="noConversion"/>
  </si>
  <si>
    <t>护甲精炼专属道具</t>
    <phoneticPr fontId="1" type="noConversion"/>
  </si>
  <si>
    <t>11|5000</t>
    <phoneticPr fontId="1" type="noConversion"/>
  </si>
  <si>
    <t>道具获取途径模块ID
[字符串]
1：通天路
2：关卡获取
3：普通商店
4：伙伴商店
5：涅槃商店
6：帮派商店
7：灵台商店
8：装备商店
9：聚仙
10：灵饰抢夺</t>
    <phoneticPr fontId="1" type="noConversion"/>
  </si>
  <si>
    <t>属性|值[字符串组]
1=hp
2=attack
3=defense_p
4=defense_m
5=hit
6=dodge
7=crit
8=uncrit
9=damage_r
10=damage_b
11=rolaexp
12=equiexp
13=体力
14=精力
15=vipexp
16=zhujueexp
17=迎战券|增加数量</t>
    <phoneticPr fontId="1" type="noConversion"/>
  </si>
  <si>
    <t>合成道具ID[字符串]
1=hero|id
2=装备|id
3=灵饰|合成公式ID(不读取合成消耗
1）.调用hero_main里面的
id2）.调用game_equipment里面的
id3）.调用game_fabao里面的id</t>
    <phoneticPr fontId="1" type="noConversion"/>
  </si>
  <si>
    <t>紫色伙伴宝箱</t>
    <phoneticPr fontId="1" type="noConversion"/>
  </si>
  <si>
    <t>橙色伙伴宝箱</t>
    <phoneticPr fontId="1" type="noConversion"/>
  </si>
  <si>
    <t>极品橙色伙伴宝箱</t>
    <phoneticPr fontId="1" type="noConversion"/>
  </si>
  <si>
    <t>中级装备碎片宝箱</t>
    <phoneticPr fontId="1" type="noConversion"/>
  </si>
  <si>
    <t>高级装备碎片宝箱</t>
    <phoneticPr fontId="1" type="noConversion"/>
  </si>
  <si>
    <t>点星芒碎片壹</t>
  </si>
  <si>
    <t>金玉缘碎片壹</t>
  </si>
  <si>
    <t>鎏金点翠碎片壹</t>
  </si>
  <si>
    <t>紫金曼陀碎片壹</t>
  </si>
  <si>
    <t>点星芒碎片贰</t>
  </si>
  <si>
    <t>金玉缘碎片贰</t>
  </si>
  <si>
    <t>鎏金点翠碎片贰</t>
  </si>
  <si>
    <t>紫金曼陀碎片贰</t>
  </si>
  <si>
    <t>超级经验碎片贰</t>
  </si>
  <si>
    <t>点星芒碎片叁</t>
  </si>
  <si>
    <t>金玉缘碎片叁</t>
  </si>
  <si>
    <t>鎏金点翠碎片叁</t>
  </si>
  <si>
    <t>紫金曼陀碎片叁</t>
  </si>
  <si>
    <t>超级经验碎片叁</t>
  </si>
  <si>
    <t>点星芒碎片肆</t>
  </si>
  <si>
    <t>金玉缘碎片肆</t>
  </si>
  <si>
    <t>鎏金点翠碎片肆</t>
  </si>
  <si>
    <t>紫金曼陀碎片肆</t>
  </si>
  <si>
    <t>超级经验碎片肆</t>
  </si>
  <si>
    <t>鎏金点翠碎片伍</t>
  </si>
  <si>
    <t>紫金曼陀碎片伍</t>
  </si>
  <si>
    <t>超级经验碎片伍</t>
  </si>
  <si>
    <t>超级经验碎片陆</t>
  </si>
  <si>
    <t>3阶蓝材料1</t>
    <phoneticPr fontId="1" type="noConversion"/>
  </si>
  <si>
    <t>主角普通进阶材料</t>
    <phoneticPr fontId="1" type="noConversion"/>
  </si>
  <si>
    <t>3阶蓝材料2</t>
    <phoneticPr fontId="1" type="noConversion"/>
  </si>
  <si>
    <t>3阶蓝材料4</t>
    <phoneticPr fontId="1" type="noConversion"/>
  </si>
  <si>
    <t>20</t>
    <phoneticPr fontId="1" type="noConversion"/>
  </si>
  <si>
    <t>40</t>
    <phoneticPr fontId="1" type="noConversion"/>
  </si>
  <si>
    <t>3|3003</t>
    <phoneticPr fontId="1" type="noConversion"/>
  </si>
  <si>
    <t>3|3004</t>
    <phoneticPr fontId="1" type="noConversion"/>
  </si>
  <si>
    <t>3|3007</t>
    <phoneticPr fontId="1" type="noConversion"/>
  </si>
  <si>
    <t>3|3008</t>
    <phoneticPr fontId="1" type="noConversion"/>
  </si>
  <si>
    <t>3|3009</t>
    <phoneticPr fontId="1" type="noConversion"/>
  </si>
  <si>
    <t>3|3013</t>
    <phoneticPr fontId="1" type="noConversion"/>
  </si>
  <si>
    <t>3|3014</t>
    <phoneticPr fontId="1" type="noConversion"/>
  </si>
  <si>
    <t>蓝色经验碎片壹</t>
    <phoneticPr fontId="1" type="noConversion"/>
  </si>
  <si>
    <t>蓝色经验碎片贰</t>
    <phoneticPr fontId="1" type="noConversion"/>
  </si>
  <si>
    <t>蓝色经验碎片叁</t>
    <phoneticPr fontId="1" type="noConversion"/>
  </si>
  <si>
    <t>紫色经验碎片壹</t>
    <phoneticPr fontId="1" type="noConversion"/>
  </si>
  <si>
    <t>紫色经验碎片贰</t>
    <phoneticPr fontId="1" type="noConversion"/>
  </si>
  <si>
    <t>紫色经验碎片叁</t>
    <phoneticPr fontId="1" type="noConversion"/>
  </si>
  <si>
    <t>紫色经验碎片肆</t>
    <phoneticPr fontId="1" type="noConversion"/>
  </si>
  <si>
    <t>橙色经验碎片壹</t>
    <phoneticPr fontId="1" type="noConversion"/>
  </si>
  <si>
    <t>橙色经验碎片贰</t>
    <phoneticPr fontId="1" type="noConversion"/>
  </si>
  <si>
    <t>橙色经验碎片叁</t>
    <phoneticPr fontId="1" type="noConversion"/>
  </si>
  <si>
    <t>橙色经验碎片伍</t>
    <phoneticPr fontId="1" type="noConversion"/>
  </si>
  <si>
    <t>橙色经验碎片肆</t>
    <phoneticPr fontId="1" type="noConversion"/>
  </si>
  <si>
    <t>超级经验碎片壹</t>
    <phoneticPr fontId="1" type="noConversion"/>
  </si>
  <si>
    <t>3|3015</t>
    <phoneticPr fontId="1" type="noConversion"/>
  </si>
  <si>
    <t>3|3016</t>
    <phoneticPr fontId="1" type="noConversion"/>
  </si>
  <si>
    <t>3|3010</t>
    <phoneticPr fontId="1" type="noConversion"/>
  </si>
  <si>
    <t>head_yanluowang</t>
  </si>
  <si>
    <t>head_mamian</t>
  </si>
  <si>
    <t>head_niutou</t>
  </si>
  <si>
    <t>head_youyinghun</t>
  </si>
  <si>
    <t>head_douzhanshengfo</t>
  </si>
  <si>
    <t>head_jinchanzi</t>
  </si>
  <si>
    <t>head_longdi</t>
  </si>
  <si>
    <t>head_babutianlong</t>
  </si>
  <si>
    <t>head_shancaitongzi</t>
  </si>
  <si>
    <t>head_nverguoguowang</t>
  </si>
  <si>
    <t>大闹三界宝箱</t>
    <phoneticPr fontId="1" type="noConversion"/>
  </si>
  <si>
    <t>chengsezhuangbeisuipianbaoxiang</t>
  </si>
  <si>
    <t>3,4</t>
  </si>
  <si>
    <t>金币宝箱</t>
    <phoneticPr fontId="1" type="noConversion"/>
  </si>
  <si>
    <t>lansehuobansuipianbaoxiang</t>
  </si>
  <si>
    <t>lansehuobansuipianbaoxiang</t>
    <phoneticPr fontId="1" type="noConversion"/>
  </si>
  <si>
    <t>50092</t>
  </si>
  <si>
    <t>测试用，开启获得1万钻石</t>
    <phoneticPr fontId="1" type="noConversion"/>
  </si>
  <si>
    <t>金币礼包（测试）</t>
    <phoneticPr fontId="1" type="noConversion"/>
  </si>
  <si>
    <t>钻石礼包（测试）</t>
    <phoneticPr fontId="1" type="noConversion"/>
  </si>
  <si>
    <t>雁虞战靴碎片</t>
  </si>
  <si>
    <t>岚影战靴碎片</t>
  </si>
  <si>
    <t>朔雪战靴碎片</t>
  </si>
  <si>
    <t>封魂战靴碎片</t>
  </si>
  <si>
    <t>游龙战靴碎片</t>
  </si>
  <si>
    <t>蚩灵战靴碎片</t>
  </si>
  <si>
    <t>破军战靴碎片</t>
  </si>
  <si>
    <t>烛天战靴碎片</t>
  </si>
  <si>
    <t>yanyu_hujia</t>
  </si>
  <si>
    <t>lanying_xie</t>
  </si>
  <si>
    <t>shuoxue_hujia</t>
  </si>
  <si>
    <t>shuoxue_wuqi</t>
  </si>
  <si>
    <t>shuoxue_toukui</t>
  </si>
  <si>
    <t>shuoxue_xie</t>
  </si>
  <si>
    <t>yanyu_wuqi</t>
  </si>
  <si>
    <t>yanyu_toukui</t>
  </si>
  <si>
    <t>yanyu_xie</t>
  </si>
  <si>
    <t>lanying_toukui</t>
  </si>
  <si>
    <t>fenghun_hujia</t>
  </si>
  <si>
    <t>fenghun_wuqi</t>
  </si>
  <si>
    <t>fenghun_toukui</t>
  </si>
  <si>
    <t>fenghun_xie</t>
  </si>
  <si>
    <t>youlong_hujia</t>
  </si>
  <si>
    <t>youlong_wuqi</t>
  </si>
  <si>
    <t>youlong_toukui</t>
  </si>
  <si>
    <t>youlong_xie</t>
  </si>
  <si>
    <t>chiling_hujia</t>
  </si>
  <si>
    <t>chiling_wuqi</t>
  </si>
  <si>
    <t>chiling_toukui</t>
  </si>
  <si>
    <t>chiling_xie</t>
  </si>
  <si>
    <t>pojun_xie</t>
  </si>
  <si>
    <t>zhutian_hujia</t>
  </si>
  <si>
    <t>zhutian_wuqi</t>
  </si>
  <si>
    <t>zhutian_toukui</t>
  </si>
  <si>
    <t>zhutian_xie</t>
  </si>
  <si>
    <t>太虚战靴碎片</t>
    <phoneticPr fontId="1" type="noConversion"/>
  </si>
  <si>
    <t>taixu_hujia</t>
    <phoneticPr fontId="1" type="noConversion"/>
  </si>
  <si>
    <t>taixu_wuqi</t>
    <phoneticPr fontId="1" type="noConversion"/>
  </si>
  <si>
    <t>taixu_toukui</t>
    <phoneticPr fontId="1" type="noConversion"/>
  </si>
  <si>
    <t>taixu_xie</t>
    <phoneticPr fontId="1" type="noConversion"/>
  </si>
  <si>
    <t>番天印碎片壹</t>
  </si>
  <si>
    <t>番天印碎片贰</t>
  </si>
  <si>
    <t>番天印碎片叁</t>
  </si>
  <si>
    <t>定风珠碎片壹</t>
  </si>
  <si>
    <t>定风珠碎片贰</t>
  </si>
  <si>
    <t>定风珠碎片叁</t>
  </si>
  <si>
    <t>照妖镜碎片壹</t>
  </si>
  <si>
    <t>照妖镜碎片贰</t>
  </si>
  <si>
    <t>照妖镜碎片叁</t>
  </si>
  <si>
    <t>幌金绳碎片壹</t>
  </si>
  <si>
    <t>幌金绳碎片贰</t>
  </si>
  <si>
    <t>幌金绳碎片叁</t>
  </si>
  <si>
    <t>火尖枪碎片壹</t>
    <phoneticPr fontId="1" type="noConversion"/>
  </si>
  <si>
    <t>火尖枪碎片贰</t>
  </si>
  <si>
    <t>火尖枪碎片叁</t>
  </si>
  <si>
    <t>火尖枪碎片肆</t>
  </si>
  <si>
    <t>芭蕉扇碎片壹</t>
  </si>
  <si>
    <t>芭蕉扇碎片贰</t>
  </si>
  <si>
    <t>芭蕉扇碎片叁</t>
  </si>
  <si>
    <t>芭蕉扇碎片肆</t>
  </si>
  <si>
    <t>风火轮碎片壹</t>
  </si>
  <si>
    <t>风火轮碎片贰</t>
  </si>
  <si>
    <t>风火轮碎片叁</t>
  </si>
  <si>
    <t>风火轮碎片肆</t>
  </si>
  <si>
    <t>混元伞碎片壹</t>
  </si>
  <si>
    <t>混元伞碎片贰</t>
  </si>
  <si>
    <t>混元伞碎片叁</t>
  </si>
  <si>
    <t>混元伞碎片肆</t>
  </si>
  <si>
    <t>九环锡杖碎片壹</t>
    <phoneticPr fontId="1" type="noConversion"/>
  </si>
  <si>
    <t>九环锡杖碎片贰</t>
  </si>
  <si>
    <t>九环锡杖碎片叁</t>
  </si>
  <si>
    <t>九环锡杖碎片肆</t>
  </si>
  <si>
    <t>九环锡杖碎片伍</t>
  </si>
  <si>
    <t>锦襕袈裟碎片壹</t>
  </si>
  <si>
    <t>锦襕袈裟碎片贰</t>
  </si>
  <si>
    <t>锦襕袈裟碎片叁</t>
  </si>
  <si>
    <t>锦襕袈裟碎片肆</t>
  </si>
  <si>
    <t>锦襕袈裟碎片伍</t>
  </si>
  <si>
    <t>紫金铃碎片壹</t>
  </si>
  <si>
    <t>紫金铃碎片贰</t>
  </si>
  <si>
    <t>紫金铃碎片叁</t>
  </si>
  <si>
    <t>紫金铃碎片肆</t>
  </si>
  <si>
    <t>紫金铃碎片伍</t>
  </si>
  <si>
    <t>紫金葫芦碎片壹</t>
  </si>
  <si>
    <t>紫金葫芦碎片贰</t>
  </si>
  <si>
    <t>紫金葫芦碎片叁</t>
  </si>
  <si>
    <t>紫金葫芦碎片肆</t>
  </si>
  <si>
    <t>紫金葫芦碎片伍</t>
  </si>
  <si>
    <t>lanying_hujia</t>
    <phoneticPr fontId="1" type="noConversion"/>
  </si>
  <si>
    <t>4,9,2</t>
  </si>
  <si>
    <t>测试用，开启获得200万金币</t>
    <phoneticPr fontId="1" type="noConversion"/>
  </si>
  <si>
    <t>jinglianzhutie</t>
    <phoneticPr fontId="1" type="noConversion"/>
  </si>
  <si>
    <t>增加伙伴经验5000</t>
    <phoneticPr fontId="1" type="noConversion"/>
  </si>
  <si>
    <t>恢复25点体力</t>
    <phoneticPr fontId="1" type="noConversion"/>
  </si>
  <si>
    <t>用于刷新伙伴商店</t>
    <phoneticPr fontId="1" type="noConversion"/>
  </si>
  <si>
    <t>用于升级伙伴技能</t>
    <phoneticPr fontId="1" type="noConversion"/>
  </si>
  <si>
    <t>角色培养必要材料</t>
    <phoneticPr fontId="1" type="noConversion"/>
  </si>
  <si>
    <t>恢复10点精力</t>
    <phoneticPr fontId="1" type="noConversion"/>
  </si>
  <si>
    <t>用于点亮星宿</t>
    <phoneticPr fontId="1" type="noConversion"/>
  </si>
  <si>
    <t>提供5点装备精炼值</t>
    <phoneticPr fontId="1" type="noConversion"/>
  </si>
  <si>
    <t>提供10点装备精炼值</t>
    <phoneticPr fontId="1" type="noConversion"/>
  </si>
  <si>
    <t>提供25点装备精炼值</t>
    <phoneticPr fontId="1" type="noConversion"/>
  </si>
  <si>
    <t>提供50点装备精炼值</t>
    <phoneticPr fontId="1" type="noConversion"/>
  </si>
  <si>
    <t>打开获得装备精炼道具</t>
    <phoneticPr fontId="1" type="noConversion"/>
  </si>
  <si>
    <t>打开随机获取1-3个蓝品装备碎片</t>
    <phoneticPr fontId="1" type="noConversion"/>
  </si>
  <si>
    <t>打开随机获得1个紫品装备碎片</t>
    <phoneticPr fontId="1" type="noConversion"/>
  </si>
  <si>
    <t>打开随机获得1个橙品装备碎片</t>
    <phoneticPr fontId="1" type="noConversion"/>
  </si>
  <si>
    <t>打开获得蓝品伙伴碎片</t>
    <phoneticPr fontId="1" type="noConversion"/>
  </si>
  <si>
    <t>打开获得紫品伙伴碎片</t>
    <phoneticPr fontId="1" type="noConversion"/>
  </si>
  <si>
    <t>打开获得橙品伙伴碎片</t>
    <phoneticPr fontId="1" type="noConversion"/>
  </si>
  <si>
    <t>打开获得高资质橙品伙伴碎片</t>
    <phoneticPr fontId="1" type="noConversion"/>
  </si>
  <si>
    <t>打开几率获取紫品或蓝品装备碎片</t>
    <phoneticPr fontId="1" type="noConversion"/>
  </si>
  <si>
    <t>打开几率获取橙品装备碎片</t>
    <phoneticPr fontId="1" type="noConversion"/>
  </si>
  <si>
    <t>打开获得10000金币</t>
    <phoneticPr fontId="1" type="noConversion"/>
  </si>
  <si>
    <t>打开获取魔魂</t>
    <phoneticPr fontId="1" type="noConversion"/>
  </si>
  <si>
    <t>打开可以获得10点VIP经验值</t>
    <phoneticPr fontId="1" type="noConversion"/>
  </si>
  <si>
    <t>打开可以获得50点玩家经验值</t>
    <phoneticPr fontId="1" type="noConversion"/>
  </si>
  <si>
    <t>打开随机获得1个紫品伙伴</t>
    <phoneticPr fontId="1" type="noConversion"/>
  </si>
  <si>
    <t>打开随机获得1个13资质橙品伙伴</t>
    <phoneticPr fontId="1" type="noConversion"/>
  </si>
  <si>
    <t>打开随机获得1个16资质橙品伙伴</t>
    <phoneticPr fontId="1" type="noConversion"/>
  </si>
  <si>
    <t>鬼使黑碎片</t>
  </si>
  <si>
    <t>鬼使白碎片</t>
  </si>
  <si>
    <t>head_guishibai</t>
  </si>
  <si>
    <t>head_guishihei</t>
  </si>
  <si>
    <t>20个勇士战甲碎片可合成勇士战甲</t>
  </si>
  <si>
    <t>20个勇士长剑碎片可合成勇士长剑</t>
  </si>
  <si>
    <t>20个勇士头盔碎片可合成勇士头盔</t>
  </si>
  <si>
    <t>20个勇士腰带碎片可合成勇士腰带</t>
  </si>
  <si>
    <t>20个精英战甲碎片可合成精英战甲</t>
  </si>
  <si>
    <t>20个精英长剑碎片可合成精英长剑</t>
  </si>
  <si>
    <t>20个精英头盔碎片可合成精英头盔</t>
  </si>
  <si>
    <t>20个精英腰带碎片可合成精英腰带</t>
  </si>
  <si>
    <t>20个紫金战甲碎片可合成紫金战甲</t>
  </si>
  <si>
    <t>20个紫金长剑碎片可合成紫金长剑</t>
  </si>
  <si>
    <t>20个紫金头盔碎片可合成紫金头盔</t>
  </si>
  <si>
    <t>20个紫金腰带碎片可合成紫金腰带</t>
  </si>
  <si>
    <t>40个诛仙战甲碎片可合成诛仙战甲</t>
  </si>
  <si>
    <t>40个诛仙长剑碎片可合成诛仙长剑</t>
  </si>
  <si>
    <t>40个诛仙头盔碎片可合成诛仙头盔</t>
  </si>
  <si>
    <t>40个诛仙腰带碎片可合成诛仙腰带</t>
  </si>
  <si>
    <t>40个破军战甲碎片可合成破军战甲</t>
  </si>
  <si>
    <t>40个破军长剑碎片可合成破军长剑</t>
  </si>
  <si>
    <t>40个破军头盔碎片可合成破军头盔</t>
  </si>
  <si>
    <t>40个破军腰带碎片可合成破军腰带</t>
  </si>
  <si>
    <t>40个战神战甲碎片可合成战神战甲</t>
  </si>
  <si>
    <t>40个战神长剑碎片可合成战神长剑</t>
  </si>
  <si>
    <t>40个战神头盔碎片可合成战神头盔</t>
  </si>
  <si>
    <t>40个战神腰带碎片可合成战神腰带</t>
  </si>
  <si>
    <t>白无常碎片</t>
  </si>
  <si>
    <t>黑无常碎片</t>
  </si>
  <si>
    <t>head_baiwuchang</t>
  </si>
  <si>
    <t>1|1218</t>
  </si>
  <si>
    <t>head_heiwuchang</t>
  </si>
  <si>
    <t>1|1219</t>
  </si>
  <si>
    <t>挑战令</t>
    <phoneticPr fontId="1" type="noConversion"/>
  </si>
  <si>
    <t>使用后增加梦魇入侵的挑战次数</t>
    <phoneticPr fontId="1" type="noConversion"/>
  </si>
  <si>
    <t>25998</t>
  </si>
  <si>
    <t>突破丹</t>
    <phoneticPr fontId="1" type="noConversion"/>
  </si>
  <si>
    <t>伙伴培养突破的材料</t>
    <phoneticPr fontId="1" type="noConversion"/>
  </si>
  <si>
    <t>装备精炼石</t>
    <phoneticPr fontId="1" type="noConversion"/>
  </si>
  <si>
    <t>装备核心精炼石</t>
    <phoneticPr fontId="1" type="noConversion"/>
  </si>
  <si>
    <t xml:space="preserve">物品品质                     
[整数]
0无品质                          
1.绿色                              
2.蓝色                                   
3.紫色                              
4.橙色                                
5.红色                         </t>
    <phoneticPr fontId="1" type="noConversion"/>
  </si>
  <si>
    <t>刷新符</t>
    <phoneticPr fontId="1" type="noConversion"/>
  </si>
  <si>
    <t>增加伙伴经验500</t>
    <phoneticPr fontId="1" type="noConversion"/>
  </si>
  <si>
    <t>增加伙伴经验2500</t>
    <phoneticPr fontId="1" type="noConversion"/>
  </si>
  <si>
    <t>增加伙伴经验10000</t>
    <phoneticPr fontId="1" type="noConversion"/>
  </si>
  <si>
    <t>11|500</t>
    <phoneticPr fontId="1" type="noConversion"/>
  </si>
  <si>
    <t>11|2500</t>
    <phoneticPr fontId="1" type="noConversion"/>
  </si>
  <si>
    <t>11|10000</t>
    <phoneticPr fontId="1" type="noConversion"/>
  </si>
  <si>
    <t>100</t>
    <phoneticPr fontId="1" type="noConversion"/>
  </si>
  <si>
    <t>500</t>
    <phoneticPr fontId="1" type="noConversion"/>
  </si>
  <si>
    <t>1000</t>
    <phoneticPr fontId="1" type="noConversion"/>
  </si>
  <si>
    <t>2000</t>
    <phoneticPr fontId="1" type="noConversion"/>
  </si>
  <si>
    <t>进阶石</t>
    <phoneticPr fontId="1" type="noConversion"/>
  </si>
  <si>
    <t>核心精炼石</t>
    <phoneticPr fontId="1" type="noConversion"/>
  </si>
  <si>
    <t>蓝色经验法宝</t>
  </si>
  <si>
    <t>紫色经验法宝</t>
  </si>
  <si>
    <t>橙色经验法宝</t>
  </si>
  <si>
    <t>法宝精炼石</t>
  </si>
  <si>
    <t>普通法宝碎片宝箱</t>
  </si>
  <si>
    <t>高级法宝碎片宝箱</t>
  </si>
  <si>
    <t>橙色攻击法宝碎片箱</t>
  </si>
  <si>
    <t>橙色防御法宝碎片箱</t>
  </si>
  <si>
    <t>蓝色法宝碎片箱</t>
  </si>
  <si>
    <t>紫色法宝碎片箱</t>
  </si>
  <si>
    <t>橙色法宝碎片箱</t>
  </si>
  <si>
    <t>蓝色经验法宝碎片箱</t>
  </si>
  <si>
    <t>紫色经验法宝碎片箱</t>
  </si>
  <si>
    <t>橙色经验法宝碎片箱</t>
  </si>
  <si>
    <t>法宝精炼宝箱</t>
  </si>
  <si>
    <t>初级经验药</t>
    <phoneticPr fontId="1" type="noConversion"/>
  </si>
  <si>
    <t>中级经验药</t>
    <phoneticPr fontId="1" type="noConversion"/>
  </si>
  <si>
    <t>高级经验药</t>
    <phoneticPr fontId="1" type="noConversion"/>
  </si>
  <si>
    <t>极品经验药</t>
    <phoneticPr fontId="1" type="noConversion"/>
  </si>
  <si>
    <t>用于合成低级经验法宝</t>
  </si>
  <si>
    <t>用于合成中级经验法宝</t>
  </si>
  <si>
    <t>用于合成高级经验法宝</t>
  </si>
  <si>
    <t>用于合成超级经验法宝</t>
  </si>
  <si>
    <t>提供法宝经验1200</t>
  </si>
  <si>
    <t>提供法宝经验10000</t>
  </si>
  <si>
    <t>提供法宝经验20000</t>
  </si>
  <si>
    <t>法宝碎片保护符</t>
  </si>
  <si>
    <t>法宝精炼必要道具</t>
  </si>
  <si>
    <t>打开随机获取紫品或蓝品法宝碎片</t>
  </si>
  <si>
    <t>打开有几率获得高级法宝碎片</t>
  </si>
  <si>
    <t>打开获得1个橙色攻击法宝碎片</t>
  </si>
  <si>
    <t>打开获得1个橙色防御法宝碎片</t>
  </si>
  <si>
    <t>打开获得1个蓝品法宝碎片</t>
  </si>
  <si>
    <t>打开获得1个紫品法宝碎片</t>
  </si>
  <si>
    <t>打开获得1个橙品法宝碎片</t>
  </si>
  <si>
    <t>打开获得1个蓝品经验法宝碎片</t>
  </si>
  <si>
    <t>打开获得1个紫品经验法宝碎片</t>
  </si>
  <si>
    <t>打开获得1个橙品经验法宝碎片</t>
  </si>
  <si>
    <t>玉兔碎片</t>
  </si>
  <si>
    <t>head_saitaisui</t>
  </si>
  <si>
    <t>head_shiren_guangqi</t>
  </si>
  <si>
    <t>head_shiren_lihui</t>
  </si>
  <si>
    <t>head_shiren_boda</t>
  </si>
  <si>
    <t>head_shiren_liluo</t>
  </si>
  <si>
    <t>head_shiren_anhe</t>
  </si>
  <si>
    <t>head_mangjing_yafu</t>
  </si>
  <si>
    <t>head_mangjing_yina</t>
  </si>
  <si>
    <t>head_huli_youxuan</t>
  </si>
  <si>
    <t>head_huli_ruxue</t>
  </si>
  <si>
    <t>head_huli_ruohuo</t>
  </si>
  <si>
    <t>head_jiaoren_yuechan</t>
  </si>
  <si>
    <t>head_renshenwa</t>
  </si>
  <si>
    <t>head_yecha_jinli</t>
  </si>
  <si>
    <t>head_yecha_bitao</t>
  </si>
  <si>
    <t>神兵强化石</t>
    <phoneticPr fontId="1" type="noConversion"/>
  </si>
  <si>
    <t>神兵精炼石</t>
    <phoneticPr fontId="1" type="noConversion"/>
  </si>
  <si>
    <t>30</t>
    <phoneticPr fontId="1" type="noConversion"/>
  </si>
  <si>
    <t>30个陨铁战甲碎片可合成陨铁战甲</t>
  </si>
  <si>
    <t>30个陨铁长剑碎片可合成陨铁长剑</t>
  </si>
  <si>
    <t>30个陨铁头盔碎片可合成陨铁头盔</t>
  </si>
  <si>
    <t>30个陨铁腰带碎片可合成陨铁腰带</t>
  </si>
  <si>
    <t>30个龙鳞战甲碎片可合成龙鳞战甲</t>
  </si>
  <si>
    <t>30个龙鳞长剑碎片可合成龙鳞长剑</t>
  </si>
  <si>
    <t>30个龙鳞头盔碎片可合成龙鳞头盔</t>
  </si>
  <si>
    <t>30个龙鳞腰带碎片可合成龙鳞腰带</t>
  </si>
  <si>
    <t>30个降魔战甲碎片可合成降魔战甲</t>
  </si>
  <si>
    <t>30个降魔长剑碎片可合成降魔长剑</t>
  </si>
  <si>
    <t>30个降魔头盔碎片可合成降魔头盔</t>
  </si>
  <si>
    <t>30个降魔腰带碎片可合成降魔腰带</t>
  </si>
  <si>
    <t>head_tianjiang</t>
  </si>
  <si>
    <t>蟹将碎片</t>
  </si>
  <si>
    <t>集齐10个蟹将碎片可以合成蟹将</t>
  </si>
  <si>
    <t>狂豹碎片</t>
  </si>
  <si>
    <t>集齐10个狂豹碎片可以合成狂豹</t>
  </si>
  <si>
    <t>护卫碎片</t>
  </si>
  <si>
    <t>集齐10个护卫碎片可以合成护卫</t>
  </si>
  <si>
    <t>龟丞相碎片</t>
  </si>
  <si>
    <t>集齐10个龟丞相碎片可以合成龟丞相</t>
  </si>
  <si>
    <t>炎魔碎片</t>
  </si>
  <si>
    <t>集齐10个炎魔碎片可以合成炎魔</t>
  </si>
  <si>
    <t>天将碎片</t>
  </si>
  <si>
    <t>集齐10个天将碎片可以合成天将</t>
  </si>
  <si>
    <t>九头虫碎片</t>
  </si>
  <si>
    <t>镇元大仙碎片</t>
  </si>
  <si>
    <t>如来佛祖碎片</t>
  </si>
  <si>
    <t>孔雀大明王碎片</t>
  </si>
  <si>
    <t>观世音碎片</t>
  </si>
  <si>
    <t>观世阴碎片</t>
  </si>
  <si>
    <t>扇子精碎片</t>
  </si>
  <si>
    <t>太上老君碎片</t>
  </si>
  <si>
    <t>head_xiejiang</t>
  </si>
  <si>
    <t>head_kuangbao</t>
  </si>
  <si>
    <t>head_huwei</t>
  </si>
  <si>
    <t>head_guichengxiang</t>
  </si>
  <si>
    <t>head_yanmo</t>
  </si>
  <si>
    <t>head_kongquedamingwang</t>
  </si>
  <si>
    <t>集齐100个九头虫碎片可以合成九头虫</t>
  </si>
  <si>
    <t>集齐100个镇元大仙碎片可以合成镇元大仙</t>
  </si>
  <si>
    <t>集齐100个如来佛祖碎片可以合成如来佛祖</t>
  </si>
  <si>
    <t>集齐100个孔雀大明王碎片可以合成孔雀大明王</t>
  </si>
  <si>
    <t>集齐100个观世音碎片可以合成观世音</t>
  </si>
  <si>
    <t>集齐100个观世阴碎片可以合成观世阴</t>
  </si>
  <si>
    <t>集齐100个太上老君碎片可以合成太上老君</t>
  </si>
  <si>
    <t>lanying_wuqi</t>
    <phoneticPr fontId="1" type="noConversion"/>
  </si>
  <si>
    <t>1|1504</t>
  </si>
  <si>
    <t>1|1505</t>
  </si>
  <si>
    <t>1|1506</t>
  </si>
  <si>
    <t>1|1507</t>
  </si>
  <si>
    <t>1|1508</t>
  </si>
  <si>
    <t>1|1220</t>
  </si>
  <si>
    <t>1|1221</t>
  </si>
  <si>
    <t>1|1222</t>
  </si>
  <si>
    <t>1|1223</t>
  </si>
  <si>
    <t>1|1224</t>
  </si>
  <si>
    <t>1|1225</t>
  </si>
  <si>
    <t>1|1226</t>
  </si>
  <si>
    <t>1|1227</t>
  </si>
  <si>
    <t>4,9,2</t>
    <phoneticPr fontId="1" type="noConversion"/>
  </si>
  <si>
    <t>二郎神碎片</t>
  </si>
  <si>
    <t>集齐100个二郎神碎片可以合成二郎神</t>
  </si>
  <si>
    <t>集齐100个哪吒碎片可以合成哪吒</t>
  </si>
  <si>
    <t>集齐100个嫦娥碎片可以合成嫦娥</t>
  </si>
  <si>
    <t>集齐80个玉皇大帝碎片可以合成玉皇大帝</t>
  </si>
  <si>
    <t>集齐100个王母娘娘碎片可以合成王母娘娘</t>
  </si>
  <si>
    <t>集齐80个太白金星碎片可以合成太白金星</t>
  </si>
  <si>
    <t>集齐40个赤脚大仙碎片可以合成赤脚大仙</t>
  </si>
  <si>
    <t>集齐100个托塔天王碎片可以合成托塔天王</t>
  </si>
  <si>
    <t>集齐100个九天玄女碎片可以合成九天玄女</t>
  </si>
  <si>
    <t>集齐80个红孩儿碎片可以合成红孩儿</t>
  </si>
  <si>
    <t>集齐100个铁扇公主碎片可以合成铁扇公主</t>
  </si>
  <si>
    <t>集齐100个牛魔王碎片可以合成牛魔王</t>
  </si>
  <si>
    <t>集齐100个虎力大仙碎片可以合成虎力大仙</t>
  </si>
  <si>
    <t>集齐80个鹿力大仙碎片可以合成鹿力大仙</t>
  </si>
  <si>
    <t>集齐80个羊力大仙碎片可以合成羊力大仙</t>
  </si>
  <si>
    <t>集齐100个白骨夫人碎片可以合成白骨夫人</t>
  </si>
  <si>
    <t>集齐80个六耳猕猴碎片可以合成六耳猕猴</t>
  </si>
  <si>
    <t>集齐40个混沌碎片可以合成混沌</t>
  </si>
  <si>
    <t>孙悟空碎片</t>
  </si>
  <si>
    <t>集齐100个孙悟空碎片可以合成孙悟空</t>
  </si>
  <si>
    <t>集齐100个猪八戒碎片可以合成猪八戒</t>
  </si>
  <si>
    <t>集齐100个紫霞仙子碎片可以合成紫霞仙子</t>
  </si>
  <si>
    <t>集齐80个唐三藏碎片可以合成唐三藏</t>
  </si>
  <si>
    <t>集齐80个小白龙碎片可以合成小白龙</t>
  </si>
  <si>
    <t>集齐100个沙和尚碎片可以合成沙和尚</t>
  </si>
  <si>
    <t>集齐80个迦叶碎片可以合成迦叶</t>
  </si>
  <si>
    <t>集齐100个文殊菩萨碎片可以合成文殊菩萨</t>
  </si>
  <si>
    <t>集齐100个弥勒佛碎片可以合成弥勒佛</t>
  </si>
  <si>
    <t>集齐40个赛太岁碎片可以合成赛太岁</t>
  </si>
  <si>
    <t>集齐40个地藏王碎片可以合成地藏王</t>
  </si>
  <si>
    <t>集齐80个蝎子精碎片可以合成蝎子精</t>
  </si>
  <si>
    <t>集齐80个混世魔王碎片可以合成混世魔王</t>
  </si>
  <si>
    <t>集齐40个雷公碎片可以合成雷公</t>
  </si>
  <si>
    <t>集齐40个泾河龙王碎片可以合成泾河龙王</t>
  </si>
  <si>
    <t>集齐80个东海龙王碎片可以合成东海龙王</t>
  </si>
  <si>
    <t>集齐40个白龙公主碎片可以合成白龙公主</t>
  </si>
  <si>
    <t>集齐80个蜘蛛精碎片可以合成蜘蛛精</t>
  </si>
  <si>
    <t>集齐40个玉面夫人碎片可以合成玉面夫人</t>
  </si>
  <si>
    <t>集齐40个金钱豹王碎片可以合成金钱豹王</t>
  </si>
  <si>
    <t>集齐40个墨鱼精碎片可以合成墨鱼精</t>
  </si>
  <si>
    <t>集齐40个玉兔碎片可以合成玉兔</t>
  </si>
  <si>
    <t>head_yutu</t>
  </si>
  <si>
    <t>集齐10个狮人-光启碎片可以合成狮人-光启</t>
  </si>
  <si>
    <t>集齐10个狮人-立辉碎片可以合成狮人-立辉</t>
  </si>
  <si>
    <t>石人-博达碎片</t>
  </si>
  <si>
    <t>集齐10个石人-博达碎片可以合成石人-博达</t>
  </si>
  <si>
    <t>石人-离落碎片</t>
  </si>
  <si>
    <t>集齐10个石人-离落碎片可以合成石人-离落</t>
  </si>
  <si>
    <t>石人-安和碎片</t>
  </si>
  <si>
    <t>集齐10个石人-安和碎片可以合成石人-安和</t>
  </si>
  <si>
    <t>集齐10个黑熊精碎片可以合成黑熊精</t>
  </si>
  <si>
    <t>集齐5个夜叉-金利碎片可以合成夜叉-金利</t>
  </si>
  <si>
    <t>集齐5个夜叉-碧涛碎片可以合成夜叉-碧涛</t>
  </si>
  <si>
    <t>蟒精-雅芙碎片</t>
  </si>
  <si>
    <t>集齐10个蟒精-雅芙碎片可以合成蟒精-雅芙</t>
  </si>
  <si>
    <t>蟒精-依娜碎片</t>
  </si>
  <si>
    <t>集齐10个蟒精-依娜碎片可以合成蟒精-依娜</t>
  </si>
  <si>
    <t>狐狸-优璇碎片</t>
  </si>
  <si>
    <t>集齐10个狐狸-优璇碎片可以合成狐狸-优璇</t>
  </si>
  <si>
    <t>狐狸-茹雪碎片</t>
  </si>
  <si>
    <t>集齐10个狐狸-茹雪碎片可以合成狐狸-茹雪</t>
  </si>
  <si>
    <t>狐狸-若火碎片</t>
  </si>
  <si>
    <t>集齐10个狐狸-若火碎片可以合成狐狸-若火</t>
  </si>
  <si>
    <t>集齐10个鲛人-嫦曦碎片可以合成鲛人-嫦曦</t>
  </si>
  <si>
    <t>集齐10个鲛人-月婵碎片可以合成鲛人-月婵</t>
  </si>
  <si>
    <t>天兵-金斌碎片</t>
  </si>
  <si>
    <t>集齐5个天兵-金斌碎片可以合成天兵-金斌</t>
  </si>
  <si>
    <t>head_tianbing_jinbing</t>
  </si>
  <si>
    <t>天兵-政仲碎片</t>
  </si>
  <si>
    <t>集齐5个天兵-政仲碎片可以合成天兵-政仲</t>
  </si>
  <si>
    <t>head_tianbing_zhengzhong</t>
  </si>
  <si>
    <t>天兵-火夕碎片</t>
  </si>
  <si>
    <t>集齐5个天兵-火夕碎片可以合成天兵-火夕</t>
  </si>
  <si>
    <t>head_tianbing_huoxi</t>
  </si>
  <si>
    <t>狼人-霍金碎片</t>
  </si>
  <si>
    <t>集齐5个狼人-霍金碎片可以合成狼人-霍金</t>
  </si>
  <si>
    <t>head_langren_huojing</t>
  </si>
  <si>
    <t>狼人-霍文碎片</t>
  </si>
  <si>
    <t>集齐5个狼人-霍文碎片可以合成狼人-霍文</t>
  </si>
  <si>
    <t>head_langren_huowen</t>
  </si>
  <si>
    <t>狼人-霍达碎片</t>
  </si>
  <si>
    <t>集齐5个狼人-霍达碎片可以合成狼人-霍达</t>
  </si>
  <si>
    <t>head_langren_huoda</t>
  </si>
  <si>
    <t>狼人-霍格碎片</t>
  </si>
  <si>
    <t>集齐5个狼人-霍格碎片可以合成狼人-霍格</t>
  </si>
  <si>
    <t>head_langren_huoge</t>
  </si>
  <si>
    <t>狼人-霍武碎片</t>
  </si>
  <si>
    <t>集齐5个狼人-霍武碎片可以合成狼人-霍武</t>
  </si>
  <si>
    <t>head_langren_huowu</t>
  </si>
  <si>
    <t>骷髅-德明碎片</t>
  </si>
  <si>
    <t>集齐5个骷髅-德明碎片可以合成骷髅-德明</t>
  </si>
  <si>
    <t>head_kulou_deming</t>
  </si>
  <si>
    <t>骷髅-奇伟碎片</t>
  </si>
  <si>
    <t>集齐5个骷髅-奇伟碎片可以合成骷髅-奇伟</t>
  </si>
  <si>
    <t>head_kulou_qiwei</t>
  </si>
  <si>
    <t>骷髅-德元碎片</t>
  </si>
  <si>
    <t>集齐5个骷髅-德元碎片可以合成骷髅-德元</t>
  </si>
  <si>
    <t>head_kulou_deyuan</t>
  </si>
  <si>
    <t>骷髅-彭泽碎片</t>
  </si>
  <si>
    <t>集齐5个骷髅-彭泽碎片可以合成骷髅-彭泽</t>
  </si>
  <si>
    <t>head_kulou_pengze</t>
  </si>
  <si>
    <t>蜘蛛-元瑶碎片</t>
  </si>
  <si>
    <t>集齐5个蜘蛛-元瑶碎片可以合成蜘蛛-元瑶</t>
  </si>
  <si>
    <t>head_zhizhu_yuanyao</t>
  </si>
  <si>
    <t>蜘蛛-怜寒碎片</t>
  </si>
  <si>
    <t>集齐5个蜘蛛-怜寒碎片可以合成蜘蛛-怜寒</t>
  </si>
  <si>
    <t>head_zhizhu_lianhan</t>
  </si>
  <si>
    <t>蜘蛛-盼香碎片</t>
  </si>
  <si>
    <t>集齐5个蜘蛛-盼香碎片可以合成蜘蛛-盼香</t>
  </si>
  <si>
    <t>head_zhizhu_panxiang</t>
  </si>
  <si>
    <t>女鬼-歆瑶碎片</t>
  </si>
  <si>
    <t>集齐5个女鬼-歆瑶碎片可以合成女鬼-歆瑶</t>
  </si>
  <si>
    <t>head_nvgui_xinyao</t>
  </si>
  <si>
    <t>女鬼-桑榆碎片</t>
  </si>
  <si>
    <t>集齐5个女鬼-桑榆碎片可以合成女鬼-桑榆</t>
  </si>
  <si>
    <t>head_nvgui_sangyu</t>
  </si>
  <si>
    <t>女鬼-语嫣碎片</t>
  </si>
  <si>
    <t>集齐5个女鬼-语嫣碎片可以合成女鬼-语嫣</t>
  </si>
  <si>
    <t>head_nvgui_yuyan</t>
  </si>
  <si>
    <t>女鬼-凌菲碎片</t>
  </si>
  <si>
    <t>集齐5个女鬼-凌菲碎片可以合成女鬼-凌菲</t>
  </si>
  <si>
    <t>head_nvgui_lingfei</t>
  </si>
  <si>
    <t>集齐10个琴仙碎片可以合成琴仙</t>
  </si>
  <si>
    <t>猴兵碎片</t>
  </si>
  <si>
    <t>集齐5个猴兵碎片可以合成猴兵</t>
  </si>
  <si>
    <t>head_houbing</t>
  </si>
  <si>
    <t>山贼碎片</t>
  </si>
  <si>
    <t>集齐5个山贼碎片可以合成山贼</t>
  </si>
  <si>
    <t>head_shanzei</t>
  </si>
  <si>
    <t>集齐80个阎罗王碎片可以合成阎罗王</t>
  </si>
  <si>
    <t>集齐80个人参娃碎片可以合成人参娃</t>
  </si>
  <si>
    <t>集齐40个鬼使黑碎片可以合成鬼使黑</t>
  </si>
  <si>
    <t>集齐40个鬼使白碎片可以合成鬼使白</t>
  </si>
  <si>
    <t>集齐40个马面碎片可以合成马面</t>
  </si>
  <si>
    <t>集齐40个牛头碎片可以合成牛头</t>
  </si>
  <si>
    <t>集齐80个幽萤魂碎片可以合成幽萤魂</t>
  </si>
  <si>
    <t>集齐80个蝶妖碎片可以合成蝶妖</t>
  </si>
  <si>
    <t>集齐100个斗战胜佛碎片可以合成斗战胜佛</t>
  </si>
  <si>
    <t>集齐100个金蝉子碎片可以合成金蝉子</t>
  </si>
  <si>
    <t>集齐100个龙帝碎片可以合成龙帝</t>
  </si>
  <si>
    <t>集齐100个八部天龙碎片可以合成八部天龙</t>
  </si>
  <si>
    <t>集齐100个善财童子碎片可以合成善财童子</t>
  </si>
  <si>
    <t>集齐80个女儿国国王碎片可以合成女儿国国王</t>
  </si>
  <si>
    <t>虾兵碎片</t>
  </si>
  <si>
    <t>集齐5个虾兵碎片可以合成虾兵</t>
  </si>
  <si>
    <t>head_xiabing</t>
  </si>
  <si>
    <t>集齐100个白无常碎片可以合成白无常</t>
  </si>
  <si>
    <t>集齐100个黑无常碎片可以合成黑无常</t>
  </si>
  <si>
    <t>集齐40个扇子精碎片可以合成扇子精</t>
  </si>
  <si>
    <t>head_shanzijing</t>
  </si>
  <si>
    <t>侍女碎片</t>
  </si>
  <si>
    <t>集齐5个侍女碎片可以合成侍女</t>
  </si>
  <si>
    <t>head_shinv</t>
  </si>
  <si>
    <t>强盗碎片</t>
  </si>
  <si>
    <t>集齐5个强盗碎片可以合成强盗</t>
  </si>
  <si>
    <t>head_qiangdao</t>
  </si>
  <si>
    <t>野猪怪碎片</t>
  </si>
  <si>
    <t>集齐5个野猪怪碎片可以合成野猪怪</t>
  </si>
  <si>
    <t>head_yezhuguai</t>
  </si>
  <si>
    <t>1|1164</t>
  </si>
  <si>
    <t>1|1165</t>
  </si>
  <si>
    <t>1|1166</t>
  </si>
  <si>
    <t>1|1167</t>
  </si>
  <si>
    <t>1|1168</t>
  </si>
  <si>
    <t>1|1169</t>
  </si>
  <si>
    <t>1|1170</t>
  </si>
  <si>
    <t>1|1171</t>
  </si>
  <si>
    <t>1|1176</t>
  </si>
  <si>
    <t>1|1177</t>
  </si>
  <si>
    <t>1|1178</t>
  </si>
  <si>
    <t>1|1179</t>
  </si>
  <si>
    <t>1|1180</t>
  </si>
  <si>
    <t>1|1181</t>
  </si>
  <si>
    <t>1|1182</t>
  </si>
  <si>
    <t>1|1185</t>
  </si>
  <si>
    <t>1|1186</t>
  </si>
  <si>
    <t>1|1187</t>
  </si>
  <si>
    <t>1|1188</t>
  </si>
  <si>
    <t>1|1193</t>
  </si>
  <si>
    <t>1|1194</t>
  </si>
  <si>
    <t>1|1217</t>
  </si>
  <si>
    <t>1|1501</t>
  </si>
  <si>
    <t>1|1502</t>
  </si>
  <si>
    <t>1|1503</t>
  </si>
  <si>
    <t>1|1509</t>
  </si>
  <si>
    <t>物品名称
[字符串]</t>
    <phoneticPr fontId="1" type="noConversion"/>
  </si>
  <si>
    <t>物品描述
不要加引号</t>
    <phoneticPr fontId="1" type="noConversion"/>
  </si>
  <si>
    <t>物品信息
不要加引号</t>
    <phoneticPr fontId="1" type="noConversion"/>
  </si>
  <si>
    <r>
      <t>物品跳转和使用类型[整数]
1.装备碎片（装备栏）
2.伙伴碎片（伙伴栏）
3.灵饰碎片（灵饰栏）
4.使用类药水（背包栏）
5.宝箱（背包栏）
6.装备强化道具（背包栏）
7.灵饰强化道具（背包栏）
8.角色强化道具（背包栏）
9.商品（背包栏）
10.觉醒道具（觉醒栏）
11.保护符（背包栏）
12.变身系统道具（跳转到变身）
13.元神（变身术）</t>
    </r>
    <r>
      <rPr>
        <b/>
        <sz val="11"/>
        <color rgb="FFFF0000"/>
        <rFont val="微软雅黑"/>
        <family val="2"/>
        <charset val="134"/>
      </rPr>
      <t xml:space="preserve">
14-多选1宝箱\礼盒（背包栏）</t>
    </r>
    <phoneticPr fontId="1" type="noConversion"/>
  </si>
  <si>
    <t>物品使用等级[整数]</t>
    <phoneticPr fontId="1" type="noConversion"/>
  </si>
  <si>
    <r>
      <t xml:space="preserve">物品图标                                                                     [字符串]                                                           </t>
    </r>
    <r>
      <rPr>
        <sz val="11"/>
        <color rgb="FFFF0000"/>
        <rFont val="微软雅黑"/>
        <family val="2"/>
        <charset val="134"/>
      </rPr>
      <t>调用game_res</t>
    </r>
    <phoneticPr fontId="1" type="noConversion"/>
  </si>
  <si>
    <r>
      <t xml:space="preserve">觉醒合成公式                                                                 [字符串]                                                                         觉醒道具ID|数量                                                </t>
    </r>
    <r>
      <rPr>
        <sz val="11"/>
        <color rgb="FF002060"/>
        <rFont val="微软雅黑"/>
        <family val="2"/>
        <charset val="134"/>
      </rPr>
      <t>调用game_items里面的觉醒道具id</t>
    </r>
    <phoneticPr fontId="1" type="noConversion"/>
  </si>
  <si>
    <t>开启效果
读取game_reward</t>
    <phoneticPr fontId="1" type="noConversion"/>
  </si>
  <si>
    <t xml:space="preserve">合成消耗                                                                        [整数]                                                                       </t>
    <phoneticPr fontId="1" type="noConversion"/>
  </si>
  <si>
    <t>出售价格（金币）[整形}</t>
    <phoneticPr fontId="1" type="noConversion"/>
  </si>
  <si>
    <t>中级装备碎片箱</t>
    <phoneticPr fontId="1" type="noConversion"/>
  </si>
  <si>
    <t>高级装备碎片箱</t>
    <phoneticPr fontId="1" type="noConversion"/>
  </si>
  <si>
    <t>初级装备碎片箱</t>
    <phoneticPr fontId="1" type="noConversion"/>
  </si>
  <si>
    <t>蓝色装备碎片箱</t>
  </si>
  <si>
    <t>紫色装备碎片箱</t>
  </si>
  <si>
    <t>橙色装备碎片箱</t>
  </si>
  <si>
    <t>测试装备碎片箱</t>
  </si>
  <si>
    <t>高级法宝碎片箱</t>
  </si>
  <si>
    <t>蓝色伙伴碎片箱</t>
  </si>
  <si>
    <t>紫色伙伴碎片箱</t>
  </si>
  <si>
    <t>橙色伙伴碎片箱</t>
  </si>
  <si>
    <t>极品橙将碎片箱</t>
  </si>
  <si>
    <t>中级法宝碎片箱</t>
    <phoneticPr fontId="1" type="noConversion"/>
  </si>
  <si>
    <t>初级法宝碎片箱</t>
  </si>
  <si>
    <t>进阶丹</t>
    <phoneticPr fontId="1" type="noConversion"/>
  </si>
  <si>
    <t>神兵突破石</t>
  </si>
  <si>
    <t>[]</t>
    <phoneticPr fontId="1" type="noConversion"/>
  </si>
  <si>
    <t>橙13仙将碎片选择箱</t>
  </si>
  <si>
    <t>橙13佛将碎片选择箱</t>
  </si>
  <si>
    <t>橙13妖将碎片选择箱</t>
  </si>
  <si>
    <t>橙16仙将碎片选择箱</t>
    <phoneticPr fontId="1" type="noConversion"/>
  </si>
  <si>
    <t>橙16佛将碎片选择箱</t>
    <phoneticPr fontId="1" type="noConversion"/>
  </si>
  <si>
    <t>橙16妖将碎片选择箱</t>
    <phoneticPr fontId="1" type="noConversion"/>
  </si>
  <si>
    <t>橙16伙伴碎片选择箱</t>
    <phoneticPr fontId="1" type="noConversion"/>
  </si>
  <si>
    <t>橙13伙伴碎片选择箱</t>
    <phoneticPr fontId="1" type="noConversion"/>
  </si>
  <si>
    <t>增加大闹三界挑战次数</t>
    <phoneticPr fontId="1" type="noConversion"/>
  </si>
  <si>
    <t>增加梦魇入侵挑战次数</t>
    <phoneticPr fontId="1" type="noConversion"/>
  </si>
  <si>
    <t>打开获取法宝碎片</t>
    <phoneticPr fontId="1" type="noConversion"/>
  </si>
  <si>
    <t>打开获取装备碎片</t>
    <phoneticPr fontId="1" type="noConversion"/>
  </si>
  <si>
    <t>随机获取蓝品装备碎片</t>
    <phoneticPr fontId="1" type="noConversion"/>
  </si>
  <si>
    <t>随机获得紫品装备碎片</t>
    <phoneticPr fontId="1" type="noConversion"/>
  </si>
  <si>
    <t>随机获得橙品装备碎片</t>
    <phoneticPr fontId="1" type="noConversion"/>
  </si>
  <si>
    <t>获得橙色攻击法宝碎片</t>
    <phoneticPr fontId="1" type="noConversion"/>
  </si>
  <si>
    <t>获得橙色防御法宝碎片</t>
    <phoneticPr fontId="1" type="noConversion"/>
  </si>
  <si>
    <t>打开获取装备碎片</t>
    <phoneticPr fontId="1" type="noConversion"/>
  </si>
  <si>
    <t>获得蓝品法宝碎片</t>
    <phoneticPr fontId="1" type="noConversion"/>
  </si>
  <si>
    <t>获得紫品法宝碎片</t>
    <phoneticPr fontId="1" type="noConversion"/>
  </si>
  <si>
    <t>获得橙品法宝碎片</t>
    <phoneticPr fontId="1" type="noConversion"/>
  </si>
  <si>
    <t>获得蓝品经验法宝碎片</t>
    <phoneticPr fontId="1" type="noConversion"/>
  </si>
  <si>
    <t>获得紫品经验法宝碎片</t>
    <phoneticPr fontId="1" type="noConversion"/>
  </si>
  <si>
    <t>获得橙品经验法宝碎片</t>
    <phoneticPr fontId="1" type="noConversion"/>
  </si>
  <si>
    <t>随机获得紫品伙伴</t>
    <phoneticPr fontId="1" type="noConversion"/>
  </si>
  <si>
    <t>随机获得橙品伙伴</t>
    <phoneticPr fontId="1" type="noConversion"/>
  </si>
  <si>
    <t>选择橙16品伙伴碎片</t>
    <phoneticPr fontId="1" type="noConversion"/>
  </si>
  <si>
    <t>选择橙13品伙伴碎片</t>
    <phoneticPr fontId="1" type="noConversion"/>
  </si>
  <si>
    <t>选择16品仙族伙伴碎片</t>
    <phoneticPr fontId="1" type="noConversion"/>
  </si>
  <si>
    <t>选择16品佛族伙伴碎片</t>
    <phoneticPr fontId="1" type="noConversion"/>
  </si>
  <si>
    <t>选择16品妖族伙伴碎片</t>
    <phoneticPr fontId="1" type="noConversion"/>
  </si>
  <si>
    <t>选择13品仙族伙伴碎片</t>
    <phoneticPr fontId="1" type="noConversion"/>
  </si>
  <si>
    <t>选择13品佛族伙伴碎片</t>
    <phoneticPr fontId="1" type="noConversion"/>
  </si>
  <si>
    <t>选择13品妖族伙伴碎片</t>
    <phoneticPr fontId="1" type="noConversion"/>
  </si>
  <si>
    <t>获得10000点玩家经验值</t>
    <phoneticPr fontId="1" type="noConversion"/>
  </si>
  <si>
    <t>获得100点VIP经验值</t>
    <phoneticPr fontId="1" type="noConversion"/>
  </si>
  <si>
    <t>9</t>
  </si>
  <si>
    <t>8,2</t>
    <phoneticPr fontId="1" type="noConversion"/>
  </si>
  <si>
    <t>4,3</t>
    <phoneticPr fontId="1" type="noConversion"/>
  </si>
  <si>
    <t>4,2</t>
    <phoneticPr fontId="1" type="noConversion"/>
  </si>
  <si>
    <t>[]</t>
    <phoneticPr fontId="1" type="noConversion"/>
  </si>
  <si>
    <t>3,6</t>
    <phoneticPr fontId="1" type="noConversion"/>
  </si>
  <si>
    <t>[]</t>
    <phoneticPr fontId="1" type="noConversion"/>
  </si>
  <si>
    <t>3,8,6</t>
    <phoneticPr fontId="1" type="noConversion"/>
  </si>
  <si>
    <t>3,6</t>
    <phoneticPr fontId="1" type="noConversion"/>
  </si>
  <si>
    <t>2,6,7</t>
    <phoneticPr fontId="1" type="noConversion"/>
  </si>
  <si>
    <t>get_way</t>
    <phoneticPr fontId="1" type="noConversion"/>
  </si>
  <si>
    <t>na</t>
    <phoneticPr fontId="1" type="noConversion"/>
  </si>
  <si>
    <t>废弃字段，不要删，但是也不要用
属性|值[字符串组]
1=hp
2=attack
3=defense_p
4=defense_m
5=hit
6=dodge
7=crit
8=uncrit
9=damage_r
10=damage_b
11=rolaexp
12=equiexp
13=体力
14=精力
15=vipexp
16=zhujueexp
17=迎战券|增加数量</t>
    <phoneticPr fontId="1" type="noConversion"/>
  </si>
  <si>
    <t>获取途径
途径type：
[]-无获取途径
1-game_module的id
2-battle_scene的id
3-store的id
填写格式：
[[1,[1,2]],[2,[10001,10002]]]</t>
    <phoneticPr fontId="1" type="noConversion"/>
  </si>
  <si>
    <t>行者战甲</t>
  </si>
  <si>
    <t>行者头盔</t>
  </si>
  <si>
    <t>行者战靴</t>
  </si>
  <si>
    <t>行者长剑</t>
  </si>
  <si>
    <t>金钱豹王碎片</t>
    <phoneticPr fontId="16" type="noConversion"/>
  </si>
  <si>
    <t>人参娃碎片</t>
    <phoneticPr fontId="16" type="noConversion"/>
  </si>
  <si>
    <t>扇子精碎片</t>
    <phoneticPr fontId="16" type="noConversion"/>
  </si>
  <si>
    <t>红孩儿碎片</t>
    <phoneticPr fontId="16" type="noConversion"/>
  </si>
  <si>
    <t>太虚战靴碎片</t>
  </si>
  <si>
    <t>火尖枪碎片壹</t>
  </si>
  <si>
    <t>九环锡杖碎片壹</t>
  </si>
  <si>
    <t>蓝色经验碎片壹</t>
  </si>
  <si>
    <t>蓝色经验碎片贰</t>
  </si>
  <si>
    <t>蓝色经验碎片叁</t>
  </si>
  <si>
    <t>紫色经验碎片壹</t>
  </si>
  <si>
    <t>紫色经验碎片贰</t>
  </si>
  <si>
    <t>紫色经验碎片叁</t>
  </si>
  <si>
    <t>紫色经验碎片肆</t>
  </si>
  <si>
    <t>橙色经验碎片壹</t>
  </si>
  <si>
    <t>橙色经验碎片贰</t>
  </si>
  <si>
    <t>橙色经验碎片叁</t>
  </si>
  <si>
    <t>橙色经验碎片肆</t>
  </si>
  <si>
    <t>橙色经验碎片伍</t>
  </si>
  <si>
    <t>超级经验碎片壹</t>
  </si>
  <si>
    <t>初级经验药</t>
  </si>
  <si>
    <t>中级经验药</t>
  </si>
  <si>
    <t>高级经验药</t>
  </si>
  <si>
    <t>极品经验药</t>
  </si>
  <si>
    <t>普通聚仙令</t>
  </si>
  <si>
    <t>高级聚仙令</t>
  </si>
  <si>
    <t>体力药水</t>
  </si>
  <si>
    <t>刷新令</t>
  </si>
  <si>
    <t>进阶丹</t>
  </si>
  <si>
    <t>精力之心</t>
  </si>
  <si>
    <t>迎战券</t>
  </si>
  <si>
    <t>金币</t>
  </si>
  <si>
    <t>器魂</t>
  </si>
  <si>
    <t>大闹三界宝箱</t>
  </si>
  <si>
    <t>挑战令</t>
  </si>
  <si>
    <t>初级装备碎片箱</t>
  </si>
  <si>
    <t>中级法宝碎片箱</t>
  </si>
  <si>
    <t>中级装备碎片箱</t>
  </si>
  <si>
    <t>高级装备碎片箱</t>
  </si>
  <si>
    <t>金币宝箱</t>
  </si>
  <si>
    <t>元灵晶石宝箱</t>
  </si>
  <si>
    <t>技能书宝箱</t>
  </si>
  <si>
    <t>VIP经验卡</t>
  </si>
  <si>
    <t>玩家经验</t>
  </si>
  <si>
    <t>金币礼包（测试）</t>
  </si>
  <si>
    <t>钻石礼包（测试）</t>
  </si>
  <si>
    <t>紫色伙伴宝箱</t>
  </si>
  <si>
    <t>橙色伙伴宝箱</t>
  </si>
  <si>
    <t>极品橙色伙伴宝箱</t>
  </si>
  <si>
    <t>雁虞套装宝箱</t>
  </si>
  <si>
    <t>橙16伙伴碎片选择箱</t>
  </si>
  <si>
    <t>橙13伙伴碎片选择箱</t>
  </si>
  <si>
    <t>橙16仙将碎片选择箱</t>
  </si>
  <si>
    <t>橙16佛将碎片选择箱</t>
  </si>
  <si>
    <t>橙16妖将碎片选择箱</t>
  </si>
  <si>
    <t>装备精炼石</t>
  </si>
  <si>
    <t>核心精炼石</t>
  </si>
  <si>
    <t>专属装备精炼箱</t>
  </si>
  <si>
    <t>普通伙伴进阶箱</t>
  </si>
  <si>
    <t>困难伙伴进阶箱</t>
  </si>
  <si>
    <t>破戒石</t>
  </si>
  <si>
    <t>神兵强化石</t>
  </si>
  <si>
    <t>神兵精炼石</t>
  </si>
  <si>
    <t>[</t>
  </si>
  <si>
    <t>[</t>
    <phoneticPr fontId="15" type="noConversion"/>
  </si>
  <si>
    <t>]</t>
  </si>
  <si>
    <t>]</t>
    <phoneticPr fontId="15" type="noConversion"/>
  </si>
  <si>
    <t>,</t>
  </si>
  <si>
    <t>,</t>
    <phoneticPr fontId="15" type="noConversion"/>
  </si>
  <si>
    <t>,</t>
    <phoneticPr fontId="15" type="noConversion"/>
  </si>
  <si>
    <t>托塔天王碎片</t>
    <phoneticPr fontId="16" type="noConversion"/>
  </si>
  <si>
    <t>弥勒佛碎片</t>
    <phoneticPr fontId="16" type="noConversion"/>
  </si>
  <si>
    <t>猪八戒碎片</t>
    <phoneticPr fontId="16" type="noConversion"/>
  </si>
  <si>
    <t>嫦娥碎片</t>
    <phoneticPr fontId="16" type="noConversion"/>
  </si>
  <si>
    <t>紫霞仙子碎片</t>
    <phoneticPr fontId="16" type="noConversion"/>
  </si>
  <si>
    <t>白骨夫人碎片</t>
    <phoneticPr fontId="16" type="noConversion"/>
  </si>
  <si>
    <t>九天玄女碎片</t>
    <phoneticPr fontId="16" type="noConversion"/>
  </si>
  <si>
    <t>龙帝碎片</t>
    <phoneticPr fontId="16" type="noConversion"/>
  </si>
  <si>
    <t>铁扇公主碎片</t>
    <phoneticPr fontId="16" type="noConversion"/>
  </si>
  <si>
    <t>二郎神碎片</t>
    <phoneticPr fontId="16" type="noConversion"/>
  </si>
  <si>
    <t>斗战胜佛碎片</t>
    <phoneticPr fontId="16" type="noConversion"/>
  </si>
  <si>
    <t>牛魔王碎片</t>
    <phoneticPr fontId="16" type="noConversion"/>
  </si>
  <si>
    <t>哪吒碎片</t>
    <phoneticPr fontId="16" type="noConversion"/>
  </si>
  <si>
    <t>八部天龙碎片</t>
    <phoneticPr fontId="16" type="noConversion"/>
  </si>
  <si>
    <t>孙悟空碎片</t>
    <phoneticPr fontId="16" type="noConversion"/>
  </si>
  <si>
    <t>王母娘娘碎片</t>
    <phoneticPr fontId="16" type="noConversion"/>
  </si>
  <si>
    <t>文殊菩萨碎片</t>
    <phoneticPr fontId="16" type="noConversion"/>
  </si>
  <si>
    <t>沙和尚碎片</t>
    <phoneticPr fontId="16" type="noConversion"/>
  </si>
  <si>
    <t>[[3,[3]]]</t>
  </si>
  <si>
    <t>[[3,[5]]]</t>
  </si>
  <si>
    <t>[[3,[7]]]</t>
  </si>
  <si>
    <t>[[1,[1]]]</t>
    <phoneticPr fontId="1" type="noConversion"/>
  </si>
  <si>
    <t>器魂（无用的东西）</t>
    <phoneticPr fontId="1" type="noConversion"/>
  </si>
  <si>
    <t>[[1,[12]]]</t>
    <phoneticPr fontId="1" type="noConversion"/>
  </si>
  <si>
    <t>[[1,[12]],[3,[10]]]</t>
    <phoneticPr fontId="1" type="noConversion"/>
  </si>
  <si>
    <t>[[1,[46,40]],[3,[1,2]]]</t>
    <phoneticPr fontId="1" type="noConversion"/>
  </si>
  <si>
    <t>[[1,[36]]]</t>
    <phoneticPr fontId="1" type="noConversion"/>
  </si>
  <si>
    <t>vip0礼包</t>
    <phoneticPr fontId="1" type="noConversion"/>
  </si>
  <si>
    <t>vip1礼包</t>
  </si>
  <si>
    <t>vip2礼包</t>
  </si>
  <si>
    <t>vip3礼包</t>
  </si>
  <si>
    <t>vip4礼包</t>
  </si>
  <si>
    <t>vip5礼包</t>
  </si>
  <si>
    <t>vip6礼包</t>
  </si>
  <si>
    <t>vip7礼包</t>
  </si>
  <si>
    <t>vip8礼包</t>
  </si>
  <si>
    <t>vip9礼包</t>
  </si>
  <si>
    <t>vip10礼包</t>
  </si>
  <si>
    <t>vip11礼包</t>
  </si>
  <si>
    <t>vip12礼包</t>
  </si>
  <si>
    <t>vip13礼包</t>
  </si>
  <si>
    <t>vip14礼包</t>
  </si>
  <si>
    <t>vip15礼包</t>
  </si>
  <si>
    <t>vip0登陆奖励</t>
    <phoneticPr fontId="1" type="noConversion"/>
  </si>
  <si>
    <t>vip1登陆奖励</t>
  </si>
  <si>
    <t>vip2登陆奖励</t>
  </si>
  <si>
    <t>vip3登陆奖励</t>
  </si>
  <si>
    <t>vip4登陆奖励</t>
  </si>
  <si>
    <t>vip5登陆奖励</t>
  </si>
  <si>
    <t>vip6登陆奖励</t>
  </si>
  <si>
    <t>vip7登陆奖励</t>
  </si>
  <si>
    <t>vip8登陆奖励</t>
  </si>
  <si>
    <t>vip9登陆奖励</t>
  </si>
  <si>
    <t>vip10登陆奖励</t>
  </si>
  <si>
    <t>vip11登陆奖励</t>
  </si>
  <si>
    <t>vip12登陆奖励</t>
  </si>
  <si>
    <t>vip13登陆奖励</t>
  </si>
  <si>
    <t>vip14登陆奖励</t>
  </si>
  <si>
    <t>vip15登陆奖励</t>
  </si>
  <si>
    <t>[[1,[46]]]</t>
    <phoneticPr fontId="1" type="noConversion"/>
  </si>
  <si>
    <t>引魂仙子碎片</t>
  </si>
  <si>
    <t>集齐80个引魂仙子碎片可以合成引魂仙子</t>
  </si>
  <si>
    <t>head_yinhunxianzi</t>
  </si>
  <si>
    <t>彩蝶仙童碎片</t>
  </si>
  <si>
    <t>集齐80个彩蝶仙童碎片可以合成彩蝶仙童</t>
  </si>
  <si>
    <t>head_caidiexiantong</t>
  </si>
  <si>
    <t>[[3,[1,7]],[1,[53]]]</t>
    <phoneticPr fontId="1" type="noConversion"/>
  </si>
  <si>
    <t>[[3,[1,7]],[1,[53]]]</t>
    <phoneticPr fontId="1" type="noConversion"/>
  </si>
  <si>
    <t>[[1,[1,19]]]</t>
    <phoneticPr fontId="1" type="noConversion"/>
  </si>
  <si>
    <t>[[1,[46,40]],[3,[2,3,5]]]</t>
    <phoneticPr fontId="1" type="noConversion"/>
  </si>
  <si>
    <t>[[1,[19]]]</t>
    <phoneticPr fontId="1" type="noConversion"/>
  </si>
  <si>
    <t>[[1,[46]]]</t>
    <phoneticPr fontId="1" type="noConversion"/>
  </si>
  <si>
    <t>tianleifu</t>
    <phoneticPr fontId="1" type="noConversion"/>
  </si>
  <si>
    <t>洗炼丹</t>
  </si>
  <si>
    <t>角色洗炼的必要材料</t>
    <phoneticPr fontId="1" type="noConversion"/>
  </si>
  <si>
    <t>yupai</t>
  </si>
  <si>
    <t>to_way</t>
    <phoneticPr fontId="1" type="noConversion"/>
  </si>
  <si>
    <t>角色进阶的必要材料</t>
    <phoneticPr fontId="1" type="noConversion"/>
  </si>
  <si>
    <t>角色洗炼突破的材料</t>
    <phoneticPr fontId="1" type="noConversion"/>
  </si>
  <si>
    <t>跳转途径
途径type：
[]-无跳转功能
1-game_module的id
2-battle_scene的id
3-store的id
填写格式：
[1,1]</t>
    <phoneticPr fontId="1" type="noConversion"/>
  </si>
  <si>
    <t>a</t>
    <phoneticPr fontId="1" type="noConversion"/>
  </si>
  <si>
    <t>1,44</t>
  </si>
  <si>
    <t>1,47</t>
  </si>
  <si>
    <t>3,2</t>
  </si>
  <si>
    <t>1,41</t>
  </si>
  <si>
    <t>1,28</t>
  </si>
  <si>
    <t>1,45</t>
  </si>
  <si>
    <t>1,55</t>
  </si>
  <si>
    <t>可免费普通聚仙一次</t>
    <phoneticPr fontId="1" type="noConversion"/>
  </si>
  <si>
    <t>铜钱宝箱</t>
    <phoneticPr fontId="1" type="noConversion"/>
  </si>
  <si>
    <t>打开获得10000铜钱</t>
    <phoneticPr fontId="1" type="noConversion"/>
  </si>
  <si>
    <t>铜钱（无用的东西）</t>
    <phoneticPr fontId="1" type="noConversion"/>
  </si>
  <si>
    <t>铜钱</t>
    <phoneticPr fontId="1" type="noConversion"/>
  </si>
  <si>
    <t>铜钱礼包（测试）</t>
    <phoneticPr fontId="1" type="noConversion"/>
  </si>
  <si>
    <t>测试用，开启获得200万铜钱</t>
    <phoneticPr fontId="1" type="noConversion"/>
  </si>
  <si>
    <t>铜钱宝箱-1</t>
    <phoneticPr fontId="1" type="noConversion"/>
  </si>
  <si>
    <t>铜钱宝箱-2</t>
    <phoneticPr fontId="1" type="noConversion"/>
  </si>
  <si>
    <t>铜钱宝箱-3</t>
    <phoneticPr fontId="1" type="noConversion"/>
  </si>
  <si>
    <t>铜钱宝箱-4</t>
    <phoneticPr fontId="1" type="noConversion"/>
  </si>
  <si>
    <t>铜钱宝箱-5</t>
  </si>
  <si>
    <t>铜钱宝箱-6</t>
  </si>
  <si>
    <t>铜钱宝箱-7</t>
  </si>
  <si>
    <t>铜钱宝箱-8</t>
  </si>
  <si>
    <t>铜钱宝箱-9</t>
  </si>
  <si>
    <t>铜钱宝箱-10</t>
  </si>
  <si>
    <t>铜钱宝箱-11</t>
  </si>
  <si>
    <t>铜钱宝箱-12</t>
  </si>
  <si>
    <t>铜钱宝箱-13</t>
  </si>
  <si>
    <t>铜钱宝箱-14</t>
  </si>
  <si>
    <t>铜钱宝箱-15</t>
  </si>
  <si>
    <t>铜钱宝箱-16</t>
  </si>
  <si>
    <t>铜钱宝箱-17</t>
  </si>
  <si>
    <t>铜钱宝箱-18</t>
  </si>
  <si>
    <t>铜钱宝箱-19</t>
  </si>
  <si>
    <t>铜钱宝箱-20</t>
  </si>
  <si>
    <t>铜钱宝箱-21</t>
  </si>
  <si>
    <t>铜钱宝箱-22</t>
  </si>
  <si>
    <t>铜钱宝箱-23</t>
  </si>
  <si>
    <t>铜钱宝箱-24</t>
  </si>
  <si>
    <t>铜钱宝箱-25</t>
  </si>
  <si>
    <t>铜钱宝箱-26</t>
  </si>
  <si>
    <t>铜钱宝箱-27</t>
  </si>
  <si>
    <t>打开获得1000铜钱</t>
  </si>
  <si>
    <t>打开获得1000铜钱</t>
    <phoneticPr fontId="1" type="noConversion"/>
  </si>
  <si>
    <t>食用可增加25点体力</t>
    <phoneticPr fontId="1" type="noConversion"/>
  </si>
  <si>
    <t>元宝礼包（测试）</t>
    <phoneticPr fontId="1" type="noConversion"/>
  </si>
  <si>
    <t>测试用，开启获得1万元宝</t>
    <phoneticPr fontId="1" type="noConversion"/>
  </si>
  <si>
    <t>元灵重塑专属灵符</t>
    <phoneticPr fontId="1" type="noConversion"/>
  </si>
  <si>
    <t>天雷符</t>
    <phoneticPr fontId="1" type="noConversion"/>
  </si>
  <si>
    <t>type</t>
    <phoneticPr fontId="1" type="noConversion"/>
  </si>
  <si>
    <t>神兵强化必需的材料</t>
    <phoneticPr fontId="1" type="noConversion"/>
  </si>
  <si>
    <t>装备精炼必需的材料</t>
    <phoneticPr fontId="1" type="noConversion"/>
  </si>
  <si>
    <t>[[1,[40]],[3,[1,10,5]]]</t>
    <phoneticPr fontId="1" type="noConversion"/>
  </si>
  <si>
    <t>挑战令</t>
    <phoneticPr fontId="1" type="noConversion"/>
  </si>
  <si>
    <t>铜钱宝箱</t>
    <phoneticPr fontId="1" type="noConversion"/>
  </si>
  <si>
    <t>元灵晶石宝箱</t>
    <phoneticPr fontId="1" type="noConversion"/>
  </si>
  <si>
    <t>技能书宝箱</t>
    <phoneticPr fontId="1" type="noConversion"/>
  </si>
  <si>
    <t>VIP经验卡</t>
    <phoneticPr fontId="1" type="noConversion"/>
  </si>
  <si>
    <t>玩家经验</t>
    <phoneticPr fontId="1" type="noConversion"/>
  </si>
  <si>
    <t>大闹三界宝箱</t>
    <phoneticPr fontId="1" type="noConversion"/>
  </si>
  <si>
    <t>铜钱礼包（测试）</t>
    <phoneticPr fontId="1" type="noConversion"/>
  </si>
  <si>
    <t>元宝礼包（测试）</t>
    <phoneticPr fontId="1" type="noConversion"/>
  </si>
  <si>
    <t>初级装备碎片箱</t>
    <phoneticPr fontId="1" type="noConversion"/>
  </si>
  <si>
    <t>中级装备碎片箱</t>
    <phoneticPr fontId="1" type="noConversion"/>
  </si>
  <si>
    <t>高级装备碎片箱</t>
    <phoneticPr fontId="1" type="noConversion"/>
  </si>
  <si>
    <t>雁虞套装宝箱</t>
    <phoneticPr fontId="1" type="noConversion"/>
  </si>
  <si>
    <t>中级法宝碎片箱</t>
    <phoneticPr fontId="1" type="noConversion"/>
  </si>
  <si>
    <t>蓝色伙伴碎片箱</t>
    <phoneticPr fontId="1" type="noConversion"/>
  </si>
  <si>
    <t>蓝色伙伴箱</t>
    <phoneticPr fontId="1" type="noConversion"/>
  </si>
  <si>
    <t>紫色伙伴宝箱</t>
    <phoneticPr fontId="1" type="noConversion"/>
  </si>
  <si>
    <t>橙色伙伴宝箱</t>
    <phoneticPr fontId="1" type="noConversion"/>
  </si>
  <si>
    <t>极品橙色伙伴宝箱</t>
    <phoneticPr fontId="1" type="noConversion"/>
  </si>
  <si>
    <t>橙13伙伴碎片选择箱</t>
    <phoneticPr fontId="1" type="noConversion"/>
  </si>
  <si>
    <t>橙16仙将碎片选择箱</t>
    <phoneticPr fontId="1" type="noConversion"/>
  </si>
  <si>
    <t>橙16佛将碎片选择箱</t>
    <phoneticPr fontId="1" type="noConversion"/>
  </si>
  <si>
    <t>橙16妖将碎片选择箱</t>
    <phoneticPr fontId="1" type="noConversion"/>
  </si>
  <si>
    <t>橙16伙伴碎片选择箱</t>
    <phoneticPr fontId="1" type="noConversion"/>
  </si>
  <si>
    <t>vip0礼包</t>
    <phoneticPr fontId="1" type="noConversion"/>
  </si>
  <si>
    <t>ID</t>
    <phoneticPr fontId="1" type="noConversion"/>
  </si>
  <si>
    <t>一起的rw</t>
    <phoneticPr fontId="1" type="noConversion"/>
  </si>
  <si>
    <t>品级</t>
    <phoneticPr fontId="1" type="noConversion"/>
  </si>
  <si>
    <t>现在的rw</t>
    <phoneticPr fontId="1" type="noConversion"/>
  </si>
  <si>
    <t>掉落包类型
0-全部抽出（不考虑后面的掉率或权重）
1-抽1个（根据后面的掉率或权重抽取）
2-抽1个（根据权重抽取，但是被抽出的物品会从奖池里去除）</t>
    <phoneticPr fontId="1" type="noConversion"/>
  </si>
  <si>
    <t>奖励显示
类型|物品ID|数量
类型：
1=道具（game_items）
2=装备(game_equpment)
3=reward(game_reward)
4=资源（currency）
5=伙伴（hero_main）
6=法宝(game_fabao)</t>
    <phoneticPr fontId="1" type="noConversion"/>
  </si>
  <si>
    <t>备注,不做解析。</t>
    <phoneticPr fontId="1" type="noConversion"/>
  </si>
  <si>
    <t xml:space="preserve">类型|物品ID|数量|概率
从奖池中按照权重计算掉落物品
类型：
1=道具（game_items）
2=装备(game_equpment)
3=reward(game_reward)
4=资源（currency）
5=伙伴（hero_main）
6=法宝(game_fabao)
</t>
    <phoneticPr fontId="1" type="noConversion"/>
  </si>
  <si>
    <t>鸡腿</t>
    <phoneticPr fontId="1" type="noConversion"/>
  </si>
  <si>
    <t>精力之心</t>
    <phoneticPr fontId="1" type="noConversion"/>
  </si>
  <si>
    <t>迎战券</t>
    <phoneticPr fontId="1" type="noConversion"/>
  </si>
  <si>
    <t>reward</t>
    <phoneticPr fontId="1" type="noConversion"/>
  </si>
  <si>
    <t>s</t>
    <phoneticPr fontId="1" type="noConversion"/>
  </si>
  <si>
    <t>70101</t>
    <phoneticPr fontId="1" type="noConversion"/>
  </si>
  <si>
    <t>70111</t>
    <phoneticPr fontId="1" type="noConversion"/>
  </si>
  <si>
    <t>70112</t>
    <phoneticPr fontId="1" type="noConversion"/>
  </si>
  <si>
    <t>11.png</t>
  </si>
  <si>
    <t>33.png</t>
  </si>
  <si>
    <t>44.png</t>
  </si>
  <si>
    <t>chengsefabao1_sp.png</t>
  </si>
  <si>
    <t>danaolingpai.png</t>
  </si>
  <si>
    <t>daojubaoxiang.png</t>
  </si>
  <si>
    <t>djzhuangbeijinglianshi.png</t>
  </si>
  <si>
    <t>jpzhuangbeijinglianshi.png</t>
  </si>
  <si>
    <t>juexingshi.png</t>
  </si>
  <si>
    <t>lansefabaosuipianbaoxiang.png</t>
  </si>
  <si>
    <t>shenbingjinglian.png</t>
  </si>
  <si>
    <t>shenbingqianhua.png</t>
  </si>
  <si>
    <t>shenbingtupo.png</t>
  </si>
  <si>
    <t>tiaozhanpai.png</t>
  </si>
  <si>
    <t>xiaopantao.png</t>
  </si>
  <si>
    <t>zjzhuangbeijinglianshi.png</t>
  </si>
  <si>
    <t>蓝色经验法宝碎片壹</t>
  </si>
  <si>
    <t>蓝色经验法宝碎片贰</t>
  </si>
  <si>
    <t>蓝色经验法宝碎片叁</t>
  </si>
  <si>
    <t>紫色经验法宝碎片壹</t>
  </si>
  <si>
    <t>紫色经验法宝碎片贰</t>
  </si>
  <si>
    <t>紫色经验法宝碎片叁</t>
  </si>
  <si>
    <t>紫色经验法宝碎片肆</t>
  </si>
  <si>
    <t>橙色经验法宝碎片壹</t>
  </si>
  <si>
    <t>橙色经验法宝碎片贰</t>
  </si>
  <si>
    <t>橙色经验法宝碎片叁</t>
  </si>
  <si>
    <t>橙色经验法宝碎片肆</t>
  </si>
  <si>
    <t>橙色经验法宝碎片伍</t>
  </si>
  <si>
    <t>红色经验法宝碎片壹</t>
  </si>
  <si>
    <t>红色经验法宝碎片贰</t>
  </si>
  <si>
    <t>红色经验法宝碎片叁</t>
  </si>
  <si>
    <t>红色经验法宝碎片肆</t>
  </si>
  <si>
    <t>红色经验法宝碎片伍</t>
  </si>
  <si>
    <t>红色经验法宝碎片陆</t>
  </si>
  <si>
    <t>lanying_hujia</t>
  </si>
  <si>
    <t>lanying_wuqi</t>
  </si>
  <si>
    <t>taixu_hujia</t>
  </si>
  <si>
    <t>taixu_wuqi</t>
  </si>
  <si>
    <t>taixu_toukui</t>
  </si>
  <si>
    <t>taixu_xie</t>
  </si>
  <si>
    <t>增加伙伴经验500</t>
    <phoneticPr fontId="1" type="noConversion"/>
  </si>
  <si>
    <t>20个雁虞头盔碎片可合成雁虞头盔</t>
  </si>
  <si>
    <t>开启效果
读取game_reward</t>
    <phoneticPr fontId="1" type="noConversion"/>
  </si>
  <si>
    <t>head_guanshiyin</t>
    <phoneticPr fontId="1" type="noConversion"/>
  </si>
  <si>
    <t>1|2018</t>
    <phoneticPr fontId="1" type="noConversion"/>
  </si>
  <si>
    <t>橙色装备碎片选择箱</t>
    <phoneticPr fontId="1" type="noConversion"/>
  </si>
  <si>
    <t>橙色法宝碎片选择箱</t>
    <phoneticPr fontId="1" type="noConversion"/>
  </si>
  <si>
    <t>选择1个橙色装备碎片</t>
    <phoneticPr fontId="1" type="noConversion"/>
  </si>
  <si>
    <t>选择1个橙色装备碎片</t>
    <phoneticPr fontId="1" type="noConversion"/>
  </si>
  <si>
    <t>选择1个橙色法宝碎片</t>
    <phoneticPr fontId="1" type="noConversion"/>
  </si>
  <si>
    <t>获得装备精炼道具（原来的，已经弃用了）</t>
    <phoneticPr fontId="1" type="noConversion"/>
  </si>
  <si>
    <t>神兵进阶石</t>
    <phoneticPr fontId="1" type="noConversion"/>
  </si>
  <si>
    <t>橙16品防御伙伴选择箱</t>
    <phoneticPr fontId="1" type="noConversion"/>
  </si>
  <si>
    <t>橙16品输出伙伴选择箱</t>
    <phoneticPr fontId="1" type="noConversion"/>
  </si>
  <si>
    <t>橙16品伙伴选择箱</t>
    <phoneticPr fontId="1" type="noConversion"/>
  </si>
  <si>
    <t>橙13品防御伙伴选择箱</t>
    <phoneticPr fontId="1" type="noConversion"/>
  </si>
  <si>
    <t>橙13品输出伙伴选择箱</t>
    <phoneticPr fontId="1" type="noConversion"/>
  </si>
  <si>
    <t>橙13品辅助伙伴选择箱</t>
    <phoneticPr fontId="1" type="noConversion"/>
  </si>
  <si>
    <t>橙13品伙伴选择箱</t>
    <phoneticPr fontId="1" type="noConversion"/>
  </si>
  <si>
    <t>橙色法宝选择箱</t>
    <phoneticPr fontId="1" type="noConversion"/>
  </si>
  <si>
    <t>打开后可以任意选择一件橙色法宝</t>
    <phoneticPr fontId="1" type="noConversion"/>
  </si>
  <si>
    <t>5|1219|1,5|1212|1,5|1127|1,5|1120|1,5|1113|1,5|1108|1</t>
  </si>
  <si>
    <t>5|1121|1,5|1111|1,5|1214|1,5|1213|1,5|1124|1,5|1218|1,5|1105|1,5|1119|1,5|1112|1,5|1101|1,5|1211|1,5|1102|1</t>
  </si>
  <si>
    <t>5|1121|1,5|1111|1,5|1214|1,5|1213|1,5|1124|1,5|1218|1,5|1105|1,5|1119|1,5|1112|1,5|1219|1,5|1212|1,5|1127|1,5|1120|1,5|1113|1,5|1108|1,5|1101|1,5|1211|1,5|1102|1</t>
  </si>
  <si>
    <t>橙16品伙伴随机箱</t>
    <phoneticPr fontId="1" type="noConversion"/>
  </si>
  <si>
    <t>5|1122|1,5|1125|1,5|1132|1,5|1104|1</t>
  </si>
  <si>
    <t>5|1207|1,5|1216|1,5|1137|1,5|1131|1,5|1201|1,5|1117|1,5|1123|1,5|1202|1,5|1110|1,5|1114|1</t>
  </si>
  <si>
    <t>5|1208|1,5|1106|1,5|1135|1,5|1126|1,5|1115|1,5|1215|1,5|1116|1,5|1109|1,5|1103|1</t>
  </si>
  <si>
    <t>5|1126|1,5|1207|1,5|1122|1,5|1208|1,5|1115|1,5|1106|1,5|1216|1,5|1137|1,5|1131|1,5|1201|1,5|1117|1,5|1123|1,5|1202|1,5|1125|1,5|1132|1,5|1135|1,5|1104|1,5|1110|1,5|1114|1,5|1215|1,5|1116|1,5|1109|1,5|1103|1</t>
  </si>
  <si>
    <t>橙13品伙伴随机箱</t>
    <phoneticPr fontId="1" type="noConversion"/>
  </si>
  <si>
    <t>1|11025|1,1|11026|1,1|11027|1,1|11028|1,1|11029|1,1|11030|1,1|11031|1,1|11032|1,1|11033|1,1|11034|1,1|11035|1,1|11036|1</t>
  </si>
  <si>
    <t>橙色装备碎片随机箱</t>
    <phoneticPr fontId="1" type="noConversion"/>
  </si>
  <si>
    <t>橙色装备碎片选择箱</t>
    <phoneticPr fontId="1" type="noConversion"/>
  </si>
  <si>
    <t>2|2064|1,2|2063|1,2|2062|1,2|2061|1</t>
  </si>
  <si>
    <t>破军套装选择箱</t>
    <phoneticPr fontId="1" type="noConversion"/>
  </si>
  <si>
    <t>2|2068|1,2|2067|1,2|2066|1,2|2065|1</t>
  </si>
  <si>
    <t>烛天套装选择箱</t>
    <phoneticPr fontId="1" type="noConversion"/>
  </si>
  <si>
    <t>2|2072|1,2|2071|1,2|2070|1,2|2069|1</t>
  </si>
  <si>
    <t>太虚套装选择箱</t>
    <phoneticPr fontId="1" type="noConversion"/>
  </si>
  <si>
    <t>2|2064|1,2|2063|1,2|2062|1,2|2061|1,2|2068|1,2|2067|1,2|2066|1,2|2065|1,2|2072|1,2|2071|1,2|2070|1,2|2069|1</t>
    <phoneticPr fontId="2" type="noConversion"/>
  </si>
  <si>
    <t>橙色装备选择箱</t>
    <phoneticPr fontId="1" type="noConversion"/>
  </si>
  <si>
    <t>2|2044|1,2|2043|1,2|2042|1,2|2041|1</t>
  </si>
  <si>
    <t>封魂套装选择箱</t>
    <phoneticPr fontId="1" type="noConversion"/>
  </si>
  <si>
    <t>2|2048|1,2|2047|1,2|2046|1,2|2045|1</t>
  </si>
  <si>
    <t>游龙套装选择箱</t>
    <phoneticPr fontId="1" type="noConversion"/>
  </si>
  <si>
    <t>2|2052|1,2|2051|1,2|2050|1,2|2049|1</t>
  </si>
  <si>
    <t>蚩灵套装选择箱</t>
    <phoneticPr fontId="1" type="noConversion"/>
  </si>
  <si>
    <t>2|2028|1,2|2027|1,2|2026|1,2|2025|1</t>
  </si>
  <si>
    <t>岚影套装宝箱</t>
    <phoneticPr fontId="1" type="noConversion"/>
  </si>
  <si>
    <t>2|2032|1,2|2031|1,2|2030|1,2|2029|1</t>
  </si>
  <si>
    <t>朔雪套装宝箱</t>
    <phoneticPr fontId="1" type="noConversion"/>
  </si>
  <si>
    <t>6|3012|1,6|3011|1,6|3013|1,6|3014|1</t>
  </si>
  <si>
    <t>橙色法宝选择箱</t>
    <phoneticPr fontId="1" type="noConversion"/>
  </si>
  <si>
    <t>可选一件橙色法宝</t>
    <phoneticPr fontId="1" type="noConversion"/>
  </si>
  <si>
    <t>神兵精华</t>
    <phoneticPr fontId="1" type="noConversion"/>
  </si>
  <si>
    <t>洗炼突破丹</t>
  </si>
  <si>
    <t>封魔套装选择箱</t>
    <phoneticPr fontId="1" type="noConversion"/>
  </si>
  <si>
    <t>磐石套装选择箱</t>
    <phoneticPr fontId="1" type="noConversion"/>
  </si>
  <si>
    <t>破魔套装宝箱</t>
    <phoneticPr fontId="1" type="noConversion"/>
  </si>
  <si>
    <t>护卫套装宝箱</t>
  </si>
  <si>
    <t>3|3017</t>
  </si>
  <si>
    <t>3|3018</t>
  </si>
  <si>
    <t>3|3019</t>
  </si>
  <si>
    <t>3|3020</t>
  </si>
  <si>
    <t>寻音铃碎片壹</t>
  </si>
  <si>
    <t>寻音铃碎片贰</t>
  </si>
  <si>
    <t>寻音铃碎片叁</t>
  </si>
  <si>
    <t>八卦镜碎片壹</t>
  </si>
  <si>
    <t>八卦镜碎片贰</t>
  </si>
  <si>
    <t>八卦镜碎片叁</t>
  </si>
  <si>
    <t>八卦镜碎片肆</t>
  </si>
  <si>
    <t>樱月铃碎片壹</t>
  </si>
  <si>
    <t>樱月铃碎片贰</t>
  </si>
  <si>
    <t>樱月铃碎片叁</t>
  </si>
  <si>
    <t>樱月铃碎片肆</t>
  </si>
  <si>
    <t>龙纹镜碎片壹</t>
  </si>
  <si>
    <t>龙纹镜碎片贰</t>
  </si>
  <si>
    <t>龙纹镜碎片叁</t>
  </si>
  <si>
    <t>龙纹镜碎片肆</t>
  </si>
  <si>
    <t>迷蝶铃碎片壹</t>
  </si>
  <si>
    <t>迷蝶铃碎片贰</t>
  </si>
  <si>
    <t>迷蝶铃碎片叁</t>
  </si>
  <si>
    <t>迷蝶铃碎片肆</t>
  </si>
  <si>
    <t>阴阳镜碎片壹</t>
  </si>
  <si>
    <t>阴阳镜碎片贰</t>
  </si>
  <si>
    <t>阴阳镜碎片叁</t>
  </si>
  <si>
    <t>阴阳镜碎片肆</t>
  </si>
  <si>
    <t>阴阳镜碎片伍</t>
  </si>
  <si>
    <t>混元镜碎片壹</t>
  </si>
  <si>
    <t>混元镜碎片贰</t>
  </si>
  <si>
    <t>混元镜碎片叁</t>
  </si>
  <si>
    <t>混元镜碎片肆</t>
  </si>
  <si>
    <t>混元镜碎片伍</t>
  </si>
  <si>
    <t>幻光铃碎片壹</t>
  </si>
  <si>
    <t>幻光铃碎片贰</t>
  </si>
  <si>
    <t>幻光铃碎片叁</t>
  </si>
  <si>
    <t>幻光铃碎片肆</t>
  </si>
  <si>
    <t>幻光铃碎片伍</t>
  </si>
  <si>
    <t>七星宣花铃碎片壹</t>
  </si>
  <si>
    <t>七星宣花铃碎片贰</t>
  </si>
  <si>
    <t>七星宣花铃碎片叁</t>
  </si>
  <si>
    <t>七星宣花铃碎片肆</t>
  </si>
  <si>
    <t>七星宣花铃碎片伍</t>
  </si>
  <si>
    <t>七星宣花铃碎片陆</t>
  </si>
  <si>
    <t>太极清源镜碎片壹</t>
  </si>
  <si>
    <t>太极清源镜碎片贰</t>
  </si>
  <si>
    <t>太极清源镜碎片叁</t>
  </si>
  <si>
    <t>太极清源镜碎片肆</t>
  </si>
  <si>
    <t>太极清源镜碎片伍</t>
  </si>
  <si>
    <t>太极清源镜碎片陆</t>
  </si>
  <si>
    <t>天翎幻音铃碎片壹</t>
  </si>
  <si>
    <t>天翎幻音铃碎片贰</t>
  </si>
  <si>
    <t>天翎幻音铃碎片叁</t>
  </si>
  <si>
    <t>天翎幻音铃碎片肆</t>
  </si>
  <si>
    <t>天翎幻音铃碎片伍</t>
  </si>
  <si>
    <t>天翎幻音铃碎片陆</t>
  </si>
  <si>
    <t>羲皇八门镜碎片壹</t>
  </si>
  <si>
    <t>羲皇八门镜碎片贰</t>
  </si>
  <si>
    <t>羲皇八门镜碎片叁</t>
  </si>
  <si>
    <t>羲皇八门镜碎片肆</t>
  </si>
  <si>
    <t>羲皇八门镜碎片伍</t>
  </si>
  <si>
    <t>羲皇八门镜碎片陆</t>
  </si>
  <si>
    <t>20个破魔战甲碎片可合成破魔战甲</t>
  </si>
  <si>
    <t>20个破魔长剑碎片可合成破魔长剑</t>
  </si>
  <si>
    <t>20个破魔头盔碎片可合成破魔头盔</t>
  </si>
  <si>
    <t>20个破魔战靴碎片可合成破魔战靴</t>
  </si>
  <si>
    <t>20个护卫战甲碎片可合成护卫战甲</t>
  </si>
  <si>
    <t>20个护卫长剑碎片可合成护卫长剑</t>
  </si>
  <si>
    <t>20个护卫头盔碎片可合成护卫头盔</t>
  </si>
  <si>
    <t>20个护卫战靴碎片可合成护卫战靴</t>
  </si>
  <si>
    <t>30个紫阳长剑碎片可合成紫阳长剑</t>
  </si>
  <si>
    <t>30个封魔战甲碎片可合成封魔战甲</t>
  </si>
  <si>
    <t>30个封魔长剑碎片可合成封魔长剑</t>
  </si>
  <si>
    <t>30个封魔头盔碎片可合成封魔头盔</t>
  </si>
  <si>
    <t>30个封魔战靴碎片可合成封魔战靴</t>
  </si>
  <si>
    <t>30个磐石战甲碎片可合成磐石战甲</t>
  </si>
  <si>
    <t>30个磐石长剑碎片可合成磐石长剑</t>
  </si>
  <si>
    <t>30个磐石头盔碎片可合成磐石头盔</t>
  </si>
  <si>
    <t>30个磐石战靴碎片可合成磐石战靴</t>
  </si>
  <si>
    <t>40个麒麟头盔碎片可合成麒麟头盔</t>
  </si>
  <si>
    <t>40个降魔战甲碎片可合成降魔战甲</t>
  </si>
  <si>
    <t>40个降魔长剑碎片可合成降魔长剑</t>
  </si>
  <si>
    <t>40个降魔头盔碎片可合成降魔头盔</t>
  </si>
  <si>
    <t>40个降魔战靴碎片可合成降魔战靴</t>
  </si>
  <si>
    <t>40个天罡战甲碎片可合成天罡战甲</t>
  </si>
  <si>
    <t>40个天罡长剑碎片可合成天罡长剑</t>
  </si>
  <si>
    <t>40个天罡头盔碎片可合成天罡头盔</t>
  </si>
  <si>
    <t>40个天罡战靴碎片可合成天罡战靴</t>
  </si>
  <si>
    <t>破魔战甲碎片</t>
  </si>
  <si>
    <t>破魔长剑碎片</t>
  </si>
  <si>
    <t>破魔头盔碎片</t>
  </si>
  <si>
    <t>破魔战靴碎片</t>
  </si>
  <si>
    <t>护卫战甲碎片</t>
  </si>
  <si>
    <t>护卫长剑碎片</t>
  </si>
  <si>
    <t>护卫头盔碎片</t>
  </si>
  <si>
    <t>护卫战靴碎片</t>
  </si>
  <si>
    <t>紫阳长剑碎片</t>
  </si>
  <si>
    <t>封魔战甲碎片</t>
  </si>
  <si>
    <t>封魔长剑碎片</t>
  </si>
  <si>
    <t>封魔头盔碎片</t>
  </si>
  <si>
    <t>封魔战靴碎片</t>
  </si>
  <si>
    <t>磐石战甲碎片</t>
  </si>
  <si>
    <t>磐石长剑碎片</t>
  </si>
  <si>
    <t>磐石头盔碎片</t>
  </si>
  <si>
    <t>磐石战靴碎片</t>
  </si>
  <si>
    <t>麒麟头盔碎片</t>
  </si>
  <si>
    <t>降魔战甲碎片</t>
  </si>
  <si>
    <t>降魔长剑碎片</t>
  </si>
  <si>
    <t>降魔头盔碎片</t>
  </si>
  <si>
    <t>降魔战靴碎片</t>
  </si>
  <si>
    <t>天罡战甲碎片</t>
  </si>
  <si>
    <t>天罡长剑碎片</t>
  </si>
  <si>
    <t>天罡头盔碎片</t>
  </si>
  <si>
    <t>天罡战靴碎片</t>
  </si>
  <si>
    <t>打开后可以一定几率获得洗炼丹和洗炼突破丹</t>
    <phoneticPr fontId="1" type="noConversion"/>
  </si>
  <si>
    <t>集齐80个赤脚大仙碎片可以合成赤脚大仙</t>
  </si>
  <si>
    <t>集齐80个九天玄女碎片可以合成九天玄女</t>
  </si>
  <si>
    <t>集齐80个白骨夫人碎片可以合成白骨夫人</t>
  </si>
  <si>
    <t>集齐80个文殊菩萨碎片可以合成文殊菩萨</t>
  </si>
  <si>
    <t>集齐40个黑熊精碎片可以合成黑熊精</t>
  </si>
  <si>
    <t>集齐10个夜叉-金利碎片可以合成夜叉-金利</t>
  </si>
  <si>
    <t>集齐10个夜叉-碧涛碎片可以合成夜叉-碧涛</t>
  </si>
  <si>
    <t>集齐10个天兵-金斌碎片可以合成天兵-金斌</t>
  </si>
  <si>
    <t>集齐10个天兵-政仲碎片可以合成天兵-政仲</t>
  </si>
  <si>
    <t>集齐10个天兵-火夕碎片可以合成天兵-火夕</t>
  </si>
  <si>
    <t>集齐10个狼人-霍金碎片可以合成狼人-霍金</t>
  </si>
  <si>
    <t>集齐10个狼人-霍文碎片可以合成狼人-霍文</t>
  </si>
  <si>
    <t>集齐10个狼人-霍达碎片可以合成狼人-霍达</t>
  </si>
  <si>
    <t>集齐10个狼人-霍格碎片可以合成狼人-霍格</t>
  </si>
  <si>
    <t>集齐10个狼人-霍武碎片可以合成狼人-霍武</t>
  </si>
  <si>
    <t>集齐10个骷髅-德明碎片可以合成骷髅-德明</t>
  </si>
  <si>
    <t>集齐10个骷髅-奇伟碎片可以合成骷髅-奇伟</t>
  </si>
  <si>
    <t>集齐10个骷髅-德元碎片可以合成骷髅-德元</t>
  </si>
  <si>
    <t>集齐10个骷髅-彭泽碎片可以合成骷髅-彭泽</t>
  </si>
  <si>
    <t>集齐10个蜘蛛-元瑶碎片可以合成蜘蛛-元瑶</t>
  </si>
  <si>
    <t>集齐10个蜘蛛-怜寒碎片可以合成蜘蛛-怜寒</t>
  </si>
  <si>
    <t>集齐10个蜘蛛-盼香碎片可以合成蜘蛛-盼香</t>
  </si>
  <si>
    <t>集齐10个女鬼-歆瑶碎片可以合成女鬼-歆瑶</t>
  </si>
  <si>
    <t>集齐10个女鬼-桑榆碎片可以合成女鬼-桑榆</t>
  </si>
  <si>
    <t>集齐10个女鬼-语嫣碎片可以合成女鬼-语嫣</t>
  </si>
  <si>
    <t>集齐10个女鬼-凌菲碎片可以合成女鬼-凌菲</t>
  </si>
  <si>
    <t>集齐40个琴仙碎片可以合成琴仙</t>
  </si>
  <si>
    <t>集齐10个猴兵碎片可以合成猴兵</t>
  </si>
  <si>
    <t>集齐10个山贼碎片可以合成山贼</t>
  </si>
  <si>
    <t>集齐10个虾兵碎片可以合成虾兵</t>
  </si>
  <si>
    <t>集齐120个九头虫碎片可以合成九头虫</t>
  </si>
  <si>
    <t>集齐120个镇元大仙碎片可以合成镇元大仙</t>
  </si>
  <si>
    <t>集齐120个如来佛祖碎片可以合成如来佛祖</t>
  </si>
  <si>
    <t>集齐120个孔雀大明王碎片可以合成孔雀大明王</t>
  </si>
  <si>
    <t>集齐120个观世阴碎片可以合成观世阴</t>
  </si>
  <si>
    <t>集齐120个太上老君碎片可以合成太上老君</t>
  </si>
  <si>
    <t>集齐10个侍女碎片可以合成侍女</t>
  </si>
  <si>
    <t>集齐10个强盗碎片可以合成强盗</t>
  </si>
  <si>
    <t>集齐10个野猪怪碎片可以合成野猪怪</t>
  </si>
  <si>
    <t>集齐40个蟹将碎片可以合成蟹将</t>
  </si>
  <si>
    <t>蟠桃</t>
    <phoneticPr fontId="1" type="noConversion"/>
  </si>
  <si>
    <t>紫色伙伴宝箱</t>
    <phoneticPr fontId="1" type="noConversion"/>
  </si>
  <si>
    <t>橙13伙伴随机箱</t>
    <phoneticPr fontId="1" type="noConversion"/>
  </si>
  <si>
    <t>橙16防御伙伴选择箱</t>
  </si>
  <si>
    <t>橙16输出伙伴选择箱</t>
  </si>
  <si>
    <t>橙16伙伴随机箱</t>
  </si>
  <si>
    <t>橙13防御伙伴选择箱</t>
  </si>
  <si>
    <t>橙13输出伙伴选择箱</t>
  </si>
  <si>
    <t>橙13辅助伙伴选择箱</t>
  </si>
  <si>
    <t>橙装碎片随机箱</t>
    <phoneticPr fontId="1" type="noConversion"/>
  </si>
  <si>
    <t>打开后可以获得橙13品武将随机箱*1，雁虞套装宝箱*1</t>
    <phoneticPr fontId="1" type="noConversion"/>
  </si>
  <si>
    <t>打开后可以获得高级法宝碎片箱*20（有几率开出橙色法宝碎片），精力之心*2</t>
    <phoneticPr fontId="1" type="noConversion"/>
  </si>
  <si>
    <t>打开后可以获得高级法宝碎片箱*30（有几率开出橙色法宝碎片），进阶丹*1000</t>
    <phoneticPr fontId="1" type="noConversion"/>
  </si>
  <si>
    <t>打开后可以获得橙色装备碎片箱*20，神兵进阶石*400</t>
    <phoneticPr fontId="1" type="noConversion"/>
  </si>
  <si>
    <t>打开后可以获得橙色装备选择箱箱*1，神兵进阶石*400</t>
    <phoneticPr fontId="1" type="noConversion"/>
  </si>
  <si>
    <t>打开后可以获得橙色装备碎片箱*10，装备精炼石*800，洗练突破丹*100</t>
    <phoneticPr fontId="1" type="noConversion"/>
  </si>
  <si>
    <t>打开后可以获得橙色装备碎片箱*20，装备精炼石*1200，洗练突破丹*200</t>
    <phoneticPr fontId="1" type="noConversion"/>
  </si>
  <si>
    <t>打开后可以获得橙13品武将碎片选择箱*60，精魄*2000，刷新令*150</t>
    <phoneticPr fontId="1" type="noConversion"/>
  </si>
  <si>
    <t>打开后可以获得橙13品武将碎片选择箱*100，精魄*3000，刷新令*200</t>
    <phoneticPr fontId="1" type="noConversion"/>
  </si>
  <si>
    <t>打开后可以获得橙色法宝随机箱*15，法宝精炼石*1000</t>
    <phoneticPr fontId="1" type="noConversion"/>
  </si>
  <si>
    <t>打开后可以获得橙色法宝随机箱*20，法宝精炼石*1200</t>
    <phoneticPr fontId="1" type="noConversion"/>
  </si>
  <si>
    <t>打开后可以获得橙色法宝选择箱*10，神兵精华*80</t>
    <phoneticPr fontId="1" type="noConversion"/>
  </si>
  <si>
    <t>打开后可以获得橙色装备选择箱*1，神兵精华*120</t>
    <phoneticPr fontId="1" type="noConversion"/>
  </si>
  <si>
    <t>橙色法宝随机箱</t>
    <phoneticPr fontId="1" type="noConversion"/>
  </si>
  <si>
    <t>打开后可以随机获得一件橙色法宝</t>
    <phoneticPr fontId="1" type="noConversion"/>
  </si>
  <si>
    <t>高级法宝随机箱</t>
    <phoneticPr fontId="1" type="noConversion"/>
  </si>
  <si>
    <t>打开后有几率获得橙色法宝</t>
    <phoneticPr fontId="1" type="noConversion"/>
  </si>
  <si>
    <t>橙色装备选择箱</t>
    <phoneticPr fontId="1" type="noConversion"/>
  </si>
  <si>
    <t>打开后可以任意选择一名橙色16品质防御职业伙伴</t>
    <phoneticPr fontId="1" type="noConversion"/>
  </si>
  <si>
    <t>打开后可以任意选择一名橙色16品质输出职业伙伴</t>
    <phoneticPr fontId="1" type="noConversion"/>
  </si>
  <si>
    <t>打开后可以任意选择一名橙色16品质伙伴</t>
    <phoneticPr fontId="1" type="noConversion"/>
  </si>
  <si>
    <t>打开后将会随机获得一名橙色16品质的伙伴</t>
    <phoneticPr fontId="1" type="noConversion"/>
  </si>
  <si>
    <t>打开后可以任意选择一名橙色13品质防御职业伙伴</t>
    <phoneticPr fontId="1" type="noConversion"/>
  </si>
  <si>
    <t>打开后可以任意选择一名橙色13品质输出职业伙伴</t>
    <phoneticPr fontId="1" type="noConversion"/>
  </si>
  <si>
    <t>打开后可以任意选择一名橙色13品质辅助职业伙伴</t>
    <phoneticPr fontId="1" type="noConversion"/>
  </si>
  <si>
    <t>打开后可以任意选择一名橙色13品质伙伴</t>
    <phoneticPr fontId="1" type="noConversion"/>
  </si>
  <si>
    <t>打开后将会随机获得一名橙色13品质的伙伴</t>
    <phoneticPr fontId="1" type="noConversion"/>
  </si>
  <si>
    <t>打开后可以随机获得一枚橙色装备碎片</t>
    <phoneticPr fontId="1" type="noConversion"/>
  </si>
  <si>
    <t>可选一件降魔装备（橙色）</t>
    <phoneticPr fontId="1" type="noConversion"/>
  </si>
  <si>
    <t>可选一件天罡装备（橙色）</t>
    <phoneticPr fontId="1" type="noConversion"/>
  </si>
  <si>
    <t>可选一件封魔装备（紫色）</t>
    <phoneticPr fontId="1" type="noConversion"/>
  </si>
  <si>
    <t>可选一件磐石装备（紫色）</t>
    <phoneticPr fontId="1" type="noConversion"/>
  </si>
  <si>
    <t>打开后可以任意选择橙色装备一件</t>
    <phoneticPr fontId="1" type="noConversion"/>
  </si>
  <si>
    <t>打开后可以在孙悟空，紫霞，哪吒中选择一个</t>
    <phoneticPr fontId="1" type="noConversion"/>
  </si>
  <si>
    <t>打开后可以在孙悟空，紫霞，哪吒中选择一个</t>
    <phoneticPr fontId="1" type="noConversion"/>
  </si>
  <si>
    <t>(孙悟空,紫霞,哪吒)三选一</t>
    <phoneticPr fontId="1" type="noConversion"/>
  </si>
  <si>
    <t>首充极品橙将选择箱</t>
    <phoneticPr fontId="1" type="noConversion"/>
  </si>
  <si>
    <t>紫色法宝随机箱</t>
    <phoneticPr fontId="1" type="noConversion"/>
  </si>
  <si>
    <t>打开后随机获得1个带属性的紫色法宝</t>
  </si>
  <si>
    <t>打开后随机获得1个带属性的紫色法宝</t>
    <phoneticPr fontId="1" type="noConversion"/>
  </si>
  <si>
    <r>
      <t xml:space="preserve">物品图标                                                                     [字符串]                                                           </t>
    </r>
    <r>
      <rPr>
        <sz val="10"/>
        <color rgb="FFFF0000"/>
        <rFont val="微软雅黑"/>
        <family val="2"/>
        <charset val="134"/>
      </rPr>
      <t>调用game_res</t>
    </r>
    <phoneticPr fontId="1" type="noConversion"/>
  </si>
  <si>
    <r>
      <t xml:space="preserve">觉醒合成公式                                                                 [字符串]                                                                         觉醒道具ID|数量                                                </t>
    </r>
    <r>
      <rPr>
        <sz val="10"/>
        <color rgb="FF002060"/>
        <rFont val="微软雅黑"/>
        <family val="2"/>
        <charset val="134"/>
      </rPr>
      <t>调用game_items里面的觉醒道具id</t>
    </r>
    <phoneticPr fontId="1" type="noConversion"/>
  </si>
  <si>
    <t>橙16伙伴选择箱</t>
    <phoneticPr fontId="1" type="noConversion"/>
  </si>
  <si>
    <t>橙色伙伴宝箱</t>
    <phoneticPr fontId="1" type="noConversion"/>
  </si>
  <si>
    <t>橙13伙伴选择箱</t>
    <phoneticPr fontId="1" type="noConversion"/>
  </si>
  <si>
    <t>橙13伙伴随机*1 蓝色套装*1</t>
  </si>
  <si>
    <t>高级法宝碎片*20 精力之心*2</t>
  </si>
  <si>
    <t>高级法宝碎片*30 进阶丹*1000</t>
  </si>
  <si>
    <t>橙色装备碎片*20 神兵进阶石*400</t>
  </si>
  <si>
    <t>橙色装备选择箱*1 神兵进阶石*400</t>
  </si>
  <si>
    <t>橙色装备碎片*10 装备精炼石*800 洗练突破丹*100</t>
  </si>
  <si>
    <t>橙色装备碎片*20 装备精炼石*1200 洗练突破丹*200</t>
  </si>
  <si>
    <t>橙13伙伴碎片选择箱*60 精魄*2000 刷新令*150</t>
  </si>
  <si>
    <t>橙13伙伴碎片选择箱*100 精魄*3000 刷新令*200</t>
  </si>
  <si>
    <t>橙色法宝随机箱*15 法宝精炼石*1000</t>
  </si>
  <si>
    <t>橙色法宝随机箱*20 法宝精炼石*1200</t>
  </si>
  <si>
    <t>橙色法宝选择箱*10 神兵精华*80</t>
  </si>
  <si>
    <t>橙色装备选择箱*1 神兵精华*120</t>
  </si>
  <si>
    <t>顶级聚仙令</t>
  </si>
  <si>
    <t>可免费顶级聚仙一次</t>
  </si>
  <si>
    <t>打开后可以随机获得一个橙13伙伴</t>
    <phoneticPr fontId="1" type="noConversion"/>
  </si>
  <si>
    <t>凤鸣折翼剑碎片</t>
  </si>
  <si>
    <t>红莲岩泉碎片</t>
  </si>
  <si>
    <t>斗神镇狱棒碎片</t>
  </si>
  <si>
    <t>三尖两刃刀碎片</t>
  </si>
  <si>
    <t>玲珑天晶塔碎片</t>
  </si>
  <si>
    <t>明王摧城碎片</t>
  </si>
  <si>
    <t>上宝沁金钯碎片</t>
  </si>
  <si>
    <t>昆仑神木珠碎片</t>
  </si>
  <si>
    <t>浮沉三世碎片</t>
  </si>
  <si>
    <t>斩鬼流岩碎片</t>
  </si>
  <si>
    <t>修罗开山斧碎片</t>
  </si>
  <si>
    <t>如意金箍棒碎片</t>
  </si>
  <si>
    <t>如意鸾凤簪碎片</t>
  </si>
  <si>
    <t>绝魂领悟碎片</t>
  </si>
  <si>
    <t>降妖宝杖碎片</t>
  </si>
  <si>
    <t>天慧法杖碎片</t>
  </si>
  <si>
    <t>深海碎霜碎片</t>
  </si>
  <si>
    <t>焚焰溯流碎片</t>
  </si>
  <si>
    <t>追风紫罗带碎片</t>
  </si>
  <si>
    <t>碧海定沁丹碎片</t>
  </si>
  <si>
    <t>沉星芭蕉扇碎片</t>
  </si>
  <si>
    <t>白骨幡碎片</t>
  </si>
  <si>
    <t>紫青玄铁剑碎片</t>
  </si>
  <si>
    <t>羊脂玉净瓶碎片</t>
  </si>
  <si>
    <t>龙凤双环碎片</t>
  </si>
  <si>
    <t>真火子母枪碎片</t>
  </si>
  <si>
    <t>渊微凡尘碎片</t>
  </si>
  <si>
    <t>海王戟碎片</t>
  </si>
  <si>
    <t>混世蛇矛碎片</t>
  </si>
  <si>
    <t>流星拳碎片</t>
  </si>
  <si>
    <t>人参糖葫芦碎片</t>
  </si>
  <si>
    <t>逆流白龙吟碎片</t>
  </si>
  <si>
    <t>猕猴斩魄刀碎片</t>
  </si>
  <si>
    <t>判官笔碎片</t>
  </si>
  <si>
    <t>琴瑟琵琶碎片</t>
  </si>
  <si>
    <t>肚脐蛛网碎片</t>
  </si>
  <si>
    <t>相思醉碎片</t>
  </si>
  <si>
    <t>羊角画戟碎片</t>
  </si>
  <si>
    <t>凝神花碎片</t>
  </si>
  <si>
    <t>九环锡杖碎片</t>
  </si>
  <si>
    <t>吊莲仙灯碎片</t>
  </si>
  <si>
    <t>落樱神斧碎片</t>
  </si>
  <si>
    <t>增加梦魇入侵挑战次数</t>
    <phoneticPr fontId="1" type="noConversion"/>
  </si>
  <si>
    <t>[[3,[7]],[1,[53]]]</t>
  </si>
  <si>
    <t>女主角的神兵碎片</t>
  </si>
  <si>
    <t>哪吒的神兵碎片</t>
  </si>
  <si>
    <t>斗战胜佛的神兵碎片</t>
  </si>
  <si>
    <t>二郎神的神兵碎片</t>
  </si>
  <si>
    <t>托塔天王的神兵碎片</t>
  </si>
  <si>
    <t>虎力大仙的神兵碎片</t>
  </si>
  <si>
    <t>猪八戒的神兵碎片</t>
  </si>
  <si>
    <t>弥勒佛的神兵碎片</t>
  </si>
  <si>
    <t>金蝉子的神兵碎片</t>
  </si>
  <si>
    <t>黑无常的神兵碎片</t>
  </si>
  <si>
    <t>牛魔王的神兵碎片</t>
  </si>
  <si>
    <t>孙悟空的神兵碎片</t>
  </si>
  <si>
    <t>王母娘娘的神兵碎片</t>
  </si>
  <si>
    <t>白无常的神兵碎片</t>
  </si>
  <si>
    <t>沙和尚的神兵碎片</t>
  </si>
  <si>
    <t>文殊菩萨的神兵碎片</t>
  </si>
  <si>
    <t>龙帝的神兵碎片</t>
  </si>
  <si>
    <t>八部天龙的神兵碎片</t>
  </si>
  <si>
    <t>嫦娥的神兵碎片</t>
  </si>
  <si>
    <t>九天玄女的神兵碎片</t>
  </si>
  <si>
    <t>铁扇公主的神兵碎片</t>
  </si>
  <si>
    <t>白骨夫人的神兵碎片</t>
  </si>
  <si>
    <t>紫霞仙子的神兵碎片</t>
  </si>
  <si>
    <t>观世音的神兵碎片</t>
  </si>
  <si>
    <t>鹿力大仙的神兵碎片</t>
  </si>
  <si>
    <t>红孩儿的神兵碎片</t>
  </si>
  <si>
    <t>玉皇大帝的神兵碎片</t>
  </si>
  <si>
    <t>东海龙王的神兵碎片</t>
  </si>
  <si>
    <t>混世魔王的神兵碎片</t>
  </si>
  <si>
    <t>迦叶的神兵碎片</t>
  </si>
  <si>
    <t>人参娃的神兵碎片</t>
  </si>
  <si>
    <t>小白龙的神兵碎片</t>
  </si>
  <si>
    <t>六耳猕猴的神兵碎片</t>
  </si>
  <si>
    <t>阎罗王的神兵碎片</t>
  </si>
  <si>
    <t>蝎子精的神兵碎片</t>
  </si>
  <si>
    <t>蜘蛛精的神兵碎片</t>
  </si>
  <si>
    <t>女儿国国王的神兵碎片</t>
  </si>
  <si>
    <t>太白金星的神兵碎片</t>
  </si>
  <si>
    <t>羊力大仙的神兵碎片</t>
  </si>
  <si>
    <t>彩蝶仙童的神兵碎片</t>
  </si>
  <si>
    <t>唐三藏的神兵碎片</t>
  </si>
  <si>
    <t>引魂仙子的神兵碎片</t>
  </si>
  <si>
    <t>赤脚大仙的神兵碎片</t>
  </si>
  <si>
    <t>20个赤血战甲碎片可合成赤血战甲</t>
  </si>
  <si>
    <t>20个青锋长剑碎片可合成青锋长剑</t>
  </si>
  <si>
    <t>20个无影战靴碎片可合成无影战靴</t>
  </si>
  <si>
    <t>30个连云战甲碎片可合成连云战甲</t>
  </si>
  <si>
    <t>30个耀日头盔碎片可合成耀日头盔</t>
  </si>
  <si>
    <t>30个雷霆战靴碎片可合成雷霆战靴</t>
  </si>
  <si>
    <t>40个血魔战甲碎片可合成血魔战甲</t>
  </si>
  <si>
    <t>40个赤霄长剑碎片可合成赤霄长剑</t>
  </si>
  <si>
    <t>40个兽魂战靴碎片可合成兽魂战靴</t>
  </si>
  <si>
    <t>赤血战甲碎片</t>
  </si>
  <si>
    <t>青锋长剑碎片</t>
  </si>
  <si>
    <t>无影战靴碎片</t>
  </si>
  <si>
    <t>连云战甲碎片</t>
  </si>
  <si>
    <t>耀日头盔碎片</t>
  </si>
  <si>
    <t>雷霆战靴碎片</t>
  </si>
  <si>
    <t>血魔战甲碎片</t>
  </si>
  <si>
    <t>赤霄长剑碎片</t>
  </si>
  <si>
    <t>兽魂战靴碎片</t>
  </si>
  <si>
    <t>打开后可以任意选择一名橙色16品质辅助职业伙伴</t>
  </si>
  <si>
    <t>打开后可以任意选择一名橙色16品质辅助职业伙伴</t>
    <phoneticPr fontId="1" type="noConversion"/>
  </si>
  <si>
    <t>打开后可以随机获得一枚橙色装备碎片</t>
    <phoneticPr fontId="1" type="noConversion"/>
  </si>
  <si>
    <t>可选一件散件橙色装备（无套装属性）</t>
  </si>
  <si>
    <t>可选一件散件橙色装备（无套装属性）</t>
    <phoneticPr fontId="1" type="noConversion"/>
  </si>
  <si>
    <t>橙色装备随机箱</t>
    <phoneticPr fontId="1" type="noConversion"/>
  </si>
  <si>
    <t>打开后可以随机获一件橙色装备</t>
  </si>
  <si>
    <t>打开后可以随机获一件橙色装备</t>
    <phoneticPr fontId="1" type="noConversion"/>
  </si>
  <si>
    <t>橙色散装碎片选择箱</t>
    <phoneticPr fontId="1" type="noConversion"/>
  </si>
  <si>
    <t>打开后可以任意选择一枚散件橙色装备碎片</t>
  </si>
  <si>
    <t>打开后可以任意选择一枚散件橙色装备碎片</t>
    <phoneticPr fontId="1" type="noConversion"/>
  </si>
  <si>
    <t>紫色散装选择箱</t>
    <phoneticPr fontId="1" type="noConversion"/>
  </si>
  <si>
    <t>可选一件散件紫色装备（无套装属性）</t>
    <phoneticPr fontId="1" type="noConversion"/>
  </si>
  <si>
    <t>全套蓝色散装宝箱</t>
    <phoneticPr fontId="1" type="noConversion"/>
  </si>
  <si>
    <t>获得整套蓝色散件装备（4件）</t>
    <phoneticPr fontId="1" type="noConversion"/>
  </si>
  <si>
    <t>红色仙将碎片选择箱</t>
    <phoneticPr fontId="1" type="noConversion"/>
  </si>
  <si>
    <t>红色佛将碎片选择箱</t>
    <phoneticPr fontId="1" type="noConversion"/>
  </si>
  <si>
    <t>红色妖将碎片选择箱</t>
    <phoneticPr fontId="1" type="noConversion"/>
  </si>
  <si>
    <t>红色伙伴选择箱</t>
    <phoneticPr fontId="1" type="noConversion"/>
  </si>
  <si>
    <t>红色仙将选择箱</t>
    <phoneticPr fontId="1" type="noConversion"/>
  </si>
  <si>
    <t>红色佛将选择箱</t>
    <phoneticPr fontId="1" type="noConversion"/>
  </si>
  <si>
    <t>红色妖将选择箱</t>
    <phoneticPr fontId="1" type="noConversion"/>
  </si>
  <si>
    <t>选择1个红色仙族伙伴</t>
    <phoneticPr fontId="1" type="noConversion"/>
  </si>
  <si>
    <t>选择1个红色佛族伙伴碎片</t>
  </si>
  <si>
    <t>选择1个红色妖族伙伴碎片</t>
  </si>
  <si>
    <t>选择1个红色佛族伙伴</t>
    <phoneticPr fontId="1" type="noConversion"/>
  </si>
  <si>
    <t>选择1个红色妖族伙伴</t>
    <phoneticPr fontId="1" type="noConversion"/>
  </si>
  <si>
    <t>红色伙伴碎片选择箱</t>
    <phoneticPr fontId="1" type="noConversion"/>
  </si>
  <si>
    <t>红色伙伴碎片随机箱</t>
    <phoneticPr fontId="1" type="noConversion"/>
  </si>
  <si>
    <t>选择1个红色仙族伙伴碎片</t>
  </si>
  <si>
    <t>选择1个红色仙族伙伴碎片</t>
    <phoneticPr fontId="1" type="noConversion"/>
  </si>
  <si>
    <t>红色伙伴随机箱</t>
    <phoneticPr fontId="1" type="noConversion"/>
  </si>
  <si>
    <t>打开后随机获得1个红色伙伴碎片</t>
    <phoneticPr fontId="1" type="noConversion"/>
  </si>
  <si>
    <t>打开后随机获得1个红色伙伴</t>
    <phoneticPr fontId="1" type="noConversion"/>
  </si>
  <si>
    <t>太白金剑碎片</t>
    <phoneticPr fontId="1" type="noConversion"/>
  </si>
  <si>
    <t>集齐120个二郎神碎片可以合成二郎神</t>
  </si>
  <si>
    <t>集齐120个王母娘娘碎片可以合成王母娘娘</t>
  </si>
  <si>
    <t>集齐100个羊力大仙碎片可以合成羊力大仙</t>
  </si>
  <si>
    <t>集齐120个孙悟空碎片可以合成孙悟空</t>
  </si>
  <si>
    <t>集齐120个紫霞仙子碎片可以合成紫霞仙子</t>
  </si>
  <si>
    <t>集齐120个沙和尚碎片可以合成沙和尚</t>
  </si>
  <si>
    <t>集齐120个斗战胜佛碎片可以合成斗战胜佛</t>
  </si>
  <si>
    <t>道具获取途径模块ID
[字符串]
1：通天路
2：关卡获取
3：普通商铺
4：伙伴商铺
5：涅槃商铺
6：帮派商铺
7：灵台商铺
8：装备商铺
9：聚仙
10：灵饰抢夺</t>
  </si>
  <si>
    <t>商铺刷新令</t>
  </si>
  <si>
    <t>用于刷新商铺的商品</t>
  </si>
  <si>
    <t>蚩尤战甲碎片</t>
  </si>
  <si>
    <t>蚩尤长剑碎片</t>
  </si>
  <si>
    <t>蚩尤头盔碎片</t>
  </si>
  <si>
    <t>蚩尤战靴碎片</t>
  </si>
  <si>
    <t>60个蚩尤战甲碎片可合成蚩尤战甲</t>
  </si>
  <si>
    <t>60个蚩尤长剑碎片可合成蚩尤长剑</t>
  </si>
  <si>
    <t>60个蚩尤头盔碎片可合成蚩尤头盔</t>
  </si>
  <si>
    <t>60个蚩尤战靴碎片可合成蚩尤战靴</t>
  </si>
  <si>
    <t>chiyou_hujia</t>
  </si>
  <si>
    <t>chiyou_wuqi</t>
  </si>
  <si>
    <t>chiyou_toukui</t>
  </si>
  <si>
    <t>chiyou_xie</t>
  </si>
  <si>
    <t>合成消耗[整数]</t>
  </si>
  <si>
    <t>2|2081</t>
    <phoneticPr fontId="1" type="noConversion"/>
  </si>
  <si>
    <t>2|2082</t>
  </si>
  <si>
    <t>2|2083</t>
  </si>
  <si>
    <t>2|2084</t>
  </si>
  <si>
    <t>主角的神兵碎片</t>
  </si>
  <si>
    <t>主角的神兵碎片</t>
    <phoneticPr fontId="1" type="noConversion"/>
  </si>
  <si>
    <t>主角神兵碎片</t>
    <phoneticPr fontId="1" type="noConversion"/>
  </si>
  <si>
    <t>[]</t>
    <phoneticPr fontId="1" type="noConversion"/>
  </si>
  <si>
    <t>神兵突破必需的材料（进阶已达上限）</t>
    <phoneticPr fontId="1" type="noConversion"/>
  </si>
  <si>
    <t>神兵进阶必需的材料（无产出，不投放）</t>
    <phoneticPr fontId="1" type="noConversion"/>
  </si>
  <si>
    <t>根据职业选择1个红色伙伴</t>
  </si>
  <si>
    <t>根据职业选择1个红色伙伴</t>
    <phoneticPr fontId="1" type="noConversion"/>
  </si>
  <si>
    <t>根据阵营选择1个红色伙伴</t>
  </si>
  <si>
    <t>根据阵营选择1个红色伙伴</t>
    <phoneticPr fontId="1" type="noConversion"/>
  </si>
  <si>
    <t>近战红将选择箱</t>
    <phoneticPr fontId="1" type="noConversion"/>
  </si>
  <si>
    <t>远程红将选择箱</t>
    <phoneticPr fontId="1" type="noConversion"/>
  </si>
  <si>
    <t>选择1个近战型红色伙伴</t>
    <phoneticPr fontId="1" type="noConversion"/>
  </si>
  <si>
    <t>选择1个远程型红色伙伴</t>
    <phoneticPr fontId="1" type="noConversion"/>
  </si>
  <si>
    <t>橙16神兵碎片选择箱</t>
    <phoneticPr fontId="1" type="noConversion"/>
  </si>
  <si>
    <t>红色神兵碎片选择箱</t>
    <phoneticPr fontId="1" type="noConversion"/>
  </si>
  <si>
    <t>橙16仙将神兵选择箱</t>
  </si>
  <si>
    <t>橙16佛将神兵选择箱</t>
  </si>
  <si>
    <t>橙16妖将神兵选择箱</t>
  </si>
  <si>
    <t>橙13仙将神兵选择箱</t>
  </si>
  <si>
    <t>橙13佛将神兵选择箱</t>
  </si>
  <si>
    <t>橙13妖将神兵选择箱</t>
  </si>
  <si>
    <t>选择一个16品仙族神兵碎片</t>
  </si>
  <si>
    <t>选择一个16品佛族神兵碎片</t>
  </si>
  <si>
    <t>选择一个16品妖族神兵碎片</t>
  </si>
  <si>
    <t>选择一个13品仙族神兵碎片</t>
  </si>
  <si>
    <t>选择一个13品佛族神兵碎片</t>
  </si>
  <si>
    <t>选择一个13品妖族神兵碎片</t>
  </si>
  <si>
    <t>根据阵营选择橙16品神兵碎片</t>
  </si>
  <si>
    <t>根据阵营选择橙13品神兵碎片</t>
  </si>
  <si>
    <t>根据阵营选择1个红色神兵碎片</t>
  </si>
  <si>
    <t>红色神兵碎片随机箱</t>
    <phoneticPr fontId="1" type="noConversion"/>
  </si>
  <si>
    <t>橙16神兵碎片随机箱</t>
    <phoneticPr fontId="1" type="noConversion"/>
  </si>
  <si>
    <t>橙13神兵碎片随机箱</t>
    <phoneticPr fontId="1" type="noConversion"/>
  </si>
  <si>
    <t>随机获得1个红色神兵碎片</t>
  </si>
  <si>
    <t>随机获得1个红色神兵碎片</t>
    <phoneticPr fontId="1" type="noConversion"/>
  </si>
  <si>
    <t>随机获得1个橙16神兵碎片</t>
  </si>
  <si>
    <t>随机获得1个橙16神兵碎片</t>
    <phoneticPr fontId="1" type="noConversion"/>
  </si>
  <si>
    <t>随机获得1个橙13神兵碎片</t>
  </si>
  <si>
    <t>随机获得1个橙13神兵碎片</t>
    <phoneticPr fontId="1" type="noConversion"/>
  </si>
  <si>
    <t>物品使用等级
[整数]</t>
    <phoneticPr fontId="1" type="noConversion"/>
  </si>
  <si>
    <t>橙13神兵碎片选择箱</t>
    <phoneticPr fontId="1" type="noConversion"/>
  </si>
  <si>
    <t>梦魇挑战令</t>
    <phoneticPr fontId="1" type="noConversion"/>
  </si>
  <si>
    <t>打开后可以在混世魔王，东海龙王，迦叶中选择一个</t>
  </si>
  <si>
    <t>打开后可以在混世魔王，东海龙王，迦叶中选择一个</t>
    <phoneticPr fontId="1" type="noConversion"/>
  </si>
  <si>
    <t>琥珀</t>
    <phoneticPr fontId="1" type="noConversion"/>
  </si>
  <si>
    <t>[]</t>
    <phoneticPr fontId="1" type="noConversion"/>
  </si>
  <si>
    <t>[]</t>
    <phoneticPr fontId="1" type="noConversion"/>
  </si>
  <si>
    <r>
      <t xml:space="preserve">物品跳转和使用类型[整数]
1.装备碎片（装备栏）
2.伙伴碎片（伙伴栏）
3.灵饰碎片（灵饰栏）
</t>
    </r>
    <r>
      <rPr>
        <sz val="10"/>
        <color theme="0" tint="-0.34998626667073579"/>
        <rFont val="微软雅黑"/>
        <family val="2"/>
        <charset val="134"/>
      </rPr>
      <t>4.使用类药水（背包栏）</t>
    </r>
    <r>
      <rPr>
        <sz val="10"/>
        <color indexed="8"/>
        <rFont val="微软雅黑"/>
        <family val="2"/>
        <charset val="134"/>
      </rPr>
      <t xml:space="preserve">
5.宝箱（背包栏）
6.装备强化道具（背包栏）
7.灵饰强化道具（背包栏）
8.角色强化道具（背包栏）
9.商品（背包栏）
10.觉醒道具（觉醒栏）
11.保护符（背包栏）
12.变身系统道具（跳转到变身）
13.元神（变身术）</t>
    </r>
    <r>
      <rPr>
        <b/>
        <sz val="10"/>
        <color rgb="FFFF0000"/>
        <rFont val="微软雅黑"/>
        <family val="2"/>
        <charset val="134"/>
      </rPr>
      <t xml:space="preserve">
14-多选1宝箱\礼盒（背包栏）
</t>
    </r>
    <r>
      <rPr>
        <sz val="10"/>
        <rFont val="微软雅黑"/>
        <family val="2"/>
        <charset val="134"/>
      </rPr>
      <t xml:space="preserve">15-聚仙主界面
</t>
    </r>
    <r>
      <rPr>
        <b/>
        <sz val="10"/>
        <color rgb="FFFF0000"/>
        <rFont val="微软雅黑"/>
        <family val="2"/>
        <charset val="134"/>
      </rPr>
      <t xml:space="preserve">16-给法宝等显示tips用的，物品类型不许用这个type
</t>
    </r>
    <r>
      <rPr>
        <b/>
        <sz val="10"/>
        <rFont val="微软雅黑"/>
        <family val="2"/>
        <charset val="134"/>
      </rPr>
      <t>17-选择宝箱（选择后面reward字段配置的奖励）</t>
    </r>
    <r>
      <rPr>
        <b/>
        <sz val="10"/>
        <color rgb="FFFF0000"/>
        <rFont val="微软雅黑"/>
        <family val="2"/>
        <charset val="134"/>
      </rPr>
      <t xml:space="preserve">
20-给装备等显示tips用的，物品类型不许用这个type
21-神兵碎片</t>
    </r>
    <phoneticPr fontId="1" type="noConversion"/>
  </si>
  <si>
    <t>[[3,[2,3,5]]]</t>
    <phoneticPr fontId="1" type="noConversion"/>
  </si>
  <si>
    <t>[[3,[3,5]]]</t>
    <phoneticPr fontId="1" type="noConversion"/>
  </si>
  <si>
    <t>物品ID
角色碎片10001~11000
装备碎片11001~12000
灵饰碎片12001~13000
涅槃碎片13001~14000
道具14001~15000
精炼16001~16500
主角进阶16501-17000</t>
    <phoneticPr fontId="1" type="noConversion"/>
  </si>
  <si>
    <t>打开获得整套的破魔装备（4件）</t>
  </si>
  <si>
    <t>打开获得整套的破魔装备（4件）</t>
    <phoneticPr fontId="1" type="noConversion"/>
  </si>
  <si>
    <t>打开获得整套的护卫装备（4件）</t>
  </si>
  <si>
    <t>打开获得整套的护卫装备（4件）</t>
    <phoneticPr fontId="1" type="noConversion"/>
  </si>
  <si>
    <t>橙16辅助伙伴选择箱</t>
    <phoneticPr fontId="1" type="noConversion"/>
  </si>
  <si>
    <t>橙色防御伙伴礼包</t>
    <phoneticPr fontId="1" type="noConversion"/>
  </si>
  <si>
    <t>橙13伙伴碎片箱</t>
    <phoneticPr fontId="1" type="noConversion"/>
  </si>
  <si>
    <t>橙16伙伴碎片箱</t>
    <phoneticPr fontId="1" type="noConversion"/>
  </si>
  <si>
    <t>随机获得1个橙13伙伴碎片</t>
  </si>
  <si>
    <t>随机获得1个橙16伙伴碎片</t>
  </si>
  <si>
    <t>随机获得1个橙色伙伴碎片</t>
  </si>
  <si>
    <t>随机获得1个橙色伙伴碎片</t>
    <phoneticPr fontId="1" type="noConversion"/>
  </si>
  <si>
    <t>神兵进阶主要的材料</t>
  </si>
  <si>
    <t>神兵进阶主要的材料</t>
    <phoneticPr fontId="1" type="noConversion"/>
  </si>
  <si>
    <t>元旦彩蛋</t>
    <phoneticPr fontId="1" type="noConversion"/>
  </si>
  <si>
    <t>从斗战胜佛，二郎神，孙悟空中选择一个</t>
    <phoneticPr fontId="1" type="noConversion"/>
  </si>
  <si>
    <t>从紫霞仙子，王母娘娘，沙和尚中选择一个</t>
    <phoneticPr fontId="1" type="noConversion"/>
  </si>
  <si>
    <t>近战红将碎片选择箱</t>
    <phoneticPr fontId="1" type="noConversion"/>
  </si>
  <si>
    <t>远程红将碎片选择箱</t>
    <phoneticPr fontId="1" type="noConversion"/>
  </si>
  <si>
    <t>选择1个近战型红色伙伴碎片</t>
    <phoneticPr fontId="1" type="noConversion"/>
  </si>
  <si>
    <t>选择1个远程型红色伙伴碎片</t>
    <phoneticPr fontId="1" type="noConversion"/>
  </si>
  <si>
    <t>从斗战胜佛，二郎神，孙悟空中选择1个伙伴碎片</t>
    <phoneticPr fontId="1" type="noConversion"/>
  </si>
  <si>
    <t>从紫霞仙子，王母娘娘，沙和尚中选择1个伙伴碎片</t>
    <phoneticPr fontId="1" type="noConversion"/>
  </si>
  <si>
    <t>打开后可以在彩蝶仙童，女儿国国王，太白金星中选择一个</t>
  </si>
  <si>
    <t>打开后可以在彩蝶仙童，女儿国国王，太白金星中选择一个</t>
    <phoneticPr fontId="1" type="noConversion"/>
  </si>
  <si>
    <t>使用后有惊喜，欢欢喜喜过新年！</t>
  </si>
  <si>
    <t>使用后有惊喜，欢欢喜喜过新年！</t>
    <phoneticPr fontId="1" type="noConversion"/>
  </si>
  <si>
    <t>红色法宝碎片选择箱</t>
    <phoneticPr fontId="1" type="noConversion"/>
  </si>
  <si>
    <t>选择获得1个红色法宝碎片</t>
  </si>
  <si>
    <t>选择获得1个红色法宝碎片</t>
    <phoneticPr fontId="1" type="noConversion"/>
  </si>
  <si>
    <t>红色法宝选择箱</t>
    <phoneticPr fontId="1" type="noConversion"/>
  </si>
  <si>
    <t>红色装备碎片选择箱</t>
    <phoneticPr fontId="1" type="noConversion"/>
  </si>
  <si>
    <t>红色装备选择箱</t>
    <phoneticPr fontId="1" type="noConversion"/>
  </si>
  <si>
    <t>选择获得1个红色装备碎片</t>
  </si>
  <si>
    <t>[[1,[47]]]</t>
  </si>
  <si>
    <t>新服彩蛋</t>
    <phoneticPr fontId="1" type="noConversion"/>
  </si>
  <si>
    <t>橙色散装选择箱</t>
    <phoneticPr fontId="1" type="noConversion"/>
  </si>
  <si>
    <t>橙色套装选择箱</t>
    <phoneticPr fontId="1" type="noConversion"/>
  </si>
  <si>
    <t>降魔套装选择箱</t>
    <phoneticPr fontId="1" type="noConversion"/>
  </si>
  <si>
    <t>天罡套装选择箱</t>
    <phoneticPr fontId="1" type="noConversion"/>
  </si>
  <si>
    <t>选择1个红色伙伴碎片</t>
    <phoneticPr fontId="1" type="noConversion"/>
  </si>
  <si>
    <t>选择1个红色伙伴碎片</t>
    <phoneticPr fontId="1" type="noConversion"/>
  </si>
  <si>
    <t>欢迎来到《大圣不取经》，使用后有惊喜！</t>
  </si>
  <si>
    <t>欢迎来到《大圣不取经》，使用后有惊喜！</t>
    <phoneticPr fontId="1" type="noConversion"/>
  </si>
  <si>
    <t>选择获得1个红色装备</t>
  </si>
  <si>
    <t>选择获得1个红色装备</t>
    <phoneticPr fontId="1" type="noConversion"/>
  </si>
  <si>
    <t>打开后选择获得降魔套装选择箱x1或天罡套装选择箱x1</t>
  </si>
  <si>
    <t>打开后选择获得降魔套装选择箱x1或天罡套装选择箱x1</t>
    <phoneticPr fontId="1" type="noConversion"/>
  </si>
  <si>
    <t>随机获取高品质装备碎片，一定几率获得完整蓝装</t>
  </si>
  <si>
    <t>随机获取高品质装备碎片，一定几率获得完整蓝装</t>
    <phoneticPr fontId="1" type="noConversion"/>
  </si>
  <si>
    <t>聚魂珠</t>
    <phoneticPr fontId="1" type="noConversion"/>
  </si>
  <si>
    <t>打开后随机获得5~15点魂珠</t>
  </si>
  <si>
    <t>打开后随机获得5~15点魂珠</t>
    <phoneticPr fontId="1" type="noConversion"/>
  </si>
  <si>
    <t>[[1,[64]]]</t>
    <phoneticPr fontId="1" type="noConversion"/>
  </si>
  <si>
    <t>观世音碎片(废弃)</t>
    <phoneticPr fontId="1" type="noConversion"/>
  </si>
  <si>
    <t>[[1,[48]]]</t>
  </si>
  <si>
    <t>[[1,[15]],[3,[4]],[2,[10059,10119]]]</t>
  </si>
  <si>
    <t>[[1,[15]],[3,[4]],[2,[10060,10120]]]</t>
  </si>
  <si>
    <t>[[1,[15]],[3,[4]],[2,[10050,10110]]]</t>
  </si>
  <si>
    <t>[[1,[15]],[3,[4]],[2,[10049,10109]]]</t>
  </si>
  <si>
    <t>[[1,[15]],[3,[4]],[2,[10099,10159]]]</t>
  </si>
  <si>
    <t>[[1,[15]],[3,[4]],[2,[10100,10160]]]</t>
  </si>
  <si>
    <t>[[1,[15]],[3,[4]],[2,[10090,10150]]]</t>
  </si>
  <si>
    <t>[[1,[15]],[3,[4]],[2,[10089,10149]]]</t>
  </si>
  <si>
    <t>[[1,[15]],[3,[4]],[2,[10079,10139]]]</t>
  </si>
  <si>
    <t>[[1,[15]],[3,[4]],[2,[10080,10140]]]</t>
  </si>
  <si>
    <t>[[1,[15]],[3,[4]],[2,[10070,10130]]]</t>
  </si>
  <si>
    <t>[[1,[15]],[3,[4]],[2,[10069,10129]]]</t>
  </si>
  <si>
    <t>[[1,[15]],[3,[4]],[2,[10179,10239,10299,10359]]]</t>
  </si>
  <si>
    <t>[[1,[15]],[3,[4]],[2,[10180,10240,10300,10360]]]</t>
  </si>
  <si>
    <t>[[1,[15]],[3,[4]],[2,[10170,10230,10290,10350]]]</t>
  </si>
  <si>
    <t>[[1,[15]],[3,[4]],[2,[10169,10229,10289,10349]]]</t>
  </si>
  <si>
    <t>[[1,[15]],[3,[4]],[2,[10199,10259,10319,10379]]]</t>
  </si>
  <si>
    <t>[[1,[15]],[3,[4]],[2,[10200,10260,10320,10380]]]</t>
  </si>
  <si>
    <t>[[1,[15]],[3,[4]],[2,[10190,10250,10310,10370]]]</t>
  </si>
  <si>
    <t>[[1,[15]],[3,[4]],[2,[10189,10249,10309,10369]]]</t>
  </si>
  <si>
    <t>[[1,[15]],[3,[4]],[2,[10219,10279,10339,10399]]]</t>
  </si>
  <si>
    <t>[[1,[15]],[3,[4]],[2,[10220,10280,10340,10400]]]</t>
  </si>
  <si>
    <t>[[1,[15]],[3,[4]],[2,[10210,10270,10330,10390]]]</t>
  </si>
  <si>
    <t>[[1,[15]],[3,[4]],[2,[10209,10269,10329,10389]]]</t>
  </si>
  <si>
    <t>将6</t>
  </si>
  <si>
    <t>将3</t>
    <phoneticPr fontId="1" type="noConversion"/>
  </si>
  <si>
    <t>将4</t>
  </si>
  <si>
    <t>将5</t>
  </si>
  <si>
    <t>伙伴3</t>
  </si>
  <si>
    <t>伙伴4</t>
  </si>
  <si>
    <t>伙伴5</t>
  </si>
  <si>
    <t>伙伴6</t>
  </si>
  <si>
    <t>神兵3</t>
  </si>
  <si>
    <t>神兵4</t>
  </si>
  <si>
    <t>神兵5</t>
  </si>
  <si>
    <t>神兵6</t>
  </si>
  <si>
    <t>装3</t>
  </si>
  <si>
    <t>装4</t>
  </si>
  <si>
    <t>装5</t>
  </si>
  <si>
    <t>装6</t>
  </si>
  <si>
    <t>法宝3</t>
  </si>
  <si>
    <t>法宝4</t>
  </si>
  <si>
    <t>法宝5</t>
  </si>
  <si>
    <t>法宝6</t>
  </si>
  <si>
    <t>法宝2</t>
    <phoneticPr fontId="1" type="noConversion"/>
  </si>
  <si>
    <t>装2</t>
  </si>
  <si>
    <t>神兵2</t>
    <phoneticPr fontId="1" type="noConversion"/>
  </si>
  <si>
    <t>将2</t>
  </si>
  <si>
    <t>伙伴2</t>
    <phoneticPr fontId="1" type="noConversion"/>
  </si>
  <si>
    <t>腊八粥</t>
  </si>
  <si>
    <t>选择获得1个红色法宝</t>
  </si>
  <si>
    <t>选择获得1个红色法宝</t>
    <phoneticPr fontId="1" type="noConversion"/>
  </si>
  <si>
    <t>[[3,[1,4]],[1,[40]]]</t>
    <phoneticPr fontId="1" type="noConversion"/>
  </si>
  <si>
    <t>[]</t>
    <phoneticPr fontId="1" type="noConversion"/>
  </si>
  <si>
    <t>小拳拳</t>
    <phoneticPr fontId="1" type="noConversion"/>
  </si>
  <si>
    <t>节日的祝福，使用后获得惊喜小礼品！</t>
  </si>
  <si>
    <t>节日的祝福，使用后获得惊喜小礼品！</t>
    <phoneticPr fontId="1" type="noConversion"/>
  </si>
  <si>
    <t>秘制而成的腊八粥，可在腊八兑换活动中换取稀有物品！</t>
  </si>
  <si>
    <t>秘制而成的腊八粥，可在腊八兑换活动中换取稀有物品！</t>
    <phoneticPr fontId="1" type="noConversion"/>
  </si>
  <si>
    <t>[[1,[48]]]</t>
    <phoneticPr fontId="1" type="noConversion"/>
  </si>
  <si>
    <t>[[1,[47]],[3,[2]],[2,[10240,10390,10540,10690,10840,10990,11140,11290]]]</t>
  </si>
  <si>
    <t>[[1,[47]],[3,[2]],[2,[10130,10280,10430,10580,10730,10880,11030,11180]]]</t>
  </si>
  <si>
    <t>[[1,[47]],[3,[2]],[2,[10139,10349,10559,10769,10979,11189]]]</t>
  </si>
  <si>
    <t>[[1,[47]],[3,[2]],[2,[10199,10409,10619,10829,11039,11249]]]</t>
  </si>
  <si>
    <t>[[1,[47]],[3,[2]],[2,[10210,10360,10510,10660,10810,10960,11110,11260]]]</t>
  </si>
  <si>
    <t>[[1,[47]],[3,[2]],[2,[10129,10339,10549,10759,10969,11179]]]</t>
  </si>
  <si>
    <t>[[1,[47]],[3,[2]],[2,[10270,10420,10570,10720,10870,11020,11170,11320]]]</t>
  </si>
  <si>
    <t>[[1,[47]],[3,[2]],[2,[10170,10320,10470,10620,10770,10920,11070,11220]]]</t>
  </si>
  <si>
    <t>[[1,[47]],[3,[2]],[2,[10200,10350,10500,10650,10800,10950,11100,11250]]]</t>
  </si>
  <si>
    <t>[[1,[47]],[3,[2]],[2,[10179,10389,10599,10809,11019,11229]]]</t>
  </si>
  <si>
    <t>[[1,[47]],[3,[2]],[2,[10150,10300,10450,10600,10750,10900,11050,11200]]]</t>
  </si>
  <si>
    <t>[[1,[47]],[3,[2]],[2,[10239,10449,10659,10869,11079,11289]]]</t>
  </si>
  <si>
    <t>[[1,[47]],[3,[2]],[2,[10169,10379,10589,10799,11009,11219]]]</t>
  </si>
  <si>
    <t>[[1,[47]],[3,[2]],[2,[10190,10340,10490,10640,10790,10940,11090,11240]]]</t>
  </si>
  <si>
    <t>[[1,[47]],[3,[2]],[2,[10159,10369,10579,10789,10999,11209]]]</t>
  </si>
  <si>
    <t>[[1,[47]],[3,[2]],[2,[10189,10399,10609,10819,11029,11239]]]</t>
  </si>
  <si>
    <t>[[1,[47]],[3,[2]],[2,[10220,10370,10520,10670,10820,10970,11120,11270]]]</t>
  </si>
  <si>
    <t>[[1,[47]],[3,[2]],[2,[10196,10376,10556,10736,10916,11096,11276]]]</t>
  </si>
  <si>
    <t>[[1,[47]],[3,[2]],[2,[10209,10419,10629,10839,11049,11259]]]</t>
  </si>
  <si>
    <t>[[1,[47]],[3,[2]],[2,[10086,10266,10446,10626,10806,10986,11166]]]</t>
  </si>
  <si>
    <t>[[1,[47]],[3,[2]],[2,[10219,10429,10639,10849,11059,11269]]]</t>
  </si>
  <si>
    <t>[[1,[47]],[3,[2]],[2,[10229,10439,10649,10859,11069,11279]]]</t>
  </si>
  <si>
    <t>[[1,[47]],[3,[2]],[2,[10076,10256,10436,10616,10796,10976,11156]]]</t>
  </si>
  <si>
    <t>[[1,[47]],[3,[2]],[2,[10066,10246,10426,10606,10786,10966,11146]]]</t>
  </si>
  <si>
    <t>[[1,[47]],[3,[2]],[2,[10056,10236,10416,10596,10776,10956,11136]]]</t>
  </si>
  <si>
    <t>[[1,[47]],[3,[2]],[2,[10149,10359,10569,10779,10989,11199]]]</t>
  </si>
  <si>
    <t>[[1,[47]],[3,[2]],[2,[10046,10226,10406,10586,10766,10946,11126,11316]]]</t>
  </si>
  <si>
    <t>[[1,[47]],[3,[2]],[2,[10036,10216,10396,10576,10756,10936,11116,11306]]]</t>
  </si>
  <si>
    <t>[[1,[47]],[3,[2]],[2,[10250,10400,10550,10700,10850,11000,11150,11300]]]</t>
  </si>
  <si>
    <t>[[1,[47]],[3,[2]],[2,[10180,10330,10480,10630,10780,10930,11080,11230]]]</t>
  </si>
  <si>
    <t>[[1,[47]],[3,[2]],[2,[10260,10410,10560,10710,10860,11010,11160,11310]]]</t>
  </si>
  <si>
    <t>[[1,[47]],[3,[2]],[2,[10160,10310,10460,10610,10760,10910,11060,11210]]]</t>
  </si>
  <si>
    <t>[[1,[47]],[3,[2]],[2,[10230,10380,10530,10680,10830,10980,11130,11280]]]</t>
  </si>
  <si>
    <t>[[1,[47]],[3,[2]],[2,[10140,10290,10440,10590,10740,10890,11040,11190]]]</t>
  </si>
  <si>
    <t>[[1,[47]],[3,[2]],[2,[10025,10206,10386,10566,10746,10926,11106,11296]]]</t>
  </si>
  <si>
    <t>[[1,[15]],[3,[4]],[2,[10419,10479,10539,10599,10659,10719,10779,10839,10899,10959,11019,11079,11139,11199,11259,11319]]]</t>
  </si>
  <si>
    <t>[[1,[15]],[3,[4]],[2,[10420,10480,10540,10600,10660,10720,10780,10840,10900,10960,11020,11080,11140,11200,11260,11320]]]</t>
  </si>
  <si>
    <t>[[1,[15]],[3,[4]],[2,[10410,10470,10530,10590,10650,10710,10770,10830,10890,10950,11010,11070,11130,11190,11250,11310]]]</t>
  </si>
  <si>
    <t>[[1,[15]],[3,[4]],[2,[10409,10469,10529,10589,10649,10709,10769,10829,10889,10949,11009,11069,11129,11189,11249,11309]]]</t>
  </si>
  <si>
    <t>[[1,[15]],[3,[4]],[2,[10439,10499,10559,10619,10679,10739,10799,10859,10919,10979,11039,11099,11159,11219,11279]]]</t>
  </si>
  <si>
    <t>[[1,[15]],[3,[4]],[2,[10440,10500,10560,10620,10680,10740,10800,10860,10920,10980,11040,11100,11160,11220,11280]]]</t>
  </si>
  <si>
    <t>[[1,[15]],[3,[4]],[2,[10430,10490,10550,10610,10670,10730,10790,10850,10910,10970,11030,11090,11150,11210,11270]]]</t>
  </si>
  <si>
    <t>[[1,[15]],[3,[4]],[2,[10429,10489,10549,10609,10669,10729,10789,10849,10909,10969,11029,11089,11149,11209,11269]]]</t>
  </si>
  <si>
    <t>[[1,[15]],[3,[4]],[2,[10459,10519,10579,10639,10699,10759,10819,10879,10939,10999,11059,11119,11179,11239,11299]]]</t>
  </si>
  <si>
    <t>[[1,[15]],[3,[4]],[2,[10460,10520,10580,10640,10700,10760,10820,10880,10940,11000,11060,11120,11180,11240,11300]]]</t>
  </si>
  <si>
    <t>[[1,[15]],[3,[4]],[2,[10450,10510,10570,10630,10690,10750,10810,10870,10930,10990,11050,11110,11170,11230,11290]]]</t>
  </si>
  <si>
    <t>[[1,[15]],[3,[4]],[2,[10449,10509,10569,10629,10689,10749,10809,10869,10929,10989,11049,11109,11169,11229,11289]]]</t>
  </si>
  <si>
    <t>[[1,[47]],[3,[2]],[2,[10040,10249,10459,10669,10879,11089,11299]]]</t>
  </si>
  <si>
    <t>[[1,[47]],[3,[2]],[2,[10120,10329,10539,10749,10959,11169]]]</t>
  </si>
  <si>
    <t>[[1,[47]],[3,[2]],[2,[10039,10106,10286,10466,10646,10826,11006,11186]]]</t>
  </si>
  <si>
    <t>[[1,[47]],[3,[2]],[2,[10100,10309,10519,10729,10939,11149]]]</t>
  </si>
  <si>
    <t>[[1,[47]],[3,[2]],[2,[10060,10269,10479,10689,10899,11109,11319]]]</t>
  </si>
  <si>
    <t>[[1,[47]],[3,[2]],[2,[10028,10096,10276,10456,10636,10816,10996,11176]]]</t>
  </si>
  <si>
    <t>[[1,[47]],[3,[2]],[2,[10070,10279,10489,10699,10909,11119]]]</t>
  </si>
  <si>
    <t>[[1,[47]],[3,[2]],[2,[10119,10186,10366,10546,10726,10906,11086,11266]]]</t>
  </si>
  <si>
    <t>[[1,[47]],[3,[2]],[2,[10109,10176,10356,10536,10716,10896,11076,11256]]]</t>
  </si>
  <si>
    <t>[[1,[47]],[3,[2]],[2,[10099,10166,10346,10526,10706,10886,11066,11246]]]</t>
  </si>
  <si>
    <t>[[1,[47]],[3,[2]],[2,[10089,10156,10336,10516,10696,10876,11056,11236,11286]]]</t>
  </si>
  <si>
    <t>[[1,[47]],[3,[2]],[2,[10079,10146,10326,10506,10686,10866,11046,11226]]]</t>
  </si>
  <si>
    <t>[[1,[47]],[3,[2]],[2,[10080,10289,10499,10709,10919,11129]]]</t>
  </si>
  <si>
    <t>[[1,[47]],[3,[2]],[2,[10069,10136,10316,10496,10676,10856,11036,11216]]]</t>
  </si>
  <si>
    <t>[[1,[47]],[3,[2]],[2,[10059,10126,10306,10486,10666,10846,11026,11206]]]</t>
  </si>
  <si>
    <t>[[1,[47]],[3,[2]],[2,[10110,10319,10529,10739,10949,11159]]]</t>
  </si>
  <si>
    <t>[[1,[47]],[3,[2]],[2,[10090,10299,10509,10719,10929,11139]]]</t>
  </si>
  <si>
    <t>[[1,[47]],[3,[2]],[2,[10050,10259,10469,10679,10889,11099,11309]]]</t>
  </si>
  <si>
    <t>[[1,[47]],[3,[2]],[2,[10049,10116,10296,10476,10656,10836,11016,11196]]]</t>
  </si>
  <si>
    <t>红色伙伴精华</t>
  </si>
  <si>
    <t>红色装备精华</t>
    <phoneticPr fontId="1" type="noConversion"/>
  </si>
  <si>
    <t>红色神兵精华</t>
    <phoneticPr fontId="1" type="noConversion"/>
  </si>
  <si>
    <t>兑换红色伙伴的珍惜材料</t>
  </si>
  <si>
    <t>兑换红色伙伴的珍惜材料</t>
    <phoneticPr fontId="1" type="noConversion"/>
  </si>
  <si>
    <t>兑换红色装备的珍惜材料</t>
  </si>
  <si>
    <t>兑换红色装备的珍惜材料</t>
    <phoneticPr fontId="1" type="noConversion"/>
  </si>
  <si>
    <t>兑换红色神兵碎片的珍惜材料</t>
  </si>
  <si>
    <t>兑换红色神兵碎片的珍惜材料</t>
    <phoneticPr fontId="1" type="noConversion"/>
  </si>
  <si>
    <t>在琥珀商铺中兑换稀有物品的道具</t>
  </si>
  <si>
    <t>第一帮会礼包</t>
    <phoneticPr fontId="1" type="noConversion"/>
  </si>
  <si>
    <t>第二帮会礼包</t>
    <phoneticPr fontId="1" type="noConversion"/>
  </si>
  <si>
    <t>第三帮会礼包</t>
    <phoneticPr fontId="1" type="noConversion"/>
  </si>
  <si>
    <t>猴毛</t>
    <phoneticPr fontId="1" type="noConversion"/>
  </si>
  <si>
    <t>可以抵扣任意1次72变转换消耗</t>
  </si>
  <si>
    <t>可以抵扣任意1次72变转换消耗</t>
    <phoneticPr fontId="1" type="noConversion"/>
  </si>
  <si>
    <t>[[1,[48]],[3,[16,5]]]</t>
  </si>
  <si>
    <t>打开后获得帮会贡献*2000，威望*2000，元宝*300</t>
    <phoneticPr fontId="1" type="noConversion"/>
  </si>
  <si>
    <t>打开后获得帮会贡献*1500，威望*1500，元宝*250</t>
    <phoneticPr fontId="1" type="noConversion"/>
  </si>
  <si>
    <t>打开后获得帮会贡献*1000，威望*1000，元宝*200</t>
    <phoneticPr fontId="1" type="noConversion"/>
  </si>
  <si>
    <t>第1帮会礼包（跨服）</t>
  </si>
  <si>
    <t>第2-3帮会礼包（跨服）</t>
  </si>
  <si>
    <t>第4-5帮会礼包（跨服）</t>
  </si>
  <si>
    <t>第6-10帮会礼包（跨服）</t>
  </si>
  <si>
    <t>打开后获得帮会贡献*2000，威望*1000，元宝*200</t>
    <phoneticPr fontId="1" type="noConversion"/>
  </si>
  <si>
    <t>打开后获得帮会贡献*1800，威望*800，元宝*150</t>
    <phoneticPr fontId="1" type="noConversion"/>
  </si>
  <si>
    <t>打开后获得帮会贡献*1500，威望*500，元宝*100</t>
    <phoneticPr fontId="1" type="noConversion"/>
  </si>
  <si>
    <t>打开后获得帮会贡献*1500，威望*500，元宝*150</t>
    <phoneticPr fontId="1" type="noConversion"/>
  </si>
  <si>
    <t>春节礼盒</t>
  </si>
  <si>
    <t>迎新年特制礼盒，打开后可以获得惊喜礼物。</t>
  </si>
  <si>
    <t>春节红包</t>
  </si>
  <si>
    <t>充满年味的饺子，在节日兑换中使用。</t>
  </si>
  <si>
    <t>饺子</t>
    <phoneticPr fontId="1" type="noConversion"/>
  </si>
  <si>
    <t>中国结</t>
  </si>
  <si>
    <t>代表着团结幸福平安的中国结，在节日兑换中使用。</t>
  </si>
  <si>
    <t>红灯笼</t>
  </si>
  <si>
    <t>欢庆佳节！在节日兑换中使用。</t>
  </si>
  <si>
    <t>庆贺用的炮竹，在节日兑换中使用。</t>
  </si>
  <si>
    <t>炮竹</t>
  </si>
  <si>
    <t>欢度元宵！在节日兑换中使用。</t>
  </si>
  <si>
    <t>汤圆</t>
    <phoneticPr fontId="1" type="noConversion"/>
  </si>
  <si>
    <t>新年特制红包，有几率获得18元宝、88元宝或888元宝惊喜过新年。</t>
  </si>
  <si>
    <t>新年特制红包，有几率获得18元宝、88元宝或888元宝惊喜过新年。</t>
    <phoneticPr fontId="1" type="noConversion"/>
  </si>
  <si>
    <t>庆佳节特制礼盒，打开后可以获得惊喜礼物。</t>
    <phoneticPr fontId="1" type="noConversion"/>
  </si>
  <si>
    <t>元宵礼盒</t>
    <phoneticPr fontId="1" type="noConversion"/>
  </si>
  <si>
    <t>打开后可以随机获得一件任意品质10级装备</t>
    <phoneticPr fontId="1" type="noConversion"/>
  </si>
  <si>
    <t>打开后可以随机获得一件任意品质20级装备</t>
    <phoneticPr fontId="1" type="noConversion"/>
  </si>
  <si>
    <t>打开后可以随机获得一件任意品质30级装备</t>
  </si>
  <si>
    <t>打开后可以随机获得一件任意品质40级装备</t>
  </si>
  <si>
    <t>打开后可以随机获得一件任意品质50级装备</t>
  </si>
  <si>
    <t>打开后可以随机获得一件任意品质60级装备</t>
  </si>
  <si>
    <t>打开后可以随机获得一件任意品质70级装备</t>
  </si>
  <si>
    <t>打开后可以随机获得一件任意品质80级装备</t>
  </si>
  <si>
    <t>打开后可以随机获得一件任意品质90级装备</t>
  </si>
  <si>
    <t>打开后可以随机获得一件任意品质100级装备</t>
  </si>
  <si>
    <t>打开后可以随机获得一件任意品质110级装备</t>
  </si>
  <si>
    <t>打开后可以随机获得一件任意品质120级装备</t>
  </si>
  <si>
    <t>打开后可以随机获得一件任意品质130级装备</t>
  </si>
  <si>
    <t>打开后可以随机获得一件任意品质140级装备</t>
  </si>
  <si>
    <t>打开后可以随机获得一件任意品质150级装备</t>
  </si>
  <si>
    <t>打开后可以随机获得一件任意品质10级装备</t>
    <phoneticPr fontId="1" type="noConversion"/>
  </si>
  <si>
    <t xml:space="preserve">物品品质                     
0无品质                          
1.绿色                              
2.蓝色                                   
3.紫色                              
4.橙13                                
5.橙16
6.红色                       </t>
    <phoneticPr fontId="1" type="noConversion"/>
  </si>
  <si>
    <t>150级大道法则宝箱</t>
    <phoneticPr fontId="1" type="noConversion"/>
  </si>
  <si>
    <t>140级大道法则宝箱</t>
    <phoneticPr fontId="1" type="noConversion"/>
  </si>
  <si>
    <t>130级天地秩序宝箱</t>
    <phoneticPr fontId="1" type="noConversion"/>
  </si>
  <si>
    <t>120级天地秩序宝箱</t>
    <phoneticPr fontId="1" type="noConversion"/>
  </si>
  <si>
    <t>110级天地秩序宝箱</t>
    <phoneticPr fontId="1" type="noConversion"/>
  </si>
  <si>
    <t>100级五帝玲珑宝箱</t>
    <phoneticPr fontId="1" type="noConversion"/>
  </si>
  <si>
    <t>90级五帝玲珑宝箱</t>
    <phoneticPr fontId="1" type="noConversion"/>
  </si>
  <si>
    <t>70级五帝玲珑宝箱</t>
    <phoneticPr fontId="1" type="noConversion"/>
  </si>
  <si>
    <t>80级五帝玲珑宝箱</t>
    <phoneticPr fontId="1" type="noConversion"/>
  </si>
  <si>
    <t>60级天妖乱世宝箱</t>
    <phoneticPr fontId="1" type="noConversion"/>
  </si>
  <si>
    <t>50级天妖乱世宝箱</t>
    <phoneticPr fontId="1" type="noConversion"/>
  </si>
  <si>
    <t>40级天妖乱世宝箱</t>
    <phoneticPr fontId="1" type="noConversion"/>
  </si>
  <si>
    <t>30级善恶功德宝箱</t>
    <phoneticPr fontId="1" type="noConversion"/>
  </si>
  <si>
    <t>20级善恶功德宝箱</t>
    <phoneticPr fontId="1" type="noConversion"/>
  </si>
  <si>
    <t>10级善恶功德宝箱</t>
    <phoneticPr fontId="1" type="noConversion"/>
  </si>
  <si>
    <t>女人花</t>
    <phoneticPr fontId="1" type="noConversion"/>
  </si>
  <si>
    <t>用来送给女神的礼物，可随机开出惊喜奖励。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</si>
</sst>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1"/>
      <color indexed="8"/>
      <name val="宋体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indexed="60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2060"/>
      <name val="微软雅黑"/>
      <family val="2"/>
      <charset val="134"/>
    </font>
    <font>
      <sz val="11"/>
      <color theme="0" tint="-0.499984740745262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1"/>
      <color theme="0" tint="-0.34998626667073579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2"/>
      <charset val="134"/>
      <scheme val="minor"/>
    </font>
    <font>
      <sz val="10"/>
      <color indexed="8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0"/>
      <color theme="0" tint="-0.34998626667073579"/>
      <name val="微软雅黑"/>
      <family val="2"/>
      <charset val="134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rgb="FF002060"/>
      <name val="微软雅黑"/>
      <family val="2"/>
      <charset val="134"/>
    </font>
    <font>
      <sz val="10"/>
      <color theme="1" tint="0.499984740745262"/>
      <name val="微软雅黑"/>
      <family val="2"/>
      <charset val="134"/>
    </font>
    <font>
      <sz val="10"/>
      <color theme="0" tint="-0.499984740745262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宋体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3"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7" fillId="0" borderId="0"/>
  </cellStyleXfs>
  <cellXfs count="144">
    <xf numFmtId="0" fontId="0" fillId="0" borderId="0" xfId="0" applyAlignment="1"/>
    <xf numFmtId="0" fontId="7" fillId="0" borderId="0" xfId="0" applyFont="1" applyAlignment="1"/>
    <xf numFmtId="0" fontId="7" fillId="3" borderId="0" xfId="0" applyFont="1" applyFill="1" applyAlignment="1">
      <alignment wrapText="1"/>
    </xf>
    <xf numFmtId="0" fontId="7" fillId="3" borderId="0" xfId="0" applyFont="1" applyFill="1" applyAlignment="1"/>
    <xf numFmtId="0" fontId="7" fillId="4" borderId="0" xfId="0" applyFont="1" applyFill="1" applyAlignment="1"/>
    <xf numFmtId="0" fontId="7" fillId="0" borderId="1" xfId="0" applyFont="1" applyBorder="1" applyAlignment="1"/>
    <xf numFmtId="0" fontId="7" fillId="5" borderId="1" xfId="0" applyFont="1" applyFill="1" applyBorder="1" applyAlignment="1"/>
    <xf numFmtId="0" fontId="7" fillId="6" borderId="1" xfId="0" applyFont="1" applyFill="1" applyBorder="1" applyAlignment="1"/>
    <xf numFmtId="0" fontId="7" fillId="7" borderId="1" xfId="0" applyFont="1" applyFill="1" applyBorder="1" applyAlignment="1"/>
    <xf numFmtId="0" fontId="7" fillId="8" borderId="1" xfId="0" applyFont="1" applyFill="1" applyBorder="1" applyAlignment="1"/>
    <xf numFmtId="0" fontId="7" fillId="9" borderId="1" xfId="0" applyFont="1" applyFill="1" applyBorder="1" applyAlignment="1"/>
    <xf numFmtId="0" fontId="7" fillId="10" borderId="1" xfId="0" applyFont="1" applyFill="1" applyBorder="1" applyAlignment="1"/>
    <xf numFmtId="0" fontId="7" fillId="11" borderId="1" xfId="0" applyFont="1" applyFill="1" applyBorder="1" applyAlignment="1"/>
    <xf numFmtId="0" fontId="7" fillId="13" borderId="1" xfId="0" applyFont="1" applyFill="1" applyBorder="1" applyAlignment="1"/>
    <xf numFmtId="0" fontId="7" fillId="4" borderId="1" xfId="0" applyFont="1" applyFill="1" applyBorder="1" applyAlignment="1"/>
    <xf numFmtId="0" fontId="11" fillId="8" borderId="1" xfId="0" applyFont="1" applyFill="1" applyBorder="1" applyAlignment="1"/>
    <xf numFmtId="0" fontId="11" fillId="0" borderId="1" xfId="0" applyFont="1" applyBorder="1" applyAlignment="1"/>
    <xf numFmtId="0" fontId="7" fillId="14" borderId="1" xfId="0" applyFont="1" applyFill="1" applyBorder="1" applyAlignment="1"/>
    <xf numFmtId="0" fontId="11" fillId="5" borderId="1" xfId="0" applyFont="1" applyFill="1" applyBorder="1" applyAlignment="1"/>
    <xf numFmtId="0" fontId="11" fillId="9" borderId="1" xfId="0" applyFont="1" applyFill="1" applyBorder="1" applyAlignment="1"/>
    <xf numFmtId="0" fontId="11" fillId="11" borderId="1" xfId="0" applyFont="1" applyFill="1" applyBorder="1" applyAlignment="1"/>
    <xf numFmtId="0" fontId="12" fillId="10" borderId="1" xfId="0" applyFont="1" applyFill="1" applyBorder="1" applyAlignment="1">
      <alignment vertical="center"/>
    </xf>
    <xf numFmtId="0" fontId="13" fillId="10" borderId="1" xfId="0" applyFont="1" applyFill="1" applyBorder="1" applyAlignment="1"/>
    <xf numFmtId="0" fontId="14" fillId="0" borderId="1" xfId="0" applyFont="1" applyBorder="1" applyAlignment="1"/>
    <xf numFmtId="0" fontId="12" fillId="0" borderId="0" xfId="0" applyFont="1">
      <alignment vertical="center"/>
    </xf>
    <xf numFmtId="0" fontId="12" fillId="15" borderId="2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2" fillId="9" borderId="3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15" borderId="0" xfId="0" applyFont="1" applyFill="1" applyBorder="1" applyAlignment="1">
      <alignment horizontal="center" vertical="center"/>
    </xf>
    <xf numFmtId="0" fontId="12" fillId="10" borderId="5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/>
    <xf numFmtId="0" fontId="12" fillId="3" borderId="0" xfId="0" applyFont="1" applyFill="1">
      <alignment vertical="center"/>
    </xf>
    <xf numFmtId="0" fontId="12" fillId="4" borderId="1" xfId="0" applyFont="1" applyFill="1" applyBorder="1" applyAlignment="1">
      <alignment horizontal="center" vertical="center"/>
    </xf>
    <xf numFmtId="0" fontId="11" fillId="13" borderId="1" xfId="0" applyFont="1" applyFill="1" applyBorder="1" applyAlignment="1"/>
    <xf numFmtId="0" fontId="0" fillId="0" borderId="0" xfId="0" applyAlignment="1">
      <alignment wrapText="1"/>
    </xf>
    <xf numFmtId="0" fontId="17" fillId="6" borderId="1" xfId="0" applyFont="1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17" fillId="0" borderId="1" xfId="0" applyFont="1" applyBorder="1" applyAlignment="1">
      <alignment vertical="center"/>
    </xf>
    <xf numFmtId="0" fontId="17" fillId="3" borderId="1" xfId="0" applyFont="1" applyFill="1" applyBorder="1" applyAlignment="1">
      <alignment vertical="top" wrapText="1"/>
    </xf>
    <xf numFmtId="0" fontId="19" fillId="3" borderId="1" xfId="0" applyFont="1" applyFill="1" applyBorder="1" applyAlignment="1">
      <alignment vertical="top" wrapText="1"/>
    </xf>
    <xf numFmtId="0" fontId="17" fillId="3" borderId="1" xfId="0" applyFont="1" applyFill="1" applyBorder="1" applyAlignment="1">
      <alignment vertical="top"/>
    </xf>
    <xf numFmtId="0" fontId="17" fillId="0" borderId="1" xfId="0" applyFont="1" applyBorder="1" applyAlignment="1"/>
    <xf numFmtId="0" fontId="17" fillId="0" borderId="0" xfId="0" applyFont="1" applyAlignment="1"/>
    <xf numFmtId="0" fontId="17" fillId="4" borderId="1" xfId="0" applyFont="1" applyFill="1" applyBorder="1" applyAlignment="1">
      <alignment vertical="top"/>
    </xf>
    <xf numFmtId="0" fontId="19" fillId="4" borderId="1" xfId="0" applyFont="1" applyFill="1" applyBorder="1" applyAlignment="1">
      <alignment vertical="top"/>
    </xf>
    <xf numFmtId="0" fontId="17" fillId="0" borderId="1" xfId="0" applyFont="1" applyFill="1" applyBorder="1" applyAlignment="1"/>
    <xf numFmtId="0" fontId="19" fillId="0" borderId="1" xfId="0" applyFont="1" applyBorder="1" applyAlignment="1"/>
    <xf numFmtId="0" fontId="17" fillId="7" borderId="1" xfId="0" applyFont="1" applyFill="1" applyBorder="1" applyAlignment="1"/>
    <xf numFmtId="0" fontId="17" fillId="19" borderId="1" xfId="0" applyFont="1" applyFill="1" applyBorder="1" applyAlignment="1"/>
    <xf numFmtId="0" fontId="17" fillId="5" borderId="1" xfId="0" applyFont="1" applyFill="1" applyBorder="1" applyAlignment="1"/>
    <xf numFmtId="0" fontId="17" fillId="9" borderId="1" xfId="0" applyFont="1" applyFill="1" applyBorder="1" applyAlignment="1"/>
    <xf numFmtId="0" fontId="17" fillId="18" borderId="1" xfId="0" applyFont="1" applyFill="1" applyBorder="1" applyAlignment="1"/>
    <xf numFmtId="0" fontId="17" fillId="16" borderId="1" xfId="0" applyFont="1" applyFill="1" applyBorder="1" applyAlignment="1"/>
    <xf numFmtId="0" fontId="17" fillId="4" borderId="1" xfId="0" applyFont="1" applyFill="1" applyBorder="1" applyAlignment="1"/>
    <xf numFmtId="0" fontId="17" fillId="8" borderId="1" xfId="0" applyFont="1" applyFill="1" applyBorder="1" applyAlignment="1"/>
    <xf numFmtId="0" fontId="24" fillId="5" borderId="1" xfId="0" applyFont="1" applyFill="1" applyBorder="1" applyAlignment="1"/>
    <xf numFmtId="0" fontId="24" fillId="0" borderId="1" xfId="0" applyFont="1" applyBorder="1" applyAlignment="1"/>
    <xf numFmtId="0" fontId="24" fillId="0" borderId="0" xfId="0" applyFont="1" applyAlignment="1"/>
    <xf numFmtId="0" fontId="25" fillId="9" borderId="1" xfId="0" applyFont="1" applyFill="1" applyBorder="1" applyAlignment="1"/>
    <xf numFmtId="0" fontId="25" fillId="0" borderId="1" xfId="0" applyFont="1" applyBorder="1" applyAlignment="1"/>
    <xf numFmtId="0" fontId="25" fillId="0" borderId="0" xfId="0" applyFont="1" applyAlignment="1"/>
    <xf numFmtId="0" fontId="25" fillId="8" borderId="1" xfId="0" applyFont="1" applyFill="1" applyBorder="1" applyAlignment="1"/>
    <xf numFmtId="0" fontId="17" fillId="20" borderId="1" xfId="0" applyFont="1" applyFill="1" applyBorder="1" applyAlignment="1"/>
    <xf numFmtId="0" fontId="17" fillId="17" borderId="1" xfId="0" applyFont="1" applyFill="1" applyBorder="1" applyAlignment="1"/>
    <xf numFmtId="0" fontId="17" fillId="12" borderId="1" xfId="0" applyFont="1" applyFill="1" applyBorder="1" applyAlignment="1"/>
    <xf numFmtId="0" fontId="19" fillId="0" borderId="0" xfId="0" applyFont="1" applyAlignment="1"/>
    <xf numFmtId="0" fontId="17" fillId="11" borderId="1" xfId="0" applyFont="1" applyFill="1" applyBorder="1" applyAlignment="1"/>
    <xf numFmtId="0" fontId="19" fillId="0" borderId="1" xfId="0" applyFont="1" applyBorder="1" applyAlignment="1">
      <alignment horizontal="left"/>
    </xf>
    <xf numFmtId="0" fontId="25" fillId="5" borderId="1" xfId="0" applyFont="1" applyFill="1" applyBorder="1" applyAlignment="1"/>
    <xf numFmtId="0" fontId="25" fillId="13" borderId="1" xfId="0" applyFont="1" applyFill="1" applyBorder="1" applyAlignment="1"/>
    <xf numFmtId="0" fontId="17" fillId="6" borderId="1" xfId="0" applyFont="1" applyFill="1" applyBorder="1" applyAlignment="1"/>
    <xf numFmtId="0" fontId="17" fillId="10" borderId="1" xfId="0" applyFont="1" applyFill="1" applyBorder="1" applyAlignment="1"/>
    <xf numFmtId="0" fontId="17" fillId="13" borderId="1" xfId="0" applyFont="1" applyFill="1" applyBorder="1" applyAlignment="1"/>
    <xf numFmtId="0" fontId="20" fillId="10" borderId="1" xfId="0" applyFont="1" applyFill="1" applyBorder="1" applyAlignment="1"/>
    <xf numFmtId="0" fontId="26" fillId="10" borderId="1" xfId="0" applyFont="1" applyFill="1" applyBorder="1" applyAlignment="1">
      <alignment vertical="center"/>
    </xf>
    <xf numFmtId="0" fontId="22" fillId="0" borderId="1" xfId="0" applyFont="1" applyBorder="1" applyAlignment="1"/>
    <xf numFmtId="0" fontId="17" fillId="0" borderId="0" xfId="0" applyNumberFormat="1" applyFont="1" applyAlignment="1">
      <alignment horizontal="right" vertical="center"/>
    </xf>
    <xf numFmtId="0" fontId="17" fillId="0" borderId="1" xfId="0" applyNumberFormat="1" applyFont="1" applyBorder="1" applyAlignment="1">
      <alignment horizontal="left"/>
    </xf>
    <xf numFmtId="0" fontId="17" fillId="3" borderId="1" xfId="0" applyNumberFormat="1" applyFont="1" applyFill="1" applyBorder="1" applyAlignment="1">
      <alignment horizontal="left" vertical="top" wrapText="1"/>
    </xf>
    <xf numFmtId="0" fontId="17" fillId="4" borderId="1" xfId="0" applyNumberFormat="1" applyFont="1" applyFill="1" applyBorder="1" applyAlignment="1">
      <alignment horizontal="left" vertical="top"/>
    </xf>
    <xf numFmtId="0" fontId="24" fillId="0" borderId="1" xfId="0" applyNumberFormat="1" applyFont="1" applyBorder="1" applyAlignment="1">
      <alignment horizontal="left"/>
    </xf>
    <xf numFmtId="0" fontId="25" fillId="0" borderId="1" xfId="0" applyNumberFormat="1" applyFont="1" applyBorder="1" applyAlignment="1">
      <alignment horizontal="left"/>
    </xf>
    <xf numFmtId="0" fontId="19" fillId="0" borderId="1" xfId="0" applyNumberFormat="1" applyFont="1" applyBorder="1" applyAlignment="1">
      <alignment horizontal="left"/>
    </xf>
    <xf numFmtId="0" fontId="17" fillId="0" borderId="0" xfId="0" applyNumberFormat="1" applyFont="1" applyAlignment="1">
      <alignment horizontal="left"/>
    </xf>
    <xf numFmtId="0" fontId="17" fillId="21" borderId="1" xfId="0" applyFont="1" applyFill="1" applyBorder="1" applyAlignment="1"/>
    <xf numFmtId="0" fontId="7" fillId="21" borderId="1" xfId="0" applyFont="1" applyFill="1" applyBorder="1" applyAlignment="1"/>
    <xf numFmtId="0" fontId="17" fillId="21" borderId="1" xfId="0" applyNumberFormat="1" applyFont="1" applyFill="1" applyBorder="1" applyAlignment="1">
      <alignment horizontal="left"/>
    </xf>
    <xf numFmtId="0" fontId="18" fillId="21" borderId="1" xfId="0" applyFont="1" applyFill="1" applyBorder="1" applyAlignment="1">
      <alignment vertical="center"/>
    </xf>
    <xf numFmtId="0" fontId="19" fillId="21" borderId="1" xfId="0" applyFont="1" applyFill="1" applyBorder="1" applyAlignment="1"/>
    <xf numFmtId="0" fontId="17" fillId="21" borderId="0" xfId="0" applyFont="1" applyFill="1" applyAlignment="1"/>
    <xf numFmtId="0" fontId="25" fillId="21" borderId="0" xfId="0" applyFont="1" applyFill="1" applyAlignment="1"/>
    <xf numFmtId="0" fontId="17" fillId="21" borderId="1" xfId="0" applyFont="1" applyFill="1" applyBorder="1" applyAlignment="1">
      <alignment vertical="center"/>
    </xf>
    <xf numFmtId="0" fontId="17" fillId="22" borderId="1" xfId="0" applyFont="1" applyFill="1" applyBorder="1" applyAlignment="1">
      <alignment vertical="top" wrapText="1"/>
    </xf>
    <xf numFmtId="0" fontId="17" fillId="22" borderId="1" xfId="0" applyFont="1" applyFill="1" applyBorder="1" applyAlignment="1">
      <alignment vertical="top"/>
    </xf>
    <xf numFmtId="0" fontId="17" fillId="22" borderId="1" xfId="0" applyFont="1" applyFill="1" applyBorder="1" applyAlignment="1"/>
    <xf numFmtId="0" fontId="24" fillId="22" borderId="1" xfId="0" applyFont="1" applyFill="1" applyBorder="1" applyAlignment="1"/>
    <xf numFmtId="0" fontId="25" fillId="22" borderId="1" xfId="0" applyFont="1" applyFill="1" applyBorder="1" applyAlignment="1"/>
    <xf numFmtId="0" fontId="19" fillId="22" borderId="1" xfId="0" applyFont="1" applyFill="1" applyBorder="1" applyAlignment="1"/>
    <xf numFmtId="0" fontId="17" fillId="22" borderId="0" xfId="0" applyFont="1" applyFill="1" applyAlignment="1"/>
    <xf numFmtId="0" fontId="19" fillId="0" borderId="1" xfId="0" applyFont="1" applyFill="1" applyBorder="1" applyAlignment="1"/>
    <xf numFmtId="0" fontId="17" fillId="3" borderId="1" xfId="0" applyNumberFormat="1" applyFont="1" applyFill="1" applyBorder="1" applyAlignment="1">
      <alignment vertical="top" wrapText="1"/>
    </xf>
    <xf numFmtId="0" fontId="17" fillId="4" borderId="1" xfId="0" applyNumberFormat="1" applyFont="1" applyFill="1" applyBorder="1" applyAlignment="1">
      <alignment vertical="top"/>
    </xf>
    <xf numFmtId="0" fontId="17" fillId="0" borderId="1" xfId="0" applyNumberFormat="1" applyFont="1" applyBorder="1" applyAlignment="1"/>
    <xf numFmtId="0" fontId="24" fillId="0" borderId="1" xfId="0" applyNumberFormat="1" applyFont="1" applyBorder="1" applyAlignment="1"/>
    <xf numFmtId="0" fontId="25" fillId="0" borderId="1" xfId="0" applyNumberFormat="1" applyFont="1" applyBorder="1" applyAlignment="1"/>
    <xf numFmtId="0" fontId="19" fillId="0" borderId="1" xfId="0" applyNumberFormat="1" applyFont="1" applyBorder="1" applyAlignment="1"/>
    <xf numFmtId="0" fontId="17" fillId="21" borderId="1" xfId="0" applyNumberFormat="1" applyFont="1" applyFill="1" applyBorder="1" applyAlignment="1"/>
    <xf numFmtId="0" fontId="17" fillId="0" borderId="0" xfId="0" applyNumberFormat="1" applyFont="1" applyAlignment="1"/>
    <xf numFmtId="0" fontId="17" fillId="23" borderId="1" xfId="0" applyFont="1" applyFill="1" applyBorder="1" applyAlignment="1"/>
    <xf numFmtId="0" fontId="17" fillId="0" borderId="1" xfId="0" applyNumberFormat="1" applyFont="1" applyFill="1" applyBorder="1" applyAlignment="1">
      <alignment horizontal="left"/>
    </xf>
    <xf numFmtId="0" fontId="17" fillId="0" borderId="1" xfId="0" applyNumberFormat="1" applyFont="1" applyFill="1" applyBorder="1" applyAlignment="1"/>
    <xf numFmtId="0" fontId="17" fillId="0" borderId="0" xfId="0" applyFont="1" applyFill="1" applyAlignment="1"/>
    <xf numFmtId="0" fontId="17" fillId="8" borderId="1" xfId="0" applyNumberFormat="1" applyFont="1" applyFill="1" applyBorder="1" applyAlignment="1">
      <alignment horizontal="left"/>
    </xf>
    <xf numFmtId="0" fontId="19" fillId="8" borderId="1" xfId="0" applyFont="1" applyFill="1" applyBorder="1" applyAlignment="1"/>
    <xf numFmtId="0" fontId="17" fillId="8" borderId="1" xfId="0" applyNumberFormat="1" applyFont="1" applyFill="1" applyBorder="1" applyAlignment="1"/>
    <xf numFmtId="0" fontId="17" fillId="8" borderId="0" xfId="0" applyFont="1" applyFill="1" applyAlignment="1"/>
    <xf numFmtId="0" fontId="20" fillId="21" borderId="1" xfId="0" applyFont="1" applyFill="1" applyBorder="1" applyAlignment="1"/>
    <xf numFmtId="0" fontId="20" fillId="21" borderId="1" xfId="0" applyNumberFormat="1" applyFont="1" applyFill="1" applyBorder="1" applyAlignment="1">
      <alignment horizontal="left"/>
    </xf>
    <xf numFmtId="0" fontId="20" fillId="21" borderId="1" xfId="0" applyNumberFormat="1" applyFont="1" applyFill="1" applyBorder="1" applyAlignment="1"/>
    <xf numFmtId="0" fontId="20" fillId="21" borderId="0" xfId="0" applyFont="1" applyFill="1" applyAlignment="1"/>
    <xf numFmtId="0" fontId="20" fillId="6" borderId="1" xfId="0" applyFont="1" applyFill="1" applyBorder="1" applyAlignment="1">
      <alignment vertical="center"/>
    </xf>
    <xf numFmtId="0" fontId="7" fillId="0" borderId="1" xfId="0" applyFont="1" applyFill="1" applyBorder="1" applyAlignment="1"/>
    <xf numFmtId="0" fontId="18" fillId="0" borderId="1" xfId="0" applyFont="1" applyFill="1" applyBorder="1" applyAlignment="1">
      <alignment vertical="center"/>
    </xf>
    <xf numFmtId="0" fontId="25" fillId="0" borderId="0" xfId="0" applyFont="1" applyFill="1" applyAlignment="1"/>
    <xf numFmtId="0" fontId="17" fillId="12" borderId="1" xfId="0" applyNumberFormat="1" applyFont="1" applyFill="1" applyBorder="1" applyAlignment="1">
      <alignment horizontal="left"/>
    </xf>
    <xf numFmtId="0" fontId="19" fillId="12" borderId="1" xfId="0" applyFont="1" applyFill="1" applyBorder="1" applyAlignment="1"/>
    <xf numFmtId="0" fontId="17" fillId="12" borderId="1" xfId="0" applyNumberFormat="1" applyFont="1" applyFill="1" applyBorder="1" applyAlignment="1"/>
    <xf numFmtId="0" fontId="17" fillId="12" borderId="0" xfId="0" applyFont="1" applyFill="1" applyAlignment="1"/>
    <xf numFmtId="0" fontId="17" fillId="3" borderId="1" xfId="0" applyFont="1" applyFill="1" applyBorder="1" applyAlignment="1"/>
    <xf numFmtId="0" fontId="26" fillId="0" borderId="0" xfId="0" applyFont="1">
      <alignment vertical="center"/>
    </xf>
    <xf numFmtId="0" fontId="17" fillId="7" borderId="1" xfId="0" applyFont="1" applyFill="1" applyBorder="1" applyAlignment="1">
      <alignment vertical="center"/>
    </xf>
    <xf numFmtId="0" fontId="17" fillId="0" borderId="1" xfId="0" applyFont="1" applyBorder="1" applyAlignment="1"/>
    <xf numFmtId="0" fontId="20" fillId="6" borderId="1" xfId="0" applyFont="1" applyFill="1" applyBorder="1" applyAlignment="1">
      <alignment vertical="center"/>
    </xf>
  </cellXfs>
  <cellStyles count="23">
    <cellStyle name="差 2" xfId="3"/>
    <cellStyle name="差 3" xfId="6"/>
    <cellStyle name="差 4" xfId="8"/>
    <cellStyle name="差 5" xfId="10"/>
    <cellStyle name="差 6" xfId="12"/>
    <cellStyle name="差 7" xfId="14"/>
    <cellStyle name="常规" xfId="0" builtinId="0"/>
    <cellStyle name="常规 11" xfId="16"/>
    <cellStyle name="常规 13" xfId="19"/>
    <cellStyle name="常规 2" xfId="22"/>
    <cellStyle name="常规 2 2" xfId="2"/>
    <cellStyle name="常规 2 3" xfId="1"/>
    <cellStyle name="常规 2 4" xfId="17"/>
    <cellStyle name="常规 2 5" xfId="18"/>
    <cellStyle name="常规 2 6" xfId="20"/>
    <cellStyle name="常规 3" xfId="4"/>
    <cellStyle name="常规 3 2" xfId="21"/>
    <cellStyle name="常规 4" xfId="5"/>
    <cellStyle name="常规 5" xfId="7"/>
    <cellStyle name="常规 6" xfId="9"/>
    <cellStyle name="常规 7" xfId="11"/>
    <cellStyle name="常规 8" xfId="13"/>
    <cellStyle name="常规 9" xfId="15"/>
  </cellStyles>
  <dxfs count="3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00B0F0"/>
          <bgColor rgb="FF000000"/>
        </patternFill>
      </fill>
    </dxf>
    <dxf>
      <fill>
        <patternFill patternType="solid">
          <fgColor rgb="FFFFC000"/>
          <bgColor rgb="FF0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2876550</xdr:colOff>
      <xdr:row>2</xdr:row>
      <xdr:rowOff>28575</xdr:rowOff>
    </xdr:from>
    <xdr:to>
      <xdr:col>9</xdr:col>
      <xdr:colOff>761586</xdr:colOff>
      <xdr:row>4</xdr:row>
      <xdr:rowOff>161856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581650" y="409575"/>
          <a:ext cx="3314286" cy="55238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ro_ma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sheng/&#31574;&#21010;/&#25968;&#20540;/&#25968;&#20540;&#35774;&#23450;/5&#20154;&#31995;&#32479;/&#20027;&#32447;&#21103;&#2641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ame_rew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3"/>
      <sheetName val="Sheet2"/>
      <sheetName val="Sheet4"/>
      <sheetName val="Sheet5"/>
    </sheetNames>
    <sheetDataSet>
      <sheetData sheetId="0">
        <row r="1">
          <cell r="A1" t="str">
            <v>英雄ID
[字符串]
调用角色的唯一ID
1101-1500伙伴
1500-2000特殊伙伴（助战或者新手引导）
2000以上临时伙伴</v>
          </cell>
          <cell r="B1" t="str">
            <v>英雄名称
[字符串]</v>
          </cell>
        </row>
        <row r="2">
          <cell r="A2" t="str">
            <v>npc_id</v>
          </cell>
          <cell r="B2" t="str">
            <v>name</v>
          </cell>
        </row>
        <row r="3">
          <cell r="A3" t="str">
            <v>s</v>
          </cell>
          <cell r="B3" t="str">
            <v>s</v>
          </cell>
        </row>
        <row r="4">
          <cell r="A4" t="str">
            <v>player</v>
          </cell>
          <cell r="B4" t="str">
            <v>女主角</v>
          </cell>
        </row>
        <row r="5">
          <cell r="A5" t="str">
            <v>player2</v>
          </cell>
          <cell r="B5" t="str">
            <v>男主角</v>
          </cell>
        </row>
        <row r="6">
          <cell r="A6">
            <v>1102</v>
          </cell>
          <cell r="B6" t="str">
            <v>哪吒</v>
          </cell>
        </row>
        <row r="7">
          <cell r="A7">
            <v>1211</v>
          </cell>
          <cell r="B7" t="str">
            <v>斗战胜佛</v>
          </cell>
        </row>
        <row r="8">
          <cell r="A8">
            <v>1101</v>
          </cell>
          <cell r="B8" t="str">
            <v>二郎神</v>
          </cell>
        </row>
        <row r="9">
          <cell r="A9">
            <v>1108</v>
          </cell>
          <cell r="B9" t="str">
            <v>托塔天王</v>
          </cell>
        </row>
        <row r="10">
          <cell r="A10">
            <v>1113</v>
          </cell>
          <cell r="B10" t="str">
            <v>虎力大仙</v>
          </cell>
        </row>
        <row r="11">
          <cell r="A11">
            <v>1120</v>
          </cell>
          <cell r="B11" t="str">
            <v>猪八戒</v>
          </cell>
        </row>
        <row r="12">
          <cell r="A12">
            <v>1127</v>
          </cell>
          <cell r="B12" t="str">
            <v>弥勒佛</v>
          </cell>
        </row>
        <row r="13">
          <cell r="A13">
            <v>1212</v>
          </cell>
          <cell r="B13" t="str">
            <v>金蝉子</v>
          </cell>
        </row>
        <row r="14">
          <cell r="A14">
            <v>1219</v>
          </cell>
          <cell r="B14" t="str">
            <v>黑无常</v>
          </cell>
        </row>
        <row r="15">
          <cell r="A15">
            <v>1112</v>
          </cell>
          <cell r="B15" t="str">
            <v>牛魔王</v>
          </cell>
        </row>
        <row r="16">
          <cell r="A16">
            <v>1119</v>
          </cell>
          <cell r="B16" t="str">
            <v>孙悟空</v>
          </cell>
        </row>
        <row r="17">
          <cell r="A17">
            <v>1105</v>
          </cell>
          <cell r="B17" t="str">
            <v>王母娘娘</v>
          </cell>
        </row>
        <row r="18">
          <cell r="A18">
            <v>1218</v>
          </cell>
          <cell r="B18" t="str">
            <v>白无常</v>
          </cell>
        </row>
        <row r="19">
          <cell r="A19">
            <v>1124</v>
          </cell>
          <cell r="B19" t="str">
            <v>沙和尚</v>
          </cell>
        </row>
        <row r="20">
          <cell r="A20">
            <v>1126</v>
          </cell>
          <cell r="B20" t="str">
            <v>文殊菩萨</v>
          </cell>
        </row>
        <row r="21">
          <cell r="A21">
            <v>1213</v>
          </cell>
          <cell r="B21" t="str">
            <v>龙帝</v>
          </cell>
        </row>
        <row r="22">
          <cell r="A22">
            <v>1214</v>
          </cell>
          <cell r="B22" t="str">
            <v>八部天龙</v>
          </cell>
        </row>
        <row r="23">
          <cell r="A23">
            <v>1103</v>
          </cell>
          <cell r="B23" t="str">
            <v>嫦娥</v>
          </cell>
        </row>
        <row r="24">
          <cell r="A24">
            <v>1109</v>
          </cell>
          <cell r="B24" t="str">
            <v>九天玄女</v>
          </cell>
        </row>
        <row r="25">
          <cell r="A25">
            <v>1111</v>
          </cell>
          <cell r="B25" t="str">
            <v>铁扇公主</v>
          </cell>
        </row>
        <row r="26">
          <cell r="A26">
            <v>1116</v>
          </cell>
          <cell r="B26" t="str">
            <v>白骨夫人</v>
          </cell>
        </row>
        <row r="27">
          <cell r="A27">
            <v>1121</v>
          </cell>
          <cell r="B27" t="str">
            <v>紫霞仙子</v>
          </cell>
        </row>
        <row r="28">
          <cell r="A28">
            <v>1215</v>
          </cell>
          <cell r="B28" t="str">
            <v>观世音</v>
          </cell>
        </row>
        <row r="29">
          <cell r="A29">
            <v>1114</v>
          </cell>
          <cell r="B29" t="str">
            <v>鹿力大仙</v>
          </cell>
        </row>
        <row r="30">
          <cell r="A30">
            <v>1110</v>
          </cell>
          <cell r="B30" t="str">
            <v>红孩儿</v>
          </cell>
        </row>
        <row r="31">
          <cell r="A31">
            <v>1104</v>
          </cell>
          <cell r="B31" t="str">
            <v>玉皇大帝</v>
          </cell>
        </row>
        <row r="32">
          <cell r="A32">
            <v>1135</v>
          </cell>
          <cell r="B32" t="str">
            <v>东海龙王</v>
          </cell>
        </row>
        <row r="33">
          <cell r="A33">
            <v>1132</v>
          </cell>
          <cell r="B33" t="str">
            <v>混世魔王</v>
          </cell>
        </row>
        <row r="34">
          <cell r="A34">
            <v>1125</v>
          </cell>
          <cell r="B34" t="str">
            <v>迦叶</v>
          </cell>
        </row>
        <row r="35">
          <cell r="A35">
            <v>1202</v>
          </cell>
          <cell r="B35" t="str">
            <v>人参娃</v>
          </cell>
        </row>
        <row r="36">
          <cell r="A36">
            <v>1123</v>
          </cell>
          <cell r="B36" t="str">
            <v>小白龙</v>
          </cell>
        </row>
        <row r="37">
          <cell r="A37">
            <v>1117</v>
          </cell>
          <cell r="B37" t="str">
            <v>六耳猕猴</v>
          </cell>
        </row>
        <row r="38">
          <cell r="A38">
            <v>1201</v>
          </cell>
          <cell r="B38" t="str">
            <v>阎罗王</v>
          </cell>
        </row>
        <row r="39">
          <cell r="A39">
            <v>1131</v>
          </cell>
          <cell r="B39" t="str">
            <v>蝎子精</v>
          </cell>
        </row>
        <row r="40">
          <cell r="A40">
            <v>1137</v>
          </cell>
          <cell r="B40" t="str">
            <v>蜘蛛精</v>
          </cell>
        </row>
        <row r="41">
          <cell r="A41">
            <v>1216</v>
          </cell>
          <cell r="B41" t="str">
            <v>女儿国国王</v>
          </cell>
        </row>
        <row r="42">
          <cell r="A42">
            <v>1106</v>
          </cell>
          <cell r="B42" t="str">
            <v>太白金星</v>
          </cell>
        </row>
        <row r="43">
          <cell r="A43">
            <v>1115</v>
          </cell>
          <cell r="B43" t="str">
            <v>羊力大仙</v>
          </cell>
        </row>
        <row r="44">
          <cell r="A44">
            <v>1208</v>
          </cell>
          <cell r="B44" t="str">
            <v>彩蝶仙童</v>
          </cell>
        </row>
        <row r="45">
          <cell r="A45">
            <v>1122</v>
          </cell>
          <cell r="B45" t="str">
            <v>唐三藏</v>
          </cell>
        </row>
        <row r="46">
          <cell r="A46">
            <v>1207</v>
          </cell>
          <cell r="B46" t="str">
            <v>引魂仙子</v>
          </cell>
        </row>
        <row r="47">
          <cell r="A47">
            <v>1139</v>
          </cell>
          <cell r="B47" t="str">
            <v>金钱豹王</v>
          </cell>
        </row>
        <row r="48">
          <cell r="A48">
            <v>1140</v>
          </cell>
          <cell r="B48" t="str">
            <v>墨鱼精</v>
          </cell>
        </row>
        <row r="49">
          <cell r="A49">
            <v>1107</v>
          </cell>
          <cell r="B49" t="str">
            <v>赤脚大仙</v>
          </cell>
        </row>
        <row r="50">
          <cell r="A50">
            <v>1134</v>
          </cell>
          <cell r="B50" t="str">
            <v>泾河龙王</v>
          </cell>
        </row>
        <row r="51">
          <cell r="A51">
            <v>1206</v>
          </cell>
          <cell r="B51" t="str">
            <v>牛头</v>
          </cell>
        </row>
        <row r="52">
          <cell r="A52">
            <v>1130</v>
          </cell>
          <cell r="B52" t="str">
            <v>地藏王</v>
          </cell>
        </row>
        <row r="53">
          <cell r="A53">
            <v>1203</v>
          </cell>
          <cell r="B53" t="str">
            <v>鬼使黑</v>
          </cell>
        </row>
        <row r="54">
          <cell r="A54">
            <v>1205</v>
          </cell>
          <cell r="B54" t="str">
            <v>马面</v>
          </cell>
        </row>
        <row r="55">
          <cell r="A55">
            <v>1133</v>
          </cell>
          <cell r="B55" t="str">
            <v>雷公</v>
          </cell>
        </row>
        <row r="56">
          <cell r="A56">
            <v>1204</v>
          </cell>
          <cell r="B56" t="str">
            <v>鬼使白</v>
          </cell>
        </row>
        <row r="57">
          <cell r="A57">
            <v>1128</v>
          </cell>
          <cell r="B57" t="str">
            <v>赛太岁</v>
          </cell>
        </row>
        <row r="58">
          <cell r="A58">
            <v>1118</v>
          </cell>
          <cell r="B58" t="str">
            <v>混沌</v>
          </cell>
        </row>
        <row r="59">
          <cell r="A59">
            <v>1136</v>
          </cell>
          <cell r="B59" t="str">
            <v>白龙公主</v>
          </cell>
        </row>
        <row r="60">
          <cell r="A60">
            <v>1141</v>
          </cell>
          <cell r="B60" t="str">
            <v>玉兔</v>
          </cell>
        </row>
        <row r="61">
          <cell r="A61">
            <v>1138</v>
          </cell>
          <cell r="B61" t="str">
            <v>玉面夫人</v>
          </cell>
        </row>
        <row r="62">
          <cell r="A62">
            <v>1152</v>
          </cell>
          <cell r="B62" t="str">
            <v>黑熊精</v>
          </cell>
        </row>
        <row r="63">
          <cell r="A63">
            <v>1192</v>
          </cell>
          <cell r="B63" t="str">
            <v>琴仙</v>
          </cell>
        </row>
        <row r="64">
          <cell r="A64">
            <v>1504</v>
          </cell>
          <cell r="B64" t="str">
            <v>蟹将</v>
          </cell>
        </row>
        <row r="65">
          <cell r="A65">
            <v>1142</v>
          </cell>
          <cell r="B65" t="str">
            <v>狮人-光启</v>
          </cell>
        </row>
        <row r="66">
          <cell r="A66">
            <v>1143</v>
          </cell>
          <cell r="B66" t="str">
            <v>狮人-立辉</v>
          </cell>
        </row>
        <row r="67">
          <cell r="A67">
            <v>1146</v>
          </cell>
          <cell r="B67" t="str">
            <v>石人-博达</v>
          </cell>
        </row>
        <row r="68">
          <cell r="A68">
            <v>1147</v>
          </cell>
          <cell r="B68" t="str">
            <v>石人-离落</v>
          </cell>
        </row>
        <row r="69">
          <cell r="A69">
            <v>1148</v>
          </cell>
          <cell r="B69" t="str">
            <v>石人-安和</v>
          </cell>
        </row>
        <row r="70">
          <cell r="A70">
            <v>1155</v>
          </cell>
          <cell r="B70" t="str">
            <v>蟒精-雅芙</v>
          </cell>
        </row>
        <row r="71">
          <cell r="A71">
            <v>1156</v>
          </cell>
          <cell r="B71" t="str">
            <v>蟒精-依娜</v>
          </cell>
        </row>
        <row r="72">
          <cell r="A72">
            <v>1157</v>
          </cell>
          <cell r="B72" t="str">
            <v>狐狸-优璇</v>
          </cell>
        </row>
        <row r="73">
          <cell r="A73">
            <v>1158</v>
          </cell>
          <cell r="B73" t="str">
            <v>狐狸-茹雪</v>
          </cell>
        </row>
        <row r="74">
          <cell r="A74">
            <v>1159</v>
          </cell>
          <cell r="B74" t="str">
            <v>狐狸-若火</v>
          </cell>
        </row>
        <row r="75">
          <cell r="A75">
            <v>1162</v>
          </cell>
          <cell r="B75" t="str">
            <v>鲛人-嫦曦</v>
          </cell>
        </row>
        <row r="76">
          <cell r="A76">
            <v>1163</v>
          </cell>
          <cell r="B76" t="str">
            <v>鲛人-月婵</v>
          </cell>
        </row>
        <row r="77">
          <cell r="A77">
            <v>1153</v>
          </cell>
          <cell r="B77" t="str">
            <v>夜叉-金利</v>
          </cell>
        </row>
        <row r="78">
          <cell r="A78">
            <v>1154</v>
          </cell>
          <cell r="B78" t="str">
            <v>夜叉-碧涛</v>
          </cell>
        </row>
        <row r="79">
          <cell r="A79">
            <v>1164</v>
          </cell>
          <cell r="B79" t="str">
            <v>天兵-金斌</v>
          </cell>
        </row>
        <row r="80">
          <cell r="A80">
            <v>1165</v>
          </cell>
          <cell r="B80" t="str">
            <v>天兵-政仲</v>
          </cell>
        </row>
        <row r="81">
          <cell r="A81">
            <v>1166</v>
          </cell>
          <cell r="B81" t="str">
            <v>天兵-火夕</v>
          </cell>
        </row>
        <row r="82">
          <cell r="A82">
            <v>1167</v>
          </cell>
          <cell r="B82" t="str">
            <v>狼人-霍金</v>
          </cell>
        </row>
        <row r="83">
          <cell r="A83">
            <v>1168</v>
          </cell>
          <cell r="B83" t="str">
            <v>狼人-霍文</v>
          </cell>
        </row>
        <row r="84">
          <cell r="A84">
            <v>1169</v>
          </cell>
          <cell r="B84" t="str">
            <v>狼人-霍达</v>
          </cell>
        </row>
        <row r="85">
          <cell r="A85">
            <v>1170</v>
          </cell>
          <cell r="B85" t="str">
            <v>狼人-霍格</v>
          </cell>
        </row>
        <row r="86">
          <cell r="A86">
            <v>1171</v>
          </cell>
          <cell r="B86" t="str">
            <v>狼人-霍武</v>
          </cell>
        </row>
        <row r="87">
          <cell r="A87">
            <v>1176</v>
          </cell>
          <cell r="B87" t="str">
            <v>骷髅-德明</v>
          </cell>
        </row>
        <row r="88">
          <cell r="A88">
            <v>1177</v>
          </cell>
          <cell r="B88" t="str">
            <v>骷髅-奇伟</v>
          </cell>
        </row>
        <row r="89">
          <cell r="A89">
            <v>1178</v>
          </cell>
          <cell r="B89" t="str">
            <v>骷髅-德元</v>
          </cell>
        </row>
        <row r="90">
          <cell r="A90">
            <v>1179</v>
          </cell>
          <cell r="B90" t="str">
            <v>骷髅-彭泽</v>
          </cell>
        </row>
        <row r="91">
          <cell r="A91">
            <v>1180</v>
          </cell>
          <cell r="B91" t="str">
            <v>蜘蛛-元瑶</v>
          </cell>
        </row>
        <row r="92">
          <cell r="A92">
            <v>1181</v>
          </cell>
          <cell r="B92" t="str">
            <v>蜘蛛-怜寒</v>
          </cell>
        </row>
        <row r="93">
          <cell r="A93">
            <v>1182</v>
          </cell>
          <cell r="B93" t="str">
            <v>蜘蛛-盼香</v>
          </cell>
        </row>
        <row r="94">
          <cell r="A94">
            <v>1185</v>
          </cell>
          <cell r="B94" t="str">
            <v>女鬼-歆瑶</v>
          </cell>
        </row>
        <row r="95">
          <cell r="A95">
            <v>1186</v>
          </cell>
          <cell r="B95" t="str">
            <v>女鬼-桑榆</v>
          </cell>
        </row>
        <row r="96">
          <cell r="A96">
            <v>1187</v>
          </cell>
          <cell r="B96" t="str">
            <v>女鬼-语嫣</v>
          </cell>
        </row>
        <row r="97">
          <cell r="A97">
            <v>1188</v>
          </cell>
          <cell r="B97" t="str">
            <v>女鬼-凌菲</v>
          </cell>
        </row>
        <row r="98">
          <cell r="A98">
            <v>1193</v>
          </cell>
          <cell r="B98" t="str">
            <v>猴兵</v>
          </cell>
        </row>
        <row r="99">
          <cell r="A99">
            <v>1194</v>
          </cell>
          <cell r="B99" t="str">
            <v>山贼</v>
          </cell>
        </row>
        <row r="100">
          <cell r="A100">
            <v>1217</v>
          </cell>
          <cell r="B100" t="str">
            <v>虾兵</v>
          </cell>
        </row>
        <row r="101">
          <cell r="A101">
            <v>1501</v>
          </cell>
          <cell r="B101" t="str">
            <v>侍女</v>
          </cell>
        </row>
        <row r="102">
          <cell r="A102">
            <v>1502</v>
          </cell>
          <cell r="B102" t="str">
            <v>强盗</v>
          </cell>
        </row>
        <row r="103">
          <cell r="A103">
            <v>1503</v>
          </cell>
          <cell r="B103" t="str">
            <v>野猪怪</v>
          </cell>
        </row>
        <row r="104">
          <cell r="A104">
            <v>1505</v>
          </cell>
          <cell r="B104" t="str">
            <v>狂豹</v>
          </cell>
        </row>
        <row r="105">
          <cell r="A105">
            <v>1506</v>
          </cell>
          <cell r="B105" t="str">
            <v>护卫</v>
          </cell>
        </row>
        <row r="106">
          <cell r="A106">
            <v>1507</v>
          </cell>
          <cell r="B106" t="str">
            <v>龟丞相</v>
          </cell>
        </row>
        <row r="107">
          <cell r="A107">
            <v>1508</v>
          </cell>
          <cell r="B107" t="str">
            <v>炎魔</v>
          </cell>
        </row>
        <row r="108">
          <cell r="A108">
            <v>2018</v>
          </cell>
          <cell r="B108" t="str">
            <v>天将</v>
          </cell>
        </row>
        <row r="109">
          <cell r="A109">
            <v>1220</v>
          </cell>
          <cell r="B109" t="str">
            <v>九头虫</v>
          </cell>
        </row>
        <row r="110">
          <cell r="A110">
            <v>1221</v>
          </cell>
          <cell r="B110" t="str">
            <v>镇元大仙</v>
          </cell>
        </row>
        <row r="111">
          <cell r="A111">
            <v>1222</v>
          </cell>
          <cell r="B111" t="str">
            <v>如来佛祖</v>
          </cell>
        </row>
        <row r="112">
          <cell r="A112">
            <v>1223</v>
          </cell>
          <cell r="B112" t="str">
            <v>孔雀大明王</v>
          </cell>
        </row>
        <row r="113">
          <cell r="A113">
            <v>1224</v>
          </cell>
          <cell r="B113" t="str">
            <v>观世音(废弃)</v>
          </cell>
        </row>
        <row r="114">
          <cell r="A114">
            <v>1225</v>
          </cell>
          <cell r="B114" t="str">
            <v>观世阴</v>
          </cell>
        </row>
        <row r="115">
          <cell r="A115">
            <v>1226</v>
          </cell>
          <cell r="B115" t="str">
            <v>扇子精</v>
          </cell>
        </row>
        <row r="116">
          <cell r="A116">
            <v>1227</v>
          </cell>
          <cell r="B116" t="str">
            <v>太上老君</v>
          </cell>
        </row>
        <row r="117">
          <cell r="A117">
            <v>1801</v>
          </cell>
          <cell r="B117" t="str">
            <v>紫霞仙子</v>
          </cell>
        </row>
        <row r="118">
          <cell r="A118">
            <v>1802</v>
          </cell>
          <cell r="B118" t="str">
            <v>铁扇公主</v>
          </cell>
        </row>
        <row r="119">
          <cell r="A119">
            <v>1803</v>
          </cell>
          <cell r="B119" t="str">
            <v>孙悟空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副本结算"/>
      <sheetName val="副本宝箱"/>
      <sheetName val="进度宝箱"/>
      <sheetName val="副本BOSS宝箱填充"/>
      <sheetName val="副本宝箱和掉落设定"/>
      <sheetName val="Sheet3"/>
      <sheetName val="Sheet2"/>
      <sheetName val="伙伴碎片途径"/>
      <sheetName val="装备碎片途径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/>
          </cell>
          <cell r="B2" t="str">
            <v>八部天龙碎片</v>
          </cell>
          <cell r="C2">
            <v>10260</v>
          </cell>
          <cell r="D2">
            <v>10260</v>
          </cell>
          <cell r="E2" t="str">
            <v>[2,[10260]]</v>
          </cell>
        </row>
        <row r="3">
          <cell r="A3" t="str">
            <v/>
          </cell>
          <cell r="B3" t="str">
            <v>八部天龙碎片</v>
          </cell>
          <cell r="C3">
            <v>10410</v>
          </cell>
          <cell r="D3" t="str">
            <v>10260,10410</v>
          </cell>
          <cell r="E3" t="str">
            <v>[2,[10260,10410]]</v>
          </cell>
        </row>
        <row r="4">
          <cell r="A4" t="str">
            <v/>
          </cell>
          <cell r="B4" t="str">
            <v>八部天龙碎片</v>
          </cell>
          <cell r="C4">
            <v>10560</v>
          </cell>
          <cell r="D4" t="str">
            <v>10260,10410,10560</v>
          </cell>
          <cell r="E4" t="str">
            <v>[2,[10260,10410,10560]]</v>
          </cell>
        </row>
        <row r="5">
          <cell r="A5" t="str">
            <v/>
          </cell>
          <cell r="B5" t="str">
            <v>八部天龙碎片</v>
          </cell>
          <cell r="C5">
            <v>10710</v>
          </cell>
          <cell r="D5" t="str">
            <v>10260,10410,10560,10710</v>
          </cell>
          <cell r="E5" t="str">
            <v>[2,[10260,10410,10560,10710]]</v>
          </cell>
        </row>
        <row r="6">
          <cell r="A6" t="str">
            <v/>
          </cell>
          <cell r="B6" t="str">
            <v>八部天龙碎片</v>
          </cell>
          <cell r="C6">
            <v>10860</v>
          </cell>
          <cell r="D6" t="str">
            <v>10260,10410,10560,10710,10860</v>
          </cell>
          <cell r="E6" t="str">
            <v>[2,[10260,10410,10560,10710,10860]]</v>
          </cell>
        </row>
        <row r="7">
          <cell r="A7" t="str">
            <v/>
          </cell>
          <cell r="B7" t="str">
            <v>八部天龙碎片</v>
          </cell>
          <cell r="C7">
            <v>11010</v>
          </cell>
          <cell r="D7" t="str">
            <v>10260,10410,10560,10710,10860,11010</v>
          </cell>
          <cell r="E7" t="str">
            <v>[2,[10260,10410,10560,10710,10860,11010]]</v>
          </cell>
        </row>
        <row r="8">
          <cell r="A8" t="str">
            <v/>
          </cell>
          <cell r="B8" t="str">
            <v>八部天龙碎片</v>
          </cell>
          <cell r="C8">
            <v>11160</v>
          </cell>
          <cell r="D8" t="str">
            <v>10260,10410,10560,10710,10860,11010,11160</v>
          </cell>
          <cell r="E8" t="str">
            <v>[2,[10260,10410,10560,10710,10860,11010,11160]]</v>
          </cell>
        </row>
        <row r="9">
          <cell r="A9">
            <v>10114</v>
          </cell>
          <cell r="B9" t="str">
            <v>八部天龙碎片</v>
          </cell>
          <cell r="C9">
            <v>11310</v>
          </cell>
          <cell r="D9" t="str">
            <v>10260,10410,10560,10710,10860,11010,11160,11310</v>
          </cell>
          <cell r="E9" t="str">
            <v>[2,[10260,10410,10560,10710,10860,11010,11160,11310]]</v>
          </cell>
        </row>
        <row r="10">
          <cell r="A10" t="str">
            <v/>
          </cell>
          <cell r="B10" t="str">
            <v>白骨夫人碎片</v>
          </cell>
          <cell r="C10">
            <v>10239</v>
          </cell>
          <cell r="D10">
            <v>10239</v>
          </cell>
          <cell r="E10" t="str">
            <v>[2,[10239]]</v>
          </cell>
        </row>
        <row r="11">
          <cell r="A11" t="str">
            <v/>
          </cell>
          <cell r="B11" t="str">
            <v>白骨夫人碎片</v>
          </cell>
          <cell r="C11">
            <v>10449</v>
          </cell>
          <cell r="D11" t="str">
            <v>10239,10449</v>
          </cell>
          <cell r="E11" t="str">
            <v>[2,[10239,10449]]</v>
          </cell>
        </row>
        <row r="12">
          <cell r="A12" t="str">
            <v/>
          </cell>
          <cell r="B12" t="str">
            <v>白骨夫人碎片</v>
          </cell>
          <cell r="C12">
            <v>10659</v>
          </cell>
          <cell r="D12" t="str">
            <v>10239,10449,10659</v>
          </cell>
          <cell r="E12" t="str">
            <v>[2,[10239,10449,10659]]</v>
          </cell>
        </row>
        <row r="13">
          <cell r="A13" t="str">
            <v/>
          </cell>
          <cell r="B13" t="str">
            <v>白骨夫人碎片</v>
          </cell>
          <cell r="C13">
            <v>10869</v>
          </cell>
          <cell r="D13" t="str">
            <v>10239,10449,10659,10869</v>
          </cell>
          <cell r="E13" t="str">
            <v>[2,[10239,10449,10659,10869]]</v>
          </cell>
        </row>
        <row r="14">
          <cell r="A14" t="str">
            <v/>
          </cell>
          <cell r="B14" t="str">
            <v>白骨夫人碎片</v>
          </cell>
          <cell r="C14">
            <v>11079</v>
          </cell>
          <cell r="D14" t="str">
            <v>10239,10449,10659,10869,11079</v>
          </cell>
          <cell r="E14" t="str">
            <v>[2,[10239,10449,10659,10869,11079]]</v>
          </cell>
        </row>
        <row r="15">
          <cell r="A15">
            <v>10016</v>
          </cell>
          <cell r="B15" t="str">
            <v>白骨夫人碎片</v>
          </cell>
          <cell r="C15">
            <v>11289</v>
          </cell>
          <cell r="D15" t="str">
            <v>10239,10449,10659,10869,11079,11289</v>
          </cell>
          <cell r="E15" t="str">
            <v>[2,[10239,10449,10659,10869,11079,11289]]</v>
          </cell>
        </row>
        <row r="16">
          <cell r="A16" t="str">
            <v/>
          </cell>
          <cell r="B16" t="str">
            <v>白龙公主碎片</v>
          </cell>
          <cell r="C16">
            <v>10109</v>
          </cell>
          <cell r="D16">
            <v>10109</v>
          </cell>
          <cell r="E16" t="str">
            <v>[2,[10109]]</v>
          </cell>
        </row>
        <row r="17">
          <cell r="A17" t="str">
            <v/>
          </cell>
          <cell r="B17" t="str">
            <v>白龙公主碎片</v>
          </cell>
          <cell r="C17">
            <v>10176</v>
          </cell>
          <cell r="D17" t="str">
            <v>10109,10176</v>
          </cell>
          <cell r="E17" t="str">
            <v>[2,[10109,10176]]</v>
          </cell>
        </row>
        <row r="18">
          <cell r="A18" t="str">
            <v/>
          </cell>
          <cell r="B18" t="str">
            <v>白龙公主碎片</v>
          </cell>
          <cell r="C18">
            <v>10356</v>
          </cell>
          <cell r="D18" t="str">
            <v>10109,10176,10356</v>
          </cell>
          <cell r="E18" t="str">
            <v>[2,[10109,10176,10356]]</v>
          </cell>
        </row>
        <row r="19">
          <cell r="A19" t="str">
            <v/>
          </cell>
          <cell r="B19" t="str">
            <v>白龙公主碎片</v>
          </cell>
          <cell r="C19">
            <v>10536</v>
          </cell>
          <cell r="D19" t="str">
            <v>10109,10176,10356,10536</v>
          </cell>
          <cell r="E19" t="str">
            <v>[2,[10109,10176,10356,10536]]</v>
          </cell>
        </row>
        <row r="20">
          <cell r="A20" t="str">
            <v/>
          </cell>
          <cell r="B20" t="str">
            <v>白龙公主碎片</v>
          </cell>
          <cell r="C20">
            <v>10716</v>
          </cell>
          <cell r="D20" t="str">
            <v>10109,10176,10356,10536,10716</v>
          </cell>
          <cell r="E20" t="str">
            <v>[2,[10109,10176,10356,10536,10716]]</v>
          </cell>
        </row>
        <row r="21">
          <cell r="A21" t="str">
            <v/>
          </cell>
          <cell r="B21" t="str">
            <v>白龙公主碎片</v>
          </cell>
          <cell r="C21">
            <v>10896</v>
          </cell>
          <cell r="D21" t="str">
            <v>10109,10176,10356,10536,10716,10896</v>
          </cell>
          <cell r="E21" t="str">
            <v>[2,[10109,10176,10356,10536,10716,10896]]</v>
          </cell>
        </row>
        <row r="22">
          <cell r="A22" t="str">
            <v/>
          </cell>
          <cell r="B22" t="str">
            <v>白龙公主碎片</v>
          </cell>
          <cell r="C22">
            <v>11076</v>
          </cell>
          <cell r="D22" t="str">
            <v>10109,10176,10356,10536,10716,10896,11076</v>
          </cell>
          <cell r="E22" t="str">
            <v>[2,[10109,10176,10356,10536,10716,10896,11076]]</v>
          </cell>
        </row>
        <row r="23">
          <cell r="A23">
            <v>10036</v>
          </cell>
          <cell r="B23" t="str">
            <v>白龙公主碎片</v>
          </cell>
          <cell r="C23">
            <v>11256</v>
          </cell>
          <cell r="D23" t="str">
            <v>10109,10176,10356,10536,10716,10896,11076,11256</v>
          </cell>
          <cell r="E23" t="str">
            <v>[2,[10109,10176,10356,10536,10716,10896,11076,11256]]</v>
          </cell>
        </row>
        <row r="24">
          <cell r="A24" t="str">
            <v/>
          </cell>
          <cell r="B24" t="str">
            <v>白无常碎片</v>
          </cell>
          <cell r="C24">
            <v>10230</v>
          </cell>
          <cell r="D24">
            <v>10230</v>
          </cell>
          <cell r="E24" t="str">
            <v>[2,[10230]]</v>
          </cell>
        </row>
        <row r="25">
          <cell r="A25" t="str">
            <v/>
          </cell>
          <cell r="B25" t="str">
            <v>白无常碎片</v>
          </cell>
          <cell r="C25">
            <v>10380</v>
          </cell>
          <cell r="D25" t="str">
            <v>10230,10380</v>
          </cell>
          <cell r="E25" t="str">
            <v>[2,[10230,10380]]</v>
          </cell>
        </row>
        <row r="26">
          <cell r="A26" t="str">
            <v/>
          </cell>
          <cell r="B26" t="str">
            <v>白无常碎片</v>
          </cell>
          <cell r="C26">
            <v>10530</v>
          </cell>
          <cell r="D26" t="str">
            <v>10230,10380,10530</v>
          </cell>
          <cell r="E26" t="str">
            <v>[2,[10230,10380,10530]]</v>
          </cell>
        </row>
        <row r="27">
          <cell r="A27" t="str">
            <v/>
          </cell>
          <cell r="B27" t="str">
            <v>白无常碎片</v>
          </cell>
          <cell r="C27">
            <v>10680</v>
          </cell>
          <cell r="D27" t="str">
            <v>10230,10380,10530,10680</v>
          </cell>
          <cell r="E27" t="str">
            <v>[2,[10230,10380,10530,10680]]</v>
          </cell>
        </row>
        <row r="28">
          <cell r="A28" t="str">
            <v/>
          </cell>
          <cell r="B28" t="str">
            <v>白无常碎片</v>
          </cell>
          <cell r="C28">
            <v>10830</v>
          </cell>
          <cell r="D28" t="str">
            <v>10230,10380,10530,10680,10830</v>
          </cell>
          <cell r="E28" t="str">
            <v>[2,[10230,10380,10530,10680,10830]]</v>
          </cell>
        </row>
        <row r="29">
          <cell r="A29" t="str">
            <v/>
          </cell>
          <cell r="B29" t="str">
            <v>白无常碎片</v>
          </cell>
          <cell r="C29">
            <v>10980</v>
          </cell>
          <cell r="D29" t="str">
            <v>10230,10380,10530,10680,10830,10980</v>
          </cell>
          <cell r="E29" t="str">
            <v>[2,[10230,10380,10530,10680,10830,10980]]</v>
          </cell>
        </row>
        <row r="30">
          <cell r="A30" t="str">
            <v/>
          </cell>
          <cell r="B30" t="str">
            <v>白无常碎片</v>
          </cell>
          <cell r="C30">
            <v>11130</v>
          </cell>
          <cell r="D30" t="str">
            <v>10230,10380,10530,10680,10830,10980,11130</v>
          </cell>
          <cell r="E30" t="str">
            <v>[2,[10230,10380,10530,10680,10830,10980,11130]]</v>
          </cell>
        </row>
        <row r="31">
          <cell r="A31">
            <v>10118</v>
          </cell>
          <cell r="B31" t="str">
            <v>白无常碎片</v>
          </cell>
          <cell r="C31">
            <v>11280</v>
          </cell>
          <cell r="D31" t="str">
            <v>10230,10380,10530,10680,10830,10980,11130,11280</v>
          </cell>
          <cell r="E31" t="str">
            <v>[2,[10230,10380,10530,10680,10830,10980,11130,11280]]</v>
          </cell>
        </row>
        <row r="32">
          <cell r="A32" t="str">
            <v/>
          </cell>
          <cell r="B32" t="str">
            <v>彩蝶仙童碎片</v>
          </cell>
          <cell r="C32">
            <v>10090</v>
          </cell>
          <cell r="D32">
            <v>10090</v>
          </cell>
          <cell r="E32" t="str">
            <v>[2,[10090]]</v>
          </cell>
        </row>
        <row r="33">
          <cell r="A33" t="str">
            <v/>
          </cell>
          <cell r="B33" t="str">
            <v>彩蝶仙童碎片</v>
          </cell>
          <cell r="C33">
            <v>10299</v>
          </cell>
          <cell r="D33" t="str">
            <v>10090,10299</v>
          </cell>
          <cell r="E33" t="str">
            <v>[2,[10090,10299]]</v>
          </cell>
        </row>
        <row r="34">
          <cell r="A34" t="str">
            <v/>
          </cell>
          <cell r="B34" t="str">
            <v>彩蝶仙童碎片</v>
          </cell>
          <cell r="C34">
            <v>10509</v>
          </cell>
          <cell r="D34" t="str">
            <v>10090,10299,10509</v>
          </cell>
          <cell r="E34" t="str">
            <v>[2,[10090,10299,10509]]</v>
          </cell>
        </row>
        <row r="35">
          <cell r="A35" t="str">
            <v/>
          </cell>
          <cell r="B35" t="str">
            <v>彩蝶仙童碎片</v>
          </cell>
          <cell r="C35">
            <v>10719</v>
          </cell>
          <cell r="D35" t="str">
            <v>10090,10299,10509,10719</v>
          </cell>
          <cell r="E35" t="str">
            <v>[2,[10090,10299,10509,10719]]</v>
          </cell>
        </row>
        <row r="36">
          <cell r="A36" t="str">
            <v/>
          </cell>
          <cell r="B36" t="str">
            <v>彩蝶仙童碎片</v>
          </cell>
          <cell r="C36">
            <v>10929</v>
          </cell>
          <cell r="D36" t="str">
            <v>10090,10299,10509,10719,10929</v>
          </cell>
          <cell r="E36" t="str">
            <v>[2,[10090,10299,10509,10719,10929]]</v>
          </cell>
        </row>
        <row r="37">
          <cell r="A37">
            <v>10108</v>
          </cell>
          <cell r="B37" t="str">
            <v>彩蝶仙童碎片</v>
          </cell>
          <cell r="C37">
            <v>11139</v>
          </cell>
          <cell r="D37" t="str">
            <v>10090,10299,10509,10719,10929,11139</v>
          </cell>
          <cell r="E37" t="str">
            <v>[2,[10090,10299,10509,10719,10929,11139]]</v>
          </cell>
        </row>
        <row r="38">
          <cell r="A38" t="str">
            <v/>
          </cell>
          <cell r="B38" t="str">
            <v>嫦娥碎片</v>
          </cell>
          <cell r="C38">
            <v>10130</v>
          </cell>
          <cell r="D38">
            <v>10130</v>
          </cell>
          <cell r="E38" t="str">
            <v>[2,[10130]]</v>
          </cell>
        </row>
        <row r="39">
          <cell r="A39" t="str">
            <v/>
          </cell>
          <cell r="B39" t="str">
            <v>嫦娥碎片</v>
          </cell>
          <cell r="C39">
            <v>10280</v>
          </cell>
          <cell r="D39" t="str">
            <v>10130,10280</v>
          </cell>
          <cell r="E39" t="str">
            <v>[2,[10130,10280]]</v>
          </cell>
        </row>
        <row r="40">
          <cell r="A40" t="str">
            <v/>
          </cell>
          <cell r="B40" t="str">
            <v>嫦娥碎片</v>
          </cell>
          <cell r="C40">
            <v>10430</v>
          </cell>
          <cell r="D40" t="str">
            <v>10130,10280,10430</v>
          </cell>
          <cell r="E40" t="str">
            <v>[2,[10130,10280,10430]]</v>
          </cell>
        </row>
        <row r="41">
          <cell r="A41" t="str">
            <v/>
          </cell>
          <cell r="B41" t="str">
            <v>嫦娥碎片</v>
          </cell>
          <cell r="C41">
            <v>10580</v>
          </cell>
          <cell r="D41" t="str">
            <v>10130,10280,10430,10580</v>
          </cell>
          <cell r="E41" t="str">
            <v>[2,[10130,10280,10430,10580]]</v>
          </cell>
        </row>
        <row r="42">
          <cell r="A42" t="str">
            <v/>
          </cell>
          <cell r="B42" t="str">
            <v>嫦娥碎片</v>
          </cell>
          <cell r="C42">
            <v>10730</v>
          </cell>
          <cell r="D42" t="str">
            <v>10130,10280,10430,10580,10730</v>
          </cell>
          <cell r="E42" t="str">
            <v>[2,[10130,10280,10430,10580,10730]]</v>
          </cell>
        </row>
        <row r="43">
          <cell r="A43" t="str">
            <v/>
          </cell>
          <cell r="B43" t="str">
            <v>嫦娥碎片</v>
          </cell>
          <cell r="C43">
            <v>10880</v>
          </cell>
          <cell r="D43" t="str">
            <v>10130,10280,10430,10580,10730,10880</v>
          </cell>
          <cell r="E43" t="str">
            <v>[2,[10130,10280,10430,10580,10730,10880]]</v>
          </cell>
        </row>
        <row r="44">
          <cell r="A44" t="str">
            <v/>
          </cell>
          <cell r="B44" t="str">
            <v>嫦娥碎片</v>
          </cell>
          <cell r="C44">
            <v>11030</v>
          </cell>
          <cell r="D44" t="str">
            <v>10130,10280,10430,10580,10730,10880,11030</v>
          </cell>
          <cell r="E44" t="str">
            <v>[2,[10130,10280,10430,10580,10730,10880,11030]]</v>
          </cell>
        </row>
        <row r="45">
          <cell r="A45">
            <v>10003</v>
          </cell>
          <cell r="B45" t="str">
            <v>嫦娥碎片</v>
          </cell>
          <cell r="C45">
            <v>11180</v>
          </cell>
          <cell r="D45" t="str">
            <v>10130,10280,10430,10580,10730,10880,11030,11180</v>
          </cell>
          <cell r="E45" t="str">
            <v>[2,[10130,10280,10430,10580,10730,10880,11030,11180]]</v>
          </cell>
        </row>
        <row r="46">
          <cell r="A46" t="str">
            <v/>
          </cell>
          <cell r="B46" t="str">
            <v>赤脚大仙碎片</v>
          </cell>
          <cell r="C46">
            <v>10199</v>
          </cell>
          <cell r="D46">
            <v>10199</v>
          </cell>
          <cell r="E46" t="str">
            <v>[2,[10199]]</v>
          </cell>
        </row>
        <row r="47">
          <cell r="A47" t="str">
            <v/>
          </cell>
          <cell r="B47" t="str">
            <v>赤脚大仙碎片</v>
          </cell>
          <cell r="C47">
            <v>10409</v>
          </cell>
          <cell r="D47" t="str">
            <v>10199,10409</v>
          </cell>
          <cell r="E47" t="str">
            <v>[2,[10199,10409]]</v>
          </cell>
        </row>
        <row r="48">
          <cell r="A48" t="str">
            <v/>
          </cell>
          <cell r="B48" t="str">
            <v>赤脚大仙碎片</v>
          </cell>
          <cell r="C48">
            <v>10619</v>
          </cell>
          <cell r="D48" t="str">
            <v>10199,10409,10619</v>
          </cell>
          <cell r="E48" t="str">
            <v>[2,[10199,10409,10619]]</v>
          </cell>
        </row>
        <row r="49">
          <cell r="A49" t="str">
            <v/>
          </cell>
          <cell r="B49" t="str">
            <v>赤脚大仙碎片</v>
          </cell>
          <cell r="C49">
            <v>10829</v>
          </cell>
          <cell r="D49" t="str">
            <v>10199,10409,10619,10829</v>
          </cell>
          <cell r="E49" t="str">
            <v>[2,[10199,10409,10619,10829]]</v>
          </cell>
        </row>
        <row r="50">
          <cell r="A50" t="str">
            <v/>
          </cell>
          <cell r="B50" t="str">
            <v>赤脚大仙碎片</v>
          </cell>
          <cell r="C50">
            <v>11039</v>
          </cell>
          <cell r="D50" t="str">
            <v>10199,10409,10619,10829,11039</v>
          </cell>
          <cell r="E50" t="str">
            <v>[2,[10199,10409,10619,10829,11039]]</v>
          </cell>
        </row>
        <row r="51">
          <cell r="A51">
            <v>10007</v>
          </cell>
          <cell r="B51" t="str">
            <v>赤脚大仙碎片</v>
          </cell>
          <cell r="C51">
            <v>11249</v>
          </cell>
          <cell r="D51" t="str">
            <v>10199,10409,10619,10829,11039,11249</v>
          </cell>
          <cell r="E51" t="str">
            <v>[2,[10199,10409,10619,10829,11039,11249]]</v>
          </cell>
        </row>
        <row r="52">
          <cell r="A52" t="str">
            <v/>
          </cell>
          <cell r="B52" t="str">
            <v>地藏王碎片</v>
          </cell>
          <cell r="C52">
            <v>10028</v>
          </cell>
          <cell r="D52">
            <v>10028</v>
          </cell>
          <cell r="E52" t="str">
            <v>[2,[10028]]</v>
          </cell>
        </row>
        <row r="53">
          <cell r="A53" t="str">
            <v/>
          </cell>
          <cell r="B53" t="str">
            <v>地藏王碎片</v>
          </cell>
          <cell r="C53">
            <v>10096</v>
          </cell>
          <cell r="D53" t="str">
            <v>10028,10096</v>
          </cell>
          <cell r="E53" t="str">
            <v>[2,[10028,10096]]</v>
          </cell>
        </row>
        <row r="54">
          <cell r="A54" t="str">
            <v/>
          </cell>
          <cell r="B54" t="str">
            <v>地藏王碎片</v>
          </cell>
          <cell r="C54">
            <v>10276</v>
          </cell>
          <cell r="D54" t="str">
            <v>10028,10096,10276</v>
          </cell>
          <cell r="E54" t="str">
            <v>[2,[10028,10096,10276]]</v>
          </cell>
        </row>
        <row r="55">
          <cell r="A55" t="str">
            <v/>
          </cell>
          <cell r="B55" t="str">
            <v>地藏王碎片</v>
          </cell>
          <cell r="C55">
            <v>10456</v>
          </cell>
          <cell r="D55" t="str">
            <v>10028,10096,10276,10456</v>
          </cell>
          <cell r="E55" t="str">
            <v>[2,[10028,10096,10276,10456]]</v>
          </cell>
        </row>
        <row r="56">
          <cell r="A56" t="str">
            <v/>
          </cell>
          <cell r="B56" t="str">
            <v>地藏王碎片</v>
          </cell>
          <cell r="C56">
            <v>10636</v>
          </cell>
          <cell r="D56" t="str">
            <v>10028,10096,10276,10456,10636</v>
          </cell>
          <cell r="E56" t="str">
            <v>[2,[10028,10096,10276,10456,10636]]</v>
          </cell>
        </row>
        <row r="57">
          <cell r="A57" t="str">
            <v/>
          </cell>
          <cell r="B57" t="str">
            <v>地藏王碎片</v>
          </cell>
          <cell r="C57">
            <v>10816</v>
          </cell>
          <cell r="D57" t="str">
            <v>10028,10096,10276,10456,10636,10816</v>
          </cell>
          <cell r="E57" t="str">
            <v>[2,[10028,10096,10276,10456,10636,10816]]</v>
          </cell>
        </row>
        <row r="58">
          <cell r="A58" t="str">
            <v/>
          </cell>
          <cell r="B58" t="str">
            <v>地藏王碎片</v>
          </cell>
          <cell r="C58">
            <v>10996</v>
          </cell>
          <cell r="D58" t="str">
            <v>10028,10096,10276,10456,10636,10816,10996</v>
          </cell>
          <cell r="E58" t="str">
            <v>[2,[10028,10096,10276,10456,10636,10816,10996]]</v>
          </cell>
        </row>
        <row r="59">
          <cell r="A59">
            <v>10030</v>
          </cell>
          <cell r="B59" t="str">
            <v>地藏王碎片</v>
          </cell>
          <cell r="C59">
            <v>11176</v>
          </cell>
          <cell r="D59" t="str">
            <v>10028,10096,10276,10456,10636,10816,10996,11176</v>
          </cell>
          <cell r="E59" t="str">
            <v>[2,[10028,10096,10276,10456,10636,10816,10996,11176]]</v>
          </cell>
        </row>
        <row r="60">
          <cell r="A60" t="str">
            <v/>
          </cell>
          <cell r="B60" t="str">
            <v>东海龙王碎片</v>
          </cell>
          <cell r="C60">
            <v>10219</v>
          </cell>
          <cell r="D60">
            <v>10219</v>
          </cell>
          <cell r="E60" t="str">
            <v>[2,[10219]]</v>
          </cell>
        </row>
        <row r="61">
          <cell r="A61" t="str">
            <v/>
          </cell>
          <cell r="B61" t="str">
            <v>东海龙王碎片</v>
          </cell>
          <cell r="C61">
            <v>10429</v>
          </cell>
          <cell r="D61" t="str">
            <v>10219,10429</v>
          </cell>
          <cell r="E61" t="str">
            <v>[2,[10219,10429]]</v>
          </cell>
        </row>
        <row r="62">
          <cell r="A62" t="str">
            <v/>
          </cell>
          <cell r="B62" t="str">
            <v>东海龙王碎片</v>
          </cell>
          <cell r="C62">
            <v>10639</v>
          </cell>
          <cell r="D62" t="str">
            <v>10219,10429,10639</v>
          </cell>
          <cell r="E62" t="str">
            <v>[2,[10219,10429,10639]]</v>
          </cell>
        </row>
        <row r="63">
          <cell r="A63" t="str">
            <v/>
          </cell>
          <cell r="B63" t="str">
            <v>东海龙王碎片</v>
          </cell>
          <cell r="C63">
            <v>10849</v>
          </cell>
          <cell r="D63" t="str">
            <v>10219,10429,10639,10849</v>
          </cell>
          <cell r="E63" t="str">
            <v>[2,[10219,10429,10639,10849]]</v>
          </cell>
        </row>
        <row r="64">
          <cell r="A64" t="str">
            <v/>
          </cell>
          <cell r="B64" t="str">
            <v>东海龙王碎片</v>
          </cell>
          <cell r="C64">
            <v>11059</v>
          </cell>
          <cell r="D64" t="str">
            <v>10219,10429,10639,10849,11059</v>
          </cell>
          <cell r="E64" t="str">
            <v>[2,[10219,10429,10639,10849,11059]]</v>
          </cell>
        </row>
        <row r="65">
          <cell r="A65">
            <v>10035</v>
          </cell>
          <cell r="B65" t="str">
            <v>东海龙王碎片</v>
          </cell>
          <cell r="C65">
            <v>11269</v>
          </cell>
          <cell r="D65" t="str">
            <v>10219,10429,10639,10849,11059,11269</v>
          </cell>
          <cell r="E65" t="str">
            <v>[2,[10219,10429,10639,10849,11059,11269]]</v>
          </cell>
        </row>
        <row r="66">
          <cell r="A66" t="str">
            <v/>
          </cell>
          <cell r="B66" t="str">
            <v>观世音碎片</v>
          </cell>
          <cell r="C66">
            <v>10160</v>
          </cell>
          <cell r="D66">
            <v>10160</v>
          </cell>
          <cell r="E66" t="str">
            <v>[2,[10160]]</v>
          </cell>
        </row>
        <row r="67">
          <cell r="A67" t="str">
            <v/>
          </cell>
          <cell r="B67" t="str">
            <v>观世音碎片</v>
          </cell>
          <cell r="C67">
            <v>10310</v>
          </cell>
          <cell r="D67" t="str">
            <v>10160,10310</v>
          </cell>
          <cell r="E67" t="str">
            <v>[2,[10160,10310]]</v>
          </cell>
        </row>
        <row r="68">
          <cell r="A68" t="str">
            <v/>
          </cell>
          <cell r="B68" t="str">
            <v>观世音碎片</v>
          </cell>
          <cell r="C68">
            <v>10460</v>
          </cell>
          <cell r="D68" t="str">
            <v>10160,10310,10460</v>
          </cell>
          <cell r="E68" t="str">
            <v>[2,[10160,10310,10460]]</v>
          </cell>
        </row>
        <row r="69">
          <cell r="A69" t="str">
            <v/>
          </cell>
          <cell r="B69" t="str">
            <v>观世音碎片</v>
          </cell>
          <cell r="C69">
            <v>10610</v>
          </cell>
          <cell r="D69" t="str">
            <v>10160,10310,10460,10610</v>
          </cell>
          <cell r="E69" t="str">
            <v>[2,[10160,10310,10460,10610]]</v>
          </cell>
        </row>
        <row r="70">
          <cell r="A70" t="str">
            <v/>
          </cell>
          <cell r="B70" t="str">
            <v>观世音碎片</v>
          </cell>
          <cell r="C70">
            <v>10760</v>
          </cell>
          <cell r="D70" t="str">
            <v>10160,10310,10460,10610,10760</v>
          </cell>
          <cell r="E70" t="str">
            <v>[2,[10160,10310,10460,10610,10760]]</v>
          </cell>
        </row>
        <row r="71">
          <cell r="A71" t="str">
            <v/>
          </cell>
          <cell r="B71" t="str">
            <v>观世音碎片</v>
          </cell>
          <cell r="C71">
            <v>10910</v>
          </cell>
          <cell r="D71" t="str">
            <v>10160,10310,10460,10610,10760,10910</v>
          </cell>
          <cell r="E71" t="str">
            <v>[2,[10160,10310,10460,10610,10760,10910]]</v>
          </cell>
        </row>
        <row r="72">
          <cell r="A72" t="str">
            <v/>
          </cell>
          <cell r="B72" t="str">
            <v>观世音碎片</v>
          </cell>
          <cell r="C72">
            <v>11060</v>
          </cell>
          <cell r="D72" t="str">
            <v>10160,10310,10460,10610,10760,10910,11060</v>
          </cell>
          <cell r="E72" t="str">
            <v>[2,[10160,10310,10460,10610,10760,10910,11060]]</v>
          </cell>
        </row>
        <row r="73">
          <cell r="A73">
            <v>10115</v>
          </cell>
          <cell r="B73" t="str">
            <v>观世音碎片</v>
          </cell>
          <cell r="C73">
            <v>11210</v>
          </cell>
          <cell r="D73" t="str">
            <v>10160,10310,10460,10610,10760,10910,11060,11210</v>
          </cell>
          <cell r="E73" t="str">
            <v>[2,[10160,10310,10460,10610,10760,10910,11060,11210]]</v>
          </cell>
        </row>
        <row r="74">
          <cell r="A74" t="str">
            <v/>
          </cell>
          <cell r="B74" t="str">
            <v>鬼使白碎片</v>
          </cell>
          <cell r="C74">
            <v>10059</v>
          </cell>
          <cell r="D74">
            <v>10059</v>
          </cell>
          <cell r="E74" t="str">
            <v>[2,[10059]]</v>
          </cell>
        </row>
        <row r="75">
          <cell r="A75" t="str">
            <v/>
          </cell>
          <cell r="B75" t="str">
            <v>鬼使白碎片</v>
          </cell>
          <cell r="C75">
            <v>10126</v>
          </cell>
          <cell r="D75" t="str">
            <v>10059,10126</v>
          </cell>
          <cell r="E75" t="str">
            <v>[2,[10059,10126]]</v>
          </cell>
        </row>
        <row r="76">
          <cell r="A76" t="str">
            <v/>
          </cell>
          <cell r="B76" t="str">
            <v>鬼使白碎片</v>
          </cell>
          <cell r="C76">
            <v>10306</v>
          </cell>
          <cell r="D76" t="str">
            <v>10059,10126,10306</v>
          </cell>
          <cell r="E76" t="str">
            <v>[2,[10059,10126,10306]]</v>
          </cell>
        </row>
        <row r="77">
          <cell r="A77" t="str">
            <v/>
          </cell>
          <cell r="B77" t="str">
            <v>鬼使白碎片</v>
          </cell>
          <cell r="C77">
            <v>10486</v>
          </cell>
          <cell r="D77" t="str">
            <v>10059,10126,10306,10486</v>
          </cell>
          <cell r="E77" t="str">
            <v>[2,[10059,10126,10306,10486]]</v>
          </cell>
        </row>
        <row r="78">
          <cell r="A78" t="str">
            <v/>
          </cell>
          <cell r="B78" t="str">
            <v>鬼使白碎片</v>
          </cell>
          <cell r="C78">
            <v>10666</v>
          </cell>
          <cell r="D78" t="str">
            <v>10059,10126,10306,10486,10666</v>
          </cell>
          <cell r="E78" t="str">
            <v>[2,[10059,10126,10306,10486,10666]]</v>
          </cell>
        </row>
        <row r="79">
          <cell r="A79" t="str">
            <v/>
          </cell>
          <cell r="B79" t="str">
            <v>鬼使白碎片</v>
          </cell>
          <cell r="C79">
            <v>10846</v>
          </cell>
          <cell r="D79" t="str">
            <v>10059,10126,10306,10486,10666,10846</v>
          </cell>
          <cell r="E79" t="str">
            <v>[2,[10059,10126,10306,10486,10666,10846]]</v>
          </cell>
        </row>
        <row r="80">
          <cell r="A80" t="str">
            <v/>
          </cell>
          <cell r="B80" t="str">
            <v>鬼使白碎片</v>
          </cell>
          <cell r="C80">
            <v>11026</v>
          </cell>
          <cell r="D80" t="str">
            <v>10059,10126,10306,10486,10666,10846,11026</v>
          </cell>
          <cell r="E80" t="str">
            <v>[2,[10059,10126,10306,10486,10666,10846,11026]]</v>
          </cell>
        </row>
        <row r="81">
          <cell r="A81">
            <v>10104</v>
          </cell>
          <cell r="B81" t="str">
            <v>鬼使白碎片</v>
          </cell>
          <cell r="C81">
            <v>11206</v>
          </cell>
          <cell r="D81" t="str">
            <v>10059,10126,10306,10486,10666,10846,11026,11206</v>
          </cell>
          <cell r="E81" t="str">
            <v>[2,[10059,10126,10306,10486,10666,10846,11026,11206]]</v>
          </cell>
        </row>
        <row r="82">
          <cell r="A82" t="str">
            <v/>
          </cell>
          <cell r="B82" t="str">
            <v>鬼使黑碎片</v>
          </cell>
          <cell r="C82">
            <v>10069</v>
          </cell>
          <cell r="D82">
            <v>10069</v>
          </cell>
          <cell r="E82" t="str">
            <v>[2,[10069]]</v>
          </cell>
        </row>
        <row r="83">
          <cell r="A83" t="str">
            <v/>
          </cell>
          <cell r="B83" t="str">
            <v>鬼使黑碎片</v>
          </cell>
          <cell r="C83">
            <v>10136</v>
          </cell>
          <cell r="D83" t="str">
            <v>10069,10136</v>
          </cell>
          <cell r="E83" t="str">
            <v>[2,[10069,10136]]</v>
          </cell>
        </row>
        <row r="84">
          <cell r="A84" t="str">
            <v/>
          </cell>
          <cell r="B84" t="str">
            <v>鬼使黑碎片</v>
          </cell>
          <cell r="C84">
            <v>10316</v>
          </cell>
          <cell r="D84" t="str">
            <v>10069,10136,10316</v>
          </cell>
          <cell r="E84" t="str">
            <v>[2,[10069,10136,10316]]</v>
          </cell>
        </row>
        <row r="85">
          <cell r="A85" t="str">
            <v/>
          </cell>
          <cell r="B85" t="str">
            <v>鬼使黑碎片</v>
          </cell>
          <cell r="C85">
            <v>10496</v>
          </cell>
          <cell r="D85" t="str">
            <v>10069,10136,10316,10496</v>
          </cell>
          <cell r="E85" t="str">
            <v>[2,[10069,10136,10316,10496]]</v>
          </cell>
        </row>
        <row r="86">
          <cell r="A86" t="str">
            <v/>
          </cell>
          <cell r="B86" t="str">
            <v>鬼使黑碎片</v>
          </cell>
          <cell r="C86">
            <v>10676</v>
          </cell>
          <cell r="D86" t="str">
            <v>10069,10136,10316,10496,10676</v>
          </cell>
          <cell r="E86" t="str">
            <v>[2,[10069,10136,10316,10496,10676]]</v>
          </cell>
        </row>
        <row r="87">
          <cell r="A87" t="str">
            <v/>
          </cell>
          <cell r="B87" t="str">
            <v>鬼使黑碎片</v>
          </cell>
          <cell r="C87">
            <v>10856</v>
          </cell>
          <cell r="D87" t="str">
            <v>10069,10136,10316,10496,10676,10856</v>
          </cell>
          <cell r="E87" t="str">
            <v>[2,[10069,10136,10316,10496,10676,10856]]</v>
          </cell>
        </row>
        <row r="88">
          <cell r="A88" t="str">
            <v/>
          </cell>
          <cell r="B88" t="str">
            <v>鬼使黑碎片</v>
          </cell>
          <cell r="C88">
            <v>11036</v>
          </cell>
          <cell r="D88" t="str">
            <v>10069,10136,10316,10496,10676,10856,11036</v>
          </cell>
          <cell r="E88" t="str">
            <v>[2,[10069,10136,10316,10496,10676,10856,11036]]</v>
          </cell>
        </row>
        <row r="89">
          <cell r="A89">
            <v>10103</v>
          </cell>
          <cell r="B89" t="str">
            <v>鬼使黑碎片</v>
          </cell>
          <cell r="C89">
            <v>11216</v>
          </cell>
          <cell r="D89" t="str">
            <v>10069,10136,10316,10496,10676,10856,11036,11216</v>
          </cell>
          <cell r="E89" t="str">
            <v>[2,[10069,10136,10316,10496,10676,10856,11036,11216]]</v>
          </cell>
        </row>
        <row r="90">
          <cell r="A90" t="str">
            <v/>
          </cell>
          <cell r="B90" t="str">
            <v>黑无常碎片</v>
          </cell>
          <cell r="C90">
            <v>10140</v>
          </cell>
          <cell r="D90">
            <v>10140</v>
          </cell>
          <cell r="E90" t="str">
            <v>[2,[10140]]</v>
          </cell>
        </row>
        <row r="91">
          <cell r="A91" t="str">
            <v/>
          </cell>
          <cell r="B91" t="str">
            <v>黑无常碎片</v>
          </cell>
          <cell r="C91">
            <v>10290</v>
          </cell>
          <cell r="D91" t="str">
            <v>10140,10290</v>
          </cell>
          <cell r="E91" t="str">
            <v>[2,[10140,10290]]</v>
          </cell>
        </row>
        <row r="92">
          <cell r="A92" t="str">
            <v/>
          </cell>
          <cell r="B92" t="str">
            <v>黑无常碎片</v>
          </cell>
          <cell r="C92">
            <v>10440</v>
          </cell>
          <cell r="D92" t="str">
            <v>10140,10290,10440</v>
          </cell>
          <cell r="E92" t="str">
            <v>[2,[10140,10290,10440]]</v>
          </cell>
        </row>
        <row r="93">
          <cell r="A93" t="str">
            <v/>
          </cell>
          <cell r="B93" t="str">
            <v>黑无常碎片</v>
          </cell>
          <cell r="C93">
            <v>10590</v>
          </cell>
          <cell r="D93" t="str">
            <v>10140,10290,10440,10590</v>
          </cell>
          <cell r="E93" t="str">
            <v>[2,[10140,10290,10440,10590]]</v>
          </cell>
        </row>
        <row r="94">
          <cell r="A94" t="str">
            <v/>
          </cell>
          <cell r="B94" t="str">
            <v>黑无常碎片</v>
          </cell>
          <cell r="C94">
            <v>10740</v>
          </cell>
          <cell r="D94" t="str">
            <v>10140,10290,10440,10590,10740</v>
          </cell>
          <cell r="E94" t="str">
            <v>[2,[10140,10290,10440,10590,10740]]</v>
          </cell>
        </row>
        <row r="95">
          <cell r="A95" t="str">
            <v/>
          </cell>
          <cell r="B95" t="str">
            <v>黑无常碎片</v>
          </cell>
          <cell r="C95">
            <v>10890</v>
          </cell>
          <cell r="D95" t="str">
            <v>10140,10290,10440,10590,10740,10890</v>
          </cell>
          <cell r="E95" t="str">
            <v>[2,[10140,10290,10440,10590,10740,10890]]</v>
          </cell>
        </row>
        <row r="96">
          <cell r="A96" t="str">
            <v/>
          </cell>
          <cell r="B96" t="str">
            <v>黑无常碎片</v>
          </cell>
          <cell r="C96">
            <v>11040</v>
          </cell>
          <cell r="D96" t="str">
            <v>10140,10290,10440,10590,10740,10890,11040</v>
          </cell>
          <cell r="E96" t="str">
            <v>[2,[10140,10290,10440,10590,10740,10890,11040]]</v>
          </cell>
        </row>
        <row r="97">
          <cell r="A97">
            <v>10119</v>
          </cell>
          <cell r="B97" t="str">
            <v>黑无常碎片</v>
          </cell>
          <cell r="C97">
            <v>11190</v>
          </cell>
          <cell r="D97" t="str">
            <v>10140,10290,10440,10590,10740,10890,11040,11190</v>
          </cell>
          <cell r="E97" t="str">
            <v>[2,[10140,10290,10440,10590,10740,10890,11040,11190]]</v>
          </cell>
        </row>
        <row r="98">
          <cell r="A98" t="str">
            <v/>
          </cell>
          <cell r="B98" t="str">
            <v>黑熊精碎片</v>
          </cell>
          <cell r="C98">
            <v>10056</v>
          </cell>
          <cell r="D98">
            <v>10056</v>
          </cell>
          <cell r="E98" t="str">
            <v>[2,[10056]]</v>
          </cell>
        </row>
        <row r="99">
          <cell r="A99" t="str">
            <v/>
          </cell>
          <cell r="B99" t="str">
            <v>黑熊精碎片</v>
          </cell>
          <cell r="C99">
            <v>10236</v>
          </cell>
          <cell r="D99" t="str">
            <v>10056,10236</v>
          </cell>
          <cell r="E99" t="str">
            <v>[2,[10056,10236]]</v>
          </cell>
        </row>
        <row r="100">
          <cell r="A100" t="str">
            <v/>
          </cell>
          <cell r="B100" t="str">
            <v>黑熊精碎片</v>
          </cell>
          <cell r="C100">
            <v>10416</v>
          </cell>
          <cell r="D100" t="str">
            <v>10056,10236,10416</v>
          </cell>
          <cell r="E100" t="str">
            <v>[2,[10056,10236,10416]]</v>
          </cell>
        </row>
        <row r="101">
          <cell r="A101" t="str">
            <v/>
          </cell>
          <cell r="B101" t="str">
            <v>黑熊精碎片</v>
          </cell>
          <cell r="C101">
            <v>10596</v>
          </cell>
          <cell r="D101" t="str">
            <v>10056,10236,10416,10596</v>
          </cell>
          <cell r="E101" t="str">
            <v>[2,[10056,10236,10416,10596]]</v>
          </cell>
        </row>
        <row r="102">
          <cell r="A102" t="str">
            <v/>
          </cell>
          <cell r="B102" t="str">
            <v>黑熊精碎片</v>
          </cell>
          <cell r="C102">
            <v>10776</v>
          </cell>
          <cell r="D102" t="str">
            <v>10056,10236,10416,10596,10776</v>
          </cell>
          <cell r="E102" t="str">
            <v>[2,[10056,10236,10416,10596,10776]]</v>
          </cell>
        </row>
        <row r="103">
          <cell r="A103" t="str">
            <v/>
          </cell>
          <cell r="B103" t="str">
            <v>黑熊精碎片</v>
          </cell>
          <cell r="C103">
            <v>10956</v>
          </cell>
          <cell r="D103" t="str">
            <v>10056,10236,10416,10596,10776,10956</v>
          </cell>
          <cell r="E103" t="str">
            <v>[2,[10056,10236,10416,10596,10776,10956]]</v>
          </cell>
        </row>
        <row r="104">
          <cell r="A104">
            <v>10052</v>
          </cell>
          <cell r="B104" t="str">
            <v>黑熊精碎片</v>
          </cell>
          <cell r="C104">
            <v>11136</v>
          </cell>
          <cell r="D104" t="str">
            <v>10056,10236,10416,10596,10776,10956,11136</v>
          </cell>
          <cell r="E104" t="str">
            <v>[2,[10056,10236,10416,10596,10776,10956,11136]]</v>
          </cell>
        </row>
        <row r="105">
          <cell r="A105" t="str">
            <v/>
          </cell>
          <cell r="B105" t="str">
            <v>红孩儿碎片</v>
          </cell>
          <cell r="C105">
            <v>10129</v>
          </cell>
          <cell r="D105">
            <v>10129</v>
          </cell>
          <cell r="E105" t="str">
            <v>[2,[10129]]</v>
          </cell>
        </row>
        <row r="106">
          <cell r="A106" t="str">
            <v/>
          </cell>
          <cell r="B106" t="str">
            <v>红孩儿碎片</v>
          </cell>
          <cell r="C106">
            <v>10339</v>
          </cell>
          <cell r="D106" t="str">
            <v>10129,10339</v>
          </cell>
          <cell r="E106" t="str">
            <v>[2,[10129,10339]]</v>
          </cell>
        </row>
        <row r="107">
          <cell r="A107" t="str">
            <v/>
          </cell>
          <cell r="B107" t="str">
            <v>红孩儿碎片</v>
          </cell>
          <cell r="C107">
            <v>10549</v>
          </cell>
          <cell r="D107" t="str">
            <v>10129,10339,10549</v>
          </cell>
          <cell r="E107" t="str">
            <v>[2,[10129,10339,10549]]</v>
          </cell>
        </row>
        <row r="108">
          <cell r="A108" t="str">
            <v/>
          </cell>
          <cell r="B108" t="str">
            <v>红孩儿碎片</v>
          </cell>
          <cell r="C108">
            <v>10759</v>
          </cell>
          <cell r="D108" t="str">
            <v>10129,10339,10549,10759</v>
          </cell>
          <cell r="E108" t="str">
            <v>[2,[10129,10339,10549,10759]]</v>
          </cell>
        </row>
        <row r="109">
          <cell r="A109" t="str">
            <v/>
          </cell>
          <cell r="B109" t="str">
            <v>红孩儿碎片</v>
          </cell>
          <cell r="C109">
            <v>10969</v>
          </cell>
          <cell r="D109" t="str">
            <v>10129,10339,10549,10759,10969</v>
          </cell>
          <cell r="E109" t="str">
            <v>[2,[10129,10339,10549,10759,10969]]</v>
          </cell>
        </row>
        <row r="110">
          <cell r="A110">
            <v>10010</v>
          </cell>
          <cell r="B110" t="str">
            <v>红孩儿碎片</v>
          </cell>
          <cell r="C110">
            <v>11179</v>
          </cell>
          <cell r="D110" t="str">
            <v>10129,10339,10549,10759,10969,11179</v>
          </cell>
          <cell r="E110" t="str">
            <v>[2,[10129,10339,10549,10759,10969,11179]]</v>
          </cell>
        </row>
        <row r="111">
          <cell r="A111" t="str">
            <v/>
          </cell>
          <cell r="B111" t="str">
            <v>虎力大仙碎片</v>
          </cell>
          <cell r="C111">
            <v>10200</v>
          </cell>
          <cell r="D111">
            <v>10200</v>
          </cell>
          <cell r="E111" t="str">
            <v>[2,[10200]]</v>
          </cell>
        </row>
        <row r="112">
          <cell r="A112" t="str">
            <v/>
          </cell>
          <cell r="B112" t="str">
            <v>虎力大仙碎片</v>
          </cell>
          <cell r="C112">
            <v>10350</v>
          </cell>
          <cell r="D112" t="str">
            <v>10200,10350</v>
          </cell>
          <cell r="E112" t="str">
            <v>[2,[10200,10350]]</v>
          </cell>
        </row>
        <row r="113">
          <cell r="A113" t="str">
            <v/>
          </cell>
          <cell r="B113" t="str">
            <v>虎力大仙碎片</v>
          </cell>
          <cell r="C113">
            <v>10500</v>
          </cell>
          <cell r="D113" t="str">
            <v>10200,10350,10500</v>
          </cell>
          <cell r="E113" t="str">
            <v>[2,[10200,10350,10500]]</v>
          </cell>
        </row>
        <row r="114">
          <cell r="A114" t="str">
            <v/>
          </cell>
          <cell r="B114" t="str">
            <v>虎力大仙碎片</v>
          </cell>
          <cell r="C114">
            <v>10650</v>
          </cell>
          <cell r="D114" t="str">
            <v>10200,10350,10500,10650</v>
          </cell>
          <cell r="E114" t="str">
            <v>[2,[10200,10350,10500,10650]]</v>
          </cell>
        </row>
        <row r="115">
          <cell r="A115" t="str">
            <v/>
          </cell>
          <cell r="B115" t="str">
            <v>虎力大仙碎片</v>
          </cell>
          <cell r="C115">
            <v>10800</v>
          </cell>
          <cell r="D115" t="str">
            <v>10200,10350,10500,10650,10800</v>
          </cell>
          <cell r="E115" t="str">
            <v>[2,[10200,10350,10500,10650,10800]]</v>
          </cell>
        </row>
        <row r="116">
          <cell r="A116" t="str">
            <v/>
          </cell>
          <cell r="B116" t="str">
            <v>虎力大仙碎片</v>
          </cell>
          <cell r="C116">
            <v>10950</v>
          </cell>
          <cell r="D116" t="str">
            <v>10200,10350,10500,10650,10800,10950</v>
          </cell>
          <cell r="E116" t="str">
            <v>[2,[10200,10350,10500,10650,10800,10950]]</v>
          </cell>
        </row>
        <row r="117">
          <cell r="A117" t="str">
            <v/>
          </cell>
          <cell r="B117" t="str">
            <v>虎力大仙碎片</v>
          </cell>
          <cell r="C117">
            <v>11100</v>
          </cell>
          <cell r="D117" t="str">
            <v>10200,10350,10500,10650,10800,10950,11100</v>
          </cell>
          <cell r="E117" t="str">
            <v>[2,[10200,10350,10500,10650,10800,10950,11100]]</v>
          </cell>
        </row>
        <row r="118">
          <cell r="A118">
            <v>10013</v>
          </cell>
          <cell r="B118" t="str">
            <v>虎力大仙碎片</v>
          </cell>
          <cell r="C118">
            <v>11250</v>
          </cell>
          <cell r="D118" t="str">
            <v>10200,10350,10500,10650,10800,10950,11100,11250</v>
          </cell>
          <cell r="E118" t="str">
            <v>[2,[10200,10350,10500,10650,10800,10950,11100,11250]]</v>
          </cell>
        </row>
        <row r="119">
          <cell r="A119" t="str">
            <v/>
          </cell>
          <cell r="B119" t="str">
            <v>混沌碎片</v>
          </cell>
          <cell r="C119">
            <v>10039</v>
          </cell>
          <cell r="D119">
            <v>10039</v>
          </cell>
          <cell r="E119" t="str">
            <v>[2,[10039]]</v>
          </cell>
        </row>
        <row r="120">
          <cell r="A120" t="str">
            <v/>
          </cell>
          <cell r="B120" t="str">
            <v>混沌碎片</v>
          </cell>
          <cell r="C120">
            <v>10106</v>
          </cell>
          <cell r="D120" t="str">
            <v>10039,10106</v>
          </cell>
          <cell r="E120" t="str">
            <v>[2,[10039,10106]]</v>
          </cell>
        </row>
        <row r="121">
          <cell r="A121" t="str">
            <v/>
          </cell>
          <cell r="B121" t="str">
            <v>混沌碎片</v>
          </cell>
          <cell r="C121">
            <v>10286</v>
          </cell>
          <cell r="D121" t="str">
            <v>10039,10106,10286</v>
          </cell>
          <cell r="E121" t="str">
            <v>[2,[10039,10106,10286]]</v>
          </cell>
        </row>
        <row r="122">
          <cell r="A122" t="str">
            <v/>
          </cell>
          <cell r="B122" t="str">
            <v>混沌碎片</v>
          </cell>
          <cell r="C122">
            <v>10466</v>
          </cell>
          <cell r="D122" t="str">
            <v>10039,10106,10286,10466</v>
          </cell>
          <cell r="E122" t="str">
            <v>[2,[10039,10106,10286,10466]]</v>
          </cell>
        </row>
        <row r="123">
          <cell r="A123" t="str">
            <v/>
          </cell>
          <cell r="B123" t="str">
            <v>混沌碎片</v>
          </cell>
          <cell r="C123">
            <v>10646</v>
          </cell>
          <cell r="D123" t="str">
            <v>10039,10106,10286,10466,10646</v>
          </cell>
          <cell r="E123" t="str">
            <v>[2,[10039,10106,10286,10466,10646]]</v>
          </cell>
        </row>
        <row r="124">
          <cell r="A124" t="str">
            <v/>
          </cell>
          <cell r="B124" t="str">
            <v>混沌碎片</v>
          </cell>
          <cell r="C124">
            <v>10826</v>
          </cell>
          <cell r="D124" t="str">
            <v>10039,10106,10286,10466,10646,10826</v>
          </cell>
          <cell r="E124" t="str">
            <v>[2,[10039,10106,10286,10466,10646,10826]]</v>
          </cell>
        </row>
        <row r="125">
          <cell r="A125" t="str">
            <v/>
          </cell>
          <cell r="B125" t="str">
            <v>混沌碎片</v>
          </cell>
          <cell r="C125">
            <v>11006</v>
          </cell>
          <cell r="D125" t="str">
            <v>10039,10106,10286,10466,10646,10826,11006</v>
          </cell>
          <cell r="E125" t="str">
            <v>[2,[10039,10106,10286,10466,10646,10826,11006]]</v>
          </cell>
        </row>
        <row r="126">
          <cell r="A126">
            <v>10018</v>
          </cell>
          <cell r="B126" t="str">
            <v>混沌碎片</v>
          </cell>
          <cell r="C126">
            <v>11186</v>
          </cell>
          <cell r="D126" t="str">
            <v>10039,10106,10286,10466,10646,10826,11006,11186</v>
          </cell>
          <cell r="E126" t="str">
            <v>[2,[10039,10106,10286,10466,10646,10826,11006,11186]]</v>
          </cell>
        </row>
        <row r="127">
          <cell r="A127" t="str">
            <v/>
          </cell>
          <cell r="B127" t="str">
            <v>混世魔王碎片</v>
          </cell>
          <cell r="C127">
            <v>10209</v>
          </cell>
          <cell r="D127">
            <v>10209</v>
          </cell>
          <cell r="E127" t="str">
            <v>[2,[10209]]</v>
          </cell>
        </row>
        <row r="128">
          <cell r="A128" t="str">
            <v/>
          </cell>
          <cell r="B128" t="str">
            <v>混世魔王碎片</v>
          </cell>
          <cell r="C128">
            <v>10419</v>
          </cell>
          <cell r="D128" t="str">
            <v>10209,10419</v>
          </cell>
          <cell r="E128" t="str">
            <v>[2,[10209,10419]]</v>
          </cell>
        </row>
        <row r="129">
          <cell r="A129" t="str">
            <v/>
          </cell>
          <cell r="B129" t="str">
            <v>混世魔王碎片</v>
          </cell>
          <cell r="C129">
            <v>10629</v>
          </cell>
          <cell r="D129" t="str">
            <v>10209,10419,10629</v>
          </cell>
          <cell r="E129" t="str">
            <v>[2,[10209,10419,10629]]</v>
          </cell>
        </row>
        <row r="130">
          <cell r="A130" t="str">
            <v/>
          </cell>
          <cell r="B130" t="str">
            <v>混世魔王碎片</v>
          </cell>
          <cell r="C130">
            <v>10839</v>
          </cell>
          <cell r="D130" t="str">
            <v>10209,10419,10629,10839</v>
          </cell>
          <cell r="E130" t="str">
            <v>[2,[10209,10419,10629,10839]]</v>
          </cell>
        </row>
        <row r="131">
          <cell r="A131" t="str">
            <v/>
          </cell>
          <cell r="B131" t="str">
            <v>混世魔王碎片</v>
          </cell>
          <cell r="C131">
            <v>11049</v>
          </cell>
          <cell r="D131" t="str">
            <v>10209,10419,10629,10839,11049</v>
          </cell>
          <cell r="E131" t="str">
            <v>[2,[10209,10419,10629,10839,11049]]</v>
          </cell>
        </row>
        <row r="132">
          <cell r="A132">
            <v>10032</v>
          </cell>
          <cell r="B132" t="str">
            <v>混世魔王碎片</v>
          </cell>
          <cell r="C132">
            <v>11259</v>
          </cell>
          <cell r="D132" t="str">
            <v>10209,10419,10629,10839,11049,11259</v>
          </cell>
          <cell r="E132" t="str">
            <v>[2,[10209,10419,10629,10839,11049,11259]]</v>
          </cell>
        </row>
        <row r="133">
          <cell r="A133" t="str">
            <v/>
          </cell>
          <cell r="B133" t="str">
            <v>迦叶碎片</v>
          </cell>
          <cell r="C133">
            <v>10189</v>
          </cell>
          <cell r="D133">
            <v>10189</v>
          </cell>
          <cell r="E133" t="str">
            <v>[2,[10189]]</v>
          </cell>
        </row>
        <row r="134">
          <cell r="A134" t="str">
            <v/>
          </cell>
          <cell r="B134" t="str">
            <v>迦叶碎片</v>
          </cell>
          <cell r="C134">
            <v>10399</v>
          </cell>
          <cell r="D134" t="str">
            <v>10189,10399</v>
          </cell>
          <cell r="E134" t="str">
            <v>[2,[10189,10399]]</v>
          </cell>
        </row>
        <row r="135">
          <cell r="A135" t="str">
            <v/>
          </cell>
          <cell r="B135" t="str">
            <v>迦叶碎片</v>
          </cell>
          <cell r="C135">
            <v>10609</v>
          </cell>
          <cell r="D135" t="str">
            <v>10189,10399,10609</v>
          </cell>
          <cell r="E135" t="str">
            <v>[2,[10189,10399,10609]]</v>
          </cell>
        </row>
        <row r="136">
          <cell r="A136" t="str">
            <v/>
          </cell>
          <cell r="B136" t="str">
            <v>迦叶碎片</v>
          </cell>
          <cell r="C136">
            <v>10819</v>
          </cell>
          <cell r="D136" t="str">
            <v>10189,10399,10609,10819</v>
          </cell>
          <cell r="E136" t="str">
            <v>[2,[10189,10399,10609,10819]]</v>
          </cell>
        </row>
        <row r="137">
          <cell r="A137" t="str">
            <v/>
          </cell>
          <cell r="B137" t="str">
            <v>迦叶碎片</v>
          </cell>
          <cell r="C137">
            <v>11029</v>
          </cell>
          <cell r="D137" t="str">
            <v>10189,10399,10609,10819,11029</v>
          </cell>
          <cell r="E137" t="str">
            <v>[2,[10189,10399,10609,10819,11029]]</v>
          </cell>
        </row>
        <row r="138">
          <cell r="A138">
            <v>10025</v>
          </cell>
          <cell r="B138" t="str">
            <v>迦叶碎片</v>
          </cell>
          <cell r="C138">
            <v>11239</v>
          </cell>
          <cell r="D138" t="str">
            <v>10189,10399,10609,10819,11029,11239</v>
          </cell>
          <cell r="E138" t="str">
            <v>[2,[10189,10399,10609,10819,11029,11239]]</v>
          </cell>
        </row>
        <row r="139">
          <cell r="A139" t="str">
            <v/>
          </cell>
          <cell r="B139" t="str">
            <v>金蝉子碎片</v>
          </cell>
          <cell r="C139">
            <v>10250</v>
          </cell>
          <cell r="D139">
            <v>10250</v>
          </cell>
          <cell r="E139" t="str">
            <v>[2,[10250]]</v>
          </cell>
        </row>
        <row r="140">
          <cell r="A140" t="str">
            <v/>
          </cell>
          <cell r="B140" t="str">
            <v>金蝉子碎片</v>
          </cell>
          <cell r="C140">
            <v>10400</v>
          </cell>
          <cell r="D140" t="str">
            <v>10250,10400</v>
          </cell>
          <cell r="E140" t="str">
            <v>[2,[10250,10400]]</v>
          </cell>
        </row>
        <row r="141">
          <cell r="A141" t="str">
            <v/>
          </cell>
          <cell r="B141" t="str">
            <v>金蝉子碎片</v>
          </cell>
          <cell r="C141">
            <v>10550</v>
          </cell>
          <cell r="D141" t="str">
            <v>10250,10400,10550</v>
          </cell>
          <cell r="E141" t="str">
            <v>[2,[10250,10400,10550]]</v>
          </cell>
        </row>
        <row r="142">
          <cell r="A142" t="str">
            <v/>
          </cell>
          <cell r="B142" t="str">
            <v>金蝉子碎片</v>
          </cell>
          <cell r="C142">
            <v>10700</v>
          </cell>
          <cell r="D142" t="str">
            <v>10250,10400,10550,10700</v>
          </cell>
          <cell r="E142" t="str">
            <v>[2,[10250,10400,10550,10700]]</v>
          </cell>
        </row>
        <row r="143">
          <cell r="A143" t="str">
            <v/>
          </cell>
          <cell r="B143" t="str">
            <v>金蝉子碎片</v>
          </cell>
          <cell r="C143">
            <v>10850</v>
          </cell>
          <cell r="D143" t="str">
            <v>10250,10400,10550,10700,10850</v>
          </cell>
          <cell r="E143" t="str">
            <v>[2,[10250,10400,10550,10700,10850]]</v>
          </cell>
        </row>
        <row r="144">
          <cell r="A144" t="str">
            <v/>
          </cell>
          <cell r="B144" t="str">
            <v>金蝉子碎片</v>
          </cell>
          <cell r="C144">
            <v>11000</v>
          </cell>
          <cell r="D144" t="str">
            <v>10250,10400,10550,10700,10850,11000</v>
          </cell>
          <cell r="E144" t="str">
            <v>[2,[10250,10400,10550,10700,10850,11000]]</v>
          </cell>
        </row>
        <row r="145">
          <cell r="A145" t="str">
            <v/>
          </cell>
          <cell r="B145" t="str">
            <v>金蝉子碎片</v>
          </cell>
          <cell r="C145">
            <v>11150</v>
          </cell>
          <cell r="D145" t="str">
            <v>10250,10400,10550,10700,10850,11000,11150</v>
          </cell>
          <cell r="E145" t="str">
            <v>[2,[10250,10400,10550,10700,10850,11000,11150]]</v>
          </cell>
        </row>
        <row r="146">
          <cell r="A146">
            <v>10112</v>
          </cell>
          <cell r="B146" t="str">
            <v>金蝉子碎片</v>
          </cell>
          <cell r="C146">
            <v>11300</v>
          </cell>
          <cell r="D146" t="str">
            <v>10250,10400,10550,10700,10850,11000,11150,11300</v>
          </cell>
          <cell r="E146" t="str">
            <v>[2,[10250,10400,10550,10700,10850,11000,11150,11300]]</v>
          </cell>
        </row>
        <row r="147">
          <cell r="A147" t="str">
            <v/>
          </cell>
          <cell r="B147" t="str">
            <v>金钱豹王碎片</v>
          </cell>
          <cell r="C147">
            <v>10076</v>
          </cell>
          <cell r="D147">
            <v>10076</v>
          </cell>
          <cell r="E147" t="str">
            <v>[2,[10076]]</v>
          </cell>
        </row>
        <row r="148">
          <cell r="A148" t="str">
            <v/>
          </cell>
          <cell r="B148" t="str">
            <v>金钱豹王碎片</v>
          </cell>
          <cell r="C148">
            <v>10256</v>
          </cell>
          <cell r="D148" t="str">
            <v>10076,10256</v>
          </cell>
          <cell r="E148" t="str">
            <v>[2,[10076,10256]]</v>
          </cell>
        </row>
        <row r="149">
          <cell r="A149" t="str">
            <v/>
          </cell>
          <cell r="B149" t="str">
            <v>金钱豹王碎片</v>
          </cell>
          <cell r="C149">
            <v>10436</v>
          </cell>
          <cell r="D149" t="str">
            <v>10076,10256,10436</v>
          </cell>
          <cell r="E149" t="str">
            <v>[2,[10076,10256,10436]]</v>
          </cell>
        </row>
        <row r="150">
          <cell r="A150" t="str">
            <v/>
          </cell>
          <cell r="B150" t="str">
            <v>金钱豹王碎片</v>
          </cell>
          <cell r="C150">
            <v>10616</v>
          </cell>
          <cell r="D150" t="str">
            <v>10076,10256,10436,10616</v>
          </cell>
          <cell r="E150" t="str">
            <v>[2,[10076,10256,10436,10616]]</v>
          </cell>
        </row>
        <row r="151">
          <cell r="A151" t="str">
            <v/>
          </cell>
          <cell r="B151" t="str">
            <v>金钱豹王碎片</v>
          </cell>
          <cell r="C151">
            <v>10796</v>
          </cell>
          <cell r="D151" t="str">
            <v>10076,10256,10436,10616,10796</v>
          </cell>
          <cell r="E151" t="str">
            <v>[2,[10076,10256,10436,10616,10796]]</v>
          </cell>
        </row>
        <row r="152">
          <cell r="A152" t="str">
            <v/>
          </cell>
          <cell r="B152" t="str">
            <v>金钱豹王碎片</v>
          </cell>
          <cell r="C152">
            <v>10976</v>
          </cell>
          <cell r="D152" t="str">
            <v>10076,10256,10436,10616,10796,10976</v>
          </cell>
          <cell r="E152" t="str">
            <v>[2,[10076,10256,10436,10616,10796,10976]]</v>
          </cell>
        </row>
        <row r="153">
          <cell r="A153">
            <v>10039</v>
          </cell>
          <cell r="B153" t="str">
            <v>金钱豹王碎片</v>
          </cell>
          <cell r="C153">
            <v>11156</v>
          </cell>
          <cell r="D153" t="str">
            <v>10076,10256,10436,10616,10796,10976,11156</v>
          </cell>
          <cell r="E153" t="str">
            <v>[2,[10076,10256,10436,10616,10796,10976,11156]]</v>
          </cell>
        </row>
        <row r="154">
          <cell r="A154" t="str">
            <v/>
          </cell>
          <cell r="B154" t="str">
            <v>泾河龙王碎片</v>
          </cell>
          <cell r="C154">
            <v>10086</v>
          </cell>
          <cell r="D154">
            <v>10086</v>
          </cell>
          <cell r="E154" t="str">
            <v>[2,[10086]]</v>
          </cell>
        </row>
        <row r="155">
          <cell r="A155" t="str">
            <v/>
          </cell>
          <cell r="B155" t="str">
            <v>泾河龙王碎片</v>
          </cell>
          <cell r="C155">
            <v>10266</v>
          </cell>
          <cell r="D155" t="str">
            <v>10086,10266</v>
          </cell>
          <cell r="E155" t="str">
            <v>[2,[10086,10266]]</v>
          </cell>
        </row>
        <row r="156">
          <cell r="A156" t="str">
            <v/>
          </cell>
          <cell r="B156" t="str">
            <v>泾河龙王碎片</v>
          </cell>
          <cell r="C156">
            <v>10446</v>
          </cell>
          <cell r="D156" t="str">
            <v>10086,10266,10446</v>
          </cell>
          <cell r="E156" t="str">
            <v>[2,[10086,10266,10446]]</v>
          </cell>
        </row>
        <row r="157">
          <cell r="A157" t="str">
            <v/>
          </cell>
          <cell r="B157" t="str">
            <v>泾河龙王碎片</v>
          </cell>
          <cell r="C157">
            <v>10626</v>
          </cell>
          <cell r="D157" t="str">
            <v>10086,10266,10446,10626</v>
          </cell>
          <cell r="E157" t="str">
            <v>[2,[10086,10266,10446,10626]]</v>
          </cell>
        </row>
        <row r="158">
          <cell r="A158" t="str">
            <v/>
          </cell>
          <cell r="B158" t="str">
            <v>泾河龙王碎片</v>
          </cell>
          <cell r="C158">
            <v>10806</v>
          </cell>
          <cell r="D158" t="str">
            <v>10086,10266,10446,10626,10806</v>
          </cell>
          <cell r="E158" t="str">
            <v>[2,[10086,10266,10446,10626,10806]]</v>
          </cell>
        </row>
        <row r="159">
          <cell r="A159" t="str">
            <v/>
          </cell>
          <cell r="B159" t="str">
            <v>泾河龙王碎片</v>
          </cell>
          <cell r="C159">
            <v>10986</v>
          </cell>
          <cell r="D159" t="str">
            <v>10086,10266,10446,10626,10806,10986</v>
          </cell>
          <cell r="E159" t="str">
            <v>[2,[10086,10266,10446,10626,10806,10986]]</v>
          </cell>
        </row>
        <row r="160">
          <cell r="A160">
            <v>10034</v>
          </cell>
          <cell r="B160" t="str">
            <v>泾河龙王碎片</v>
          </cell>
          <cell r="C160">
            <v>11166</v>
          </cell>
          <cell r="D160" t="str">
            <v>10086,10266,10446,10626,10806,10986,11166</v>
          </cell>
          <cell r="E160" t="str">
            <v>[2,[10086,10266,10446,10626,10806,10986,11166]]</v>
          </cell>
        </row>
        <row r="161">
          <cell r="A161" t="str">
            <v/>
          </cell>
          <cell r="B161" t="str">
            <v>九天玄女碎片</v>
          </cell>
          <cell r="C161">
            <v>10120</v>
          </cell>
          <cell r="D161">
            <v>10120</v>
          </cell>
          <cell r="E161" t="str">
            <v>[2,[10120]]</v>
          </cell>
        </row>
        <row r="162">
          <cell r="A162" t="str">
            <v/>
          </cell>
          <cell r="B162" t="str">
            <v>九天玄女碎片</v>
          </cell>
          <cell r="C162">
            <v>10329</v>
          </cell>
          <cell r="D162" t="str">
            <v>10120,10329</v>
          </cell>
          <cell r="E162" t="str">
            <v>[2,[10120,10329]]</v>
          </cell>
        </row>
        <row r="163">
          <cell r="A163" t="str">
            <v/>
          </cell>
          <cell r="B163" t="str">
            <v>九天玄女碎片</v>
          </cell>
          <cell r="C163">
            <v>10539</v>
          </cell>
          <cell r="D163" t="str">
            <v>10120,10329,10539</v>
          </cell>
          <cell r="E163" t="str">
            <v>[2,[10120,10329,10539]]</v>
          </cell>
        </row>
        <row r="164">
          <cell r="A164" t="str">
            <v/>
          </cell>
          <cell r="B164" t="str">
            <v>九天玄女碎片</v>
          </cell>
          <cell r="C164">
            <v>10749</v>
          </cell>
          <cell r="D164" t="str">
            <v>10120,10329,10539,10749</v>
          </cell>
          <cell r="E164" t="str">
            <v>[2,[10120,10329,10539,10749]]</v>
          </cell>
        </row>
        <row r="165">
          <cell r="A165" t="str">
            <v/>
          </cell>
          <cell r="B165" t="str">
            <v>九天玄女碎片</v>
          </cell>
          <cell r="C165">
            <v>10959</v>
          </cell>
          <cell r="D165" t="str">
            <v>10120,10329,10539,10749,10959</v>
          </cell>
          <cell r="E165" t="str">
            <v>[2,[10120,10329,10539,10749,10959]]</v>
          </cell>
        </row>
        <row r="166">
          <cell r="A166">
            <v>10009</v>
          </cell>
          <cell r="B166" t="str">
            <v>九天玄女碎片</v>
          </cell>
          <cell r="C166">
            <v>11169</v>
          </cell>
          <cell r="D166" t="str">
            <v>10120,10329,10539,10749,10959,11169</v>
          </cell>
          <cell r="E166" t="str">
            <v>[2,[10120,10329,10539,10749,10959,11169]]</v>
          </cell>
        </row>
        <row r="167">
          <cell r="A167" t="str">
            <v/>
          </cell>
          <cell r="B167" t="str">
            <v>雷公碎片</v>
          </cell>
          <cell r="C167">
            <v>10119</v>
          </cell>
          <cell r="D167">
            <v>10119</v>
          </cell>
          <cell r="E167" t="str">
            <v>[2,[10119]]</v>
          </cell>
        </row>
        <row r="168">
          <cell r="A168" t="str">
            <v/>
          </cell>
          <cell r="B168" t="str">
            <v>雷公碎片</v>
          </cell>
          <cell r="C168">
            <v>10186</v>
          </cell>
          <cell r="D168" t="str">
            <v>10119,10186</v>
          </cell>
          <cell r="E168" t="str">
            <v>[2,[10119,10186]]</v>
          </cell>
        </row>
        <row r="169">
          <cell r="A169" t="str">
            <v/>
          </cell>
          <cell r="B169" t="str">
            <v>雷公碎片</v>
          </cell>
          <cell r="C169">
            <v>10366</v>
          </cell>
          <cell r="D169" t="str">
            <v>10119,10186,10366</v>
          </cell>
          <cell r="E169" t="str">
            <v>[2,[10119,10186,10366]]</v>
          </cell>
        </row>
        <row r="170">
          <cell r="A170" t="str">
            <v/>
          </cell>
          <cell r="B170" t="str">
            <v>雷公碎片</v>
          </cell>
          <cell r="C170">
            <v>10546</v>
          </cell>
          <cell r="D170" t="str">
            <v>10119,10186,10366,10546</v>
          </cell>
          <cell r="E170" t="str">
            <v>[2,[10119,10186,10366,10546]]</v>
          </cell>
        </row>
        <row r="171">
          <cell r="A171" t="str">
            <v/>
          </cell>
          <cell r="B171" t="str">
            <v>雷公碎片</v>
          </cell>
          <cell r="C171">
            <v>10726</v>
          </cell>
          <cell r="D171" t="str">
            <v>10119,10186,10366,10546,10726</v>
          </cell>
          <cell r="E171" t="str">
            <v>[2,[10119,10186,10366,10546,10726]]</v>
          </cell>
        </row>
        <row r="172">
          <cell r="A172" t="str">
            <v/>
          </cell>
          <cell r="B172" t="str">
            <v>雷公碎片</v>
          </cell>
          <cell r="C172">
            <v>10906</v>
          </cell>
          <cell r="D172" t="str">
            <v>10119,10186,10366,10546,10726,10906</v>
          </cell>
          <cell r="E172" t="str">
            <v>[2,[10119,10186,10366,10546,10726,10906]]</v>
          </cell>
        </row>
        <row r="173">
          <cell r="A173" t="str">
            <v/>
          </cell>
          <cell r="B173" t="str">
            <v>雷公碎片</v>
          </cell>
          <cell r="C173">
            <v>11086</v>
          </cell>
          <cell r="D173" t="str">
            <v>10119,10186,10366,10546,10726,10906,11086</v>
          </cell>
          <cell r="E173" t="str">
            <v>[2,[10119,10186,10366,10546,10726,10906,11086]]</v>
          </cell>
        </row>
        <row r="174">
          <cell r="A174">
            <v>10033</v>
          </cell>
          <cell r="B174" t="str">
            <v>雷公碎片</v>
          </cell>
          <cell r="C174">
            <v>11266</v>
          </cell>
          <cell r="D174" t="str">
            <v>10119,10186,10366,10546,10726,10906,11086,11266</v>
          </cell>
          <cell r="E174" t="str">
            <v>[2,[10119,10186,10366,10546,10726,10906,11086,11266]]</v>
          </cell>
        </row>
        <row r="175">
          <cell r="A175" t="str">
            <v/>
          </cell>
          <cell r="B175" t="str">
            <v>六耳猕猴碎片</v>
          </cell>
          <cell r="C175">
            <v>10169</v>
          </cell>
          <cell r="D175">
            <v>10169</v>
          </cell>
          <cell r="E175" t="str">
            <v>[2,[10169]]</v>
          </cell>
        </row>
        <row r="176">
          <cell r="A176" t="str">
            <v/>
          </cell>
          <cell r="B176" t="str">
            <v>六耳猕猴碎片</v>
          </cell>
          <cell r="C176">
            <v>10379</v>
          </cell>
          <cell r="D176" t="str">
            <v>10169,10379</v>
          </cell>
          <cell r="E176" t="str">
            <v>[2,[10169,10379]]</v>
          </cell>
        </row>
        <row r="177">
          <cell r="A177" t="str">
            <v/>
          </cell>
          <cell r="B177" t="str">
            <v>六耳猕猴碎片</v>
          </cell>
          <cell r="C177">
            <v>10589</v>
          </cell>
          <cell r="D177" t="str">
            <v>10169,10379,10589</v>
          </cell>
          <cell r="E177" t="str">
            <v>[2,[10169,10379,10589]]</v>
          </cell>
        </row>
        <row r="178">
          <cell r="A178" t="str">
            <v/>
          </cell>
          <cell r="B178" t="str">
            <v>六耳猕猴碎片</v>
          </cell>
          <cell r="C178">
            <v>10799</v>
          </cell>
          <cell r="D178" t="str">
            <v>10169,10379,10589,10799</v>
          </cell>
          <cell r="E178" t="str">
            <v>[2,[10169,10379,10589,10799]]</v>
          </cell>
        </row>
        <row r="179">
          <cell r="A179" t="str">
            <v/>
          </cell>
          <cell r="B179" t="str">
            <v>六耳猕猴碎片</v>
          </cell>
          <cell r="C179">
            <v>11009</v>
          </cell>
          <cell r="D179" t="str">
            <v>10169,10379,10589,10799,11009</v>
          </cell>
          <cell r="E179" t="str">
            <v>[2,[10169,10379,10589,10799,11009]]</v>
          </cell>
        </row>
        <row r="180">
          <cell r="A180">
            <v>10017</v>
          </cell>
          <cell r="B180" t="str">
            <v>六耳猕猴碎片</v>
          </cell>
          <cell r="C180">
            <v>11219</v>
          </cell>
          <cell r="D180" t="str">
            <v>10169,10379,10589,10799,11009,11219</v>
          </cell>
          <cell r="E180" t="str">
            <v>[2,[10169,10379,10589,10799,11009,11219]]</v>
          </cell>
        </row>
        <row r="181">
          <cell r="A181" t="str">
            <v/>
          </cell>
          <cell r="B181" t="str">
            <v>龙帝碎片</v>
          </cell>
          <cell r="C181">
            <v>10180</v>
          </cell>
          <cell r="D181">
            <v>10180</v>
          </cell>
          <cell r="E181" t="str">
            <v>[2,[10180]]</v>
          </cell>
        </row>
        <row r="182">
          <cell r="A182" t="str">
            <v/>
          </cell>
          <cell r="B182" t="str">
            <v>龙帝碎片</v>
          </cell>
          <cell r="C182">
            <v>10330</v>
          </cell>
          <cell r="D182" t="str">
            <v>10180,10330</v>
          </cell>
          <cell r="E182" t="str">
            <v>[2,[10180,10330]]</v>
          </cell>
        </row>
        <row r="183">
          <cell r="A183" t="str">
            <v/>
          </cell>
          <cell r="B183" t="str">
            <v>龙帝碎片</v>
          </cell>
          <cell r="C183">
            <v>10480</v>
          </cell>
          <cell r="D183" t="str">
            <v>10180,10330,10480</v>
          </cell>
          <cell r="E183" t="str">
            <v>[2,[10180,10330,10480]]</v>
          </cell>
        </row>
        <row r="184">
          <cell r="A184" t="str">
            <v/>
          </cell>
          <cell r="B184" t="str">
            <v>龙帝碎片</v>
          </cell>
          <cell r="C184">
            <v>10630</v>
          </cell>
          <cell r="D184" t="str">
            <v>10180,10330,10480,10630</v>
          </cell>
          <cell r="E184" t="str">
            <v>[2,[10180,10330,10480,10630]]</v>
          </cell>
        </row>
        <row r="185">
          <cell r="A185" t="str">
            <v/>
          </cell>
          <cell r="B185" t="str">
            <v>龙帝碎片</v>
          </cell>
          <cell r="C185">
            <v>10780</v>
          </cell>
          <cell r="D185" t="str">
            <v>10180,10330,10480,10630,10780</v>
          </cell>
          <cell r="E185" t="str">
            <v>[2,[10180,10330,10480,10630,10780]]</v>
          </cell>
        </row>
        <row r="186">
          <cell r="A186" t="str">
            <v/>
          </cell>
          <cell r="B186" t="str">
            <v>龙帝碎片</v>
          </cell>
          <cell r="C186">
            <v>10930</v>
          </cell>
          <cell r="D186" t="str">
            <v>10180,10330,10480,10630,10780,10930</v>
          </cell>
          <cell r="E186" t="str">
            <v>[2,[10180,10330,10480,10630,10780,10930]]</v>
          </cell>
        </row>
        <row r="187">
          <cell r="A187" t="str">
            <v/>
          </cell>
          <cell r="B187" t="str">
            <v>龙帝碎片</v>
          </cell>
          <cell r="C187">
            <v>11080</v>
          </cell>
          <cell r="D187" t="str">
            <v>10180,10330,10480,10630,10780,10930,11080</v>
          </cell>
          <cell r="E187" t="str">
            <v>[2,[10180,10330,10480,10630,10780,10930,11080]]</v>
          </cell>
        </row>
        <row r="188">
          <cell r="A188">
            <v>10113</v>
          </cell>
          <cell r="B188" t="str">
            <v>龙帝碎片</v>
          </cell>
          <cell r="C188">
            <v>11230</v>
          </cell>
          <cell r="D188" t="str">
            <v>10180,10330,10480,10630,10780,10930,11080,11230</v>
          </cell>
          <cell r="E188" t="str">
            <v>[2,[10180,10330,10480,10630,10780,10930,11080,11230]]</v>
          </cell>
        </row>
        <row r="189">
          <cell r="A189" t="str">
            <v/>
          </cell>
          <cell r="B189" t="str">
            <v>鹿力大仙碎片</v>
          </cell>
          <cell r="C189">
            <v>10179</v>
          </cell>
          <cell r="D189">
            <v>10179</v>
          </cell>
          <cell r="E189" t="str">
            <v>[2,[10179]]</v>
          </cell>
        </row>
        <row r="190">
          <cell r="A190" t="str">
            <v/>
          </cell>
          <cell r="B190" t="str">
            <v>鹿力大仙碎片</v>
          </cell>
          <cell r="C190">
            <v>10389</v>
          </cell>
          <cell r="D190" t="str">
            <v>10179,10389</v>
          </cell>
          <cell r="E190" t="str">
            <v>[2,[10179,10389]]</v>
          </cell>
        </row>
        <row r="191">
          <cell r="A191" t="str">
            <v/>
          </cell>
          <cell r="B191" t="str">
            <v>鹿力大仙碎片</v>
          </cell>
          <cell r="C191">
            <v>10599</v>
          </cell>
          <cell r="D191" t="str">
            <v>10179,10389,10599</v>
          </cell>
          <cell r="E191" t="str">
            <v>[2,[10179,10389,10599]]</v>
          </cell>
        </row>
        <row r="192">
          <cell r="A192" t="str">
            <v/>
          </cell>
          <cell r="B192" t="str">
            <v>鹿力大仙碎片</v>
          </cell>
          <cell r="C192">
            <v>10809</v>
          </cell>
          <cell r="D192" t="str">
            <v>10179,10389,10599,10809</v>
          </cell>
          <cell r="E192" t="str">
            <v>[2,[10179,10389,10599,10809]]</v>
          </cell>
        </row>
        <row r="193">
          <cell r="A193" t="str">
            <v/>
          </cell>
          <cell r="B193" t="str">
            <v>鹿力大仙碎片</v>
          </cell>
          <cell r="C193">
            <v>11019</v>
          </cell>
          <cell r="D193" t="str">
            <v>10179,10389,10599,10809,11019</v>
          </cell>
          <cell r="E193" t="str">
            <v>[2,[10179,10389,10599,10809,11019]]</v>
          </cell>
        </row>
        <row r="194">
          <cell r="A194">
            <v>10014</v>
          </cell>
          <cell r="B194" t="str">
            <v>鹿力大仙碎片</v>
          </cell>
          <cell r="C194">
            <v>11229</v>
          </cell>
          <cell r="D194" t="str">
            <v>10179,10389,10599,10809,11019,11229</v>
          </cell>
          <cell r="E194" t="str">
            <v>[2,[10179,10389,10599,10809,11019,11229]]</v>
          </cell>
        </row>
        <row r="195">
          <cell r="A195" t="str">
            <v/>
          </cell>
          <cell r="B195" t="str">
            <v>马面碎片</v>
          </cell>
          <cell r="C195">
            <v>10046</v>
          </cell>
          <cell r="D195">
            <v>10046</v>
          </cell>
          <cell r="E195" t="str">
            <v>[2,[10046]]</v>
          </cell>
        </row>
        <row r="196">
          <cell r="A196" t="str">
            <v/>
          </cell>
          <cell r="B196" t="str">
            <v>马面碎片</v>
          </cell>
          <cell r="C196">
            <v>10226</v>
          </cell>
          <cell r="D196" t="str">
            <v>10046,10226</v>
          </cell>
          <cell r="E196" t="str">
            <v>[2,[10046,10226]]</v>
          </cell>
        </row>
        <row r="197">
          <cell r="A197" t="str">
            <v/>
          </cell>
          <cell r="B197" t="str">
            <v>马面碎片</v>
          </cell>
          <cell r="C197">
            <v>10406</v>
          </cell>
          <cell r="D197" t="str">
            <v>10046,10226,10406</v>
          </cell>
          <cell r="E197" t="str">
            <v>[2,[10046,10226,10406]]</v>
          </cell>
        </row>
        <row r="198">
          <cell r="A198" t="str">
            <v/>
          </cell>
          <cell r="B198" t="str">
            <v>马面碎片</v>
          </cell>
          <cell r="C198">
            <v>10586</v>
          </cell>
          <cell r="D198" t="str">
            <v>10046,10226,10406,10586</v>
          </cell>
          <cell r="E198" t="str">
            <v>[2,[10046,10226,10406,10586]]</v>
          </cell>
        </row>
        <row r="199">
          <cell r="A199" t="str">
            <v/>
          </cell>
          <cell r="B199" t="str">
            <v>马面碎片</v>
          </cell>
          <cell r="C199">
            <v>10766</v>
          </cell>
          <cell r="D199" t="str">
            <v>10046,10226,10406,10586,10766</v>
          </cell>
          <cell r="E199" t="str">
            <v>[2,[10046,10226,10406,10586,10766]]</v>
          </cell>
        </row>
        <row r="200">
          <cell r="A200" t="str">
            <v/>
          </cell>
          <cell r="B200" t="str">
            <v>马面碎片</v>
          </cell>
          <cell r="C200">
            <v>10946</v>
          </cell>
          <cell r="D200" t="str">
            <v>10046,10226,10406,10586,10766,10946</v>
          </cell>
          <cell r="E200" t="str">
            <v>[2,[10046,10226,10406,10586,10766,10946]]</v>
          </cell>
        </row>
        <row r="201">
          <cell r="A201" t="str">
            <v/>
          </cell>
          <cell r="B201" t="str">
            <v>马面碎片</v>
          </cell>
          <cell r="C201">
            <v>11126</v>
          </cell>
          <cell r="D201" t="str">
            <v>10046,10226,10406,10586,10766,10946,11126</v>
          </cell>
          <cell r="E201" t="str">
            <v>[2,[10046,10226,10406,10586,10766,10946,11126]]</v>
          </cell>
        </row>
        <row r="202">
          <cell r="A202">
            <v>10105</v>
          </cell>
          <cell r="B202" t="str">
            <v>马面碎片</v>
          </cell>
          <cell r="C202">
            <v>11316</v>
          </cell>
          <cell r="D202" t="str">
            <v>10046,10226,10406,10586,10766,10946,11126,11316</v>
          </cell>
          <cell r="E202" t="str">
            <v>[2,[10046,10226,10406,10586,10766,10946,11126,11316]]</v>
          </cell>
        </row>
        <row r="203">
          <cell r="A203" t="str">
            <v/>
          </cell>
          <cell r="B203" t="str">
            <v>弥勒佛碎片</v>
          </cell>
          <cell r="C203">
            <v>10220</v>
          </cell>
          <cell r="D203">
            <v>10220</v>
          </cell>
          <cell r="E203" t="str">
            <v>[2,[10220]]</v>
          </cell>
        </row>
        <row r="204">
          <cell r="A204" t="str">
            <v/>
          </cell>
          <cell r="B204" t="str">
            <v>弥勒佛碎片</v>
          </cell>
          <cell r="C204">
            <v>10370</v>
          </cell>
          <cell r="D204" t="str">
            <v>10220,10370</v>
          </cell>
          <cell r="E204" t="str">
            <v>[2,[10220,10370]]</v>
          </cell>
        </row>
        <row r="205">
          <cell r="A205" t="str">
            <v/>
          </cell>
          <cell r="B205" t="str">
            <v>弥勒佛碎片</v>
          </cell>
          <cell r="C205">
            <v>10520</v>
          </cell>
          <cell r="D205" t="str">
            <v>10220,10370,10520</v>
          </cell>
          <cell r="E205" t="str">
            <v>[2,[10220,10370,10520]]</v>
          </cell>
        </row>
        <row r="206">
          <cell r="A206" t="str">
            <v/>
          </cell>
          <cell r="B206" t="str">
            <v>弥勒佛碎片</v>
          </cell>
          <cell r="C206">
            <v>10670</v>
          </cell>
          <cell r="D206" t="str">
            <v>10220,10370,10520,10670</v>
          </cell>
          <cell r="E206" t="str">
            <v>[2,[10220,10370,10520,10670]]</v>
          </cell>
        </row>
        <row r="207">
          <cell r="A207" t="str">
            <v/>
          </cell>
          <cell r="B207" t="str">
            <v>弥勒佛碎片</v>
          </cell>
          <cell r="C207">
            <v>10820</v>
          </cell>
          <cell r="D207" t="str">
            <v>10220,10370,10520,10670,10820</v>
          </cell>
          <cell r="E207" t="str">
            <v>[2,[10220,10370,10520,10670,10820]]</v>
          </cell>
        </row>
        <row r="208">
          <cell r="A208" t="str">
            <v/>
          </cell>
          <cell r="B208" t="str">
            <v>弥勒佛碎片</v>
          </cell>
          <cell r="C208">
            <v>10970</v>
          </cell>
          <cell r="D208" t="str">
            <v>10220,10370,10520,10670,10820,10970</v>
          </cell>
          <cell r="E208" t="str">
            <v>[2,[10220,10370,10520,10670,10820,10970]]</v>
          </cell>
        </row>
        <row r="209">
          <cell r="A209" t="str">
            <v/>
          </cell>
          <cell r="B209" t="str">
            <v>弥勒佛碎片</v>
          </cell>
          <cell r="C209">
            <v>11120</v>
          </cell>
          <cell r="D209" t="str">
            <v>10220,10370,10520,10670,10820,10970,11120</v>
          </cell>
          <cell r="E209" t="str">
            <v>[2,[10220,10370,10520,10670,10820,10970,11120]]</v>
          </cell>
        </row>
        <row r="210">
          <cell r="A210">
            <v>10027</v>
          </cell>
          <cell r="B210" t="str">
            <v>弥勒佛碎片</v>
          </cell>
          <cell r="C210">
            <v>11270</v>
          </cell>
          <cell r="D210" t="str">
            <v>10220,10370,10520,10670,10820,10970,11120,11270</v>
          </cell>
          <cell r="E210" t="str">
            <v>[2,[10220,10370,10520,10670,10820,10970,11120,11270]]</v>
          </cell>
        </row>
        <row r="211">
          <cell r="A211" t="str">
            <v/>
          </cell>
          <cell r="B211" t="str">
            <v>墨鱼精碎片</v>
          </cell>
          <cell r="C211">
            <v>10066</v>
          </cell>
          <cell r="D211">
            <v>10066</v>
          </cell>
          <cell r="E211" t="str">
            <v>[2,[10066]]</v>
          </cell>
        </row>
        <row r="212">
          <cell r="A212" t="str">
            <v/>
          </cell>
          <cell r="B212" t="str">
            <v>墨鱼精碎片</v>
          </cell>
          <cell r="C212">
            <v>10246</v>
          </cell>
          <cell r="D212" t="str">
            <v>10066,10246</v>
          </cell>
          <cell r="E212" t="str">
            <v>[2,[10066,10246]]</v>
          </cell>
        </row>
        <row r="213">
          <cell r="A213" t="str">
            <v/>
          </cell>
          <cell r="B213" t="str">
            <v>墨鱼精碎片</v>
          </cell>
          <cell r="C213">
            <v>10426</v>
          </cell>
          <cell r="D213" t="str">
            <v>10066,10246,10426</v>
          </cell>
          <cell r="E213" t="str">
            <v>[2,[10066,10246,10426]]</v>
          </cell>
        </row>
        <row r="214">
          <cell r="A214" t="str">
            <v/>
          </cell>
          <cell r="B214" t="str">
            <v>墨鱼精碎片</v>
          </cell>
          <cell r="C214">
            <v>10606</v>
          </cell>
          <cell r="D214" t="str">
            <v>10066,10246,10426,10606</v>
          </cell>
          <cell r="E214" t="str">
            <v>[2,[10066,10246,10426,10606]]</v>
          </cell>
        </row>
        <row r="215">
          <cell r="A215" t="str">
            <v/>
          </cell>
          <cell r="B215" t="str">
            <v>墨鱼精碎片</v>
          </cell>
          <cell r="C215">
            <v>10786</v>
          </cell>
          <cell r="D215" t="str">
            <v>10066,10246,10426,10606,10786</v>
          </cell>
          <cell r="E215" t="str">
            <v>[2,[10066,10246,10426,10606,10786]]</v>
          </cell>
        </row>
        <row r="216">
          <cell r="A216" t="str">
            <v/>
          </cell>
          <cell r="B216" t="str">
            <v>墨鱼精碎片</v>
          </cell>
          <cell r="C216">
            <v>10966</v>
          </cell>
          <cell r="D216" t="str">
            <v>10066,10246,10426,10606,10786,10966</v>
          </cell>
          <cell r="E216" t="str">
            <v>[2,[10066,10246,10426,10606,10786,10966]]</v>
          </cell>
        </row>
        <row r="217">
          <cell r="A217">
            <v>10040</v>
          </cell>
          <cell r="B217" t="str">
            <v>墨鱼精碎片</v>
          </cell>
          <cell r="C217">
            <v>11146</v>
          </cell>
          <cell r="D217" t="str">
            <v>10066,10246,10426,10606,10786,10966,11146</v>
          </cell>
          <cell r="E217" t="str">
            <v>[2,[10066,10246,10426,10606,10786,10966,11146]]</v>
          </cell>
        </row>
        <row r="218">
          <cell r="A218" t="str">
            <v/>
          </cell>
          <cell r="B218" t="str">
            <v>哪吒碎片</v>
          </cell>
          <cell r="C218">
            <v>10240</v>
          </cell>
          <cell r="D218">
            <v>10240</v>
          </cell>
          <cell r="E218" t="str">
            <v>[2,[10240]]</v>
          </cell>
        </row>
        <row r="219">
          <cell r="A219" t="str">
            <v/>
          </cell>
          <cell r="B219" t="str">
            <v>哪吒碎片</v>
          </cell>
          <cell r="C219">
            <v>10390</v>
          </cell>
          <cell r="D219" t="str">
            <v>10240,10390</v>
          </cell>
          <cell r="E219" t="str">
            <v>[2,[10240,10390]]</v>
          </cell>
        </row>
        <row r="220">
          <cell r="A220" t="str">
            <v/>
          </cell>
          <cell r="B220" t="str">
            <v>哪吒碎片</v>
          </cell>
          <cell r="C220">
            <v>10540</v>
          </cell>
          <cell r="D220" t="str">
            <v>10240,10390,10540</v>
          </cell>
          <cell r="E220" t="str">
            <v>[2,[10240,10390,10540]]</v>
          </cell>
        </row>
        <row r="221">
          <cell r="A221" t="str">
            <v/>
          </cell>
          <cell r="B221" t="str">
            <v>哪吒碎片</v>
          </cell>
          <cell r="C221">
            <v>10690</v>
          </cell>
          <cell r="D221" t="str">
            <v>10240,10390,10540,10690</v>
          </cell>
          <cell r="E221" t="str">
            <v>[2,[10240,10390,10540,10690]]</v>
          </cell>
        </row>
        <row r="222">
          <cell r="A222" t="str">
            <v/>
          </cell>
          <cell r="B222" t="str">
            <v>哪吒碎片</v>
          </cell>
          <cell r="C222">
            <v>10840</v>
          </cell>
          <cell r="D222" t="str">
            <v>10240,10390,10540,10690,10840</v>
          </cell>
          <cell r="E222" t="str">
            <v>[2,[10240,10390,10540,10690,10840]]</v>
          </cell>
        </row>
        <row r="223">
          <cell r="A223" t="str">
            <v/>
          </cell>
          <cell r="B223" t="str">
            <v>哪吒碎片</v>
          </cell>
          <cell r="C223">
            <v>10990</v>
          </cell>
          <cell r="D223" t="str">
            <v>10240,10390,10540,10690,10840,10990</v>
          </cell>
          <cell r="E223" t="str">
            <v>[2,[10240,10390,10540,10690,10840,10990]]</v>
          </cell>
        </row>
        <row r="224">
          <cell r="A224" t="str">
            <v/>
          </cell>
          <cell r="B224" t="str">
            <v>哪吒碎片</v>
          </cell>
          <cell r="C224">
            <v>11140</v>
          </cell>
          <cell r="D224" t="str">
            <v>10240,10390,10540,10690,10840,10990,11140</v>
          </cell>
          <cell r="E224" t="str">
            <v>[2,[10240,10390,10540,10690,10840,10990,11140]]</v>
          </cell>
        </row>
        <row r="225">
          <cell r="A225">
            <v>10002</v>
          </cell>
          <cell r="B225" t="str">
            <v>哪吒碎片</v>
          </cell>
          <cell r="C225">
            <v>11290</v>
          </cell>
          <cell r="D225" t="str">
            <v>10240,10390,10540,10690,10840,10990,11140,11290</v>
          </cell>
          <cell r="E225" t="str">
            <v>[2,[10240,10390,10540,10690,10840,10990,11140,11290]]</v>
          </cell>
        </row>
        <row r="226">
          <cell r="A226" t="str">
            <v/>
          </cell>
          <cell r="B226" t="str">
            <v>牛魔王碎片</v>
          </cell>
          <cell r="C226">
            <v>10170</v>
          </cell>
          <cell r="D226">
            <v>10170</v>
          </cell>
          <cell r="E226" t="str">
            <v>[2,[10170]]</v>
          </cell>
        </row>
        <row r="227">
          <cell r="A227" t="str">
            <v/>
          </cell>
          <cell r="B227" t="str">
            <v>牛魔王碎片</v>
          </cell>
          <cell r="C227">
            <v>10320</v>
          </cell>
          <cell r="D227" t="str">
            <v>10170,10320</v>
          </cell>
          <cell r="E227" t="str">
            <v>[2,[10170,10320]]</v>
          </cell>
        </row>
        <row r="228">
          <cell r="A228" t="str">
            <v/>
          </cell>
          <cell r="B228" t="str">
            <v>牛魔王碎片</v>
          </cell>
          <cell r="C228">
            <v>10470</v>
          </cell>
          <cell r="D228" t="str">
            <v>10170,10320,10470</v>
          </cell>
          <cell r="E228" t="str">
            <v>[2,[10170,10320,10470]]</v>
          </cell>
        </row>
        <row r="229">
          <cell r="A229" t="str">
            <v/>
          </cell>
          <cell r="B229" t="str">
            <v>牛魔王碎片</v>
          </cell>
          <cell r="C229">
            <v>10620</v>
          </cell>
          <cell r="D229" t="str">
            <v>10170,10320,10470,10620</v>
          </cell>
          <cell r="E229" t="str">
            <v>[2,[10170,10320,10470,10620]]</v>
          </cell>
        </row>
        <row r="230">
          <cell r="A230" t="str">
            <v/>
          </cell>
          <cell r="B230" t="str">
            <v>牛魔王碎片</v>
          </cell>
          <cell r="C230">
            <v>10770</v>
          </cell>
          <cell r="D230" t="str">
            <v>10170,10320,10470,10620,10770</v>
          </cell>
          <cell r="E230" t="str">
            <v>[2,[10170,10320,10470,10620,10770]]</v>
          </cell>
        </row>
        <row r="231">
          <cell r="A231" t="str">
            <v/>
          </cell>
          <cell r="B231" t="str">
            <v>牛魔王碎片</v>
          </cell>
          <cell r="C231">
            <v>10920</v>
          </cell>
          <cell r="D231" t="str">
            <v>10170,10320,10470,10620,10770,10920</v>
          </cell>
          <cell r="E231" t="str">
            <v>[2,[10170,10320,10470,10620,10770,10920]]</v>
          </cell>
        </row>
        <row r="232">
          <cell r="A232" t="str">
            <v/>
          </cell>
          <cell r="B232" t="str">
            <v>牛魔王碎片</v>
          </cell>
          <cell r="C232">
            <v>11070</v>
          </cell>
          <cell r="D232" t="str">
            <v>10170,10320,10470,10620,10770,10920,11070</v>
          </cell>
          <cell r="E232" t="str">
            <v>[2,[10170,10320,10470,10620,10770,10920,11070]]</v>
          </cell>
        </row>
        <row r="233">
          <cell r="A233">
            <v>10012</v>
          </cell>
          <cell r="B233" t="str">
            <v>牛魔王碎片</v>
          </cell>
          <cell r="C233">
            <v>11220</v>
          </cell>
          <cell r="D233" t="str">
            <v>10170,10320,10470,10620,10770,10920,11070,11220</v>
          </cell>
          <cell r="E233" t="str">
            <v>[2,[10170,10320,10470,10620,10770,10920,11070,11220]]</v>
          </cell>
        </row>
        <row r="234">
          <cell r="A234" t="str">
            <v/>
          </cell>
          <cell r="B234" t="str">
            <v>牛头碎片</v>
          </cell>
          <cell r="C234">
            <v>10036</v>
          </cell>
          <cell r="D234">
            <v>10036</v>
          </cell>
          <cell r="E234" t="str">
            <v>[2,[10036]]</v>
          </cell>
        </row>
        <row r="235">
          <cell r="A235" t="str">
            <v/>
          </cell>
          <cell r="B235" t="str">
            <v>牛头碎片</v>
          </cell>
          <cell r="C235">
            <v>10216</v>
          </cell>
          <cell r="D235" t="str">
            <v>10036,10216</v>
          </cell>
          <cell r="E235" t="str">
            <v>[2,[10036,10216]]</v>
          </cell>
        </row>
        <row r="236">
          <cell r="A236" t="str">
            <v/>
          </cell>
          <cell r="B236" t="str">
            <v>牛头碎片</v>
          </cell>
          <cell r="C236">
            <v>10396</v>
          </cell>
          <cell r="D236" t="str">
            <v>10036,10216,10396</v>
          </cell>
          <cell r="E236" t="str">
            <v>[2,[10036,10216,10396]]</v>
          </cell>
        </row>
        <row r="237">
          <cell r="A237" t="str">
            <v/>
          </cell>
          <cell r="B237" t="str">
            <v>牛头碎片</v>
          </cell>
          <cell r="C237">
            <v>10576</v>
          </cell>
          <cell r="D237" t="str">
            <v>10036,10216,10396,10576</v>
          </cell>
          <cell r="E237" t="str">
            <v>[2,[10036,10216,10396,10576]]</v>
          </cell>
        </row>
        <row r="238">
          <cell r="A238" t="str">
            <v/>
          </cell>
          <cell r="B238" t="str">
            <v>牛头碎片</v>
          </cell>
          <cell r="C238">
            <v>10756</v>
          </cell>
          <cell r="D238" t="str">
            <v>10036,10216,10396,10576,10756</v>
          </cell>
          <cell r="E238" t="str">
            <v>[2,[10036,10216,10396,10576,10756]]</v>
          </cell>
        </row>
        <row r="239">
          <cell r="A239" t="str">
            <v/>
          </cell>
          <cell r="B239" t="str">
            <v>牛头碎片</v>
          </cell>
          <cell r="C239">
            <v>10936</v>
          </cell>
          <cell r="D239" t="str">
            <v>10036,10216,10396,10576,10756,10936</v>
          </cell>
          <cell r="E239" t="str">
            <v>[2,[10036,10216,10396,10576,10756,10936]]</v>
          </cell>
        </row>
        <row r="240">
          <cell r="A240" t="str">
            <v/>
          </cell>
          <cell r="B240" t="str">
            <v>牛头碎片</v>
          </cell>
          <cell r="C240">
            <v>11116</v>
          </cell>
          <cell r="D240" t="str">
            <v>10036,10216,10396,10576,10756,10936,11116</v>
          </cell>
          <cell r="E240" t="str">
            <v>[2,[10036,10216,10396,10576,10756,10936,11116]]</v>
          </cell>
        </row>
        <row r="241">
          <cell r="A241">
            <v>10106</v>
          </cell>
          <cell r="B241" t="str">
            <v>牛头碎片</v>
          </cell>
          <cell r="C241">
            <v>11306</v>
          </cell>
          <cell r="D241" t="str">
            <v>10036,10216,10396,10576,10756,10936,11116,11306</v>
          </cell>
          <cell r="E241" t="str">
            <v>[2,[10036,10216,10396,10576,10756,10936,11116,11306]]</v>
          </cell>
        </row>
        <row r="242">
          <cell r="A242" t="str">
            <v/>
          </cell>
          <cell r="B242" t="str">
            <v>女儿国国王碎片</v>
          </cell>
          <cell r="C242">
            <v>10050</v>
          </cell>
          <cell r="D242">
            <v>10050</v>
          </cell>
          <cell r="E242" t="str">
            <v>[2,[10050]]</v>
          </cell>
        </row>
        <row r="243">
          <cell r="A243" t="str">
            <v/>
          </cell>
          <cell r="B243" t="str">
            <v>女儿国国王碎片</v>
          </cell>
          <cell r="C243">
            <v>10259</v>
          </cell>
          <cell r="D243" t="str">
            <v>10050,10259</v>
          </cell>
          <cell r="E243" t="str">
            <v>[2,[10050,10259]]</v>
          </cell>
        </row>
        <row r="244">
          <cell r="A244" t="str">
            <v/>
          </cell>
          <cell r="B244" t="str">
            <v>女儿国国王碎片</v>
          </cell>
          <cell r="C244">
            <v>10469</v>
          </cell>
          <cell r="D244" t="str">
            <v>10050,10259,10469</v>
          </cell>
          <cell r="E244" t="str">
            <v>[2,[10050,10259,10469]]</v>
          </cell>
        </row>
        <row r="245">
          <cell r="A245" t="str">
            <v/>
          </cell>
          <cell r="B245" t="str">
            <v>女儿国国王碎片</v>
          </cell>
          <cell r="C245">
            <v>10679</v>
          </cell>
          <cell r="D245" t="str">
            <v>10050,10259,10469,10679</v>
          </cell>
          <cell r="E245" t="str">
            <v>[2,[10050,10259,10469,10679]]</v>
          </cell>
        </row>
        <row r="246">
          <cell r="A246" t="str">
            <v/>
          </cell>
          <cell r="B246" t="str">
            <v>女儿国国王碎片</v>
          </cell>
          <cell r="C246">
            <v>10889</v>
          </cell>
          <cell r="D246" t="str">
            <v>10050,10259,10469,10679,10889</v>
          </cell>
          <cell r="E246" t="str">
            <v>[2,[10050,10259,10469,10679,10889]]</v>
          </cell>
        </row>
        <row r="247">
          <cell r="A247" t="str">
            <v/>
          </cell>
          <cell r="B247" t="str">
            <v>女儿国国王碎片</v>
          </cell>
          <cell r="C247">
            <v>11099</v>
          </cell>
          <cell r="D247" t="str">
            <v>10050,10259,10469,10679,10889,11099</v>
          </cell>
          <cell r="E247" t="str">
            <v>[2,[10050,10259,10469,10679,10889,11099]]</v>
          </cell>
        </row>
        <row r="248">
          <cell r="A248">
            <v>10116</v>
          </cell>
          <cell r="B248" t="str">
            <v>女儿国国王碎片</v>
          </cell>
          <cell r="C248">
            <v>11309</v>
          </cell>
          <cell r="D248" t="str">
            <v>10050,10259,10469,10679,10889,11099,11309</v>
          </cell>
          <cell r="E248" t="str">
            <v>[2,[10050,10259,10469,10679,10889,11099,11309]]</v>
          </cell>
        </row>
        <row r="249">
          <cell r="A249" t="str">
            <v/>
          </cell>
          <cell r="B249" t="str">
            <v>琴仙碎片</v>
          </cell>
          <cell r="C249">
            <v>10079</v>
          </cell>
          <cell r="D249">
            <v>10079</v>
          </cell>
          <cell r="E249" t="str">
            <v>[2,[10079]]</v>
          </cell>
        </row>
        <row r="250">
          <cell r="A250" t="str">
            <v/>
          </cell>
          <cell r="B250" t="str">
            <v>琴仙碎片</v>
          </cell>
          <cell r="C250">
            <v>10146</v>
          </cell>
          <cell r="D250" t="str">
            <v>10079,10146</v>
          </cell>
          <cell r="E250" t="str">
            <v>[2,[10079,10146]]</v>
          </cell>
        </row>
        <row r="251">
          <cell r="A251" t="str">
            <v/>
          </cell>
          <cell r="B251" t="str">
            <v>琴仙碎片</v>
          </cell>
          <cell r="C251">
            <v>10326</v>
          </cell>
          <cell r="D251" t="str">
            <v>10079,10146,10326</v>
          </cell>
          <cell r="E251" t="str">
            <v>[2,[10079,10146,10326]]</v>
          </cell>
        </row>
        <row r="252">
          <cell r="A252" t="str">
            <v/>
          </cell>
          <cell r="B252" t="str">
            <v>琴仙碎片</v>
          </cell>
          <cell r="C252">
            <v>10506</v>
          </cell>
          <cell r="D252" t="str">
            <v>10079,10146,10326,10506</v>
          </cell>
          <cell r="E252" t="str">
            <v>[2,[10079,10146,10326,10506]]</v>
          </cell>
        </row>
        <row r="253">
          <cell r="A253" t="str">
            <v/>
          </cell>
          <cell r="B253" t="str">
            <v>琴仙碎片</v>
          </cell>
          <cell r="C253">
            <v>10686</v>
          </cell>
          <cell r="D253" t="str">
            <v>10079,10146,10326,10506,10686</v>
          </cell>
          <cell r="E253" t="str">
            <v>[2,[10079,10146,10326,10506,10686]]</v>
          </cell>
        </row>
        <row r="254">
          <cell r="A254" t="str">
            <v/>
          </cell>
          <cell r="B254" t="str">
            <v>琴仙碎片</v>
          </cell>
          <cell r="C254">
            <v>10866</v>
          </cell>
          <cell r="D254" t="str">
            <v>10079,10146,10326,10506,10686,10866</v>
          </cell>
          <cell r="E254" t="str">
            <v>[2,[10079,10146,10326,10506,10686,10866]]</v>
          </cell>
        </row>
        <row r="255">
          <cell r="A255" t="str">
            <v/>
          </cell>
          <cell r="B255" t="str">
            <v>琴仙碎片</v>
          </cell>
          <cell r="C255">
            <v>11046</v>
          </cell>
          <cell r="D255" t="str">
            <v>10079,10146,10326,10506,10686,10866,11046</v>
          </cell>
          <cell r="E255" t="str">
            <v>[2,[10079,10146,10326,10506,10686,10866,11046]]</v>
          </cell>
        </row>
        <row r="256">
          <cell r="A256">
            <v>10092</v>
          </cell>
          <cell r="B256" t="str">
            <v>琴仙碎片</v>
          </cell>
          <cell r="C256">
            <v>11226</v>
          </cell>
          <cell r="D256" t="str">
            <v>10079,10146,10326,10506,10686,10866,11046,11226</v>
          </cell>
          <cell r="E256" t="str">
            <v>[2,[10079,10146,10326,10506,10686,10866,11046,11226]]</v>
          </cell>
        </row>
        <row r="257">
          <cell r="A257" t="str">
            <v/>
          </cell>
          <cell r="B257" t="str">
            <v>人参娃碎片</v>
          </cell>
          <cell r="C257">
            <v>10149</v>
          </cell>
          <cell r="D257">
            <v>10149</v>
          </cell>
          <cell r="E257" t="str">
            <v>[2,[10149]]</v>
          </cell>
        </row>
        <row r="258">
          <cell r="A258" t="str">
            <v/>
          </cell>
          <cell r="B258" t="str">
            <v>人参娃碎片</v>
          </cell>
          <cell r="C258">
            <v>10359</v>
          </cell>
          <cell r="D258" t="str">
            <v>10149,10359</v>
          </cell>
          <cell r="E258" t="str">
            <v>[2,[10149,10359]]</v>
          </cell>
        </row>
        <row r="259">
          <cell r="A259" t="str">
            <v/>
          </cell>
          <cell r="B259" t="str">
            <v>人参娃碎片</v>
          </cell>
          <cell r="C259">
            <v>10569</v>
          </cell>
          <cell r="D259" t="str">
            <v>10149,10359,10569</v>
          </cell>
          <cell r="E259" t="str">
            <v>[2,[10149,10359,10569]]</v>
          </cell>
        </row>
        <row r="260">
          <cell r="A260" t="str">
            <v/>
          </cell>
          <cell r="B260" t="str">
            <v>人参娃碎片</v>
          </cell>
          <cell r="C260">
            <v>10779</v>
          </cell>
          <cell r="D260" t="str">
            <v>10149,10359,10569,10779</v>
          </cell>
          <cell r="E260" t="str">
            <v>[2,[10149,10359,10569,10779]]</v>
          </cell>
        </row>
        <row r="261">
          <cell r="A261" t="str">
            <v/>
          </cell>
          <cell r="B261" t="str">
            <v>人参娃碎片</v>
          </cell>
          <cell r="C261">
            <v>10989</v>
          </cell>
          <cell r="D261" t="str">
            <v>10149,10359,10569,10779,10989</v>
          </cell>
          <cell r="E261" t="str">
            <v>[2,[10149,10359,10569,10779,10989]]</v>
          </cell>
        </row>
        <row r="262">
          <cell r="A262">
            <v>10102</v>
          </cell>
          <cell r="B262" t="str">
            <v>人参娃碎片</v>
          </cell>
          <cell r="C262">
            <v>11199</v>
          </cell>
          <cell r="D262" t="str">
            <v>10149,10359,10569,10779,10989,11199</v>
          </cell>
          <cell r="E262" t="str">
            <v>[2,[10149,10359,10569,10779,10989,11199]]</v>
          </cell>
        </row>
        <row r="263">
          <cell r="A263" t="str">
            <v/>
          </cell>
          <cell r="B263" t="str">
            <v>赛太岁碎片</v>
          </cell>
          <cell r="C263">
            <v>10196</v>
          </cell>
          <cell r="D263">
            <v>10196</v>
          </cell>
          <cell r="E263" t="str">
            <v>[2,[10196]]</v>
          </cell>
        </row>
        <row r="264">
          <cell r="A264" t="str">
            <v/>
          </cell>
          <cell r="B264" t="str">
            <v>赛太岁碎片</v>
          </cell>
          <cell r="C264">
            <v>10376</v>
          </cell>
          <cell r="D264" t="str">
            <v>10196,10376</v>
          </cell>
          <cell r="E264" t="str">
            <v>[2,[10196,10376]]</v>
          </cell>
        </row>
        <row r="265">
          <cell r="A265" t="str">
            <v/>
          </cell>
          <cell r="B265" t="str">
            <v>赛太岁碎片</v>
          </cell>
          <cell r="C265">
            <v>10556</v>
          </cell>
          <cell r="D265" t="str">
            <v>10196,10376,10556</v>
          </cell>
          <cell r="E265" t="str">
            <v>[2,[10196,10376,10556]]</v>
          </cell>
        </row>
        <row r="266">
          <cell r="A266" t="str">
            <v/>
          </cell>
          <cell r="B266" t="str">
            <v>赛太岁碎片</v>
          </cell>
          <cell r="C266">
            <v>10736</v>
          </cell>
          <cell r="D266" t="str">
            <v>10196,10376,10556,10736</v>
          </cell>
          <cell r="E266" t="str">
            <v>[2,[10196,10376,10556,10736]]</v>
          </cell>
        </row>
        <row r="267">
          <cell r="A267" t="str">
            <v/>
          </cell>
          <cell r="B267" t="str">
            <v>赛太岁碎片</v>
          </cell>
          <cell r="C267">
            <v>10916</v>
          </cell>
          <cell r="D267" t="str">
            <v>10196,10376,10556,10736,10916</v>
          </cell>
          <cell r="E267" t="str">
            <v>[2,[10196,10376,10556,10736,10916]]</v>
          </cell>
        </row>
        <row r="268">
          <cell r="A268" t="str">
            <v/>
          </cell>
          <cell r="B268" t="str">
            <v>赛太岁碎片</v>
          </cell>
          <cell r="C268">
            <v>11096</v>
          </cell>
          <cell r="D268" t="str">
            <v>10196,10376,10556,10736,10916,11096</v>
          </cell>
          <cell r="E268" t="str">
            <v>[2,[10196,10376,10556,10736,10916,11096]]</v>
          </cell>
        </row>
        <row r="269">
          <cell r="A269">
            <v>10028</v>
          </cell>
          <cell r="B269" t="str">
            <v>赛太岁碎片</v>
          </cell>
          <cell r="C269">
            <v>11276</v>
          </cell>
          <cell r="D269" t="str">
            <v>10196,10376,10556,10736,10916,11096,11276</v>
          </cell>
          <cell r="E269" t="str">
            <v>[2,[10196,10376,10556,10736,10916,11096,11276]]</v>
          </cell>
        </row>
        <row r="270">
          <cell r="A270" t="str">
            <v/>
          </cell>
          <cell r="B270" t="str">
            <v>扇子精碎片</v>
          </cell>
          <cell r="C270">
            <v>10049</v>
          </cell>
          <cell r="D270">
            <v>10049</v>
          </cell>
          <cell r="E270" t="str">
            <v>[2,[10049]]</v>
          </cell>
        </row>
        <row r="271">
          <cell r="A271" t="str">
            <v/>
          </cell>
          <cell r="B271" t="str">
            <v>扇子精碎片</v>
          </cell>
          <cell r="C271">
            <v>10116</v>
          </cell>
          <cell r="D271" t="str">
            <v>10049,10116</v>
          </cell>
          <cell r="E271" t="str">
            <v>[2,[10049,10116]]</v>
          </cell>
        </row>
        <row r="272">
          <cell r="A272" t="str">
            <v/>
          </cell>
          <cell r="B272" t="str">
            <v>扇子精碎片</v>
          </cell>
          <cell r="C272">
            <v>10296</v>
          </cell>
          <cell r="D272" t="str">
            <v>10049,10116,10296</v>
          </cell>
          <cell r="E272" t="str">
            <v>[2,[10049,10116,10296]]</v>
          </cell>
        </row>
        <row r="273">
          <cell r="A273" t="str">
            <v/>
          </cell>
          <cell r="B273" t="str">
            <v>扇子精碎片</v>
          </cell>
          <cell r="C273">
            <v>10476</v>
          </cell>
          <cell r="D273" t="str">
            <v>10049,10116,10296,10476</v>
          </cell>
          <cell r="E273" t="str">
            <v>[2,[10049,10116,10296,10476]]</v>
          </cell>
        </row>
        <row r="274">
          <cell r="A274" t="str">
            <v/>
          </cell>
          <cell r="B274" t="str">
            <v>扇子精碎片</v>
          </cell>
          <cell r="C274">
            <v>10656</v>
          </cell>
          <cell r="D274" t="str">
            <v>10049,10116,10296,10476,10656</v>
          </cell>
          <cell r="E274" t="str">
            <v>[2,[10049,10116,10296,10476,10656]]</v>
          </cell>
        </row>
        <row r="275">
          <cell r="A275" t="str">
            <v/>
          </cell>
          <cell r="B275" t="str">
            <v>扇子精碎片</v>
          </cell>
          <cell r="C275">
            <v>10836</v>
          </cell>
          <cell r="D275" t="str">
            <v>10049,10116,10296,10476,10656,10836</v>
          </cell>
          <cell r="E275" t="str">
            <v>[2,[10049,10116,10296,10476,10656,10836]]</v>
          </cell>
        </row>
        <row r="276">
          <cell r="A276" t="str">
            <v/>
          </cell>
          <cell r="B276" t="str">
            <v>扇子精碎片</v>
          </cell>
          <cell r="C276">
            <v>11016</v>
          </cell>
          <cell r="D276" t="str">
            <v>10049,10116,10296,10476,10656,10836,11016</v>
          </cell>
          <cell r="E276" t="str">
            <v>[2,[10049,10116,10296,10476,10656,10836,11016]]</v>
          </cell>
        </row>
        <row r="277">
          <cell r="A277">
            <v>10126</v>
          </cell>
          <cell r="B277" t="str">
            <v>扇子精碎片</v>
          </cell>
          <cell r="C277">
            <v>11196</v>
          </cell>
          <cell r="D277" t="str">
            <v>10049,10116,10296,10476,10656,10836,11016,11196</v>
          </cell>
          <cell r="E277" t="str">
            <v>[2,[10049,10116,10296,10476,10656,10836,11016,11196]]</v>
          </cell>
        </row>
        <row r="278">
          <cell r="A278" t="str">
            <v/>
          </cell>
          <cell r="B278" t="str">
            <v>太白金星碎片</v>
          </cell>
          <cell r="C278">
            <v>10139</v>
          </cell>
          <cell r="D278">
            <v>10139</v>
          </cell>
          <cell r="E278" t="str">
            <v>[2,[10139]]</v>
          </cell>
        </row>
        <row r="279">
          <cell r="A279" t="str">
            <v/>
          </cell>
          <cell r="B279" t="str">
            <v>太白金星碎片</v>
          </cell>
          <cell r="C279">
            <v>10349</v>
          </cell>
          <cell r="D279" t="str">
            <v>10139,10349</v>
          </cell>
          <cell r="E279" t="str">
            <v>[2,[10139,10349]]</v>
          </cell>
        </row>
        <row r="280">
          <cell r="A280" t="str">
            <v/>
          </cell>
          <cell r="B280" t="str">
            <v>太白金星碎片</v>
          </cell>
          <cell r="C280">
            <v>10559</v>
          </cell>
          <cell r="D280" t="str">
            <v>10139,10349,10559</v>
          </cell>
          <cell r="E280" t="str">
            <v>[2,[10139,10349,10559]]</v>
          </cell>
        </row>
        <row r="281">
          <cell r="A281" t="str">
            <v/>
          </cell>
          <cell r="B281" t="str">
            <v>太白金星碎片</v>
          </cell>
          <cell r="C281">
            <v>10769</v>
          </cell>
          <cell r="D281" t="str">
            <v>10139,10349,10559,10769</v>
          </cell>
          <cell r="E281" t="str">
            <v>[2,[10139,10349,10559,10769]]</v>
          </cell>
        </row>
        <row r="282">
          <cell r="A282" t="str">
            <v/>
          </cell>
          <cell r="B282" t="str">
            <v>太白金星碎片</v>
          </cell>
          <cell r="C282">
            <v>10979</v>
          </cell>
          <cell r="D282" t="str">
            <v>10139,10349,10559,10769,10979</v>
          </cell>
          <cell r="E282" t="str">
            <v>[2,[10139,10349,10559,10769,10979]]</v>
          </cell>
        </row>
        <row r="283">
          <cell r="A283">
            <v>10006</v>
          </cell>
          <cell r="B283" t="str">
            <v>太白金星碎片</v>
          </cell>
          <cell r="C283">
            <v>11189</v>
          </cell>
          <cell r="D283" t="str">
            <v>10139,10349,10559,10769,10979,11189</v>
          </cell>
          <cell r="E283" t="str">
            <v>[2,[10139,10349,10559,10769,10979,11189]]</v>
          </cell>
        </row>
        <row r="284">
          <cell r="A284" t="str">
            <v/>
          </cell>
          <cell r="B284" t="str">
            <v>唐三藏碎片</v>
          </cell>
          <cell r="C284">
            <v>10100</v>
          </cell>
          <cell r="D284">
            <v>10100</v>
          </cell>
          <cell r="E284" t="str">
            <v>[2,[10100]]</v>
          </cell>
        </row>
        <row r="285">
          <cell r="A285" t="str">
            <v/>
          </cell>
          <cell r="B285" t="str">
            <v>唐三藏碎片</v>
          </cell>
          <cell r="C285">
            <v>10309</v>
          </cell>
          <cell r="D285" t="str">
            <v>10100,10309</v>
          </cell>
          <cell r="E285" t="str">
            <v>[2,[10100,10309]]</v>
          </cell>
        </row>
        <row r="286">
          <cell r="A286" t="str">
            <v/>
          </cell>
          <cell r="B286" t="str">
            <v>唐三藏碎片</v>
          </cell>
          <cell r="C286">
            <v>10519</v>
          </cell>
          <cell r="D286" t="str">
            <v>10100,10309,10519</v>
          </cell>
          <cell r="E286" t="str">
            <v>[2,[10100,10309,10519]]</v>
          </cell>
        </row>
        <row r="287">
          <cell r="A287" t="str">
            <v/>
          </cell>
          <cell r="B287" t="str">
            <v>唐三藏碎片</v>
          </cell>
          <cell r="C287">
            <v>10729</v>
          </cell>
          <cell r="D287" t="str">
            <v>10100,10309,10519,10729</v>
          </cell>
          <cell r="E287" t="str">
            <v>[2,[10100,10309,10519,10729]]</v>
          </cell>
        </row>
        <row r="288">
          <cell r="A288" t="str">
            <v/>
          </cell>
          <cell r="B288" t="str">
            <v>唐三藏碎片</v>
          </cell>
          <cell r="C288">
            <v>10939</v>
          </cell>
          <cell r="D288" t="str">
            <v>10100,10309,10519,10729,10939</v>
          </cell>
          <cell r="E288" t="str">
            <v>[2,[10100,10309,10519,10729,10939]]</v>
          </cell>
        </row>
        <row r="289">
          <cell r="A289">
            <v>10022</v>
          </cell>
          <cell r="B289" t="str">
            <v>唐三藏碎片</v>
          </cell>
          <cell r="C289">
            <v>11149</v>
          </cell>
          <cell r="D289" t="str">
            <v>10100,10309,10519,10729,10939,11149</v>
          </cell>
          <cell r="E289" t="str">
            <v>[2,[10100,10309,10519,10729,10939,11149]]</v>
          </cell>
        </row>
        <row r="290">
          <cell r="A290" t="str">
            <v/>
          </cell>
          <cell r="B290" t="str">
            <v>铁扇公主碎片</v>
          </cell>
          <cell r="C290">
            <v>10270</v>
          </cell>
          <cell r="D290">
            <v>10270</v>
          </cell>
          <cell r="E290" t="str">
            <v>[2,[10270]]</v>
          </cell>
        </row>
        <row r="291">
          <cell r="A291" t="str">
            <v/>
          </cell>
          <cell r="B291" t="str">
            <v>铁扇公主碎片</v>
          </cell>
          <cell r="C291">
            <v>10420</v>
          </cell>
          <cell r="D291" t="str">
            <v>10270,10420</v>
          </cell>
          <cell r="E291" t="str">
            <v>[2,[10270,10420]]</v>
          </cell>
        </row>
        <row r="292">
          <cell r="A292" t="str">
            <v/>
          </cell>
          <cell r="B292" t="str">
            <v>铁扇公主碎片</v>
          </cell>
          <cell r="C292">
            <v>10570</v>
          </cell>
          <cell r="D292" t="str">
            <v>10270,10420,10570</v>
          </cell>
          <cell r="E292" t="str">
            <v>[2,[10270,10420,10570]]</v>
          </cell>
        </row>
        <row r="293">
          <cell r="A293" t="str">
            <v/>
          </cell>
          <cell r="B293" t="str">
            <v>铁扇公主碎片</v>
          </cell>
          <cell r="C293">
            <v>10720</v>
          </cell>
          <cell r="D293" t="str">
            <v>10270,10420,10570,10720</v>
          </cell>
          <cell r="E293" t="str">
            <v>[2,[10270,10420,10570,10720]]</v>
          </cell>
        </row>
        <row r="294">
          <cell r="A294" t="str">
            <v/>
          </cell>
          <cell r="B294" t="str">
            <v>铁扇公主碎片</v>
          </cell>
          <cell r="C294">
            <v>10870</v>
          </cell>
          <cell r="D294" t="str">
            <v>10270,10420,10570,10720,10870</v>
          </cell>
          <cell r="E294" t="str">
            <v>[2,[10270,10420,10570,10720,10870]]</v>
          </cell>
        </row>
        <row r="295">
          <cell r="A295" t="str">
            <v/>
          </cell>
          <cell r="B295" t="str">
            <v>铁扇公主碎片</v>
          </cell>
          <cell r="C295">
            <v>11020</v>
          </cell>
          <cell r="D295" t="str">
            <v>10270,10420,10570,10720,10870,11020</v>
          </cell>
          <cell r="E295" t="str">
            <v>[2,[10270,10420,10570,10720,10870,11020]]</v>
          </cell>
        </row>
        <row r="296">
          <cell r="A296" t="str">
            <v/>
          </cell>
          <cell r="B296" t="str">
            <v>铁扇公主碎片</v>
          </cell>
          <cell r="C296">
            <v>11170</v>
          </cell>
          <cell r="D296" t="str">
            <v>10270,10420,10570,10720,10870,11020,11170</v>
          </cell>
          <cell r="E296" t="str">
            <v>[2,[10270,10420,10570,10720,10870,11020,11170]]</v>
          </cell>
        </row>
        <row r="297">
          <cell r="A297">
            <v>10011</v>
          </cell>
          <cell r="B297" t="str">
            <v>铁扇公主碎片</v>
          </cell>
          <cell r="C297">
            <v>11320</v>
          </cell>
          <cell r="D297" t="str">
            <v>10270,10420,10570,10720,10870,11020,11170,11320</v>
          </cell>
          <cell r="E297" t="str">
            <v>[2,[10270,10420,10570,10720,10870,11020,11170,11320]]</v>
          </cell>
        </row>
        <row r="298">
          <cell r="A298" t="str">
            <v/>
          </cell>
          <cell r="B298" t="str">
            <v>托塔天王碎片</v>
          </cell>
          <cell r="C298">
            <v>10210</v>
          </cell>
          <cell r="D298">
            <v>10210</v>
          </cell>
          <cell r="E298" t="str">
            <v>[2,[10210]]</v>
          </cell>
        </row>
        <row r="299">
          <cell r="A299" t="str">
            <v/>
          </cell>
          <cell r="B299" t="str">
            <v>托塔天王碎片</v>
          </cell>
          <cell r="C299">
            <v>10360</v>
          </cell>
          <cell r="D299" t="str">
            <v>10210,10360</v>
          </cell>
          <cell r="E299" t="str">
            <v>[2,[10210,10360]]</v>
          </cell>
        </row>
        <row r="300">
          <cell r="A300" t="str">
            <v/>
          </cell>
          <cell r="B300" t="str">
            <v>托塔天王碎片</v>
          </cell>
          <cell r="C300">
            <v>10510</v>
          </cell>
          <cell r="D300" t="str">
            <v>10210,10360,10510</v>
          </cell>
          <cell r="E300" t="str">
            <v>[2,[10210,10360,10510]]</v>
          </cell>
        </row>
        <row r="301">
          <cell r="A301" t="str">
            <v/>
          </cell>
          <cell r="B301" t="str">
            <v>托塔天王碎片</v>
          </cell>
          <cell r="C301">
            <v>10660</v>
          </cell>
          <cell r="D301" t="str">
            <v>10210,10360,10510,10660</v>
          </cell>
          <cell r="E301" t="str">
            <v>[2,[10210,10360,10510,10660]]</v>
          </cell>
        </row>
        <row r="302">
          <cell r="A302" t="str">
            <v/>
          </cell>
          <cell r="B302" t="str">
            <v>托塔天王碎片</v>
          </cell>
          <cell r="C302">
            <v>10810</v>
          </cell>
          <cell r="D302" t="str">
            <v>10210,10360,10510,10660,10810</v>
          </cell>
          <cell r="E302" t="str">
            <v>[2,[10210,10360,10510,10660,10810]]</v>
          </cell>
        </row>
        <row r="303">
          <cell r="A303" t="str">
            <v/>
          </cell>
          <cell r="B303" t="str">
            <v>托塔天王碎片</v>
          </cell>
          <cell r="C303">
            <v>10960</v>
          </cell>
          <cell r="D303" t="str">
            <v>10210,10360,10510,10660,10810,10960</v>
          </cell>
          <cell r="E303" t="str">
            <v>[2,[10210,10360,10510,10660,10810,10960]]</v>
          </cell>
        </row>
        <row r="304">
          <cell r="A304" t="str">
            <v/>
          </cell>
          <cell r="B304" t="str">
            <v>托塔天王碎片</v>
          </cell>
          <cell r="C304">
            <v>11110</v>
          </cell>
          <cell r="D304" t="str">
            <v>10210,10360,10510,10660,10810,10960,11110</v>
          </cell>
          <cell r="E304" t="str">
            <v>[2,[10210,10360,10510,10660,10810,10960,11110]]</v>
          </cell>
        </row>
        <row r="305">
          <cell r="A305">
            <v>10008</v>
          </cell>
          <cell r="B305" t="str">
            <v>托塔天王碎片</v>
          </cell>
          <cell r="C305">
            <v>11260</v>
          </cell>
          <cell r="D305" t="str">
            <v>10210,10360,10510,10660,10810,10960,11110,11260</v>
          </cell>
          <cell r="E305" t="str">
            <v>[2,[10210,10360,10510,10660,10810,10960,11110,11260]]</v>
          </cell>
        </row>
        <row r="306">
          <cell r="A306" t="str">
            <v/>
          </cell>
          <cell r="B306" t="str">
            <v>文殊菩萨碎片</v>
          </cell>
          <cell r="C306">
            <v>10060</v>
          </cell>
          <cell r="D306">
            <v>10060</v>
          </cell>
          <cell r="E306" t="str">
            <v>[2,[10060]]</v>
          </cell>
        </row>
        <row r="307">
          <cell r="A307" t="str">
            <v/>
          </cell>
          <cell r="B307" t="str">
            <v>文殊菩萨碎片</v>
          </cell>
          <cell r="C307">
            <v>10269</v>
          </cell>
          <cell r="D307" t="str">
            <v>10060,10269</v>
          </cell>
          <cell r="E307" t="str">
            <v>[2,[10060,10269]]</v>
          </cell>
        </row>
        <row r="308">
          <cell r="A308" t="str">
            <v/>
          </cell>
          <cell r="B308" t="str">
            <v>文殊菩萨碎片</v>
          </cell>
          <cell r="C308">
            <v>10479</v>
          </cell>
          <cell r="D308" t="str">
            <v>10060,10269,10479</v>
          </cell>
          <cell r="E308" t="str">
            <v>[2,[10060,10269,10479]]</v>
          </cell>
        </row>
        <row r="309">
          <cell r="A309" t="str">
            <v/>
          </cell>
          <cell r="B309" t="str">
            <v>文殊菩萨碎片</v>
          </cell>
          <cell r="C309">
            <v>10689</v>
          </cell>
          <cell r="D309" t="str">
            <v>10060,10269,10479,10689</v>
          </cell>
          <cell r="E309" t="str">
            <v>[2,[10060,10269,10479,10689]]</v>
          </cell>
        </row>
        <row r="310">
          <cell r="A310" t="str">
            <v/>
          </cell>
          <cell r="B310" t="str">
            <v>文殊菩萨碎片</v>
          </cell>
          <cell r="C310">
            <v>10899</v>
          </cell>
          <cell r="D310" t="str">
            <v>10060,10269,10479,10689,10899</v>
          </cell>
          <cell r="E310" t="str">
            <v>[2,[10060,10269,10479,10689,10899]]</v>
          </cell>
        </row>
        <row r="311">
          <cell r="A311" t="str">
            <v/>
          </cell>
          <cell r="B311" t="str">
            <v>文殊菩萨碎片</v>
          </cell>
          <cell r="C311">
            <v>11109</v>
          </cell>
          <cell r="D311" t="str">
            <v>10060,10269,10479,10689,10899,11109</v>
          </cell>
          <cell r="E311" t="str">
            <v>[2,[10060,10269,10479,10689,10899,11109]]</v>
          </cell>
        </row>
        <row r="312">
          <cell r="A312">
            <v>10026</v>
          </cell>
          <cell r="B312" t="str">
            <v>文殊菩萨碎片</v>
          </cell>
          <cell r="C312">
            <v>11319</v>
          </cell>
          <cell r="D312" t="str">
            <v>10060,10269,10479,10689,10899,11109,11319</v>
          </cell>
          <cell r="E312" t="str">
            <v>[2,[10060,10269,10479,10689,10899,11109,11319]]</v>
          </cell>
        </row>
        <row r="313">
          <cell r="A313" t="str">
            <v/>
          </cell>
          <cell r="B313" t="str">
            <v>小白龙碎片</v>
          </cell>
          <cell r="C313">
            <v>10159</v>
          </cell>
          <cell r="D313">
            <v>10159</v>
          </cell>
          <cell r="E313" t="str">
            <v>[2,[10159]]</v>
          </cell>
        </row>
        <row r="314">
          <cell r="A314" t="str">
            <v/>
          </cell>
          <cell r="B314" t="str">
            <v>小白龙碎片</v>
          </cell>
          <cell r="C314">
            <v>10369</v>
          </cell>
          <cell r="D314" t="str">
            <v>10159,10369</v>
          </cell>
          <cell r="E314" t="str">
            <v>[2,[10159,10369]]</v>
          </cell>
        </row>
        <row r="315">
          <cell r="A315" t="str">
            <v/>
          </cell>
          <cell r="B315" t="str">
            <v>小白龙碎片</v>
          </cell>
          <cell r="C315">
            <v>10579</v>
          </cell>
          <cell r="D315" t="str">
            <v>10159,10369,10579</v>
          </cell>
          <cell r="E315" t="str">
            <v>[2,[10159,10369,10579]]</v>
          </cell>
        </row>
        <row r="316">
          <cell r="A316" t="str">
            <v/>
          </cell>
          <cell r="B316" t="str">
            <v>小白龙碎片</v>
          </cell>
          <cell r="C316">
            <v>10789</v>
          </cell>
          <cell r="D316" t="str">
            <v>10159,10369,10579,10789</v>
          </cell>
          <cell r="E316" t="str">
            <v>[2,[10159,10369,10579,10789]]</v>
          </cell>
        </row>
        <row r="317">
          <cell r="A317" t="str">
            <v/>
          </cell>
          <cell r="B317" t="str">
            <v>小白龙碎片</v>
          </cell>
          <cell r="C317">
            <v>10999</v>
          </cell>
          <cell r="D317" t="str">
            <v>10159,10369,10579,10789,10999</v>
          </cell>
          <cell r="E317" t="str">
            <v>[2,[10159,10369,10579,10789,10999]]</v>
          </cell>
        </row>
        <row r="318">
          <cell r="A318">
            <v>10023</v>
          </cell>
          <cell r="B318" t="str">
            <v>小白龙碎片</v>
          </cell>
          <cell r="C318">
            <v>11209</v>
          </cell>
          <cell r="D318" t="str">
            <v>10159,10369,10579,10789,10999,11209</v>
          </cell>
          <cell r="E318" t="str">
            <v>[2,[10159,10369,10579,10789,10999,11209]]</v>
          </cell>
        </row>
        <row r="319">
          <cell r="A319" t="str">
            <v/>
          </cell>
          <cell r="B319" t="str">
            <v>蝎子精碎片</v>
          </cell>
          <cell r="C319">
            <v>10070</v>
          </cell>
          <cell r="D319">
            <v>10070</v>
          </cell>
          <cell r="E319" t="str">
            <v>[2,[10070]]</v>
          </cell>
        </row>
        <row r="320">
          <cell r="A320" t="str">
            <v/>
          </cell>
          <cell r="B320" t="str">
            <v>蝎子精碎片</v>
          </cell>
          <cell r="C320">
            <v>10279</v>
          </cell>
          <cell r="D320" t="str">
            <v>10070,10279</v>
          </cell>
          <cell r="E320" t="str">
            <v>[2,[10070,10279]]</v>
          </cell>
        </row>
        <row r="321">
          <cell r="A321" t="str">
            <v/>
          </cell>
          <cell r="B321" t="str">
            <v>蝎子精碎片</v>
          </cell>
          <cell r="C321">
            <v>10489</v>
          </cell>
          <cell r="D321" t="str">
            <v>10070,10279,10489</v>
          </cell>
          <cell r="E321" t="str">
            <v>[2,[10070,10279,10489]]</v>
          </cell>
        </row>
        <row r="322">
          <cell r="A322" t="str">
            <v/>
          </cell>
          <cell r="B322" t="str">
            <v>蝎子精碎片</v>
          </cell>
          <cell r="C322">
            <v>10699</v>
          </cell>
          <cell r="D322" t="str">
            <v>10070,10279,10489,10699</v>
          </cell>
          <cell r="E322" t="str">
            <v>[2,[10070,10279,10489,10699]]</v>
          </cell>
        </row>
        <row r="323">
          <cell r="A323" t="str">
            <v/>
          </cell>
          <cell r="B323" t="str">
            <v>蝎子精碎片</v>
          </cell>
          <cell r="C323">
            <v>10909</v>
          </cell>
          <cell r="D323" t="str">
            <v>10070,10279,10489,10699,10909</v>
          </cell>
          <cell r="E323" t="str">
            <v>[2,[10070,10279,10489,10699,10909]]</v>
          </cell>
        </row>
        <row r="324">
          <cell r="A324">
            <v>10031</v>
          </cell>
          <cell r="B324" t="str">
            <v>蝎子精碎片</v>
          </cell>
          <cell r="C324">
            <v>11119</v>
          </cell>
          <cell r="D324" t="str">
            <v>10070,10279,10489,10699,10909,11119</v>
          </cell>
          <cell r="E324" t="str">
            <v>[2,[10070,10279,10489,10699,10909,11119]]</v>
          </cell>
        </row>
        <row r="325">
          <cell r="A325" t="str">
            <v/>
          </cell>
          <cell r="B325" t="str">
            <v>蟹将碎片</v>
          </cell>
          <cell r="C325">
            <v>10025</v>
          </cell>
          <cell r="D325">
            <v>10025</v>
          </cell>
          <cell r="E325" t="str">
            <v>[2,[10025]]</v>
          </cell>
        </row>
        <row r="326">
          <cell r="A326" t="str">
            <v/>
          </cell>
          <cell r="B326" t="str">
            <v>蟹将碎片</v>
          </cell>
          <cell r="C326">
            <v>10206</v>
          </cell>
          <cell r="D326" t="str">
            <v>10025,10206</v>
          </cell>
          <cell r="E326" t="str">
            <v>[2,[10025,10206]]</v>
          </cell>
        </row>
        <row r="327">
          <cell r="A327" t="str">
            <v/>
          </cell>
          <cell r="B327" t="str">
            <v>蟹将碎片</v>
          </cell>
          <cell r="C327">
            <v>10386</v>
          </cell>
          <cell r="D327" t="str">
            <v>10025,10206,10386</v>
          </cell>
          <cell r="E327" t="str">
            <v>[2,[10025,10206,10386]]</v>
          </cell>
        </row>
        <row r="328">
          <cell r="A328" t="str">
            <v/>
          </cell>
          <cell r="B328" t="str">
            <v>蟹将碎片</v>
          </cell>
          <cell r="C328">
            <v>10566</v>
          </cell>
          <cell r="D328" t="str">
            <v>10025,10206,10386,10566</v>
          </cell>
          <cell r="E328" t="str">
            <v>[2,[10025,10206,10386,10566]]</v>
          </cell>
        </row>
        <row r="329">
          <cell r="A329" t="str">
            <v/>
          </cell>
          <cell r="B329" t="str">
            <v>蟹将碎片</v>
          </cell>
          <cell r="C329">
            <v>10746</v>
          </cell>
          <cell r="D329" t="str">
            <v>10025,10206,10386,10566,10746</v>
          </cell>
          <cell r="E329" t="str">
            <v>[2,[10025,10206,10386,10566,10746]]</v>
          </cell>
        </row>
        <row r="330">
          <cell r="A330" t="str">
            <v/>
          </cell>
          <cell r="B330" t="str">
            <v>蟹将碎片</v>
          </cell>
          <cell r="C330">
            <v>10926</v>
          </cell>
          <cell r="D330" t="str">
            <v>10025,10206,10386,10566,10746,10926</v>
          </cell>
          <cell r="E330" t="str">
            <v>[2,[10025,10206,10386,10566,10746,10926]]</v>
          </cell>
        </row>
        <row r="331">
          <cell r="A331" t="str">
            <v/>
          </cell>
          <cell r="B331" t="str">
            <v>蟹将碎片</v>
          </cell>
          <cell r="C331">
            <v>11106</v>
          </cell>
          <cell r="D331" t="str">
            <v>10025,10206,10386,10566,10746,10926,11106</v>
          </cell>
          <cell r="E331" t="str">
            <v>[2,[10025,10206,10386,10566,10746,10926,11106]]</v>
          </cell>
        </row>
        <row r="332">
          <cell r="A332">
            <v>10404</v>
          </cell>
          <cell r="B332" t="str">
            <v>蟹将碎片</v>
          </cell>
          <cell r="C332">
            <v>11296</v>
          </cell>
          <cell r="D332" t="str">
            <v>10025,10206,10386,10566,10746,10926,11106,11296</v>
          </cell>
          <cell r="E332" t="str">
            <v>[2,[10025,10206,10386,10566,10746,10926,11106,11296]]</v>
          </cell>
        </row>
        <row r="333">
          <cell r="A333" t="str">
            <v/>
          </cell>
          <cell r="B333" t="str">
            <v>阎罗王碎片</v>
          </cell>
          <cell r="C333">
            <v>10080</v>
          </cell>
          <cell r="D333">
            <v>10080</v>
          </cell>
          <cell r="E333" t="str">
            <v>[2,[10080]]</v>
          </cell>
        </row>
        <row r="334">
          <cell r="A334" t="str">
            <v/>
          </cell>
          <cell r="B334" t="str">
            <v>阎罗王碎片</v>
          </cell>
          <cell r="C334">
            <v>10289</v>
          </cell>
          <cell r="D334" t="str">
            <v>10080,10289</v>
          </cell>
          <cell r="E334" t="str">
            <v>[2,[10080,10289]]</v>
          </cell>
        </row>
        <row r="335">
          <cell r="A335" t="str">
            <v/>
          </cell>
          <cell r="B335" t="str">
            <v>阎罗王碎片</v>
          </cell>
          <cell r="C335">
            <v>10499</v>
          </cell>
          <cell r="D335" t="str">
            <v>10080,10289,10499</v>
          </cell>
          <cell r="E335" t="str">
            <v>[2,[10080,10289,10499]]</v>
          </cell>
        </row>
        <row r="336">
          <cell r="A336" t="str">
            <v/>
          </cell>
          <cell r="B336" t="str">
            <v>阎罗王碎片</v>
          </cell>
          <cell r="C336">
            <v>10709</v>
          </cell>
          <cell r="D336" t="str">
            <v>10080,10289,10499,10709</v>
          </cell>
          <cell r="E336" t="str">
            <v>[2,[10080,10289,10499,10709]]</v>
          </cell>
        </row>
        <row r="337">
          <cell r="A337" t="str">
            <v/>
          </cell>
          <cell r="B337" t="str">
            <v>阎罗王碎片</v>
          </cell>
          <cell r="C337">
            <v>10919</v>
          </cell>
          <cell r="D337" t="str">
            <v>10080,10289,10499,10709,10919</v>
          </cell>
          <cell r="E337" t="str">
            <v>[2,[10080,10289,10499,10709,10919]]</v>
          </cell>
        </row>
        <row r="338">
          <cell r="A338">
            <v>10101</v>
          </cell>
          <cell r="B338" t="str">
            <v>阎罗王碎片</v>
          </cell>
          <cell r="C338">
            <v>11129</v>
          </cell>
          <cell r="D338" t="str">
            <v>10080,10289,10499,10709,10919,11129</v>
          </cell>
          <cell r="E338" t="str">
            <v>[2,[10080,10289,10499,10709,10919,11129]]</v>
          </cell>
        </row>
        <row r="339">
          <cell r="A339" t="str">
            <v/>
          </cell>
          <cell r="B339" t="str">
            <v>羊力大仙碎片</v>
          </cell>
          <cell r="C339">
            <v>10150</v>
          </cell>
          <cell r="D339">
            <v>10150</v>
          </cell>
          <cell r="E339" t="str">
            <v>[2,[10150]]</v>
          </cell>
        </row>
        <row r="340">
          <cell r="A340" t="str">
            <v/>
          </cell>
          <cell r="B340" t="str">
            <v>羊力大仙碎片</v>
          </cell>
          <cell r="C340">
            <v>10300</v>
          </cell>
          <cell r="D340" t="str">
            <v>10150,10300</v>
          </cell>
          <cell r="E340" t="str">
            <v>[2,[10150,10300]]</v>
          </cell>
        </row>
        <row r="341">
          <cell r="A341" t="str">
            <v/>
          </cell>
          <cell r="B341" t="str">
            <v>羊力大仙碎片</v>
          </cell>
          <cell r="C341">
            <v>10450</v>
          </cell>
          <cell r="D341" t="str">
            <v>10150,10300,10450</v>
          </cell>
          <cell r="E341" t="str">
            <v>[2,[10150,10300,10450]]</v>
          </cell>
        </row>
        <row r="342">
          <cell r="A342" t="str">
            <v/>
          </cell>
          <cell r="B342" t="str">
            <v>羊力大仙碎片</v>
          </cell>
          <cell r="C342">
            <v>10600</v>
          </cell>
          <cell r="D342" t="str">
            <v>10150,10300,10450,10600</v>
          </cell>
          <cell r="E342" t="str">
            <v>[2,[10150,10300,10450,10600]]</v>
          </cell>
        </row>
        <row r="343">
          <cell r="A343" t="str">
            <v/>
          </cell>
          <cell r="B343" t="str">
            <v>羊力大仙碎片</v>
          </cell>
          <cell r="C343">
            <v>10750</v>
          </cell>
          <cell r="D343" t="str">
            <v>10150,10300,10450,10600,10750</v>
          </cell>
          <cell r="E343" t="str">
            <v>[2,[10150,10300,10450,10600,10750]]</v>
          </cell>
        </row>
        <row r="344">
          <cell r="A344" t="str">
            <v/>
          </cell>
          <cell r="B344" t="str">
            <v>羊力大仙碎片</v>
          </cell>
          <cell r="C344">
            <v>10900</v>
          </cell>
          <cell r="D344" t="str">
            <v>10150,10300,10450,10600,10750,10900</v>
          </cell>
          <cell r="E344" t="str">
            <v>[2,[10150,10300,10450,10600,10750,10900]]</v>
          </cell>
        </row>
        <row r="345">
          <cell r="A345" t="str">
            <v/>
          </cell>
          <cell r="B345" t="str">
            <v>羊力大仙碎片</v>
          </cell>
          <cell r="C345">
            <v>11050</v>
          </cell>
          <cell r="D345" t="str">
            <v>10150,10300,10450,10600,10750,10900,11050</v>
          </cell>
          <cell r="E345" t="str">
            <v>[2,[10150,10300,10450,10600,10750,10900,11050]]</v>
          </cell>
        </row>
        <row r="346">
          <cell r="A346">
            <v>10015</v>
          </cell>
          <cell r="B346" t="str">
            <v>羊力大仙碎片</v>
          </cell>
          <cell r="C346">
            <v>11200</v>
          </cell>
          <cell r="D346" t="str">
            <v>10150,10300,10450,10600,10750,10900,11050,11200</v>
          </cell>
          <cell r="E346" t="str">
            <v>[2,[10150,10300,10450,10600,10750,10900,11050,11200]]</v>
          </cell>
        </row>
        <row r="347">
          <cell r="A347" t="str">
            <v/>
          </cell>
          <cell r="B347" t="str">
            <v>引魂仙子碎片</v>
          </cell>
          <cell r="C347">
            <v>10110</v>
          </cell>
          <cell r="D347">
            <v>10110</v>
          </cell>
          <cell r="E347" t="str">
            <v>[2,[10110]]</v>
          </cell>
        </row>
        <row r="348">
          <cell r="A348" t="str">
            <v/>
          </cell>
          <cell r="B348" t="str">
            <v>引魂仙子碎片</v>
          </cell>
          <cell r="C348">
            <v>10319</v>
          </cell>
          <cell r="D348" t="str">
            <v>10110,10319</v>
          </cell>
          <cell r="E348" t="str">
            <v>[2,[10110,10319]]</v>
          </cell>
        </row>
        <row r="349">
          <cell r="A349" t="str">
            <v/>
          </cell>
          <cell r="B349" t="str">
            <v>引魂仙子碎片</v>
          </cell>
          <cell r="C349">
            <v>10529</v>
          </cell>
          <cell r="D349" t="str">
            <v>10110,10319,10529</v>
          </cell>
          <cell r="E349" t="str">
            <v>[2,[10110,10319,10529]]</v>
          </cell>
        </row>
        <row r="350">
          <cell r="A350" t="str">
            <v/>
          </cell>
          <cell r="B350" t="str">
            <v>引魂仙子碎片</v>
          </cell>
          <cell r="C350">
            <v>10739</v>
          </cell>
          <cell r="D350" t="str">
            <v>10110,10319,10529,10739</v>
          </cell>
          <cell r="E350" t="str">
            <v>[2,[10110,10319,10529,10739]]</v>
          </cell>
        </row>
        <row r="351">
          <cell r="A351" t="str">
            <v/>
          </cell>
          <cell r="B351" t="str">
            <v>引魂仙子碎片</v>
          </cell>
          <cell r="C351">
            <v>10949</v>
          </cell>
          <cell r="D351" t="str">
            <v>10110,10319,10529,10739,10949</v>
          </cell>
          <cell r="E351" t="str">
            <v>[2,[10110,10319,10529,10739,10949]]</v>
          </cell>
        </row>
        <row r="352">
          <cell r="A352">
            <v>10107</v>
          </cell>
          <cell r="B352" t="str">
            <v>引魂仙子碎片</v>
          </cell>
          <cell r="C352">
            <v>11159</v>
          </cell>
          <cell r="D352" t="str">
            <v>10110,10319,10529,10739,10949,11159</v>
          </cell>
          <cell r="E352" t="str">
            <v>[2,[10110,10319,10529,10739,10949,11159]]</v>
          </cell>
        </row>
        <row r="353">
          <cell r="A353" t="str">
            <v/>
          </cell>
          <cell r="B353" t="str">
            <v>玉皇大帝碎片</v>
          </cell>
          <cell r="C353">
            <v>10040</v>
          </cell>
          <cell r="D353">
            <v>10040</v>
          </cell>
          <cell r="E353" t="str">
            <v>[2,[10040]]</v>
          </cell>
        </row>
        <row r="354">
          <cell r="A354" t="str">
            <v/>
          </cell>
          <cell r="B354" t="str">
            <v>玉皇大帝碎片</v>
          </cell>
          <cell r="C354">
            <v>10249</v>
          </cell>
          <cell r="D354" t="str">
            <v>10040,10249</v>
          </cell>
          <cell r="E354" t="str">
            <v>[2,[10040,10249]]</v>
          </cell>
        </row>
        <row r="355">
          <cell r="A355" t="str">
            <v/>
          </cell>
          <cell r="B355" t="str">
            <v>玉皇大帝碎片</v>
          </cell>
          <cell r="C355">
            <v>10459</v>
          </cell>
          <cell r="D355" t="str">
            <v>10040,10249,10459</v>
          </cell>
          <cell r="E355" t="str">
            <v>[2,[10040,10249,10459]]</v>
          </cell>
        </row>
        <row r="356">
          <cell r="A356" t="str">
            <v/>
          </cell>
          <cell r="B356" t="str">
            <v>玉皇大帝碎片</v>
          </cell>
          <cell r="C356">
            <v>10669</v>
          </cell>
          <cell r="D356" t="str">
            <v>10040,10249,10459,10669</v>
          </cell>
          <cell r="E356" t="str">
            <v>[2,[10040,10249,10459,10669]]</v>
          </cell>
        </row>
        <row r="357">
          <cell r="A357" t="str">
            <v/>
          </cell>
          <cell r="B357" t="str">
            <v>玉皇大帝碎片</v>
          </cell>
          <cell r="C357">
            <v>10879</v>
          </cell>
          <cell r="D357" t="str">
            <v>10040,10249,10459,10669,10879</v>
          </cell>
          <cell r="E357" t="str">
            <v>[2,[10040,10249,10459,10669,10879]]</v>
          </cell>
        </row>
        <row r="358">
          <cell r="A358" t="str">
            <v/>
          </cell>
          <cell r="B358" t="str">
            <v>玉皇大帝碎片</v>
          </cell>
          <cell r="C358">
            <v>11089</v>
          </cell>
          <cell r="D358" t="str">
            <v>10040,10249,10459,10669,10879,11089</v>
          </cell>
          <cell r="E358" t="str">
            <v>[2,[10040,10249,10459,10669,10879,11089]]</v>
          </cell>
        </row>
        <row r="359">
          <cell r="A359">
            <v>10004</v>
          </cell>
          <cell r="B359" t="str">
            <v>玉皇大帝碎片</v>
          </cell>
          <cell r="C359">
            <v>11299</v>
          </cell>
          <cell r="D359" t="str">
            <v>10040,10249,10459,10669,10879,11089,11299</v>
          </cell>
          <cell r="E359" t="str">
            <v>[2,[10040,10249,10459,10669,10879,11089,11299]]</v>
          </cell>
        </row>
        <row r="360">
          <cell r="A360" t="str">
            <v/>
          </cell>
          <cell r="B360" t="str">
            <v>玉面夫人碎片</v>
          </cell>
          <cell r="C360">
            <v>10099</v>
          </cell>
          <cell r="D360">
            <v>10099</v>
          </cell>
          <cell r="E360" t="str">
            <v>[2,[10099]]</v>
          </cell>
        </row>
        <row r="361">
          <cell r="A361" t="str">
            <v/>
          </cell>
          <cell r="B361" t="str">
            <v>玉面夫人碎片</v>
          </cell>
          <cell r="C361">
            <v>10166</v>
          </cell>
          <cell r="D361" t="str">
            <v>10099,10166</v>
          </cell>
          <cell r="E361" t="str">
            <v>[2,[10099,10166]]</v>
          </cell>
        </row>
        <row r="362">
          <cell r="A362" t="str">
            <v/>
          </cell>
          <cell r="B362" t="str">
            <v>玉面夫人碎片</v>
          </cell>
          <cell r="C362">
            <v>10346</v>
          </cell>
          <cell r="D362" t="str">
            <v>10099,10166,10346</v>
          </cell>
          <cell r="E362" t="str">
            <v>[2,[10099,10166,10346]]</v>
          </cell>
        </row>
        <row r="363">
          <cell r="A363" t="str">
            <v/>
          </cell>
          <cell r="B363" t="str">
            <v>玉面夫人碎片</v>
          </cell>
          <cell r="C363">
            <v>10526</v>
          </cell>
          <cell r="D363" t="str">
            <v>10099,10166,10346,10526</v>
          </cell>
          <cell r="E363" t="str">
            <v>[2,[10099,10166,10346,10526]]</v>
          </cell>
        </row>
        <row r="364">
          <cell r="A364" t="str">
            <v/>
          </cell>
          <cell r="B364" t="str">
            <v>玉面夫人碎片</v>
          </cell>
          <cell r="C364">
            <v>10706</v>
          </cell>
          <cell r="D364" t="str">
            <v>10099,10166,10346,10526,10706</v>
          </cell>
          <cell r="E364" t="str">
            <v>[2,[10099,10166,10346,10526,10706]]</v>
          </cell>
        </row>
        <row r="365">
          <cell r="A365" t="str">
            <v/>
          </cell>
          <cell r="B365" t="str">
            <v>玉面夫人碎片</v>
          </cell>
          <cell r="C365">
            <v>10886</v>
          </cell>
          <cell r="D365" t="str">
            <v>10099,10166,10346,10526,10706,10886</v>
          </cell>
          <cell r="E365" t="str">
            <v>[2,[10099,10166,10346,10526,10706,10886]]</v>
          </cell>
        </row>
        <row r="366">
          <cell r="A366" t="str">
            <v/>
          </cell>
          <cell r="B366" t="str">
            <v>玉面夫人碎片</v>
          </cell>
          <cell r="C366">
            <v>11066</v>
          </cell>
          <cell r="D366" t="str">
            <v>10099,10166,10346,10526,10706,10886,11066</v>
          </cell>
          <cell r="E366" t="str">
            <v>[2,[10099,10166,10346,10526,10706,10886,11066]]</v>
          </cell>
        </row>
        <row r="367">
          <cell r="A367">
            <v>10038</v>
          </cell>
          <cell r="B367" t="str">
            <v>玉面夫人碎片</v>
          </cell>
          <cell r="C367">
            <v>11246</v>
          </cell>
          <cell r="D367" t="str">
            <v>10099,10166,10346,10526,10706,10886,11066,11246</v>
          </cell>
          <cell r="E367" t="str">
            <v>[2,[10099,10166,10346,10526,10706,10886,11066,11246]]</v>
          </cell>
        </row>
        <row r="368">
          <cell r="A368" t="str">
            <v/>
          </cell>
          <cell r="B368" t="str">
            <v>玉兔碎片</v>
          </cell>
          <cell r="C368">
            <v>10089</v>
          </cell>
          <cell r="D368">
            <v>10089</v>
          </cell>
          <cell r="E368" t="str">
            <v>[2,[10089]]</v>
          </cell>
        </row>
        <row r="369">
          <cell r="A369" t="str">
            <v/>
          </cell>
          <cell r="B369" t="str">
            <v>玉兔碎片</v>
          </cell>
          <cell r="C369">
            <v>10156</v>
          </cell>
          <cell r="D369" t="str">
            <v>10089,10156</v>
          </cell>
          <cell r="E369" t="str">
            <v>[2,[10089,10156]]</v>
          </cell>
        </row>
        <row r="370">
          <cell r="A370" t="str">
            <v/>
          </cell>
          <cell r="B370" t="str">
            <v>玉兔碎片</v>
          </cell>
          <cell r="C370">
            <v>10336</v>
          </cell>
          <cell r="D370" t="str">
            <v>10089,10156,10336</v>
          </cell>
          <cell r="E370" t="str">
            <v>[2,[10089,10156,10336]]</v>
          </cell>
        </row>
        <row r="371">
          <cell r="A371" t="str">
            <v/>
          </cell>
          <cell r="B371" t="str">
            <v>玉兔碎片</v>
          </cell>
          <cell r="C371">
            <v>10516</v>
          </cell>
          <cell r="D371" t="str">
            <v>10089,10156,10336,10516</v>
          </cell>
          <cell r="E371" t="str">
            <v>[2,[10089,10156,10336,10516]]</v>
          </cell>
        </row>
        <row r="372">
          <cell r="A372" t="str">
            <v/>
          </cell>
          <cell r="B372" t="str">
            <v>玉兔碎片</v>
          </cell>
          <cell r="C372">
            <v>10696</v>
          </cell>
          <cell r="D372" t="str">
            <v>10089,10156,10336,10516,10696</v>
          </cell>
          <cell r="E372" t="str">
            <v>[2,[10089,10156,10336,10516,10696]]</v>
          </cell>
        </row>
        <row r="373">
          <cell r="A373" t="str">
            <v/>
          </cell>
          <cell r="B373" t="str">
            <v>玉兔碎片</v>
          </cell>
          <cell r="C373">
            <v>10876</v>
          </cell>
          <cell r="D373" t="str">
            <v>10089,10156,10336,10516,10696,10876</v>
          </cell>
          <cell r="E373" t="str">
            <v>[2,[10089,10156,10336,10516,10696,10876]]</v>
          </cell>
        </row>
        <row r="374">
          <cell r="A374" t="str">
            <v/>
          </cell>
          <cell r="B374" t="str">
            <v>玉兔碎片</v>
          </cell>
          <cell r="C374">
            <v>11056</v>
          </cell>
          <cell r="D374" t="str">
            <v>10089,10156,10336,10516,10696,10876,11056</v>
          </cell>
          <cell r="E374" t="str">
            <v>[2,[10089,10156,10336,10516,10696,10876,11056]]</v>
          </cell>
        </row>
        <row r="375">
          <cell r="A375" t="str">
            <v/>
          </cell>
          <cell r="B375" t="str">
            <v>玉兔碎片</v>
          </cell>
          <cell r="C375">
            <v>11236</v>
          </cell>
          <cell r="D375" t="str">
            <v>10089,10156,10336,10516,10696,10876,11056,11236</v>
          </cell>
          <cell r="E375" t="str">
            <v>[2,[10089,10156,10336,10516,10696,10876,11056,11236]]</v>
          </cell>
        </row>
        <row r="376">
          <cell r="A376">
            <v>10041</v>
          </cell>
          <cell r="B376" t="str">
            <v>玉兔碎片</v>
          </cell>
          <cell r="C376">
            <v>11286</v>
          </cell>
          <cell r="D376" t="str">
            <v>10089,10156,10336,10516,10696,10876,11056,11236,11286</v>
          </cell>
          <cell r="E376" t="str">
            <v>[2,[10089,10156,10336,10516,10696,10876,11056,11236,11286]]</v>
          </cell>
        </row>
        <row r="377">
          <cell r="A377" t="str">
            <v/>
          </cell>
          <cell r="B377" t="str">
            <v>蜘蛛精碎片</v>
          </cell>
          <cell r="C377">
            <v>10229</v>
          </cell>
          <cell r="D377">
            <v>10229</v>
          </cell>
          <cell r="E377" t="str">
            <v>[2,[10229]]</v>
          </cell>
        </row>
        <row r="378">
          <cell r="A378" t="str">
            <v/>
          </cell>
          <cell r="B378" t="str">
            <v>蜘蛛精碎片</v>
          </cell>
          <cell r="C378">
            <v>10439</v>
          </cell>
          <cell r="D378" t="str">
            <v>10229,10439</v>
          </cell>
          <cell r="E378" t="str">
            <v>[2,[10229,10439]]</v>
          </cell>
        </row>
        <row r="379">
          <cell r="A379" t="str">
            <v/>
          </cell>
          <cell r="B379" t="str">
            <v>蜘蛛精碎片</v>
          </cell>
          <cell r="C379">
            <v>10649</v>
          </cell>
          <cell r="D379" t="str">
            <v>10229,10439,10649</v>
          </cell>
          <cell r="E379" t="str">
            <v>[2,[10229,10439,10649]]</v>
          </cell>
        </row>
        <row r="380">
          <cell r="A380" t="str">
            <v/>
          </cell>
          <cell r="B380" t="str">
            <v>蜘蛛精碎片</v>
          </cell>
          <cell r="C380">
            <v>10859</v>
          </cell>
          <cell r="D380" t="str">
            <v>10229,10439,10649,10859</v>
          </cell>
          <cell r="E380" t="str">
            <v>[2,[10229,10439,10649,10859]]</v>
          </cell>
        </row>
        <row r="381">
          <cell r="A381" t="str">
            <v/>
          </cell>
          <cell r="B381" t="str">
            <v>蜘蛛精碎片</v>
          </cell>
          <cell r="C381">
            <v>11069</v>
          </cell>
          <cell r="D381" t="str">
            <v>10229,10439,10649,10859,11069</v>
          </cell>
          <cell r="E381" t="str">
            <v>[2,[10229,10439,10649,10859,11069]]</v>
          </cell>
        </row>
        <row r="382">
          <cell r="A382">
            <v>10037</v>
          </cell>
          <cell r="B382" t="str">
            <v>蜘蛛精碎片</v>
          </cell>
          <cell r="C382">
            <v>11279</v>
          </cell>
          <cell r="D382" t="str">
            <v>10229,10439,10649,10859,11069,11279</v>
          </cell>
          <cell r="E382" t="str">
            <v>[2,[10229,10439,10649,10859,11069,11279]]</v>
          </cell>
        </row>
        <row r="383">
          <cell r="A383" t="str">
            <v/>
          </cell>
          <cell r="B383" t="str">
            <v>猪八戒碎片</v>
          </cell>
          <cell r="C383">
            <v>10190</v>
          </cell>
          <cell r="D383">
            <v>10190</v>
          </cell>
          <cell r="E383" t="str">
            <v>[2,[10190]]</v>
          </cell>
        </row>
        <row r="384">
          <cell r="A384" t="str">
            <v/>
          </cell>
          <cell r="B384" t="str">
            <v>猪八戒碎片</v>
          </cell>
          <cell r="C384">
            <v>10340</v>
          </cell>
          <cell r="D384" t="str">
            <v>10190,10340</v>
          </cell>
          <cell r="E384" t="str">
            <v>[2,[10190,10340]]</v>
          </cell>
        </row>
        <row r="385">
          <cell r="A385" t="str">
            <v/>
          </cell>
          <cell r="B385" t="str">
            <v>猪八戒碎片</v>
          </cell>
          <cell r="C385">
            <v>10490</v>
          </cell>
          <cell r="D385" t="str">
            <v>10190,10340,10490</v>
          </cell>
          <cell r="E385" t="str">
            <v>[2,[10190,10340,10490]]</v>
          </cell>
        </row>
        <row r="386">
          <cell r="A386" t="str">
            <v/>
          </cell>
          <cell r="B386" t="str">
            <v>猪八戒碎片</v>
          </cell>
          <cell r="C386">
            <v>10640</v>
          </cell>
          <cell r="D386" t="str">
            <v>10190,10340,10490,10640</v>
          </cell>
          <cell r="E386" t="str">
            <v>[2,[10190,10340,10490,10640]]</v>
          </cell>
        </row>
        <row r="387">
          <cell r="A387" t="str">
            <v/>
          </cell>
          <cell r="B387" t="str">
            <v>猪八戒碎片</v>
          </cell>
          <cell r="C387">
            <v>10790</v>
          </cell>
          <cell r="D387" t="str">
            <v>10190,10340,10490,10640,10790</v>
          </cell>
          <cell r="E387" t="str">
            <v>[2,[10190,10340,10490,10640,10790]]</v>
          </cell>
        </row>
        <row r="388">
          <cell r="A388" t="str">
            <v/>
          </cell>
          <cell r="B388" t="str">
            <v>猪八戒碎片</v>
          </cell>
          <cell r="C388">
            <v>10940</v>
          </cell>
          <cell r="D388" t="str">
            <v>10190,10340,10490,10640,10790,10940</v>
          </cell>
          <cell r="E388" t="str">
            <v>[2,[10190,10340,10490,10640,10790,10940]]</v>
          </cell>
        </row>
        <row r="389">
          <cell r="A389" t="str">
            <v/>
          </cell>
          <cell r="B389" t="str">
            <v>猪八戒碎片</v>
          </cell>
          <cell r="C389">
            <v>11090</v>
          </cell>
          <cell r="D389" t="str">
            <v>10190,10340,10490,10640,10790,10940,11090</v>
          </cell>
          <cell r="E389" t="str">
            <v>[2,[10190,10340,10490,10640,10790,10940,11090]]</v>
          </cell>
        </row>
        <row r="390">
          <cell r="A390">
            <v>10020</v>
          </cell>
          <cell r="B390" t="str">
            <v>猪八戒碎片</v>
          </cell>
          <cell r="C390">
            <v>11240</v>
          </cell>
          <cell r="D390" t="str">
            <v>10190,10340,10490,10640,10790,10940,11090,11240</v>
          </cell>
          <cell r="E390" t="str">
            <v>[2,[10190,10340,10490,10640,10790,10940,11090,11240]]</v>
          </cell>
        </row>
      </sheetData>
      <sheetData sheetId="8">
        <row r="2">
          <cell r="A2" t="str">
            <v/>
          </cell>
          <cell r="B2" t="str">
            <v>赤霄长剑碎片</v>
          </cell>
          <cell r="C2">
            <v>10420</v>
          </cell>
          <cell r="D2">
            <v>10420</v>
          </cell>
          <cell r="E2" t="str">
            <v>[2,[10420]]</v>
          </cell>
        </row>
        <row r="3">
          <cell r="A3" t="str">
            <v/>
          </cell>
          <cell r="B3" t="str">
            <v>赤霄长剑碎片</v>
          </cell>
          <cell r="C3">
            <v>10480</v>
          </cell>
          <cell r="D3" t="str">
            <v>10420,10480</v>
          </cell>
          <cell r="E3" t="str">
            <v>[2,[10420,10480]]</v>
          </cell>
        </row>
        <row r="4">
          <cell r="A4" t="str">
            <v/>
          </cell>
          <cell r="B4" t="str">
            <v>赤霄长剑碎片</v>
          </cell>
          <cell r="C4">
            <v>10540</v>
          </cell>
          <cell r="D4" t="str">
            <v>10420,10480,10540</v>
          </cell>
          <cell r="E4" t="str">
            <v>[2,[10420,10480,10540]]</v>
          </cell>
        </row>
        <row r="5">
          <cell r="A5" t="str">
            <v/>
          </cell>
          <cell r="B5" t="str">
            <v>赤霄长剑碎片</v>
          </cell>
          <cell r="C5">
            <v>10600</v>
          </cell>
          <cell r="D5" t="str">
            <v>10420,10480,10540,10600</v>
          </cell>
          <cell r="E5" t="str">
            <v>[2,[10420,10480,10540,10600]]</v>
          </cell>
        </row>
        <row r="6">
          <cell r="A6" t="str">
            <v/>
          </cell>
          <cell r="B6" t="str">
            <v>赤霄长剑碎片</v>
          </cell>
          <cell r="C6">
            <v>10660</v>
          </cell>
          <cell r="D6" t="str">
            <v>10420,10480,10540,10600,10660</v>
          </cell>
          <cell r="E6" t="str">
            <v>[2,[10420,10480,10540,10600,10660]]</v>
          </cell>
        </row>
        <row r="7">
          <cell r="A7" t="str">
            <v/>
          </cell>
          <cell r="B7" t="str">
            <v>赤霄长剑碎片</v>
          </cell>
          <cell r="C7">
            <v>10720</v>
          </cell>
          <cell r="D7" t="str">
            <v>10420,10480,10540,10600,10660,10720</v>
          </cell>
          <cell r="E7" t="str">
            <v>[2,[10420,10480,10540,10600,10660,10720]]</v>
          </cell>
        </row>
        <row r="8">
          <cell r="A8" t="str">
            <v/>
          </cell>
          <cell r="B8" t="str">
            <v>赤霄长剑碎片</v>
          </cell>
          <cell r="C8">
            <v>10780</v>
          </cell>
          <cell r="D8" t="str">
            <v>10420,10480,10540,10600,10660,10720,10780</v>
          </cell>
          <cell r="E8" t="str">
            <v>[2,[10420,10480,10540,10600,10660,10720,10780]]</v>
          </cell>
        </row>
        <row r="9">
          <cell r="A9" t="str">
            <v/>
          </cell>
          <cell r="B9" t="str">
            <v>赤霄长剑碎片</v>
          </cell>
          <cell r="C9">
            <v>10840</v>
          </cell>
          <cell r="D9" t="str">
            <v>10420,10480,10540,10600,10660,10720,10780,10840</v>
          </cell>
          <cell r="E9" t="str">
            <v>[2,[10420,10480,10540,10600,10660,10720,10780,10840]]</v>
          </cell>
        </row>
        <row r="10">
          <cell r="A10" t="str">
            <v/>
          </cell>
          <cell r="B10" t="str">
            <v>赤霄长剑碎片</v>
          </cell>
          <cell r="C10">
            <v>10900</v>
          </cell>
          <cell r="D10" t="str">
            <v>10420,10480,10540,10600,10660,10720,10780,10840,10900</v>
          </cell>
          <cell r="E10" t="str">
            <v>[2,[10420,10480,10540,10600,10660,10720,10780,10840,10900]]</v>
          </cell>
        </row>
        <row r="11">
          <cell r="A11" t="str">
            <v/>
          </cell>
          <cell r="B11" t="str">
            <v>赤霄长剑碎片</v>
          </cell>
          <cell r="C11">
            <v>10960</v>
          </cell>
          <cell r="D11" t="str">
            <v>10420,10480,10540,10600,10660,10720,10780,10840,10900,10960</v>
          </cell>
          <cell r="E11" t="str">
            <v>[2,[10420,10480,10540,10600,10660,10720,10780,10840,10900,10960]]</v>
          </cell>
        </row>
        <row r="12">
          <cell r="A12" t="str">
            <v/>
          </cell>
          <cell r="B12" t="str">
            <v>赤霄长剑碎片</v>
          </cell>
          <cell r="C12">
            <v>11020</v>
          </cell>
          <cell r="D12" t="str">
            <v>10420,10480,10540,10600,10660,10720,10780,10840,10900,10960,11020</v>
          </cell>
          <cell r="E12" t="str">
            <v>[2,[10420,10480,10540,10600,10660,10720,10780,10840,10900,10960,11020]]</v>
          </cell>
        </row>
        <row r="13">
          <cell r="A13" t="str">
            <v/>
          </cell>
          <cell r="B13" t="str">
            <v>赤霄长剑碎片</v>
          </cell>
          <cell r="C13">
            <v>11080</v>
          </cell>
          <cell r="D13" t="str">
            <v>10420,10480,10540,10600,10660,10720,10780,10840,10900,10960,11020,11080</v>
          </cell>
          <cell r="E13" t="str">
            <v>[2,[10420,10480,10540,10600,10660,10720,10780,10840,10900,10960,11020,11080]]</v>
          </cell>
        </row>
        <row r="14">
          <cell r="A14" t="str">
            <v/>
          </cell>
          <cell r="B14" t="str">
            <v>赤霄长剑碎片</v>
          </cell>
          <cell r="C14">
            <v>11140</v>
          </cell>
          <cell r="D14" t="str">
            <v>10420,10480,10540,10600,10660,10720,10780,10840,10900,10960,11020,11080,11140</v>
          </cell>
          <cell r="E14" t="str">
            <v>[2,[10420,10480,10540,10600,10660,10720,10780,10840,10900,10960,11020,11080,11140]]</v>
          </cell>
        </row>
        <row r="15">
          <cell r="A15" t="str">
            <v/>
          </cell>
          <cell r="B15" t="str">
            <v>赤霄长剑碎片</v>
          </cell>
          <cell r="C15">
            <v>11200</v>
          </cell>
          <cell r="D15" t="str">
            <v>10420,10480,10540,10600,10660,10720,10780,10840,10900,10960,11020,11080,11140,11200</v>
          </cell>
          <cell r="E15" t="str">
            <v>[2,[10420,10480,10540,10600,10660,10720,10780,10840,10900,10960,11020,11080,11140,11200]]</v>
          </cell>
        </row>
        <row r="16">
          <cell r="A16" t="str">
            <v/>
          </cell>
          <cell r="B16" t="str">
            <v>赤霄长剑碎片</v>
          </cell>
          <cell r="C16">
            <v>11260</v>
          </cell>
          <cell r="D16" t="str">
            <v>10420,10480,10540,10600,10660,10720,10780,10840,10900,10960,11020,11080,11140,11200,11260</v>
          </cell>
          <cell r="E16" t="str">
            <v>[2,[10420,10480,10540,10600,10660,10720,10780,10840,10900,10960,11020,11080,11140,11200,11260]]</v>
          </cell>
        </row>
        <row r="17">
          <cell r="A17">
            <v>11026</v>
          </cell>
          <cell r="B17" t="str">
            <v>赤霄长剑碎片</v>
          </cell>
          <cell r="C17">
            <v>11320</v>
          </cell>
          <cell r="D17" t="str">
            <v>10420,10480,10540,10600,10660,10720,10780,10840,10900,10960,11020,11080,11140,11200,11260,11320</v>
          </cell>
          <cell r="E17" t="str">
            <v>[2,[10420,10480,10540,10600,10660,10720,10780,10840,10900,10960,11020,11080,11140,11200,11260,11320]]</v>
          </cell>
        </row>
        <row r="18">
          <cell r="A18" t="str">
            <v/>
          </cell>
          <cell r="B18" t="str">
            <v>赤血战甲碎片</v>
          </cell>
          <cell r="C18">
            <v>10059</v>
          </cell>
          <cell r="D18">
            <v>10059</v>
          </cell>
          <cell r="E18" t="str">
            <v>[2,[10059]]</v>
          </cell>
        </row>
        <row r="19">
          <cell r="A19">
            <v>11001</v>
          </cell>
          <cell r="B19" t="str">
            <v>赤血战甲碎片</v>
          </cell>
          <cell r="C19">
            <v>10119</v>
          </cell>
          <cell r="D19" t="str">
            <v>10059,10119</v>
          </cell>
          <cell r="E19" t="str">
            <v>[2,[10059,10119]]</v>
          </cell>
        </row>
        <row r="20">
          <cell r="A20" t="str">
            <v/>
          </cell>
          <cell r="B20" t="str">
            <v>封魔头盔碎片</v>
          </cell>
          <cell r="C20">
            <v>10190</v>
          </cell>
          <cell r="D20">
            <v>10190</v>
          </cell>
          <cell r="E20" t="str">
            <v>[2,[10190]]</v>
          </cell>
        </row>
        <row r="21">
          <cell r="A21" t="str">
            <v/>
          </cell>
          <cell r="B21" t="str">
            <v>封魔头盔碎片</v>
          </cell>
          <cell r="C21">
            <v>10250</v>
          </cell>
          <cell r="D21" t="str">
            <v>10190,10250</v>
          </cell>
          <cell r="E21" t="str">
            <v>[2,[10190,10250]]</v>
          </cell>
        </row>
        <row r="22">
          <cell r="A22" t="str">
            <v/>
          </cell>
          <cell r="B22" t="str">
            <v>封魔头盔碎片</v>
          </cell>
          <cell r="C22">
            <v>10310</v>
          </cell>
          <cell r="D22" t="str">
            <v>10190,10250,10310</v>
          </cell>
          <cell r="E22" t="str">
            <v>[2,[10190,10250,10310]]</v>
          </cell>
        </row>
        <row r="23">
          <cell r="A23">
            <v>11019</v>
          </cell>
          <cell r="B23" t="str">
            <v>封魔头盔碎片</v>
          </cell>
          <cell r="C23">
            <v>10370</v>
          </cell>
          <cell r="D23" t="str">
            <v>10190,10250,10310,10370</v>
          </cell>
          <cell r="E23" t="str">
            <v>[2,[10190,10250,10310,10370]]</v>
          </cell>
        </row>
        <row r="24">
          <cell r="A24" t="str">
            <v/>
          </cell>
          <cell r="B24" t="str">
            <v>封魔战甲碎片</v>
          </cell>
          <cell r="C24">
            <v>10199</v>
          </cell>
          <cell r="D24">
            <v>10199</v>
          </cell>
          <cell r="E24" t="str">
            <v>[2,[10199]]</v>
          </cell>
        </row>
        <row r="25">
          <cell r="A25" t="str">
            <v/>
          </cell>
          <cell r="B25" t="str">
            <v>封魔战甲碎片</v>
          </cell>
          <cell r="C25">
            <v>10259</v>
          </cell>
          <cell r="D25" t="str">
            <v>10199,10259</v>
          </cell>
          <cell r="E25" t="str">
            <v>[2,[10199,10259]]</v>
          </cell>
        </row>
        <row r="26">
          <cell r="A26" t="str">
            <v/>
          </cell>
          <cell r="B26" t="str">
            <v>封魔战甲碎片</v>
          </cell>
          <cell r="C26">
            <v>10319</v>
          </cell>
          <cell r="D26" t="str">
            <v>10199,10259,10319</v>
          </cell>
          <cell r="E26" t="str">
            <v>[2,[10199,10259,10319]]</v>
          </cell>
        </row>
        <row r="27">
          <cell r="A27">
            <v>11017</v>
          </cell>
          <cell r="B27" t="str">
            <v>封魔战甲碎片</v>
          </cell>
          <cell r="C27">
            <v>10379</v>
          </cell>
          <cell r="D27" t="str">
            <v>10199,10259,10319,10379</v>
          </cell>
          <cell r="E27" t="str">
            <v>[2,[10199,10259,10319,10379]]</v>
          </cell>
        </row>
        <row r="28">
          <cell r="A28" t="str">
            <v/>
          </cell>
          <cell r="B28" t="str">
            <v>封魔战靴碎片</v>
          </cell>
          <cell r="C28">
            <v>10189</v>
          </cell>
          <cell r="D28">
            <v>10189</v>
          </cell>
          <cell r="E28" t="str">
            <v>[2,[10189]]</v>
          </cell>
        </row>
        <row r="29">
          <cell r="A29" t="str">
            <v/>
          </cell>
          <cell r="B29" t="str">
            <v>封魔战靴碎片</v>
          </cell>
          <cell r="C29">
            <v>10249</v>
          </cell>
          <cell r="D29" t="str">
            <v>10189,10249</v>
          </cell>
          <cell r="E29" t="str">
            <v>[2,[10189,10249]]</v>
          </cell>
        </row>
        <row r="30">
          <cell r="A30" t="str">
            <v/>
          </cell>
          <cell r="B30" t="str">
            <v>封魔战靴碎片</v>
          </cell>
          <cell r="C30">
            <v>10309</v>
          </cell>
          <cell r="D30" t="str">
            <v>10189,10249,10309</v>
          </cell>
          <cell r="E30" t="str">
            <v>[2,[10189,10249,10309]]</v>
          </cell>
        </row>
        <row r="31">
          <cell r="A31">
            <v>11020</v>
          </cell>
          <cell r="B31" t="str">
            <v>封魔战靴碎片</v>
          </cell>
          <cell r="C31">
            <v>10369</v>
          </cell>
          <cell r="D31" t="str">
            <v>10189,10249,10309,10369</v>
          </cell>
          <cell r="E31" t="str">
            <v>[2,[10189,10249,10309,10369]]</v>
          </cell>
        </row>
        <row r="32">
          <cell r="A32" t="str">
            <v/>
          </cell>
          <cell r="B32" t="str">
            <v>封魔长剑碎片</v>
          </cell>
          <cell r="C32">
            <v>10200</v>
          </cell>
          <cell r="D32">
            <v>10200</v>
          </cell>
          <cell r="E32" t="str">
            <v>[2,[10200]]</v>
          </cell>
        </row>
        <row r="33">
          <cell r="A33" t="str">
            <v/>
          </cell>
          <cell r="B33" t="str">
            <v>封魔长剑碎片</v>
          </cell>
          <cell r="C33">
            <v>10260</v>
          </cell>
          <cell r="D33" t="str">
            <v>10200,10260</v>
          </cell>
          <cell r="E33" t="str">
            <v>[2,[10200,10260]]</v>
          </cell>
        </row>
        <row r="34">
          <cell r="A34" t="str">
            <v/>
          </cell>
          <cell r="B34" t="str">
            <v>封魔长剑碎片</v>
          </cell>
          <cell r="C34">
            <v>10320</v>
          </cell>
          <cell r="D34" t="str">
            <v>10200,10260,10320</v>
          </cell>
          <cell r="E34" t="str">
            <v>[2,[10200,10260,10320]]</v>
          </cell>
        </row>
        <row r="35">
          <cell r="A35">
            <v>11018</v>
          </cell>
          <cell r="B35" t="str">
            <v>封魔长剑碎片</v>
          </cell>
          <cell r="C35">
            <v>10380</v>
          </cell>
          <cell r="D35" t="str">
            <v>10200,10260,10320,10380</v>
          </cell>
          <cell r="E35" t="str">
            <v>[2,[10200,10260,10320,10380]]</v>
          </cell>
        </row>
        <row r="36">
          <cell r="A36" t="str">
            <v/>
          </cell>
          <cell r="B36" t="str">
            <v>行者战甲</v>
          </cell>
          <cell r="C36">
            <v>10004</v>
          </cell>
          <cell r="D36">
            <v>10004</v>
          </cell>
          <cell r="E36" t="str">
            <v>[2,[10004]]</v>
          </cell>
        </row>
        <row r="37">
          <cell r="A37">
            <v>2001</v>
          </cell>
          <cell r="B37" t="str">
            <v>行者战甲</v>
          </cell>
          <cell r="C37">
            <v>10025</v>
          </cell>
          <cell r="D37" t="str">
            <v>10004,10025</v>
          </cell>
          <cell r="E37" t="str">
            <v>[2,[10004,10025]]</v>
          </cell>
        </row>
        <row r="38">
          <cell r="A38" t="str">
            <v/>
          </cell>
          <cell r="B38" t="str">
            <v>虹影头盔</v>
          </cell>
          <cell r="C38">
            <v>10006</v>
          </cell>
          <cell r="D38">
            <v>10006</v>
          </cell>
          <cell r="E38" t="str">
            <v>[2,[10006]]</v>
          </cell>
        </row>
        <row r="39">
          <cell r="A39">
            <v>2003</v>
          </cell>
          <cell r="B39" t="str">
            <v>虹影头盔</v>
          </cell>
          <cell r="C39">
            <v>10028</v>
          </cell>
          <cell r="D39" t="str">
            <v>10006,10028</v>
          </cell>
          <cell r="E39" t="str">
            <v>[2,[10006,10028]]</v>
          </cell>
        </row>
        <row r="40">
          <cell r="A40" t="str">
            <v/>
          </cell>
          <cell r="B40" t="str">
            <v>护卫头盔碎片</v>
          </cell>
          <cell r="C40">
            <v>10070</v>
          </cell>
          <cell r="D40">
            <v>10070</v>
          </cell>
          <cell r="E40" t="str">
            <v>[2,[10070]]</v>
          </cell>
        </row>
        <row r="41">
          <cell r="A41">
            <v>11011</v>
          </cell>
          <cell r="B41" t="str">
            <v>护卫头盔碎片</v>
          </cell>
          <cell r="C41">
            <v>10130</v>
          </cell>
          <cell r="D41" t="str">
            <v>10070,10130</v>
          </cell>
          <cell r="E41" t="str">
            <v>[2,[10070,10130]]</v>
          </cell>
        </row>
        <row r="42">
          <cell r="A42" t="str">
            <v/>
          </cell>
          <cell r="B42" t="str">
            <v>护卫战甲碎片</v>
          </cell>
          <cell r="C42">
            <v>10079</v>
          </cell>
          <cell r="D42">
            <v>10079</v>
          </cell>
          <cell r="E42" t="str">
            <v>[2,[10079]]</v>
          </cell>
        </row>
        <row r="43">
          <cell r="A43">
            <v>11009</v>
          </cell>
          <cell r="B43" t="str">
            <v>护卫战甲碎片</v>
          </cell>
          <cell r="C43">
            <v>10139</v>
          </cell>
          <cell r="D43" t="str">
            <v>10079,10139</v>
          </cell>
          <cell r="E43" t="str">
            <v>[2,[10079,10139]]</v>
          </cell>
        </row>
        <row r="44">
          <cell r="A44" t="str">
            <v/>
          </cell>
          <cell r="B44" t="str">
            <v>护卫战靴碎片</v>
          </cell>
          <cell r="C44">
            <v>10069</v>
          </cell>
          <cell r="D44">
            <v>10069</v>
          </cell>
          <cell r="E44" t="str">
            <v>[2,[10069]]</v>
          </cell>
        </row>
        <row r="45">
          <cell r="A45">
            <v>11012</v>
          </cell>
          <cell r="B45" t="str">
            <v>护卫战靴碎片</v>
          </cell>
          <cell r="C45">
            <v>10129</v>
          </cell>
          <cell r="D45" t="str">
            <v>10069,10129</v>
          </cell>
          <cell r="E45" t="str">
            <v>[2,[10069,10129]]</v>
          </cell>
        </row>
        <row r="46">
          <cell r="A46" t="str">
            <v/>
          </cell>
          <cell r="B46" t="str">
            <v>护卫长剑碎片</v>
          </cell>
          <cell r="C46">
            <v>10080</v>
          </cell>
          <cell r="D46">
            <v>10080</v>
          </cell>
          <cell r="E46" t="str">
            <v>[2,[10080]]</v>
          </cell>
        </row>
        <row r="47">
          <cell r="A47">
            <v>11010</v>
          </cell>
          <cell r="B47" t="str">
            <v>护卫长剑碎片</v>
          </cell>
          <cell r="C47">
            <v>10140</v>
          </cell>
          <cell r="D47" t="str">
            <v>10080,10140</v>
          </cell>
          <cell r="E47" t="str">
            <v>[2,[10080,10140]]</v>
          </cell>
        </row>
        <row r="48">
          <cell r="A48" t="str">
            <v/>
          </cell>
          <cell r="B48" t="str">
            <v>降魔头盔碎片</v>
          </cell>
          <cell r="C48">
            <v>10430</v>
          </cell>
          <cell r="D48">
            <v>10430</v>
          </cell>
          <cell r="E48" t="str">
            <v>[2,[10430]]</v>
          </cell>
        </row>
        <row r="49">
          <cell r="A49" t="str">
            <v/>
          </cell>
          <cell r="B49" t="str">
            <v>降魔头盔碎片</v>
          </cell>
          <cell r="C49">
            <v>10490</v>
          </cell>
          <cell r="D49" t="str">
            <v>10430,10490</v>
          </cell>
          <cell r="E49" t="str">
            <v>[2,[10430,10490]]</v>
          </cell>
        </row>
        <row r="50">
          <cell r="A50" t="str">
            <v/>
          </cell>
          <cell r="B50" t="str">
            <v>降魔头盔碎片</v>
          </cell>
          <cell r="C50">
            <v>10550</v>
          </cell>
          <cell r="D50" t="str">
            <v>10430,10490,10550</v>
          </cell>
          <cell r="E50" t="str">
            <v>[2,[10430,10490,10550]]</v>
          </cell>
        </row>
        <row r="51">
          <cell r="A51" t="str">
            <v/>
          </cell>
          <cell r="B51" t="str">
            <v>降魔头盔碎片</v>
          </cell>
          <cell r="C51">
            <v>10610</v>
          </cell>
          <cell r="D51" t="str">
            <v>10430,10490,10550,10610</v>
          </cell>
          <cell r="E51" t="str">
            <v>[2,[10430,10490,10550,10610]]</v>
          </cell>
        </row>
        <row r="52">
          <cell r="A52" t="str">
            <v/>
          </cell>
          <cell r="B52" t="str">
            <v>降魔头盔碎片</v>
          </cell>
          <cell r="C52">
            <v>10670</v>
          </cell>
          <cell r="D52" t="str">
            <v>10430,10490,10550,10610,10670</v>
          </cell>
          <cell r="E52" t="str">
            <v>[2,[10430,10490,10550,10610,10670]]</v>
          </cell>
        </row>
        <row r="53">
          <cell r="A53" t="str">
            <v/>
          </cell>
          <cell r="B53" t="str">
            <v>降魔头盔碎片</v>
          </cell>
          <cell r="C53">
            <v>10730</v>
          </cell>
          <cell r="D53" t="str">
            <v>10430,10490,10550,10610,10670,10730</v>
          </cell>
          <cell r="E53" t="str">
            <v>[2,[10430,10490,10550,10610,10670,10730]]</v>
          </cell>
        </row>
        <row r="54">
          <cell r="A54" t="str">
            <v/>
          </cell>
          <cell r="B54" t="str">
            <v>降魔头盔碎片</v>
          </cell>
          <cell r="C54">
            <v>10790</v>
          </cell>
          <cell r="D54" t="str">
            <v>10430,10490,10550,10610,10670,10730,10790</v>
          </cell>
          <cell r="E54" t="str">
            <v>[2,[10430,10490,10550,10610,10670,10730,10790]]</v>
          </cell>
        </row>
        <row r="55">
          <cell r="A55" t="str">
            <v/>
          </cell>
          <cell r="B55" t="str">
            <v>降魔头盔碎片</v>
          </cell>
          <cell r="C55">
            <v>10850</v>
          </cell>
          <cell r="D55" t="str">
            <v>10430,10490,10550,10610,10670,10730,10790,10850</v>
          </cell>
          <cell r="E55" t="str">
            <v>[2,[10430,10490,10550,10610,10670,10730,10790,10850]]</v>
          </cell>
        </row>
        <row r="56">
          <cell r="A56" t="str">
            <v/>
          </cell>
          <cell r="B56" t="str">
            <v>降魔头盔碎片</v>
          </cell>
          <cell r="C56">
            <v>10910</v>
          </cell>
          <cell r="D56" t="str">
            <v>10430,10490,10550,10610,10670,10730,10790,10850,10910</v>
          </cell>
          <cell r="E56" t="str">
            <v>[2,[10430,10490,10550,10610,10670,10730,10790,10850,10910]]</v>
          </cell>
        </row>
        <row r="57">
          <cell r="A57" t="str">
            <v/>
          </cell>
          <cell r="B57" t="str">
            <v>降魔头盔碎片</v>
          </cell>
          <cell r="C57">
            <v>10970</v>
          </cell>
          <cell r="D57" t="str">
            <v>10430,10490,10550,10610,10670,10730,10790,10850,10910,10970</v>
          </cell>
          <cell r="E57" t="str">
            <v>[2,[10430,10490,10550,10610,10670,10730,10790,10850,10910,10970]]</v>
          </cell>
        </row>
        <row r="58">
          <cell r="A58" t="str">
            <v/>
          </cell>
          <cell r="B58" t="str">
            <v>降魔头盔碎片</v>
          </cell>
          <cell r="C58">
            <v>11030</v>
          </cell>
          <cell r="D58" t="str">
            <v>10430,10490,10550,10610,10670,10730,10790,10850,10910,10970,11030</v>
          </cell>
          <cell r="E58" t="str">
            <v>[2,[10430,10490,10550,10610,10670,10730,10790,10850,10910,10970,11030]]</v>
          </cell>
        </row>
        <row r="59">
          <cell r="A59" t="str">
            <v/>
          </cell>
          <cell r="B59" t="str">
            <v>降魔头盔碎片</v>
          </cell>
          <cell r="C59">
            <v>11090</v>
          </cell>
          <cell r="D59" t="str">
            <v>10430,10490,10550,10610,10670,10730,10790,10850,10910,10970,11030,11090</v>
          </cell>
          <cell r="E59" t="str">
            <v>[2,[10430,10490,10550,10610,10670,10730,10790,10850,10910,10970,11030,11090]]</v>
          </cell>
        </row>
        <row r="60">
          <cell r="A60" t="str">
            <v/>
          </cell>
          <cell r="B60" t="str">
            <v>降魔头盔碎片</v>
          </cell>
          <cell r="C60">
            <v>11150</v>
          </cell>
          <cell r="D60" t="str">
            <v>10430,10490,10550,10610,10670,10730,10790,10850,10910,10970,11030,11090,11150</v>
          </cell>
          <cell r="E60" t="str">
            <v>[2,[10430,10490,10550,10610,10670,10730,10790,10850,10910,10970,11030,11090,11150]]</v>
          </cell>
        </row>
        <row r="61">
          <cell r="A61" t="str">
            <v/>
          </cell>
          <cell r="B61" t="str">
            <v>降魔头盔碎片</v>
          </cell>
          <cell r="C61">
            <v>11210</v>
          </cell>
          <cell r="D61" t="str">
            <v>10430,10490,10550,10610,10670,10730,10790,10850,10910,10970,11030,11090,11150,11210</v>
          </cell>
          <cell r="E61" t="str">
            <v>[2,[10430,10490,10550,10610,10670,10730,10790,10850,10910,10970,11030,11090,11150,11210]]</v>
          </cell>
        </row>
        <row r="62">
          <cell r="A62">
            <v>11031</v>
          </cell>
          <cell r="B62" t="str">
            <v>降魔头盔碎片</v>
          </cell>
          <cell r="C62">
            <v>11270</v>
          </cell>
          <cell r="D62" t="str">
            <v>10430,10490,10550,10610,10670,10730,10790,10850,10910,10970,11030,11090,11150,11210,11270</v>
          </cell>
          <cell r="E62" t="str">
            <v>[2,[10430,10490,10550,10610,10670,10730,10790,10850,10910,10970,11030,11090,11150,11210,11270]]</v>
          </cell>
        </row>
        <row r="63">
          <cell r="A63" t="str">
            <v/>
          </cell>
          <cell r="B63" t="str">
            <v>降魔战甲碎片</v>
          </cell>
          <cell r="C63">
            <v>10439</v>
          </cell>
          <cell r="D63">
            <v>10439</v>
          </cell>
          <cell r="E63" t="str">
            <v>[2,[10439]]</v>
          </cell>
        </row>
        <row r="64">
          <cell r="A64" t="str">
            <v/>
          </cell>
          <cell r="B64" t="str">
            <v>降魔战甲碎片</v>
          </cell>
          <cell r="C64">
            <v>10499</v>
          </cell>
          <cell r="D64" t="str">
            <v>10439,10499</v>
          </cell>
          <cell r="E64" t="str">
            <v>[2,[10439,10499]]</v>
          </cell>
        </row>
        <row r="65">
          <cell r="A65" t="str">
            <v/>
          </cell>
          <cell r="B65" t="str">
            <v>降魔战甲碎片</v>
          </cell>
          <cell r="C65">
            <v>10559</v>
          </cell>
          <cell r="D65" t="str">
            <v>10439,10499,10559</v>
          </cell>
          <cell r="E65" t="str">
            <v>[2,[10439,10499,10559]]</v>
          </cell>
        </row>
        <row r="66">
          <cell r="A66" t="str">
            <v/>
          </cell>
          <cell r="B66" t="str">
            <v>降魔战甲碎片</v>
          </cell>
          <cell r="C66">
            <v>10619</v>
          </cell>
          <cell r="D66" t="str">
            <v>10439,10499,10559,10619</v>
          </cell>
          <cell r="E66" t="str">
            <v>[2,[10439,10499,10559,10619]]</v>
          </cell>
        </row>
        <row r="67">
          <cell r="A67" t="str">
            <v/>
          </cell>
          <cell r="B67" t="str">
            <v>降魔战甲碎片</v>
          </cell>
          <cell r="C67">
            <v>10679</v>
          </cell>
          <cell r="D67" t="str">
            <v>10439,10499,10559,10619,10679</v>
          </cell>
          <cell r="E67" t="str">
            <v>[2,[10439,10499,10559,10619,10679]]</v>
          </cell>
        </row>
        <row r="68">
          <cell r="A68" t="str">
            <v/>
          </cell>
          <cell r="B68" t="str">
            <v>降魔战甲碎片</v>
          </cell>
          <cell r="C68">
            <v>10739</v>
          </cell>
          <cell r="D68" t="str">
            <v>10439,10499,10559,10619,10679,10739</v>
          </cell>
          <cell r="E68" t="str">
            <v>[2,[10439,10499,10559,10619,10679,10739]]</v>
          </cell>
        </row>
        <row r="69">
          <cell r="A69" t="str">
            <v/>
          </cell>
          <cell r="B69" t="str">
            <v>降魔战甲碎片</v>
          </cell>
          <cell r="C69">
            <v>10799</v>
          </cell>
          <cell r="D69" t="str">
            <v>10439,10499,10559,10619,10679,10739,10799</v>
          </cell>
          <cell r="E69" t="str">
            <v>[2,[10439,10499,10559,10619,10679,10739,10799]]</v>
          </cell>
        </row>
        <row r="70">
          <cell r="A70" t="str">
            <v/>
          </cell>
          <cell r="B70" t="str">
            <v>降魔战甲碎片</v>
          </cell>
          <cell r="C70">
            <v>10859</v>
          </cell>
          <cell r="D70" t="str">
            <v>10439,10499,10559,10619,10679,10739,10799,10859</v>
          </cell>
          <cell r="E70" t="str">
            <v>[2,[10439,10499,10559,10619,10679,10739,10799,10859]]</v>
          </cell>
        </row>
        <row r="71">
          <cell r="A71" t="str">
            <v/>
          </cell>
          <cell r="B71" t="str">
            <v>降魔战甲碎片</v>
          </cell>
          <cell r="C71">
            <v>10919</v>
          </cell>
          <cell r="D71" t="str">
            <v>10439,10499,10559,10619,10679,10739,10799,10859,10919</v>
          </cell>
          <cell r="E71" t="str">
            <v>[2,[10439,10499,10559,10619,10679,10739,10799,10859,10919]]</v>
          </cell>
        </row>
        <row r="72">
          <cell r="A72" t="str">
            <v/>
          </cell>
          <cell r="B72" t="str">
            <v>降魔战甲碎片</v>
          </cell>
          <cell r="C72">
            <v>10979</v>
          </cell>
          <cell r="D72" t="str">
            <v>10439,10499,10559,10619,10679,10739,10799,10859,10919,10979</v>
          </cell>
          <cell r="E72" t="str">
            <v>[2,[10439,10499,10559,10619,10679,10739,10799,10859,10919,10979]]</v>
          </cell>
        </row>
        <row r="73">
          <cell r="A73" t="str">
            <v/>
          </cell>
          <cell r="B73" t="str">
            <v>降魔战甲碎片</v>
          </cell>
          <cell r="C73">
            <v>11039</v>
          </cell>
          <cell r="D73" t="str">
            <v>10439,10499,10559,10619,10679,10739,10799,10859,10919,10979,11039</v>
          </cell>
          <cell r="E73" t="str">
            <v>[2,[10439,10499,10559,10619,10679,10739,10799,10859,10919,10979,11039]]</v>
          </cell>
        </row>
        <row r="74">
          <cell r="A74" t="str">
            <v/>
          </cell>
          <cell r="B74" t="str">
            <v>降魔战甲碎片</v>
          </cell>
          <cell r="C74">
            <v>11099</v>
          </cell>
          <cell r="D74" t="str">
            <v>10439,10499,10559,10619,10679,10739,10799,10859,10919,10979,11039,11099</v>
          </cell>
          <cell r="E74" t="str">
            <v>[2,[10439,10499,10559,10619,10679,10739,10799,10859,10919,10979,11039,11099]]</v>
          </cell>
        </row>
        <row r="75">
          <cell r="A75" t="str">
            <v/>
          </cell>
          <cell r="B75" t="str">
            <v>降魔战甲碎片</v>
          </cell>
          <cell r="C75">
            <v>11159</v>
          </cell>
          <cell r="D75" t="str">
            <v>10439,10499,10559,10619,10679,10739,10799,10859,10919,10979,11039,11099,11159</v>
          </cell>
          <cell r="E75" t="str">
            <v>[2,[10439,10499,10559,10619,10679,10739,10799,10859,10919,10979,11039,11099,11159]]</v>
          </cell>
        </row>
        <row r="76">
          <cell r="A76" t="str">
            <v/>
          </cell>
          <cell r="B76" t="str">
            <v>降魔战甲碎片</v>
          </cell>
          <cell r="C76">
            <v>11219</v>
          </cell>
          <cell r="D76" t="str">
            <v>10439,10499,10559,10619,10679,10739,10799,10859,10919,10979,11039,11099,11159,11219</v>
          </cell>
          <cell r="E76" t="str">
            <v>[2,[10439,10499,10559,10619,10679,10739,10799,10859,10919,10979,11039,11099,11159,11219]]</v>
          </cell>
        </row>
        <row r="77">
          <cell r="A77">
            <v>11029</v>
          </cell>
          <cell r="B77" t="str">
            <v>降魔战甲碎片</v>
          </cell>
          <cell r="C77">
            <v>11279</v>
          </cell>
          <cell r="D77" t="str">
            <v>10439,10499,10559,10619,10679,10739,10799,10859,10919,10979,11039,11099,11159,11219,11279</v>
          </cell>
          <cell r="E77" t="str">
            <v>[2,[10439,10499,10559,10619,10679,10739,10799,10859,10919,10979,11039,11099,11159,11219,11279]]</v>
          </cell>
        </row>
        <row r="78">
          <cell r="A78" t="str">
            <v/>
          </cell>
          <cell r="B78" t="str">
            <v>降魔战靴碎片</v>
          </cell>
          <cell r="C78">
            <v>10429</v>
          </cell>
          <cell r="D78">
            <v>10429</v>
          </cell>
          <cell r="E78" t="str">
            <v>[2,[10429]]</v>
          </cell>
        </row>
        <row r="79">
          <cell r="A79" t="str">
            <v/>
          </cell>
          <cell r="B79" t="str">
            <v>降魔战靴碎片</v>
          </cell>
          <cell r="C79">
            <v>10489</v>
          </cell>
          <cell r="D79" t="str">
            <v>10429,10489</v>
          </cell>
          <cell r="E79" t="str">
            <v>[2,[10429,10489]]</v>
          </cell>
        </row>
        <row r="80">
          <cell r="A80" t="str">
            <v/>
          </cell>
          <cell r="B80" t="str">
            <v>降魔战靴碎片</v>
          </cell>
          <cell r="C80">
            <v>10549</v>
          </cell>
          <cell r="D80" t="str">
            <v>10429,10489,10549</v>
          </cell>
          <cell r="E80" t="str">
            <v>[2,[10429,10489,10549]]</v>
          </cell>
        </row>
        <row r="81">
          <cell r="A81" t="str">
            <v/>
          </cell>
          <cell r="B81" t="str">
            <v>降魔战靴碎片</v>
          </cell>
          <cell r="C81">
            <v>10609</v>
          </cell>
          <cell r="D81" t="str">
            <v>10429,10489,10549,10609</v>
          </cell>
          <cell r="E81" t="str">
            <v>[2,[10429,10489,10549,10609]]</v>
          </cell>
        </row>
        <row r="82">
          <cell r="A82" t="str">
            <v/>
          </cell>
          <cell r="B82" t="str">
            <v>降魔战靴碎片</v>
          </cell>
          <cell r="C82">
            <v>10669</v>
          </cell>
          <cell r="D82" t="str">
            <v>10429,10489,10549,10609,10669</v>
          </cell>
          <cell r="E82" t="str">
            <v>[2,[10429,10489,10549,10609,10669]]</v>
          </cell>
        </row>
        <row r="83">
          <cell r="A83" t="str">
            <v/>
          </cell>
          <cell r="B83" t="str">
            <v>降魔战靴碎片</v>
          </cell>
          <cell r="C83">
            <v>10729</v>
          </cell>
          <cell r="D83" t="str">
            <v>10429,10489,10549,10609,10669,10729</v>
          </cell>
          <cell r="E83" t="str">
            <v>[2,[10429,10489,10549,10609,10669,10729]]</v>
          </cell>
        </row>
        <row r="84">
          <cell r="A84" t="str">
            <v/>
          </cell>
          <cell r="B84" t="str">
            <v>降魔战靴碎片</v>
          </cell>
          <cell r="C84">
            <v>10789</v>
          </cell>
          <cell r="D84" t="str">
            <v>10429,10489,10549,10609,10669,10729,10789</v>
          </cell>
          <cell r="E84" t="str">
            <v>[2,[10429,10489,10549,10609,10669,10729,10789]]</v>
          </cell>
        </row>
        <row r="85">
          <cell r="A85" t="str">
            <v/>
          </cell>
          <cell r="B85" t="str">
            <v>降魔战靴碎片</v>
          </cell>
          <cell r="C85">
            <v>10849</v>
          </cell>
          <cell r="D85" t="str">
            <v>10429,10489,10549,10609,10669,10729,10789,10849</v>
          </cell>
          <cell r="E85" t="str">
            <v>[2,[10429,10489,10549,10609,10669,10729,10789,10849]]</v>
          </cell>
        </row>
        <row r="86">
          <cell r="A86" t="str">
            <v/>
          </cell>
          <cell r="B86" t="str">
            <v>降魔战靴碎片</v>
          </cell>
          <cell r="C86">
            <v>10909</v>
          </cell>
          <cell r="D86" t="str">
            <v>10429,10489,10549,10609,10669,10729,10789,10849,10909</v>
          </cell>
          <cell r="E86" t="str">
            <v>[2,[10429,10489,10549,10609,10669,10729,10789,10849,10909]]</v>
          </cell>
        </row>
        <row r="87">
          <cell r="A87" t="str">
            <v/>
          </cell>
          <cell r="B87" t="str">
            <v>降魔战靴碎片</v>
          </cell>
          <cell r="C87">
            <v>10969</v>
          </cell>
          <cell r="D87" t="str">
            <v>10429,10489,10549,10609,10669,10729,10789,10849,10909,10969</v>
          </cell>
          <cell r="E87" t="str">
            <v>[2,[10429,10489,10549,10609,10669,10729,10789,10849,10909,10969]]</v>
          </cell>
        </row>
        <row r="88">
          <cell r="A88" t="str">
            <v/>
          </cell>
          <cell r="B88" t="str">
            <v>降魔战靴碎片</v>
          </cell>
          <cell r="C88">
            <v>11029</v>
          </cell>
          <cell r="D88" t="str">
            <v>10429,10489,10549,10609,10669,10729,10789,10849,10909,10969,11029</v>
          </cell>
          <cell r="E88" t="str">
            <v>[2,[10429,10489,10549,10609,10669,10729,10789,10849,10909,10969,11029]]</v>
          </cell>
        </row>
        <row r="89">
          <cell r="A89" t="str">
            <v/>
          </cell>
          <cell r="B89" t="str">
            <v>降魔战靴碎片</v>
          </cell>
          <cell r="C89">
            <v>11089</v>
          </cell>
          <cell r="D89" t="str">
            <v>10429,10489,10549,10609,10669,10729,10789,10849,10909,10969,11029,11089</v>
          </cell>
          <cell r="E89" t="str">
            <v>[2,[10429,10489,10549,10609,10669,10729,10789,10849,10909,10969,11029,11089]]</v>
          </cell>
        </row>
        <row r="90">
          <cell r="A90" t="str">
            <v/>
          </cell>
          <cell r="B90" t="str">
            <v>降魔战靴碎片</v>
          </cell>
          <cell r="C90">
            <v>11149</v>
          </cell>
          <cell r="D90" t="str">
            <v>10429,10489,10549,10609,10669,10729,10789,10849,10909,10969,11029,11089,11149</v>
          </cell>
          <cell r="E90" t="str">
            <v>[2,[10429,10489,10549,10609,10669,10729,10789,10849,10909,10969,11029,11089,11149]]</v>
          </cell>
        </row>
        <row r="91">
          <cell r="A91" t="str">
            <v/>
          </cell>
          <cell r="B91" t="str">
            <v>降魔战靴碎片</v>
          </cell>
          <cell r="C91">
            <v>11209</v>
          </cell>
          <cell r="D91" t="str">
            <v>10429,10489,10549,10609,10669,10729,10789,10849,10909,10969,11029,11089,11149,11209</v>
          </cell>
          <cell r="E91" t="str">
            <v>[2,[10429,10489,10549,10609,10669,10729,10789,10849,10909,10969,11029,11089,11149,11209]]</v>
          </cell>
        </row>
        <row r="92">
          <cell r="A92">
            <v>11032</v>
          </cell>
          <cell r="B92" t="str">
            <v>降魔战靴碎片</v>
          </cell>
          <cell r="C92">
            <v>11269</v>
          </cell>
          <cell r="D92" t="str">
            <v>10429,10489,10549,10609,10669,10729,10789,10849,10909,10969,11029,11089,11149,11209,11269</v>
          </cell>
          <cell r="E92" t="str">
            <v>[2,[10429,10489,10549,10609,10669,10729,10789,10849,10909,10969,11029,11089,11149,11209,11269]]</v>
          </cell>
        </row>
        <row r="93">
          <cell r="A93" t="str">
            <v/>
          </cell>
          <cell r="B93" t="str">
            <v>降魔长剑碎片</v>
          </cell>
          <cell r="C93">
            <v>10440</v>
          </cell>
          <cell r="D93">
            <v>10440</v>
          </cell>
          <cell r="E93" t="str">
            <v>[2,[10440]]</v>
          </cell>
        </row>
        <row r="94">
          <cell r="A94" t="str">
            <v/>
          </cell>
          <cell r="B94" t="str">
            <v>降魔长剑碎片</v>
          </cell>
          <cell r="C94">
            <v>10500</v>
          </cell>
          <cell r="D94" t="str">
            <v>10440,10500</v>
          </cell>
          <cell r="E94" t="str">
            <v>[2,[10440,10500]]</v>
          </cell>
        </row>
        <row r="95">
          <cell r="A95" t="str">
            <v/>
          </cell>
          <cell r="B95" t="str">
            <v>降魔长剑碎片</v>
          </cell>
          <cell r="C95">
            <v>10560</v>
          </cell>
          <cell r="D95" t="str">
            <v>10440,10500,10560</v>
          </cell>
          <cell r="E95" t="str">
            <v>[2,[10440,10500,10560]]</v>
          </cell>
        </row>
        <row r="96">
          <cell r="A96" t="str">
            <v/>
          </cell>
          <cell r="B96" t="str">
            <v>降魔长剑碎片</v>
          </cell>
          <cell r="C96">
            <v>10620</v>
          </cell>
          <cell r="D96" t="str">
            <v>10440,10500,10560,10620</v>
          </cell>
          <cell r="E96" t="str">
            <v>[2,[10440,10500,10560,10620]]</v>
          </cell>
        </row>
        <row r="97">
          <cell r="A97" t="str">
            <v/>
          </cell>
          <cell r="B97" t="str">
            <v>降魔长剑碎片</v>
          </cell>
          <cell r="C97">
            <v>10680</v>
          </cell>
          <cell r="D97" t="str">
            <v>10440,10500,10560,10620,10680</v>
          </cell>
          <cell r="E97" t="str">
            <v>[2,[10440,10500,10560,10620,10680]]</v>
          </cell>
        </row>
        <row r="98">
          <cell r="A98" t="str">
            <v/>
          </cell>
          <cell r="B98" t="str">
            <v>降魔长剑碎片</v>
          </cell>
          <cell r="C98">
            <v>10740</v>
          </cell>
          <cell r="D98" t="str">
            <v>10440,10500,10560,10620,10680,10740</v>
          </cell>
          <cell r="E98" t="str">
            <v>[2,[10440,10500,10560,10620,10680,10740]]</v>
          </cell>
        </row>
        <row r="99">
          <cell r="A99" t="str">
            <v/>
          </cell>
          <cell r="B99" t="str">
            <v>降魔长剑碎片</v>
          </cell>
          <cell r="C99">
            <v>10800</v>
          </cell>
          <cell r="D99" t="str">
            <v>10440,10500,10560,10620,10680,10740,10800</v>
          </cell>
          <cell r="E99" t="str">
            <v>[2,[10440,10500,10560,10620,10680,10740,10800]]</v>
          </cell>
        </row>
        <row r="100">
          <cell r="A100" t="str">
            <v/>
          </cell>
          <cell r="B100" t="str">
            <v>降魔长剑碎片</v>
          </cell>
          <cell r="C100">
            <v>10860</v>
          </cell>
          <cell r="D100" t="str">
            <v>10440,10500,10560,10620,10680,10740,10800,10860</v>
          </cell>
          <cell r="E100" t="str">
            <v>[2,[10440,10500,10560,10620,10680,10740,10800,10860]]</v>
          </cell>
        </row>
        <row r="101">
          <cell r="A101" t="str">
            <v/>
          </cell>
          <cell r="B101" t="str">
            <v>降魔长剑碎片</v>
          </cell>
          <cell r="C101">
            <v>10920</v>
          </cell>
          <cell r="D101" t="str">
            <v>10440,10500,10560,10620,10680,10740,10800,10860,10920</v>
          </cell>
          <cell r="E101" t="str">
            <v>[2,[10440,10500,10560,10620,10680,10740,10800,10860,10920]]</v>
          </cell>
        </row>
        <row r="102">
          <cell r="A102" t="str">
            <v/>
          </cell>
          <cell r="B102" t="str">
            <v>降魔长剑碎片</v>
          </cell>
          <cell r="C102">
            <v>10980</v>
          </cell>
          <cell r="D102" t="str">
            <v>10440,10500,10560,10620,10680,10740,10800,10860,10920,10980</v>
          </cell>
          <cell r="E102" t="str">
            <v>[2,[10440,10500,10560,10620,10680,10740,10800,10860,10920,10980]]</v>
          </cell>
        </row>
        <row r="103">
          <cell r="A103" t="str">
            <v/>
          </cell>
          <cell r="B103" t="str">
            <v>降魔长剑碎片</v>
          </cell>
          <cell r="C103">
            <v>11040</v>
          </cell>
          <cell r="D103" t="str">
            <v>10440,10500,10560,10620,10680,10740,10800,10860,10920,10980,11040</v>
          </cell>
          <cell r="E103" t="str">
            <v>[2,[10440,10500,10560,10620,10680,10740,10800,10860,10920,10980,11040]]</v>
          </cell>
        </row>
        <row r="104">
          <cell r="A104" t="str">
            <v/>
          </cell>
          <cell r="B104" t="str">
            <v>降魔长剑碎片</v>
          </cell>
          <cell r="C104">
            <v>11100</v>
          </cell>
          <cell r="D104" t="str">
            <v>10440,10500,10560,10620,10680,10740,10800,10860,10920,10980,11040,11100</v>
          </cell>
          <cell r="E104" t="str">
            <v>[2,[10440,10500,10560,10620,10680,10740,10800,10860,10920,10980,11040,11100]]</v>
          </cell>
        </row>
        <row r="105">
          <cell r="A105" t="str">
            <v/>
          </cell>
          <cell r="B105" t="str">
            <v>降魔长剑碎片</v>
          </cell>
          <cell r="C105">
            <v>11160</v>
          </cell>
          <cell r="D105" t="str">
            <v>10440,10500,10560,10620,10680,10740,10800,10860,10920,10980,11040,11100,11160</v>
          </cell>
          <cell r="E105" t="str">
            <v>[2,[10440,10500,10560,10620,10680,10740,10800,10860,10920,10980,11040,11100,11160]]</v>
          </cell>
        </row>
        <row r="106">
          <cell r="A106" t="str">
            <v/>
          </cell>
          <cell r="B106" t="str">
            <v>降魔长剑碎片</v>
          </cell>
          <cell r="C106">
            <v>11220</v>
          </cell>
          <cell r="D106" t="str">
            <v>10440,10500,10560,10620,10680,10740,10800,10860,10920,10980,11040,11100,11160,11220</v>
          </cell>
          <cell r="E106" t="str">
            <v>[2,[10440,10500,10560,10620,10680,10740,10800,10860,10920,10980,11040,11100,11160,11220]]</v>
          </cell>
        </row>
        <row r="107">
          <cell r="A107">
            <v>11030</v>
          </cell>
          <cell r="B107" t="str">
            <v>降魔长剑碎片</v>
          </cell>
          <cell r="C107">
            <v>11280</v>
          </cell>
          <cell r="D107" t="str">
            <v>10440,10500,10560,10620,10680,10740,10800,10860,10920,10980,11040,11100,11160,11220,11280</v>
          </cell>
          <cell r="E107" t="str">
            <v>[2,[10440,10500,10560,10620,10680,10740,10800,10860,10920,10980,11040,11100,11160,11220,11280]]</v>
          </cell>
        </row>
        <row r="108">
          <cell r="A108" t="str">
            <v/>
          </cell>
          <cell r="B108" t="str">
            <v>精铁长剑</v>
          </cell>
          <cell r="C108">
            <v>10018</v>
          </cell>
          <cell r="D108">
            <v>10018</v>
          </cell>
          <cell r="E108" t="str">
            <v>[2,[10018]]</v>
          </cell>
        </row>
        <row r="109">
          <cell r="A109">
            <v>2002</v>
          </cell>
          <cell r="B109" t="str">
            <v>精铁长剑</v>
          </cell>
          <cell r="C109">
            <v>10040</v>
          </cell>
          <cell r="D109" t="str">
            <v>10018,10040</v>
          </cell>
          <cell r="E109" t="str">
            <v>[2,[10018,10040]]</v>
          </cell>
        </row>
        <row r="110">
          <cell r="A110" t="str">
            <v/>
          </cell>
          <cell r="B110" t="str">
            <v>雷霆战靴碎片</v>
          </cell>
          <cell r="C110">
            <v>10169</v>
          </cell>
          <cell r="D110">
            <v>10169</v>
          </cell>
          <cell r="E110" t="str">
            <v>[2,[10169]]</v>
          </cell>
        </row>
        <row r="111">
          <cell r="A111" t="str">
            <v/>
          </cell>
          <cell r="B111" t="str">
            <v>雷霆战靴碎片</v>
          </cell>
          <cell r="C111">
            <v>10229</v>
          </cell>
          <cell r="D111" t="str">
            <v>10169,10229</v>
          </cell>
          <cell r="E111" t="str">
            <v>[2,[10169,10229]]</v>
          </cell>
        </row>
        <row r="112">
          <cell r="A112" t="str">
            <v/>
          </cell>
          <cell r="B112" t="str">
            <v>雷霆战靴碎片</v>
          </cell>
          <cell r="C112">
            <v>10289</v>
          </cell>
          <cell r="D112" t="str">
            <v>10169,10229,10289</v>
          </cell>
          <cell r="E112" t="str">
            <v>[2,[10169,10229,10289]]</v>
          </cell>
        </row>
        <row r="113">
          <cell r="A113">
            <v>11016</v>
          </cell>
          <cell r="B113" t="str">
            <v>雷霆战靴碎片</v>
          </cell>
          <cell r="C113">
            <v>10349</v>
          </cell>
          <cell r="D113" t="str">
            <v>10169,10229,10289,10349</v>
          </cell>
          <cell r="E113" t="str">
            <v>[2,[10169,10229,10289,10349]]</v>
          </cell>
        </row>
        <row r="114">
          <cell r="A114" t="str">
            <v/>
          </cell>
          <cell r="B114" t="str">
            <v>连云战甲碎片</v>
          </cell>
          <cell r="C114">
            <v>10179</v>
          </cell>
          <cell r="D114">
            <v>10179</v>
          </cell>
          <cell r="E114" t="str">
            <v>[2,[10179]]</v>
          </cell>
        </row>
        <row r="115">
          <cell r="A115" t="str">
            <v/>
          </cell>
          <cell r="B115" t="str">
            <v>连云战甲碎片</v>
          </cell>
          <cell r="C115">
            <v>10239</v>
          </cell>
          <cell r="D115" t="str">
            <v>10179,10239</v>
          </cell>
          <cell r="E115" t="str">
            <v>[2,[10179,10239]]</v>
          </cell>
        </row>
        <row r="116">
          <cell r="A116" t="str">
            <v/>
          </cell>
          <cell r="B116" t="str">
            <v>连云战甲碎片</v>
          </cell>
          <cell r="C116">
            <v>10299</v>
          </cell>
          <cell r="D116" t="str">
            <v>10179,10239,10299</v>
          </cell>
          <cell r="E116" t="str">
            <v>[2,[10179,10239,10299]]</v>
          </cell>
        </row>
        <row r="117">
          <cell r="A117">
            <v>11013</v>
          </cell>
          <cell r="B117" t="str">
            <v>连云战甲碎片</v>
          </cell>
          <cell r="C117">
            <v>10359</v>
          </cell>
          <cell r="D117" t="str">
            <v>10179,10239,10299,10359</v>
          </cell>
          <cell r="E117" t="str">
            <v>[2,[10179,10239,10299,10359]]</v>
          </cell>
        </row>
        <row r="118">
          <cell r="A118" t="str">
            <v/>
          </cell>
          <cell r="B118" t="str">
            <v>磐石头盔碎片</v>
          </cell>
          <cell r="C118">
            <v>10210</v>
          </cell>
          <cell r="D118">
            <v>10210</v>
          </cell>
          <cell r="E118" t="str">
            <v>[2,[10210]]</v>
          </cell>
        </row>
        <row r="119">
          <cell r="A119" t="str">
            <v/>
          </cell>
          <cell r="B119" t="str">
            <v>磐石头盔碎片</v>
          </cell>
          <cell r="C119">
            <v>10270</v>
          </cell>
          <cell r="D119" t="str">
            <v>10210,10270</v>
          </cell>
          <cell r="E119" t="str">
            <v>[2,[10210,10270]]</v>
          </cell>
        </row>
        <row r="120">
          <cell r="A120" t="str">
            <v/>
          </cell>
          <cell r="B120" t="str">
            <v>磐石头盔碎片</v>
          </cell>
          <cell r="C120">
            <v>10330</v>
          </cell>
          <cell r="D120" t="str">
            <v>10210,10270,10330</v>
          </cell>
          <cell r="E120" t="str">
            <v>[2,[10210,10270,10330]]</v>
          </cell>
        </row>
        <row r="121">
          <cell r="A121">
            <v>11023</v>
          </cell>
          <cell r="B121" t="str">
            <v>磐石头盔碎片</v>
          </cell>
          <cell r="C121">
            <v>10390</v>
          </cell>
          <cell r="D121" t="str">
            <v>10210,10270,10330,10390</v>
          </cell>
          <cell r="E121" t="str">
            <v>[2,[10210,10270,10330,10390]]</v>
          </cell>
        </row>
        <row r="122">
          <cell r="A122" t="str">
            <v/>
          </cell>
          <cell r="B122" t="str">
            <v>磐石战甲碎片</v>
          </cell>
          <cell r="C122">
            <v>10219</v>
          </cell>
          <cell r="D122">
            <v>10219</v>
          </cell>
          <cell r="E122" t="str">
            <v>[2,[10219]]</v>
          </cell>
        </row>
        <row r="123">
          <cell r="A123" t="str">
            <v/>
          </cell>
          <cell r="B123" t="str">
            <v>磐石战甲碎片</v>
          </cell>
          <cell r="C123">
            <v>10279</v>
          </cell>
          <cell r="D123" t="str">
            <v>10219,10279</v>
          </cell>
          <cell r="E123" t="str">
            <v>[2,[10219,10279]]</v>
          </cell>
        </row>
        <row r="124">
          <cell r="A124" t="str">
            <v/>
          </cell>
          <cell r="B124" t="str">
            <v>磐石战甲碎片</v>
          </cell>
          <cell r="C124">
            <v>10339</v>
          </cell>
          <cell r="D124" t="str">
            <v>10219,10279,10339</v>
          </cell>
          <cell r="E124" t="str">
            <v>[2,[10219,10279,10339]]</v>
          </cell>
        </row>
        <row r="125">
          <cell r="A125">
            <v>11021</v>
          </cell>
          <cell r="B125" t="str">
            <v>磐石战甲碎片</v>
          </cell>
          <cell r="C125">
            <v>10399</v>
          </cell>
          <cell r="D125" t="str">
            <v>10219,10279,10339,10399</v>
          </cell>
          <cell r="E125" t="str">
            <v>[2,[10219,10279,10339,10399]]</v>
          </cell>
        </row>
        <row r="126">
          <cell r="A126" t="str">
            <v/>
          </cell>
          <cell r="B126" t="str">
            <v>磐石战靴碎片</v>
          </cell>
          <cell r="C126">
            <v>10209</v>
          </cell>
          <cell r="D126">
            <v>10209</v>
          </cell>
          <cell r="E126" t="str">
            <v>[2,[10209]]</v>
          </cell>
        </row>
        <row r="127">
          <cell r="A127" t="str">
            <v/>
          </cell>
          <cell r="B127" t="str">
            <v>磐石战靴碎片</v>
          </cell>
          <cell r="C127">
            <v>10269</v>
          </cell>
          <cell r="D127" t="str">
            <v>10209,10269</v>
          </cell>
          <cell r="E127" t="str">
            <v>[2,[10209,10269]]</v>
          </cell>
        </row>
        <row r="128">
          <cell r="A128" t="str">
            <v/>
          </cell>
          <cell r="B128" t="str">
            <v>磐石战靴碎片</v>
          </cell>
          <cell r="C128">
            <v>10329</v>
          </cell>
          <cell r="D128" t="str">
            <v>10209,10269,10329</v>
          </cell>
          <cell r="E128" t="str">
            <v>[2,[10209,10269,10329]]</v>
          </cell>
        </row>
        <row r="129">
          <cell r="A129">
            <v>11024</v>
          </cell>
          <cell r="B129" t="str">
            <v>磐石战靴碎片</v>
          </cell>
          <cell r="C129">
            <v>10389</v>
          </cell>
          <cell r="D129" t="str">
            <v>10209,10269,10329,10389</v>
          </cell>
          <cell r="E129" t="str">
            <v>[2,[10209,10269,10329,10389]]</v>
          </cell>
        </row>
        <row r="130">
          <cell r="A130" t="str">
            <v/>
          </cell>
          <cell r="B130" t="str">
            <v>磐石长剑碎片</v>
          </cell>
          <cell r="C130">
            <v>10220</v>
          </cell>
          <cell r="D130">
            <v>10220</v>
          </cell>
          <cell r="E130" t="str">
            <v>[2,[10220]]</v>
          </cell>
        </row>
        <row r="131">
          <cell r="A131" t="str">
            <v/>
          </cell>
          <cell r="B131" t="str">
            <v>磐石长剑碎片</v>
          </cell>
          <cell r="C131">
            <v>10280</v>
          </cell>
          <cell r="D131" t="str">
            <v>10220,10280</v>
          </cell>
          <cell r="E131" t="str">
            <v>[2,[10220,10280]]</v>
          </cell>
        </row>
        <row r="132">
          <cell r="A132" t="str">
            <v/>
          </cell>
          <cell r="B132" t="str">
            <v>磐石长剑碎片</v>
          </cell>
          <cell r="C132">
            <v>10340</v>
          </cell>
          <cell r="D132" t="str">
            <v>10220,10280,10340</v>
          </cell>
          <cell r="E132" t="str">
            <v>[2,[10220,10280,10340]]</v>
          </cell>
        </row>
        <row r="133">
          <cell r="A133">
            <v>11022</v>
          </cell>
          <cell r="B133" t="str">
            <v>磐石长剑碎片</v>
          </cell>
          <cell r="C133">
            <v>10400</v>
          </cell>
          <cell r="D133" t="str">
            <v>10220,10280,10340,10400</v>
          </cell>
          <cell r="E133" t="str">
            <v>[2,[10220,10280,10340,10400]]</v>
          </cell>
        </row>
        <row r="134">
          <cell r="A134" t="str">
            <v/>
          </cell>
          <cell r="B134" t="str">
            <v>破魔头盔碎片</v>
          </cell>
          <cell r="C134">
            <v>10090</v>
          </cell>
          <cell r="D134">
            <v>10090</v>
          </cell>
          <cell r="E134" t="str">
            <v>[2,[10090]]</v>
          </cell>
        </row>
        <row r="135">
          <cell r="A135">
            <v>11007</v>
          </cell>
          <cell r="B135" t="str">
            <v>破魔头盔碎片</v>
          </cell>
          <cell r="C135">
            <v>10150</v>
          </cell>
          <cell r="D135" t="str">
            <v>10090,10150</v>
          </cell>
          <cell r="E135" t="str">
            <v>[2,[10090,10150]]</v>
          </cell>
        </row>
        <row r="136">
          <cell r="A136" t="str">
            <v/>
          </cell>
          <cell r="B136" t="str">
            <v>破魔战甲碎片</v>
          </cell>
          <cell r="C136">
            <v>10099</v>
          </cell>
          <cell r="D136">
            <v>10099</v>
          </cell>
          <cell r="E136" t="str">
            <v>[2,[10099]]</v>
          </cell>
        </row>
        <row r="137">
          <cell r="A137">
            <v>11005</v>
          </cell>
          <cell r="B137" t="str">
            <v>破魔战甲碎片</v>
          </cell>
          <cell r="C137">
            <v>10159</v>
          </cell>
          <cell r="D137" t="str">
            <v>10099,10159</v>
          </cell>
          <cell r="E137" t="str">
            <v>[2,[10099,10159]]</v>
          </cell>
        </row>
        <row r="138">
          <cell r="A138" t="str">
            <v/>
          </cell>
          <cell r="B138" t="str">
            <v>破魔战靴碎片</v>
          </cell>
          <cell r="C138">
            <v>10089</v>
          </cell>
          <cell r="D138">
            <v>10089</v>
          </cell>
          <cell r="E138" t="str">
            <v>[2,[10089]]</v>
          </cell>
        </row>
        <row r="139">
          <cell r="A139">
            <v>11008</v>
          </cell>
          <cell r="B139" t="str">
            <v>破魔战靴碎片</v>
          </cell>
          <cell r="C139">
            <v>10149</v>
          </cell>
          <cell r="D139" t="str">
            <v>10089,10149</v>
          </cell>
          <cell r="E139" t="str">
            <v>[2,[10089,10149]]</v>
          </cell>
        </row>
        <row r="140">
          <cell r="A140" t="str">
            <v/>
          </cell>
          <cell r="B140" t="str">
            <v>破魔长剑碎片</v>
          </cell>
          <cell r="C140">
            <v>10100</v>
          </cell>
          <cell r="D140">
            <v>10100</v>
          </cell>
          <cell r="E140" t="str">
            <v>[2,[10100]]</v>
          </cell>
        </row>
        <row r="141">
          <cell r="A141">
            <v>11006</v>
          </cell>
          <cell r="B141" t="str">
            <v>破魔长剑碎片</v>
          </cell>
          <cell r="C141">
            <v>10160</v>
          </cell>
          <cell r="D141" t="str">
            <v>10100,10160</v>
          </cell>
          <cell r="E141" t="str">
            <v>[2,[10100,10160]]</v>
          </cell>
        </row>
        <row r="142">
          <cell r="A142" t="str">
            <v/>
          </cell>
          <cell r="B142" t="str">
            <v>麒麟头盔碎片</v>
          </cell>
          <cell r="C142">
            <v>10410</v>
          </cell>
          <cell r="D142">
            <v>10410</v>
          </cell>
          <cell r="E142" t="str">
            <v>[2,[10410]]</v>
          </cell>
        </row>
        <row r="143">
          <cell r="A143" t="str">
            <v/>
          </cell>
          <cell r="B143" t="str">
            <v>麒麟头盔碎片</v>
          </cell>
          <cell r="C143">
            <v>10470</v>
          </cell>
          <cell r="D143" t="str">
            <v>10410,10470</v>
          </cell>
          <cell r="E143" t="str">
            <v>[2,[10410,10470]]</v>
          </cell>
        </row>
        <row r="144">
          <cell r="A144" t="str">
            <v/>
          </cell>
          <cell r="B144" t="str">
            <v>麒麟头盔碎片</v>
          </cell>
          <cell r="C144">
            <v>10530</v>
          </cell>
          <cell r="D144" t="str">
            <v>10410,10470,10530</v>
          </cell>
          <cell r="E144" t="str">
            <v>[2,[10410,10470,10530]]</v>
          </cell>
        </row>
        <row r="145">
          <cell r="A145" t="str">
            <v/>
          </cell>
          <cell r="B145" t="str">
            <v>麒麟头盔碎片</v>
          </cell>
          <cell r="C145">
            <v>10590</v>
          </cell>
          <cell r="D145" t="str">
            <v>10410,10470,10530,10590</v>
          </cell>
          <cell r="E145" t="str">
            <v>[2,[10410,10470,10530,10590]]</v>
          </cell>
        </row>
        <row r="146">
          <cell r="A146" t="str">
            <v/>
          </cell>
          <cell r="B146" t="str">
            <v>麒麟头盔碎片</v>
          </cell>
          <cell r="C146">
            <v>10650</v>
          </cell>
          <cell r="D146" t="str">
            <v>10410,10470,10530,10590,10650</v>
          </cell>
          <cell r="E146" t="str">
            <v>[2,[10410,10470,10530,10590,10650]]</v>
          </cell>
        </row>
        <row r="147">
          <cell r="A147" t="str">
            <v/>
          </cell>
          <cell r="B147" t="str">
            <v>麒麟头盔碎片</v>
          </cell>
          <cell r="C147">
            <v>10710</v>
          </cell>
          <cell r="D147" t="str">
            <v>10410,10470,10530,10590,10650,10710</v>
          </cell>
          <cell r="E147" t="str">
            <v>[2,[10410,10470,10530,10590,10650,10710]]</v>
          </cell>
        </row>
        <row r="148">
          <cell r="A148" t="str">
            <v/>
          </cell>
          <cell r="B148" t="str">
            <v>麒麟头盔碎片</v>
          </cell>
          <cell r="C148">
            <v>10770</v>
          </cell>
          <cell r="D148" t="str">
            <v>10410,10470,10530,10590,10650,10710,10770</v>
          </cell>
          <cell r="E148" t="str">
            <v>[2,[10410,10470,10530,10590,10650,10710,10770]]</v>
          </cell>
        </row>
        <row r="149">
          <cell r="A149" t="str">
            <v/>
          </cell>
          <cell r="B149" t="str">
            <v>麒麟头盔碎片</v>
          </cell>
          <cell r="C149">
            <v>10830</v>
          </cell>
          <cell r="D149" t="str">
            <v>10410,10470,10530,10590,10650,10710,10770,10830</v>
          </cell>
          <cell r="E149" t="str">
            <v>[2,[10410,10470,10530,10590,10650,10710,10770,10830]]</v>
          </cell>
        </row>
        <row r="150">
          <cell r="A150" t="str">
            <v/>
          </cell>
          <cell r="B150" t="str">
            <v>麒麟头盔碎片</v>
          </cell>
          <cell r="C150">
            <v>10890</v>
          </cell>
          <cell r="D150" t="str">
            <v>10410,10470,10530,10590,10650,10710,10770,10830,10890</v>
          </cell>
          <cell r="E150" t="str">
            <v>[2,[10410,10470,10530,10590,10650,10710,10770,10830,10890]]</v>
          </cell>
        </row>
        <row r="151">
          <cell r="A151" t="str">
            <v/>
          </cell>
          <cell r="B151" t="str">
            <v>麒麟头盔碎片</v>
          </cell>
          <cell r="C151">
            <v>10950</v>
          </cell>
          <cell r="D151" t="str">
            <v>10410,10470,10530,10590,10650,10710,10770,10830,10890,10950</v>
          </cell>
          <cell r="E151" t="str">
            <v>[2,[10410,10470,10530,10590,10650,10710,10770,10830,10890,10950]]</v>
          </cell>
        </row>
        <row r="152">
          <cell r="A152" t="str">
            <v/>
          </cell>
          <cell r="B152" t="str">
            <v>麒麟头盔碎片</v>
          </cell>
          <cell r="C152">
            <v>11010</v>
          </cell>
          <cell r="D152" t="str">
            <v>10410,10470,10530,10590,10650,10710,10770,10830,10890,10950,11010</v>
          </cell>
          <cell r="E152" t="str">
            <v>[2,[10410,10470,10530,10590,10650,10710,10770,10830,10890,10950,11010]]</v>
          </cell>
        </row>
        <row r="153">
          <cell r="A153" t="str">
            <v/>
          </cell>
          <cell r="B153" t="str">
            <v>麒麟头盔碎片</v>
          </cell>
          <cell r="C153">
            <v>11070</v>
          </cell>
          <cell r="D153" t="str">
            <v>10410,10470,10530,10590,10650,10710,10770,10830,10890,10950,11010,11070</v>
          </cell>
          <cell r="E153" t="str">
            <v>[2,[10410,10470,10530,10590,10650,10710,10770,10830,10890,10950,11010,11070]]</v>
          </cell>
        </row>
        <row r="154">
          <cell r="A154" t="str">
            <v/>
          </cell>
          <cell r="B154" t="str">
            <v>麒麟头盔碎片</v>
          </cell>
          <cell r="C154">
            <v>11130</v>
          </cell>
          <cell r="D154" t="str">
            <v>10410,10470,10530,10590,10650,10710,10770,10830,10890,10950,11010,11070,11130</v>
          </cell>
          <cell r="E154" t="str">
            <v>[2,[10410,10470,10530,10590,10650,10710,10770,10830,10890,10950,11010,11070,11130]]</v>
          </cell>
        </row>
        <row r="155">
          <cell r="A155" t="str">
            <v/>
          </cell>
          <cell r="B155" t="str">
            <v>麒麟头盔碎片</v>
          </cell>
          <cell r="C155">
            <v>11190</v>
          </cell>
          <cell r="D155" t="str">
            <v>10410,10470,10530,10590,10650,10710,10770,10830,10890,10950,11010,11070,11130,11190</v>
          </cell>
          <cell r="E155" t="str">
            <v>[2,[10410,10470,10530,10590,10650,10710,10770,10830,10890,10950,11010,11070,11130,11190]]</v>
          </cell>
        </row>
        <row r="156">
          <cell r="A156" t="str">
            <v/>
          </cell>
          <cell r="B156" t="str">
            <v>麒麟头盔碎片</v>
          </cell>
          <cell r="C156">
            <v>11250</v>
          </cell>
          <cell r="D156" t="str">
            <v>10410,10470,10530,10590,10650,10710,10770,10830,10890,10950,11010,11070,11130,11190,11250</v>
          </cell>
          <cell r="E156" t="str">
            <v>[2,[10410,10470,10530,10590,10650,10710,10770,10830,10890,10950,11010,11070,11130,11190,11250]]</v>
          </cell>
        </row>
        <row r="157">
          <cell r="A157">
            <v>11027</v>
          </cell>
          <cell r="B157" t="str">
            <v>麒麟头盔碎片</v>
          </cell>
          <cell r="C157">
            <v>11310</v>
          </cell>
          <cell r="D157" t="str">
            <v>10410,10470,10530,10590,10650,10710,10770,10830,10890,10950,11010,11070,11130,11190,11250,11310</v>
          </cell>
          <cell r="E157" t="str">
            <v>[2,[10410,10470,10530,10590,10650,10710,10770,10830,10890,10950,11010,11070,11130,11190,11250,11310]]</v>
          </cell>
        </row>
        <row r="158">
          <cell r="A158" t="str">
            <v/>
          </cell>
          <cell r="B158" t="str">
            <v>千里战靴</v>
          </cell>
          <cell r="C158">
            <v>10015</v>
          </cell>
          <cell r="D158">
            <v>10015</v>
          </cell>
          <cell r="E158" t="str">
            <v>[2,[10015]]</v>
          </cell>
        </row>
        <row r="159">
          <cell r="A159">
            <v>2004</v>
          </cell>
          <cell r="B159" t="str">
            <v>千里战靴</v>
          </cell>
          <cell r="C159">
            <v>10039</v>
          </cell>
          <cell r="D159" t="str">
            <v>10015,10039</v>
          </cell>
          <cell r="E159" t="str">
            <v>[2,[10015,10039]]</v>
          </cell>
        </row>
        <row r="160">
          <cell r="A160" t="str">
            <v/>
          </cell>
          <cell r="B160" t="str">
            <v>青锋长剑碎片</v>
          </cell>
          <cell r="C160">
            <v>10060</v>
          </cell>
          <cell r="D160">
            <v>10060</v>
          </cell>
          <cell r="E160" t="str">
            <v>[2,[10060]]</v>
          </cell>
        </row>
        <row r="161">
          <cell r="A161">
            <v>11002</v>
          </cell>
          <cell r="B161" t="str">
            <v>青锋长剑碎片</v>
          </cell>
          <cell r="C161">
            <v>10120</v>
          </cell>
          <cell r="D161" t="str">
            <v>10060,10120</v>
          </cell>
          <cell r="E161" t="str">
            <v>[2,[10060,10120]]</v>
          </cell>
        </row>
        <row r="162">
          <cell r="A162" t="str">
            <v/>
          </cell>
          <cell r="B162" t="str">
            <v>兽魂战靴碎片</v>
          </cell>
          <cell r="C162">
            <v>10409</v>
          </cell>
          <cell r="D162">
            <v>10409</v>
          </cell>
          <cell r="E162" t="str">
            <v>[2,[10409]]</v>
          </cell>
        </row>
        <row r="163">
          <cell r="A163" t="str">
            <v/>
          </cell>
          <cell r="B163" t="str">
            <v>兽魂战靴碎片</v>
          </cell>
          <cell r="C163">
            <v>10469</v>
          </cell>
          <cell r="D163" t="str">
            <v>10409,10469</v>
          </cell>
          <cell r="E163" t="str">
            <v>[2,[10409,10469]]</v>
          </cell>
        </row>
        <row r="164">
          <cell r="A164" t="str">
            <v/>
          </cell>
          <cell r="B164" t="str">
            <v>兽魂战靴碎片</v>
          </cell>
          <cell r="C164">
            <v>10529</v>
          </cell>
          <cell r="D164" t="str">
            <v>10409,10469,10529</v>
          </cell>
          <cell r="E164" t="str">
            <v>[2,[10409,10469,10529]]</v>
          </cell>
        </row>
        <row r="165">
          <cell r="A165" t="str">
            <v/>
          </cell>
          <cell r="B165" t="str">
            <v>兽魂战靴碎片</v>
          </cell>
          <cell r="C165">
            <v>10589</v>
          </cell>
          <cell r="D165" t="str">
            <v>10409,10469,10529,10589</v>
          </cell>
          <cell r="E165" t="str">
            <v>[2,[10409,10469,10529,10589]]</v>
          </cell>
        </row>
        <row r="166">
          <cell r="A166" t="str">
            <v/>
          </cell>
          <cell r="B166" t="str">
            <v>兽魂战靴碎片</v>
          </cell>
          <cell r="C166">
            <v>10649</v>
          </cell>
          <cell r="D166" t="str">
            <v>10409,10469,10529,10589,10649</v>
          </cell>
          <cell r="E166" t="str">
            <v>[2,[10409,10469,10529,10589,10649]]</v>
          </cell>
        </row>
        <row r="167">
          <cell r="A167" t="str">
            <v/>
          </cell>
          <cell r="B167" t="str">
            <v>兽魂战靴碎片</v>
          </cell>
          <cell r="C167">
            <v>10709</v>
          </cell>
          <cell r="D167" t="str">
            <v>10409,10469,10529,10589,10649,10709</v>
          </cell>
          <cell r="E167" t="str">
            <v>[2,[10409,10469,10529,10589,10649,10709]]</v>
          </cell>
        </row>
        <row r="168">
          <cell r="A168" t="str">
            <v/>
          </cell>
          <cell r="B168" t="str">
            <v>兽魂战靴碎片</v>
          </cell>
          <cell r="C168">
            <v>10769</v>
          </cell>
          <cell r="D168" t="str">
            <v>10409,10469,10529,10589,10649,10709,10769</v>
          </cell>
          <cell r="E168" t="str">
            <v>[2,[10409,10469,10529,10589,10649,10709,10769]]</v>
          </cell>
        </row>
        <row r="169">
          <cell r="A169" t="str">
            <v/>
          </cell>
          <cell r="B169" t="str">
            <v>兽魂战靴碎片</v>
          </cell>
          <cell r="C169">
            <v>10829</v>
          </cell>
          <cell r="D169" t="str">
            <v>10409,10469,10529,10589,10649,10709,10769,10829</v>
          </cell>
          <cell r="E169" t="str">
            <v>[2,[10409,10469,10529,10589,10649,10709,10769,10829]]</v>
          </cell>
        </row>
        <row r="170">
          <cell r="A170" t="str">
            <v/>
          </cell>
          <cell r="B170" t="str">
            <v>兽魂战靴碎片</v>
          </cell>
          <cell r="C170">
            <v>10889</v>
          </cell>
          <cell r="D170" t="str">
            <v>10409,10469,10529,10589,10649,10709,10769,10829,10889</v>
          </cell>
          <cell r="E170" t="str">
            <v>[2,[10409,10469,10529,10589,10649,10709,10769,10829,10889]]</v>
          </cell>
        </row>
        <row r="171">
          <cell r="A171" t="str">
            <v/>
          </cell>
          <cell r="B171" t="str">
            <v>兽魂战靴碎片</v>
          </cell>
          <cell r="C171">
            <v>10949</v>
          </cell>
          <cell r="D171" t="str">
            <v>10409,10469,10529,10589,10649,10709,10769,10829,10889,10949</v>
          </cell>
          <cell r="E171" t="str">
            <v>[2,[10409,10469,10529,10589,10649,10709,10769,10829,10889,10949]]</v>
          </cell>
        </row>
        <row r="172">
          <cell r="A172" t="str">
            <v/>
          </cell>
          <cell r="B172" t="str">
            <v>兽魂战靴碎片</v>
          </cell>
          <cell r="C172">
            <v>11009</v>
          </cell>
          <cell r="D172" t="str">
            <v>10409,10469,10529,10589,10649,10709,10769,10829,10889,10949,11009</v>
          </cell>
          <cell r="E172" t="str">
            <v>[2,[10409,10469,10529,10589,10649,10709,10769,10829,10889,10949,11009]]</v>
          </cell>
        </row>
        <row r="173">
          <cell r="A173" t="str">
            <v/>
          </cell>
          <cell r="B173" t="str">
            <v>兽魂战靴碎片</v>
          </cell>
          <cell r="C173">
            <v>11069</v>
          </cell>
          <cell r="D173" t="str">
            <v>10409,10469,10529,10589,10649,10709,10769,10829,10889,10949,11009,11069</v>
          </cell>
          <cell r="E173" t="str">
            <v>[2,[10409,10469,10529,10589,10649,10709,10769,10829,10889,10949,11009,11069]]</v>
          </cell>
        </row>
        <row r="174">
          <cell r="A174" t="str">
            <v/>
          </cell>
          <cell r="B174" t="str">
            <v>兽魂战靴碎片</v>
          </cell>
          <cell r="C174">
            <v>11129</v>
          </cell>
          <cell r="D174" t="str">
            <v>10409,10469,10529,10589,10649,10709,10769,10829,10889,10949,11009,11069,11129</v>
          </cell>
          <cell r="E174" t="str">
            <v>[2,[10409,10469,10529,10589,10649,10709,10769,10829,10889,10949,11009,11069,11129]]</v>
          </cell>
        </row>
        <row r="175">
          <cell r="A175" t="str">
            <v/>
          </cell>
          <cell r="B175" t="str">
            <v>兽魂战靴碎片</v>
          </cell>
          <cell r="C175">
            <v>11189</v>
          </cell>
          <cell r="D175" t="str">
            <v>10409,10469,10529,10589,10649,10709,10769,10829,10889,10949,11009,11069,11129,11189</v>
          </cell>
          <cell r="E175" t="str">
            <v>[2,[10409,10469,10529,10589,10649,10709,10769,10829,10889,10949,11009,11069,11129,11189]]</v>
          </cell>
        </row>
        <row r="176">
          <cell r="A176" t="str">
            <v/>
          </cell>
          <cell r="B176" t="str">
            <v>兽魂战靴碎片</v>
          </cell>
          <cell r="C176">
            <v>11249</v>
          </cell>
          <cell r="D176" t="str">
            <v>10409,10469,10529,10589,10649,10709,10769,10829,10889,10949,11009,11069,11129,11189,11249</v>
          </cell>
          <cell r="E176" t="str">
            <v>[2,[10409,10469,10529,10589,10649,10709,10769,10829,10889,10949,11009,11069,11129,11189,11249]]</v>
          </cell>
        </row>
        <row r="177">
          <cell r="A177">
            <v>11028</v>
          </cell>
          <cell r="B177" t="str">
            <v>兽魂战靴碎片</v>
          </cell>
          <cell r="C177">
            <v>11309</v>
          </cell>
          <cell r="D177" t="str">
            <v>10409,10469,10529,10589,10649,10709,10769,10829,10889,10949,11009,11069,11129,11189,11249,11309</v>
          </cell>
          <cell r="E177" t="str">
            <v>[2,[10409,10469,10529,10589,10649,10709,10769,10829,10889,10949,11009,11069,11129,11189,11249,11309]]</v>
          </cell>
        </row>
        <row r="178">
          <cell r="A178" t="str">
            <v/>
          </cell>
          <cell r="B178" t="str">
            <v>天罡头盔碎片</v>
          </cell>
          <cell r="C178">
            <v>10450</v>
          </cell>
          <cell r="D178">
            <v>10450</v>
          </cell>
          <cell r="E178" t="str">
            <v>[2,[10450]]</v>
          </cell>
        </row>
        <row r="179">
          <cell r="A179" t="str">
            <v/>
          </cell>
          <cell r="B179" t="str">
            <v>天罡头盔碎片</v>
          </cell>
          <cell r="C179">
            <v>10510</v>
          </cell>
          <cell r="D179" t="str">
            <v>10450,10510</v>
          </cell>
          <cell r="E179" t="str">
            <v>[2,[10450,10510]]</v>
          </cell>
        </row>
        <row r="180">
          <cell r="A180" t="str">
            <v/>
          </cell>
          <cell r="B180" t="str">
            <v>天罡头盔碎片</v>
          </cell>
          <cell r="C180">
            <v>10570</v>
          </cell>
          <cell r="D180" t="str">
            <v>10450,10510,10570</v>
          </cell>
          <cell r="E180" t="str">
            <v>[2,[10450,10510,10570]]</v>
          </cell>
        </row>
        <row r="181">
          <cell r="A181" t="str">
            <v/>
          </cell>
          <cell r="B181" t="str">
            <v>天罡头盔碎片</v>
          </cell>
          <cell r="C181">
            <v>10630</v>
          </cell>
          <cell r="D181" t="str">
            <v>10450,10510,10570,10630</v>
          </cell>
          <cell r="E181" t="str">
            <v>[2,[10450,10510,10570,10630]]</v>
          </cell>
        </row>
        <row r="182">
          <cell r="A182" t="str">
            <v/>
          </cell>
          <cell r="B182" t="str">
            <v>天罡头盔碎片</v>
          </cell>
          <cell r="C182">
            <v>10690</v>
          </cell>
          <cell r="D182" t="str">
            <v>10450,10510,10570,10630,10690</v>
          </cell>
          <cell r="E182" t="str">
            <v>[2,[10450,10510,10570,10630,10690]]</v>
          </cell>
        </row>
        <row r="183">
          <cell r="A183" t="str">
            <v/>
          </cell>
          <cell r="B183" t="str">
            <v>天罡头盔碎片</v>
          </cell>
          <cell r="C183">
            <v>10750</v>
          </cell>
          <cell r="D183" t="str">
            <v>10450,10510,10570,10630,10690,10750</v>
          </cell>
          <cell r="E183" t="str">
            <v>[2,[10450,10510,10570,10630,10690,10750]]</v>
          </cell>
        </row>
        <row r="184">
          <cell r="A184" t="str">
            <v/>
          </cell>
          <cell r="B184" t="str">
            <v>天罡头盔碎片</v>
          </cell>
          <cell r="C184">
            <v>10810</v>
          </cell>
          <cell r="D184" t="str">
            <v>10450,10510,10570,10630,10690,10750,10810</v>
          </cell>
          <cell r="E184" t="str">
            <v>[2,[10450,10510,10570,10630,10690,10750,10810]]</v>
          </cell>
        </row>
        <row r="185">
          <cell r="A185" t="str">
            <v/>
          </cell>
          <cell r="B185" t="str">
            <v>天罡头盔碎片</v>
          </cell>
          <cell r="C185">
            <v>10870</v>
          </cell>
          <cell r="D185" t="str">
            <v>10450,10510,10570,10630,10690,10750,10810,10870</v>
          </cell>
          <cell r="E185" t="str">
            <v>[2,[10450,10510,10570,10630,10690,10750,10810,10870]]</v>
          </cell>
        </row>
        <row r="186">
          <cell r="A186" t="str">
            <v/>
          </cell>
          <cell r="B186" t="str">
            <v>天罡头盔碎片</v>
          </cell>
          <cell r="C186">
            <v>10930</v>
          </cell>
          <cell r="D186" t="str">
            <v>10450,10510,10570,10630,10690,10750,10810,10870,10930</v>
          </cell>
          <cell r="E186" t="str">
            <v>[2,[10450,10510,10570,10630,10690,10750,10810,10870,10930]]</v>
          </cell>
        </row>
        <row r="187">
          <cell r="A187" t="str">
            <v/>
          </cell>
          <cell r="B187" t="str">
            <v>天罡头盔碎片</v>
          </cell>
          <cell r="C187">
            <v>10990</v>
          </cell>
          <cell r="D187" t="str">
            <v>10450,10510,10570,10630,10690,10750,10810,10870,10930,10990</v>
          </cell>
          <cell r="E187" t="str">
            <v>[2,[10450,10510,10570,10630,10690,10750,10810,10870,10930,10990]]</v>
          </cell>
        </row>
        <row r="188">
          <cell r="A188" t="str">
            <v/>
          </cell>
          <cell r="B188" t="str">
            <v>天罡头盔碎片</v>
          </cell>
          <cell r="C188">
            <v>11050</v>
          </cell>
          <cell r="D188" t="str">
            <v>10450,10510,10570,10630,10690,10750,10810,10870,10930,10990,11050</v>
          </cell>
          <cell r="E188" t="str">
            <v>[2,[10450,10510,10570,10630,10690,10750,10810,10870,10930,10990,11050]]</v>
          </cell>
        </row>
        <row r="189">
          <cell r="A189" t="str">
            <v/>
          </cell>
          <cell r="B189" t="str">
            <v>天罡头盔碎片</v>
          </cell>
          <cell r="C189">
            <v>11110</v>
          </cell>
          <cell r="D189" t="str">
            <v>10450,10510,10570,10630,10690,10750,10810,10870,10930,10990,11050,11110</v>
          </cell>
          <cell r="E189" t="str">
            <v>[2,[10450,10510,10570,10630,10690,10750,10810,10870,10930,10990,11050,11110]]</v>
          </cell>
        </row>
        <row r="190">
          <cell r="A190" t="str">
            <v/>
          </cell>
          <cell r="B190" t="str">
            <v>天罡头盔碎片</v>
          </cell>
          <cell r="C190">
            <v>11170</v>
          </cell>
          <cell r="D190" t="str">
            <v>10450,10510,10570,10630,10690,10750,10810,10870,10930,10990,11050,11110,11170</v>
          </cell>
          <cell r="E190" t="str">
            <v>[2,[10450,10510,10570,10630,10690,10750,10810,10870,10930,10990,11050,11110,11170]]</v>
          </cell>
        </row>
        <row r="191">
          <cell r="A191" t="str">
            <v/>
          </cell>
          <cell r="B191" t="str">
            <v>天罡头盔碎片</v>
          </cell>
          <cell r="C191">
            <v>11230</v>
          </cell>
          <cell r="D191" t="str">
            <v>10450,10510,10570,10630,10690,10750,10810,10870,10930,10990,11050,11110,11170,11230</v>
          </cell>
          <cell r="E191" t="str">
            <v>[2,[10450,10510,10570,10630,10690,10750,10810,10870,10930,10990,11050,11110,11170,11230]]</v>
          </cell>
        </row>
        <row r="192">
          <cell r="A192">
            <v>11035</v>
          </cell>
          <cell r="B192" t="str">
            <v>天罡头盔碎片</v>
          </cell>
          <cell r="C192">
            <v>11290</v>
          </cell>
          <cell r="D192" t="str">
            <v>10450,10510,10570,10630,10690,10750,10810,10870,10930,10990,11050,11110,11170,11230,11290</v>
          </cell>
          <cell r="E192" t="str">
            <v>[2,[10450,10510,10570,10630,10690,10750,10810,10870,10930,10990,11050,11110,11170,11230,11290]]</v>
          </cell>
        </row>
        <row r="193">
          <cell r="A193" t="str">
            <v/>
          </cell>
          <cell r="B193" t="str">
            <v>天罡战甲碎片</v>
          </cell>
          <cell r="C193">
            <v>10459</v>
          </cell>
          <cell r="D193">
            <v>10459</v>
          </cell>
          <cell r="E193" t="str">
            <v>[2,[10459]]</v>
          </cell>
        </row>
        <row r="194">
          <cell r="A194" t="str">
            <v/>
          </cell>
          <cell r="B194" t="str">
            <v>天罡战甲碎片</v>
          </cell>
          <cell r="C194">
            <v>10519</v>
          </cell>
          <cell r="D194" t="str">
            <v>10459,10519</v>
          </cell>
          <cell r="E194" t="str">
            <v>[2,[10459,10519]]</v>
          </cell>
        </row>
        <row r="195">
          <cell r="A195" t="str">
            <v/>
          </cell>
          <cell r="B195" t="str">
            <v>天罡战甲碎片</v>
          </cell>
          <cell r="C195">
            <v>10579</v>
          </cell>
          <cell r="D195" t="str">
            <v>10459,10519,10579</v>
          </cell>
          <cell r="E195" t="str">
            <v>[2,[10459,10519,10579]]</v>
          </cell>
        </row>
        <row r="196">
          <cell r="A196" t="str">
            <v/>
          </cell>
          <cell r="B196" t="str">
            <v>天罡战甲碎片</v>
          </cell>
          <cell r="C196">
            <v>10639</v>
          </cell>
          <cell r="D196" t="str">
            <v>10459,10519,10579,10639</v>
          </cell>
          <cell r="E196" t="str">
            <v>[2,[10459,10519,10579,10639]]</v>
          </cell>
        </row>
        <row r="197">
          <cell r="A197" t="str">
            <v/>
          </cell>
          <cell r="B197" t="str">
            <v>天罡战甲碎片</v>
          </cell>
          <cell r="C197">
            <v>10699</v>
          </cell>
          <cell r="D197" t="str">
            <v>10459,10519,10579,10639,10699</v>
          </cell>
          <cell r="E197" t="str">
            <v>[2,[10459,10519,10579,10639,10699]]</v>
          </cell>
        </row>
        <row r="198">
          <cell r="A198" t="str">
            <v/>
          </cell>
          <cell r="B198" t="str">
            <v>天罡战甲碎片</v>
          </cell>
          <cell r="C198">
            <v>10759</v>
          </cell>
          <cell r="D198" t="str">
            <v>10459,10519,10579,10639,10699,10759</v>
          </cell>
          <cell r="E198" t="str">
            <v>[2,[10459,10519,10579,10639,10699,10759]]</v>
          </cell>
        </row>
        <row r="199">
          <cell r="A199" t="str">
            <v/>
          </cell>
          <cell r="B199" t="str">
            <v>天罡战甲碎片</v>
          </cell>
          <cell r="C199">
            <v>10819</v>
          </cell>
          <cell r="D199" t="str">
            <v>10459,10519,10579,10639,10699,10759,10819</v>
          </cell>
          <cell r="E199" t="str">
            <v>[2,[10459,10519,10579,10639,10699,10759,10819]]</v>
          </cell>
        </row>
        <row r="200">
          <cell r="A200" t="str">
            <v/>
          </cell>
          <cell r="B200" t="str">
            <v>天罡战甲碎片</v>
          </cell>
          <cell r="C200">
            <v>10879</v>
          </cell>
          <cell r="D200" t="str">
            <v>10459,10519,10579,10639,10699,10759,10819,10879</v>
          </cell>
          <cell r="E200" t="str">
            <v>[2,[10459,10519,10579,10639,10699,10759,10819,10879]]</v>
          </cell>
        </row>
        <row r="201">
          <cell r="A201" t="str">
            <v/>
          </cell>
          <cell r="B201" t="str">
            <v>天罡战甲碎片</v>
          </cell>
          <cell r="C201">
            <v>10939</v>
          </cell>
          <cell r="D201" t="str">
            <v>10459,10519,10579,10639,10699,10759,10819,10879,10939</v>
          </cell>
          <cell r="E201" t="str">
            <v>[2,[10459,10519,10579,10639,10699,10759,10819,10879,10939]]</v>
          </cell>
        </row>
        <row r="202">
          <cell r="A202" t="str">
            <v/>
          </cell>
          <cell r="B202" t="str">
            <v>天罡战甲碎片</v>
          </cell>
          <cell r="C202">
            <v>10999</v>
          </cell>
          <cell r="D202" t="str">
            <v>10459,10519,10579,10639,10699,10759,10819,10879,10939,10999</v>
          </cell>
          <cell r="E202" t="str">
            <v>[2,[10459,10519,10579,10639,10699,10759,10819,10879,10939,10999]]</v>
          </cell>
        </row>
        <row r="203">
          <cell r="A203" t="str">
            <v/>
          </cell>
          <cell r="B203" t="str">
            <v>天罡战甲碎片</v>
          </cell>
          <cell r="C203">
            <v>11059</v>
          </cell>
          <cell r="D203" t="str">
            <v>10459,10519,10579,10639,10699,10759,10819,10879,10939,10999,11059</v>
          </cell>
          <cell r="E203" t="str">
            <v>[2,[10459,10519,10579,10639,10699,10759,10819,10879,10939,10999,11059]]</v>
          </cell>
        </row>
        <row r="204">
          <cell r="A204" t="str">
            <v/>
          </cell>
          <cell r="B204" t="str">
            <v>天罡战甲碎片</v>
          </cell>
          <cell r="C204">
            <v>11119</v>
          </cell>
          <cell r="D204" t="str">
            <v>10459,10519,10579,10639,10699,10759,10819,10879,10939,10999,11059,11119</v>
          </cell>
          <cell r="E204" t="str">
            <v>[2,[10459,10519,10579,10639,10699,10759,10819,10879,10939,10999,11059,11119]]</v>
          </cell>
        </row>
        <row r="205">
          <cell r="A205" t="str">
            <v/>
          </cell>
          <cell r="B205" t="str">
            <v>天罡战甲碎片</v>
          </cell>
          <cell r="C205">
            <v>11179</v>
          </cell>
          <cell r="D205" t="str">
            <v>10459,10519,10579,10639,10699,10759,10819,10879,10939,10999,11059,11119,11179</v>
          </cell>
          <cell r="E205" t="str">
            <v>[2,[10459,10519,10579,10639,10699,10759,10819,10879,10939,10999,11059,11119,11179]]</v>
          </cell>
        </row>
        <row r="206">
          <cell r="A206" t="str">
            <v/>
          </cell>
          <cell r="B206" t="str">
            <v>天罡战甲碎片</v>
          </cell>
          <cell r="C206">
            <v>11239</v>
          </cell>
          <cell r="D206" t="str">
            <v>10459,10519,10579,10639,10699,10759,10819,10879,10939,10999,11059,11119,11179,11239</v>
          </cell>
          <cell r="E206" t="str">
            <v>[2,[10459,10519,10579,10639,10699,10759,10819,10879,10939,10999,11059,11119,11179,11239]]</v>
          </cell>
        </row>
        <row r="207">
          <cell r="A207">
            <v>11033</v>
          </cell>
          <cell r="B207" t="str">
            <v>天罡战甲碎片</v>
          </cell>
          <cell r="C207">
            <v>11299</v>
          </cell>
          <cell r="D207" t="str">
            <v>10459,10519,10579,10639,10699,10759,10819,10879,10939,10999,11059,11119,11179,11239,11299</v>
          </cell>
          <cell r="E207" t="str">
            <v>[2,[10459,10519,10579,10639,10699,10759,10819,10879,10939,10999,11059,11119,11179,11239,11299]]</v>
          </cell>
        </row>
        <row r="208">
          <cell r="A208" t="str">
            <v/>
          </cell>
          <cell r="B208" t="str">
            <v>天罡战靴碎片</v>
          </cell>
          <cell r="C208">
            <v>10449</v>
          </cell>
          <cell r="D208">
            <v>10449</v>
          </cell>
          <cell r="E208" t="str">
            <v>[2,[10449]]</v>
          </cell>
        </row>
        <row r="209">
          <cell r="A209" t="str">
            <v/>
          </cell>
          <cell r="B209" t="str">
            <v>天罡战靴碎片</v>
          </cell>
          <cell r="C209">
            <v>10509</v>
          </cell>
          <cell r="D209" t="str">
            <v>10449,10509</v>
          </cell>
          <cell r="E209" t="str">
            <v>[2,[10449,10509]]</v>
          </cell>
        </row>
        <row r="210">
          <cell r="A210" t="str">
            <v/>
          </cell>
          <cell r="B210" t="str">
            <v>天罡战靴碎片</v>
          </cell>
          <cell r="C210">
            <v>10569</v>
          </cell>
          <cell r="D210" t="str">
            <v>10449,10509,10569</v>
          </cell>
          <cell r="E210" t="str">
            <v>[2,[10449,10509,10569]]</v>
          </cell>
        </row>
        <row r="211">
          <cell r="A211" t="str">
            <v/>
          </cell>
          <cell r="B211" t="str">
            <v>天罡战靴碎片</v>
          </cell>
          <cell r="C211">
            <v>10629</v>
          </cell>
          <cell r="D211" t="str">
            <v>10449,10509,10569,10629</v>
          </cell>
          <cell r="E211" t="str">
            <v>[2,[10449,10509,10569,10629]]</v>
          </cell>
        </row>
        <row r="212">
          <cell r="A212" t="str">
            <v/>
          </cell>
          <cell r="B212" t="str">
            <v>天罡战靴碎片</v>
          </cell>
          <cell r="C212">
            <v>10689</v>
          </cell>
          <cell r="D212" t="str">
            <v>10449,10509,10569,10629,10689</v>
          </cell>
          <cell r="E212" t="str">
            <v>[2,[10449,10509,10569,10629,10689]]</v>
          </cell>
        </row>
        <row r="213">
          <cell r="A213" t="str">
            <v/>
          </cell>
          <cell r="B213" t="str">
            <v>天罡战靴碎片</v>
          </cell>
          <cell r="C213">
            <v>10749</v>
          </cell>
          <cell r="D213" t="str">
            <v>10449,10509,10569,10629,10689,10749</v>
          </cell>
          <cell r="E213" t="str">
            <v>[2,[10449,10509,10569,10629,10689,10749]]</v>
          </cell>
        </row>
        <row r="214">
          <cell r="A214" t="str">
            <v/>
          </cell>
          <cell r="B214" t="str">
            <v>天罡战靴碎片</v>
          </cell>
          <cell r="C214">
            <v>10809</v>
          </cell>
          <cell r="D214" t="str">
            <v>10449,10509,10569,10629,10689,10749,10809</v>
          </cell>
          <cell r="E214" t="str">
            <v>[2,[10449,10509,10569,10629,10689,10749,10809]]</v>
          </cell>
        </row>
        <row r="215">
          <cell r="A215" t="str">
            <v/>
          </cell>
          <cell r="B215" t="str">
            <v>天罡战靴碎片</v>
          </cell>
          <cell r="C215">
            <v>10869</v>
          </cell>
          <cell r="D215" t="str">
            <v>10449,10509,10569,10629,10689,10749,10809,10869</v>
          </cell>
          <cell r="E215" t="str">
            <v>[2,[10449,10509,10569,10629,10689,10749,10809,10869]]</v>
          </cell>
        </row>
        <row r="216">
          <cell r="A216" t="str">
            <v/>
          </cell>
          <cell r="B216" t="str">
            <v>天罡战靴碎片</v>
          </cell>
          <cell r="C216">
            <v>10929</v>
          </cell>
          <cell r="D216" t="str">
            <v>10449,10509,10569,10629,10689,10749,10809,10869,10929</v>
          </cell>
          <cell r="E216" t="str">
            <v>[2,[10449,10509,10569,10629,10689,10749,10809,10869,10929]]</v>
          </cell>
        </row>
        <row r="217">
          <cell r="A217" t="str">
            <v/>
          </cell>
          <cell r="B217" t="str">
            <v>天罡战靴碎片</v>
          </cell>
          <cell r="C217">
            <v>10989</v>
          </cell>
          <cell r="D217" t="str">
            <v>10449,10509,10569,10629,10689,10749,10809,10869,10929,10989</v>
          </cell>
          <cell r="E217" t="str">
            <v>[2,[10449,10509,10569,10629,10689,10749,10809,10869,10929,10989]]</v>
          </cell>
        </row>
        <row r="218">
          <cell r="A218" t="str">
            <v/>
          </cell>
          <cell r="B218" t="str">
            <v>天罡战靴碎片</v>
          </cell>
          <cell r="C218">
            <v>11049</v>
          </cell>
          <cell r="D218" t="str">
            <v>10449,10509,10569,10629,10689,10749,10809,10869,10929,10989,11049</v>
          </cell>
          <cell r="E218" t="str">
            <v>[2,[10449,10509,10569,10629,10689,10749,10809,10869,10929,10989,11049]]</v>
          </cell>
        </row>
        <row r="219">
          <cell r="A219" t="str">
            <v/>
          </cell>
          <cell r="B219" t="str">
            <v>天罡战靴碎片</v>
          </cell>
          <cell r="C219">
            <v>11109</v>
          </cell>
          <cell r="D219" t="str">
            <v>10449,10509,10569,10629,10689,10749,10809,10869,10929,10989,11049,11109</v>
          </cell>
          <cell r="E219" t="str">
            <v>[2,[10449,10509,10569,10629,10689,10749,10809,10869,10929,10989,11049,11109]]</v>
          </cell>
        </row>
        <row r="220">
          <cell r="A220" t="str">
            <v/>
          </cell>
          <cell r="B220" t="str">
            <v>天罡战靴碎片</v>
          </cell>
          <cell r="C220">
            <v>11169</v>
          </cell>
          <cell r="D220" t="str">
            <v>10449,10509,10569,10629,10689,10749,10809,10869,10929,10989,11049,11109,11169</v>
          </cell>
          <cell r="E220" t="str">
            <v>[2,[10449,10509,10569,10629,10689,10749,10809,10869,10929,10989,11049,11109,11169]]</v>
          </cell>
        </row>
        <row r="221">
          <cell r="A221" t="str">
            <v/>
          </cell>
          <cell r="B221" t="str">
            <v>天罡战靴碎片</v>
          </cell>
          <cell r="C221">
            <v>11229</v>
          </cell>
          <cell r="D221" t="str">
            <v>10449,10509,10569,10629,10689,10749,10809,10869,10929,10989,11049,11109,11169,11229</v>
          </cell>
          <cell r="E221" t="str">
            <v>[2,[10449,10509,10569,10629,10689,10749,10809,10869,10929,10989,11049,11109,11169,11229]]</v>
          </cell>
        </row>
        <row r="222">
          <cell r="A222">
            <v>11036</v>
          </cell>
          <cell r="B222" t="str">
            <v>天罡战靴碎片</v>
          </cell>
          <cell r="C222">
            <v>11289</v>
          </cell>
          <cell r="D222" t="str">
            <v>10449,10509,10569,10629,10689,10749,10809,10869,10929,10989,11049,11109,11169,11229,11289</v>
          </cell>
          <cell r="E222" t="str">
            <v>[2,[10449,10509,10569,10629,10689,10749,10809,10869,10929,10989,11049,11109,11169,11229,11289]]</v>
          </cell>
        </row>
        <row r="223">
          <cell r="A223" t="str">
            <v/>
          </cell>
          <cell r="B223" t="str">
            <v>天罡长剑碎片</v>
          </cell>
          <cell r="C223">
            <v>10460</v>
          </cell>
          <cell r="D223">
            <v>10460</v>
          </cell>
          <cell r="E223" t="str">
            <v>[2,[10460]]</v>
          </cell>
        </row>
        <row r="224">
          <cell r="A224" t="str">
            <v/>
          </cell>
          <cell r="B224" t="str">
            <v>天罡长剑碎片</v>
          </cell>
          <cell r="C224">
            <v>10520</v>
          </cell>
          <cell r="D224" t="str">
            <v>10460,10520</v>
          </cell>
          <cell r="E224" t="str">
            <v>[2,[10460,10520]]</v>
          </cell>
        </row>
        <row r="225">
          <cell r="A225" t="str">
            <v/>
          </cell>
          <cell r="B225" t="str">
            <v>天罡长剑碎片</v>
          </cell>
          <cell r="C225">
            <v>10580</v>
          </cell>
          <cell r="D225" t="str">
            <v>10460,10520,10580</v>
          </cell>
          <cell r="E225" t="str">
            <v>[2,[10460,10520,10580]]</v>
          </cell>
        </row>
        <row r="226">
          <cell r="A226" t="str">
            <v/>
          </cell>
          <cell r="B226" t="str">
            <v>天罡长剑碎片</v>
          </cell>
          <cell r="C226">
            <v>10640</v>
          </cell>
          <cell r="D226" t="str">
            <v>10460,10520,10580,10640</v>
          </cell>
          <cell r="E226" t="str">
            <v>[2,[10460,10520,10580,10640]]</v>
          </cell>
        </row>
        <row r="227">
          <cell r="A227" t="str">
            <v/>
          </cell>
          <cell r="B227" t="str">
            <v>天罡长剑碎片</v>
          </cell>
          <cell r="C227">
            <v>10700</v>
          </cell>
          <cell r="D227" t="str">
            <v>10460,10520,10580,10640,10700</v>
          </cell>
          <cell r="E227" t="str">
            <v>[2,[10460,10520,10580,10640,10700]]</v>
          </cell>
        </row>
        <row r="228">
          <cell r="A228" t="str">
            <v/>
          </cell>
          <cell r="B228" t="str">
            <v>天罡长剑碎片</v>
          </cell>
          <cell r="C228">
            <v>10760</v>
          </cell>
          <cell r="D228" t="str">
            <v>10460,10520,10580,10640,10700,10760</v>
          </cell>
          <cell r="E228" t="str">
            <v>[2,[10460,10520,10580,10640,10700,10760]]</v>
          </cell>
        </row>
        <row r="229">
          <cell r="A229" t="str">
            <v/>
          </cell>
          <cell r="B229" t="str">
            <v>天罡长剑碎片</v>
          </cell>
          <cell r="C229">
            <v>10820</v>
          </cell>
          <cell r="D229" t="str">
            <v>10460,10520,10580,10640,10700,10760,10820</v>
          </cell>
          <cell r="E229" t="str">
            <v>[2,[10460,10520,10580,10640,10700,10760,10820]]</v>
          </cell>
        </row>
        <row r="230">
          <cell r="A230" t="str">
            <v/>
          </cell>
          <cell r="B230" t="str">
            <v>天罡长剑碎片</v>
          </cell>
          <cell r="C230">
            <v>10880</v>
          </cell>
          <cell r="D230" t="str">
            <v>10460,10520,10580,10640,10700,10760,10820,10880</v>
          </cell>
          <cell r="E230" t="str">
            <v>[2,[10460,10520,10580,10640,10700,10760,10820,10880]]</v>
          </cell>
        </row>
        <row r="231">
          <cell r="A231" t="str">
            <v/>
          </cell>
          <cell r="B231" t="str">
            <v>天罡长剑碎片</v>
          </cell>
          <cell r="C231">
            <v>10940</v>
          </cell>
          <cell r="D231" t="str">
            <v>10460,10520,10580,10640,10700,10760,10820,10880,10940</v>
          </cell>
          <cell r="E231" t="str">
            <v>[2,[10460,10520,10580,10640,10700,10760,10820,10880,10940]]</v>
          </cell>
        </row>
        <row r="232">
          <cell r="A232" t="str">
            <v/>
          </cell>
          <cell r="B232" t="str">
            <v>天罡长剑碎片</v>
          </cell>
          <cell r="C232">
            <v>11000</v>
          </cell>
          <cell r="D232" t="str">
            <v>10460,10520,10580,10640,10700,10760,10820,10880,10940,11000</v>
          </cell>
          <cell r="E232" t="str">
            <v>[2,[10460,10520,10580,10640,10700,10760,10820,10880,10940,11000]]</v>
          </cell>
        </row>
        <row r="233">
          <cell r="A233" t="str">
            <v/>
          </cell>
          <cell r="B233" t="str">
            <v>天罡长剑碎片</v>
          </cell>
          <cell r="C233">
            <v>11060</v>
          </cell>
          <cell r="D233" t="str">
            <v>10460,10520,10580,10640,10700,10760,10820,10880,10940,11000,11060</v>
          </cell>
          <cell r="E233" t="str">
            <v>[2,[10460,10520,10580,10640,10700,10760,10820,10880,10940,11000,11060]]</v>
          </cell>
        </row>
        <row r="234">
          <cell r="A234" t="str">
            <v/>
          </cell>
          <cell r="B234" t="str">
            <v>天罡长剑碎片</v>
          </cell>
          <cell r="C234">
            <v>11120</v>
          </cell>
          <cell r="D234" t="str">
            <v>10460,10520,10580,10640,10700,10760,10820,10880,10940,11000,11060,11120</v>
          </cell>
          <cell r="E234" t="str">
            <v>[2,[10460,10520,10580,10640,10700,10760,10820,10880,10940,11000,11060,11120]]</v>
          </cell>
        </row>
        <row r="235">
          <cell r="A235" t="str">
            <v/>
          </cell>
          <cell r="B235" t="str">
            <v>天罡长剑碎片</v>
          </cell>
          <cell r="C235">
            <v>11180</v>
          </cell>
          <cell r="D235" t="str">
            <v>10460,10520,10580,10640,10700,10760,10820,10880,10940,11000,11060,11120,11180</v>
          </cell>
          <cell r="E235" t="str">
            <v>[2,[10460,10520,10580,10640,10700,10760,10820,10880,10940,11000,11060,11120,11180]]</v>
          </cell>
        </row>
        <row r="236">
          <cell r="A236" t="str">
            <v/>
          </cell>
          <cell r="B236" t="str">
            <v>天罡长剑碎片</v>
          </cell>
          <cell r="C236">
            <v>11240</v>
          </cell>
          <cell r="D236" t="str">
            <v>10460,10520,10580,10640,10700,10760,10820,10880,10940,11000,11060,11120,11180,11240</v>
          </cell>
          <cell r="E236" t="str">
            <v>[2,[10460,10520,10580,10640,10700,10760,10820,10880,10940,11000,11060,11120,11180,11240]]</v>
          </cell>
        </row>
        <row r="237">
          <cell r="A237">
            <v>11034</v>
          </cell>
          <cell r="B237" t="str">
            <v>天罡长剑碎片</v>
          </cell>
          <cell r="C237">
            <v>11300</v>
          </cell>
          <cell r="D237" t="str">
            <v>10460,10520,10580,10640,10700,10760,10820,10880,10940,11000,11060,11120,11180,11240,11300</v>
          </cell>
          <cell r="E237" t="str">
            <v>[2,[10460,10520,10580,10640,10700,10760,10820,10880,10940,11000,11060,11120,11180,11240,11300]]</v>
          </cell>
        </row>
        <row r="238">
          <cell r="A238" t="str">
            <v/>
          </cell>
          <cell r="B238" t="str">
            <v>无影战靴碎片</v>
          </cell>
          <cell r="C238">
            <v>10049</v>
          </cell>
          <cell r="D238">
            <v>10049</v>
          </cell>
          <cell r="E238" t="str">
            <v>[2,[10049]]</v>
          </cell>
        </row>
        <row r="239">
          <cell r="A239">
            <v>11004</v>
          </cell>
          <cell r="B239" t="str">
            <v>无影战靴碎片</v>
          </cell>
          <cell r="C239">
            <v>10109</v>
          </cell>
          <cell r="D239" t="str">
            <v>10049,10109</v>
          </cell>
          <cell r="E239" t="str">
            <v>[2,[10049,10109]]</v>
          </cell>
        </row>
        <row r="240">
          <cell r="A240" t="str">
            <v/>
          </cell>
          <cell r="B240" t="str">
            <v>血魔战甲碎片</v>
          </cell>
          <cell r="C240">
            <v>10419</v>
          </cell>
          <cell r="D240">
            <v>10419</v>
          </cell>
          <cell r="E240" t="str">
            <v>[2,[10419]]</v>
          </cell>
        </row>
        <row r="241">
          <cell r="A241" t="str">
            <v/>
          </cell>
          <cell r="B241" t="str">
            <v>血魔战甲碎片</v>
          </cell>
          <cell r="C241">
            <v>10479</v>
          </cell>
          <cell r="D241" t="str">
            <v>10419,10479</v>
          </cell>
          <cell r="E241" t="str">
            <v>[2,[10419,10479]]</v>
          </cell>
        </row>
        <row r="242">
          <cell r="A242" t="str">
            <v/>
          </cell>
          <cell r="B242" t="str">
            <v>血魔战甲碎片</v>
          </cell>
          <cell r="C242">
            <v>10539</v>
          </cell>
          <cell r="D242" t="str">
            <v>10419,10479,10539</v>
          </cell>
          <cell r="E242" t="str">
            <v>[2,[10419,10479,10539]]</v>
          </cell>
        </row>
        <row r="243">
          <cell r="A243" t="str">
            <v/>
          </cell>
          <cell r="B243" t="str">
            <v>血魔战甲碎片</v>
          </cell>
          <cell r="C243">
            <v>10599</v>
          </cell>
          <cell r="D243" t="str">
            <v>10419,10479,10539,10599</v>
          </cell>
          <cell r="E243" t="str">
            <v>[2,[10419,10479,10539,10599]]</v>
          </cell>
        </row>
        <row r="244">
          <cell r="A244" t="str">
            <v/>
          </cell>
          <cell r="B244" t="str">
            <v>血魔战甲碎片</v>
          </cell>
          <cell r="C244">
            <v>10659</v>
          </cell>
          <cell r="D244" t="str">
            <v>10419,10479,10539,10599,10659</v>
          </cell>
          <cell r="E244" t="str">
            <v>[2,[10419,10479,10539,10599,10659]]</v>
          </cell>
        </row>
        <row r="245">
          <cell r="A245" t="str">
            <v/>
          </cell>
          <cell r="B245" t="str">
            <v>血魔战甲碎片</v>
          </cell>
          <cell r="C245">
            <v>10719</v>
          </cell>
          <cell r="D245" t="str">
            <v>10419,10479,10539,10599,10659,10719</v>
          </cell>
          <cell r="E245" t="str">
            <v>[2,[10419,10479,10539,10599,10659,10719]]</v>
          </cell>
        </row>
        <row r="246">
          <cell r="A246" t="str">
            <v/>
          </cell>
          <cell r="B246" t="str">
            <v>血魔战甲碎片</v>
          </cell>
          <cell r="C246">
            <v>10779</v>
          </cell>
          <cell r="D246" t="str">
            <v>10419,10479,10539,10599,10659,10719,10779</v>
          </cell>
          <cell r="E246" t="str">
            <v>[2,[10419,10479,10539,10599,10659,10719,10779]]</v>
          </cell>
        </row>
        <row r="247">
          <cell r="A247" t="str">
            <v/>
          </cell>
          <cell r="B247" t="str">
            <v>血魔战甲碎片</v>
          </cell>
          <cell r="C247">
            <v>10839</v>
          </cell>
          <cell r="D247" t="str">
            <v>10419,10479,10539,10599,10659,10719,10779,10839</v>
          </cell>
          <cell r="E247" t="str">
            <v>[2,[10419,10479,10539,10599,10659,10719,10779,10839]]</v>
          </cell>
        </row>
        <row r="248">
          <cell r="A248" t="str">
            <v/>
          </cell>
          <cell r="B248" t="str">
            <v>血魔战甲碎片</v>
          </cell>
          <cell r="C248">
            <v>10899</v>
          </cell>
          <cell r="D248" t="str">
            <v>10419,10479,10539,10599,10659,10719,10779,10839,10899</v>
          </cell>
          <cell r="E248" t="str">
            <v>[2,[10419,10479,10539,10599,10659,10719,10779,10839,10899]]</v>
          </cell>
        </row>
        <row r="249">
          <cell r="A249" t="str">
            <v/>
          </cell>
          <cell r="B249" t="str">
            <v>血魔战甲碎片</v>
          </cell>
          <cell r="C249">
            <v>10959</v>
          </cell>
          <cell r="D249" t="str">
            <v>10419,10479,10539,10599,10659,10719,10779,10839,10899,10959</v>
          </cell>
          <cell r="E249" t="str">
            <v>[2,[10419,10479,10539,10599,10659,10719,10779,10839,10899,10959]]</v>
          </cell>
        </row>
        <row r="250">
          <cell r="A250" t="str">
            <v/>
          </cell>
          <cell r="B250" t="str">
            <v>血魔战甲碎片</v>
          </cell>
          <cell r="C250">
            <v>11019</v>
          </cell>
          <cell r="D250" t="str">
            <v>10419,10479,10539,10599,10659,10719,10779,10839,10899,10959,11019</v>
          </cell>
          <cell r="E250" t="str">
            <v>[2,[10419,10479,10539,10599,10659,10719,10779,10839,10899,10959,11019]]</v>
          </cell>
        </row>
        <row r="251">
          <cell r="A251" t="str">
            <v/>
          </cell>
          <cell r="B251" t="str">
            <v>血魔战甲碎片</v>
          </cell>
          <cell r="C251">
            <v>11079</v>
          </cell>
          <cell r="D251" t="str">
            <v>10419,10479,10539,10599,10659,10719,10779,10839,10899,10959,11019,11079</v>
          </cell>
          <cell r="E251" t="str">
            <v>[2,[10419,10479,10539,10599,10659,10719,10779,10839,10899,10959,11019,11079]]</v>
          </cell>
        </row>
        <row r="252">
          <cell r="A252" t="str">
            <v/>
          </cell>
          <cell r="B252" t="str">
            <v>血魔战甲碎片</v>
          </cell>
          <cell r="C252">
            <v>11139</v>
          </cell>
          <cell r="D252" t="str">
            <v>10419,10479,10539,10599,10659,10719,10779,10839,10899,10959,11019,11079,11139</v>
          </cell>
          <cell r="E252" t="str">
            <v>[2,[10419,10479,10539,10599,10659,10719,10779,10839,10899,10959,11019,11079,11139]]</v>
          </cell>
        </row>
        <row r="253">
          <cell r="A253" t="str">
            <v/>
          </cell>
          <cell r="B253" t="str">
            <v>血魔战甲碎片</v>
          </cell>
          <cell r="C253">
            <v>11199</v>
          </cell>
          <cell r="D253" t="str">
            <v>10419,10479,10539,10599,10659,10719,10779,10839,10899,10959,11019,11079,11139,11199</v>
          </cell>
          <cell r="E253" t="str">
            <v>[2,[10419,10479,10539,10599,10659,10719,10779,10839,10899,10959,11019,11079,11139,11199]]</v>
          </cell>
        </row>
        <row r="254">
          <cell r="A254" t="str">
            <v/>
          </cell>
          <cell r="B254" t="str">
            <v>血魔战甲碎片</v>
          </cell>
          <cell r="C254">
            <v>11259</v>
          </cell>
          <cell r="D254" t="str">
            <v>10419,10479,10539,10599,10659,10719,10779,10839,10899,10959,11019,11079,11139,11199,11259</v>
          </cell>
          <cell r="E254" t="str">
            <v>[2,[10419,10479,10539,10599,10659,10719,10779,10839,10899,10959,11019,11079,11139,11199,11259]]</v>
          </cell>
        </row>
        <row r="255">
          <cell r="A255">
            <v>11025</v>
          </cell>
          <cell r="B255" t="str">
            <v>血魔战甲碎片</v>
          </cell>
          <cell r="C255">
            <v>11319</v>
          </cell>
          <cell r="D255" t="str">
            <v>10419,10479,10539,10599,10659,10719,10779,10839,10899,10959,11019,11079,11139,11199,11259,11319</v>
          </cell>
          <cell r="E255" t="str">
            <v>[2,[10419,10479,10539,10599,10659,10719,10779,10839,10899,10959,11019,11079,11139,11199,11259,11319]]</v>
          </cell>
        </row>
        <row r="256">
          <cell r="A256" t="str">
            <v/>
          </cell>
          <cell r="B256" t="str">
            <v>雁虞头盔碎片</v>
          </cell>
          <cell r="C256">
            <v>10050</v>
          </cell>
          <cell r="D256">
            <v>10050</v>
          </cell>
          <cell r="E256" t="str">
            <v>[2,[10050]]</v>
          </cell>
        </row>
        <row r="257">
          <cell r="A257">
            <v>11003</v>
          </cell>
          <cell r="B257" t="str">
            <v>雁虞头盔碎片</v>
          </cell>
          <cell r="C257">
            <v>10110</v>
          </cell>
          <cell r="D257" t="str">
            <v>10050,10110</v>
          </cell>
          <cell r="E257" t="str">
            <v>[2,[10050,10110]]</v>
          </cell>
        </row>
        <row r="258">
          <cell r="A258" t="str">
            <v/>
          </cell>
          <cell r="B258" t="str">
            <v>耀日头盔碎片</v>
          </cell>
          <cell r="C258">
            <v>10170</v>
          </cell>
          <cell r="D258">
            <v>10170</v>
          </cell>
          <cell r="E258" t="str">
            <v>[2,[10170]]</v>
          </cell>
        </row>
        <row r="259">
          <cell r="A259" t="str">
            <v/>
          </cell>
          <cell r="B259" t="str">
            <v>耀日头盔碎片</v>
          </cell>
          <cell r="C259">
            <v>10230</v>
          </cell>
          <cell r="D259" t="str">
            <v>10170,10230</v>
          </cell>
          <cell r="E259" t="str">
            <v>[2,[10170,10230]]</v>
          </cell>
        </row>
        <row r="260">
          <cell r="A260" t="str">
            <v/>
          </cell>
          <cell r="B260" t="str">
            <v>耀日头盔碎片</v>
          </cell>
          <cell r="C260">
            <v>10290</v>
          </cell>
          <cell r="D260" t="str">
            <v>10170,10230,10290</v>
          </cell>
          <cell r="E260" t="str">
            <v>[2,[10170,10230,10290]]</v>
          </cell>
        </row>
        <row r="261">
          <cell r="A261">
            <v>11015</v>
          </cell>
          <cell r="B261" t="str">
            <v>耀日头盔碎片</v>
          </cell>
          <cell r="C261">
            <v>10350</v>
          </cell>
          <cell r="D261" t="str">
            <v>10170,10230,10290,10350</v>
          </cell>
          <cell r="E261" t="str">
            <v>[2,[10170,10230,10290,10350]]</v>
          </cell>
        </row>
        <row r="262">
          <cell r="A262" t="str">
            <v/>
          </cell>
          <cell r="B262" t="str">
            <v>紫阳长剑碎片</v>
          </cell>
          <cell r="C262">
            <v>10180</v>
          </cell>
          <cell r="D262">
            <v>10180</v>
          </cell>
          <cell r="E262" t="str">
            <v>[2,[10180]]</v>
          </cell>
        </row>
        <row r="263">
          <cell r="A263" t="str">
            <v/>
          </cell>
          <cell r="B263" t="str">
            <v>紫阳长剑碎片</v>
          </cell>
          <cell r="C263">
            <v>10240</v>
          </cell>
          <cell r="D263" t="str">
            <v>10180,10240</v>
          </cell>
          <cell r="E263" t="str">
            <v>[2,[10180,10240]]</v>
          </cell>
        </row>
        <row r="264">
          <cell r="A264" t="str">
            <v/>
          </cell>
          <cell r="B264" t="str">
            <v>紫阳长剑碎片</v>
          </cell>
          <cell r="C264">
            <v>10300</v>
          </cell>
          <cell r="D264" t="str">
            <v>10180,10240,10300</v>
          </cell>
          <cell r="E264" t="str">
            <v>[2,[10180,10240,10300]]</v>
          </cell>
        </row>
        <row r="265">
          <cell r="A265">
            <v>11014</v>
          </cell>
          <cell r="B265" t="str">
            <v>紫阳长剑碎片</v>
          </cell>
          <cell r="C265">
            <v>10360</v>
          </cell>
          <cell r="D265" t="str">
            <v>10180,10240,10300,10360</v>
          </cell>
          <cell r="E265" t="str">
            <v>[2,[10180,10240,10300,10360]]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</sheetNames>
    <sheetDataSet>
      <sheetData sheetId="0">
        <row r="1">
          <cell r="A1" t="str">
            <v>掉落组ID
[字符串]
角色10001~15000
装备15001~20000
法宝20001~25000
道具25001~30000
任务30001~40000
关卡40001~50000
宝箱50001~51000
抽卡51001~52000
超级聚仙52001~53000
通天60001~62000
签到和七日奖励65001~69000
血战奖励70001~72000
邮件和竞技奖励72001~75000
开服七日活动奖励75001-79999
普通活动-累计登陆奖励 80000-89999</v>
          </cell>
          <cell r="B1" t="str">
            <v>掉落包类型
0-全部抽出（不考虑后面的掉率或权重）
1-抽1个（根据后面的掉率或权重抽取）
2-抽1个（根据权重抽取，但是被抽出的物品会从奖池里去除）
3-选择宝箱（多个奖励里面选1个，前端发type,id,数量，后端处理发奖，不是发送位置来处理）</v>
          </cell>
          <cell r="C1" t="str">
            <v>奖励显示
类型|物品ID|数量
类型：
1=道具（game_items）
2=装备(game_equpment)
3=reward(game_reward)
4=资源（currency）
5=伙伴（hero_main）
6=法宝(game_fabao)</v>
          </cell>
          <cell r="D1" t="str">
            <v>备注,不做解析。</v>
          </cell>
          <cell r="E1" t="str">
            <v xml:space="preserve">类型|物品ID|数量|概率
从奖池中按照权重计算掉落物品
类型：
1=道具（game_items）
2=装备(game_equpment)
3=reward(game_reward)
4=资源（currency）
5=伙伴（hero_main）
6=法宝(game_fabao)
</v>
          </cell>
        </row>
        <row r="2">
          <cell r="A2" t="str">
            <v>reward_id</v>
          </cell>
          <cell r="B2" t="str">
            <v>reward_type</v>
          </cell>
          <cell r="C2" t="str">
            <v>display_props_id</v>
          </cell>
          <cell r="D2" t="str">
            <v>reward_des</v>
          </cell>
          <cell r="E2" t="str">
            <v>props_id</v>
          </cell>
        </row>
        <row r="3">
          <cell r="A3" t="str">
            <v>s</v>
          </cell>
          <cell r="B3" t="str">
            <v>i</v>
          </cell>
          <cell r="C3" t="str">
            <v>s</v>
          </cell>
          <cell r="D3" t="str">
            <v>s</v>
          </cell>
          <cell r="E3" t="str">
            <v>s</v>
          </cell>
        </row>
        <row r="4">
          <cell r="A4">
            <v>1001</v>
          </cell>
          <cell r="B4">
            <v>1</v>
          </cell>
          <cell r="C4" t="str">
            <v>1|16011|1</v>
          </cell>
          <cell r="D4" t="str">
            <v>关卡通关章节掉落天雷符</v>
          </cell>
          <cell r="E4" t="str">
            <v>1|16011|1|1</v>
          </cell>
        </row>
        <row r="5">
          <cell r="A5">
            <v>10001</v>
          </cell>
          <cell r="B5">
            <v>1</v>
          </cell>
          <cell r="C5" t="str">
            <v>5|1101|1</v>
          </cell>
          <cell r="D5" t="str">
            <v>二郎神</v>
          </cell>
          <cell r="E5" t="str">
            <v>5|1101|1|1</v>
          </cell>
        </row>
        <row r="6">
          <cell r="A6">
            <v>10002</v>
          </cell>
          <cell r="B6">
            <v>1</v>
          </cell>
          <cell r="C6" t="str">
            <v>5|1102|1</v>
          </cell>
          <cell r="D6" t="str">
            <v>哪吒</v>
          </cell>
          <cell r="E6" t="str">
            <v>5|1102|1|1</v>
          </cell>
        </row>
        <row r="7">
          <cell r="A7">
            <v>10003</v>
          </cell>
          <cell r="B7">
            <v>1</v>
          </cell>
          <cell r="C7" t="str">
            <v>5|1103|1</v>
          </cell>
          <cell r="D7" t="str">
            <v>嫦娥</v>
          </cell>
          <cell r="E7" t="str">
            <v>5|1103|1|1</v>
          </cell>
        </row>
        <row r="8">
          <cell r="A8">
            <v>10004</v>
          </cell>
          <cell r="B8">
            <v>1</v>
          </cell>
          <cell r="C8" t="str">
            <v>5|1104|1</v>
          </cell>
          <cell r="D8" t="str">
            <v>玉皇大帝</v>
          </cell>
          <cell r="E8" t="str">
            <v>5|1104|1|1</v>
          </cell>
        </row>
        <row r="9">
          <cell r="A9">
            <v>10005</v>
          </cell>
          <cell r="B9">
            <v>1</v>
          </cell>
          <cell r="C9" t="str">
            <v>5|1105|1</v>
          </cell>
          <cell r="D9" t="str">
            <v>王母娘娘</v>
          </cell>
          <cell r="E9" t="str">
            <v>5|1105|1|1</v>
          </cell>
        </row>
        <row r="10">
          <cell r="A10">
            <v>10006</v>
          </cell>
          <cell r="B10">
            <v>1</v>
          </cell>
          <cell r="C10" t="str">
            <v>5|1106|1</v>
          </cell>
          <cell r="D10" t="str">
            <v>太白金星</v>
          </cell>
          <cell r="E10" t="str">
            <v>5|1106|1|1</v>
          </cell>
        </row>
        <row r="11">
          <cell r="A11">
            <v>10007</v>
          </cell>
          <cell r="B11">
            <v>1</v>
          </cell>
          <cell r="C11" t="str">
            <v>5|1107|1</v>
          </cell>
          <cell r="D11" t="str">
            <v>赤脚大仙</v>
          </cell>
          <cell r="E11" t="str">
            <v>5|1107|1|1</v>
          </cell>
        </row>
        <row r="12">
          <cell r="A12">
            <v>10008</v>
          </cell>
          <cell r="B12">
            <v>1</v>
          </cell>
          <cell r="C12" t="str">
            <v>5|1108|1</v>
          </cell>
          <cell r="D12" t="str">
            <v>托塔天王</v>
          </cell>
          <cell r="E12" t="str">
            <v>5|1108|1|1</v>
          </cell>
        </row>
        <row r="13">
          <cell r="A13">
            <v>10009</v>
          </cell>
          <cell r="B13">
            <v>1</v>
          </cell>
          <cell r="C13" t="str">
            <v>5|1109|1</v>
          </cell>
          <cell r="D13" t="str">
            <v>九天玄女</v>
          </cell>
          <cell r="E13" t="str">
            <v>5|1109|1|1</v>
          </cell>
        </row>
        <row r="14">
          <cell r="A14">
            <v>10010</v>
          </cell>
          <cell r="B14">
            <v>1</v>
          </cell>
          <cell r="C14" t="str">
            <v>5|1110|1</v>
          </cell>
          <cell r="D14" t="str">
            <v>红孩儿</v>
          </cell>
          <cell r="E14" t="str">
            <v>5|1110|1|1</v>
          </cell>
        </row>
        <row r="15">
          <cell r="A15">
            <v>10011</v>
          </cell>
          <cell r="B15">
            <v>1</v>
          </cell>
          <cell r="C15" t="str">
            <v>5|1111|1</v>
          </cell>
          <cell r="D15" t="str">
            <v>铁扇公主</v>
          </cell>
          <cell r="E15" t="str">
            <v>5|1111|1|1</v>
          </cell>
        </row>
        <row r="16">
          <cell r="A16">
            <v>10012</v>
          </cell>
          <cell r="B16">
            <v>1</v>
          </cell>
          <cell r="C16" t="str">
            <v>5|1112|1</v>
          </cell>
          <cell r="D16" t="str">
            <v>牛魔王</v>
          </cell>
          <cell r="E16" t="str">
            <v>5|1112|1|1</v>
          </cell>
        </row>
        <row r="17">
          <cell r="A17">
            <v>10013</v>
          </cell>
          <cell r="B17">
            <v>1</v>
          </cell>
          <cell r="C17" t="str">
            <v>5|1113|1</v>
          </cell>
          <cell r="D17" t="str">
            <v>虎力大仙</v>
          </cell>
          <cell r="E17" t="str">
            <v>5|1113|1|1</v>
          </cell>
        </row>
        <row r="18">
          <cell r="A18">
            <v>10014</v>
          </cell>
          <cell r="B18">
            <v>1</v>
          </cell>
          <cell r="C18" t="str">
            <v>5|1114|1</v>
          </cell>
          <cell r="D18" t="str">
            <v>鹿力大仙</v>
          </cell>
          <cell r="E18" t="str">
            <v>5|1114|1|1</v>
          </cell>
        </row>
        <row r="19">
          <cell r="A19">
            <v>10015</v>
          </cell>
          <cell r="B19">
            <v>1</v>
          </cell>
          <cell r="C19" t="str">
            <v>5|1115|1</v>
          </cell>
          <cell r="D19" t="str">
            <v>羊力大仙</v>
          </cell>
          <cell r="E19" t="str">
            <v>5|1115|1|1</v>
          </cell>
        </row>
        <row r="20">
          <cell r="A20">
            <v>10016</v>
          </cell>
          <cell r="B20">
            <v>1</v>
          </cell>
          <cell r="C20" t="str">
            <v>5|1116|1</v>
          </cell>
          <cell r="D20" t="str">
            <v>白骨夫人</v>
          </cell>
          <cell r="E20" t="str">
            <v>5|1116|1|1</v>
          </cell>
        </row>
        <row r="21">
          <cell r="A21">
            <v>10017</v>
          </cell>
          <cell r="B21">
            <v>1</v>
          </cell>
          <cell r="C21" t="str">
            <v>5|1117|1</v>
          </cell>
          <cell r="D21" t="str">
            <v>六耳猕猴</v>
          </cell>
          <cell r="E21" t="str">
            <v>5|1117|1|1</v>
          </cell>
        </row>
        <row r="22">
          <cell r="A22">
            <v>10018</v>
          </cell>
          <cell r="B22">
            <v>1</v>
          </cell>
          <cell r="C22" t="str">
            <v>5|1118|1</v>
          </cell>
          <cell r="D22" t="str">
            <v>混沌</v>
          </cell>
          <cell r="E22" t="str">
            <v>5|1118|1|1</v>
          </cell>
        </row>
        <row r="23">
          <cell r="A23">
            <v>10019</v>
          </cell>
          <cell r="B23">
            <v>1</v>
          </cell>
          <cell r="C23" t="str">
            <v>5|1119|1</v>
          </cell>
          <cell r="D23" t="str">
            <v>孙悟空</v>
          </cell>
          <cell r="E23" t="str">
            <v>5|1119|1|1</v>
          </cell>
        </row>
        <row r="24">
          <cell r="A24">
            <v>10020</v>
          </cell>
          <cell r="B24">
            <v>1</v>
          </cell>
          <cell r="C24" t="str">
            <v>5|1120|1</v>
          </cell>
          <cell r="D24" t="str">
            <v>猪八戒</v>
          </cell>
          <cell r="E24" t="str">
            <v>5|1120|1|1</v>
          </cell>
        </row>
        <row r="25">
          <cell r="A25">
            <v>10021</v>
          </cell>
          <cell r="B25">
            <v>1</v>
          </cell>
          <cell r="C25" t="str">
            <v>5|1121|1</v>
          </cell>
          <cell r="D25" t="str">
            <v>紫霞仙子</v>
          </cell>
          <cell r="E25" t="str">
            <v>5|1121|1|1</v>
          </cell>
        </row>
        <row r="26">
          <cell r="A26">
            <v>10022</v>
          </cell>
          <cell r="B26">
            <v>1</v>
          </cell>
          <cell r="C26" t="str">
            <v>5|1122|1</v>
          </cell>
          <cell r="D26" t="str">
            <v>唐三藏</v>
          </cell>
          <cell r="E26" t="str">
            <v>5|1122|1|1</v>
          </cell>
        </row>
        <row r="27">
          <cell r="A27">
            <v>10023</v>
          </cell>
          <cell r="B27">
            <v>1</v>
          </cell>
          <cell r="C27" t="str">
            <v>5|1123|1</v>
          </cell>
          <cell r="D27" t="str">
            <v>小白龙</v>
          </cell>
          <cell r="E27" t="str">
            <v>5|1123|1|1</v>
          </cell>
        </row>
        <row r="28">
          <cell r="A28">
            <v>10024</v>
          </cell>
          <cell r="B28">
            <v>1</v>
          </cell>
          <cell r="C28" t="str">
            <v>5|1124|1</v>
          </cell>
          <cell r="D28" t="str">
            <v>沙和尚</v>
          </cell>
          <cell r="E28" t="str">
            <v>5|1124|1|1</v>
          </cell>
        </row>
        <row r="29">
          <cell r="A29">
            <v>10025</v>
          </cell>
          <cell r="B29">
            <v>1</v>
          </cell>
          <cell r="C29" t="str">
            <v>5|1125|1</v>
          </cell>
          <cell r="D29" t="str">
            <v>迦叶</v>
          </cell>
          <cell r="E29" t="str">
            <v>5|1125|1|1</v>
          </cell>
        </row>
        <row r="30">
          <cell r="A30">
            <v>10026</v>
          </cell>
          <cell r="B30">
            <v>1</v>
          </cell>
          <cell r="C30" t="str">
            <v>5|1126|1</v>
          </cell>
          <cell r="D30" t="str">
            <v>文殊菩萨</v>
          </cell>
          <cell r="E30" t="str">
            <v>5|1126|1|1</v>
          </cell>
        </row>
        <row r="31">
          <cell r="A31">
            <v>10027</v>
          </cell>
          <cell r="B31">
            <v>1</v>
          </cell>
          <cell r="C31" t="str">
            <v>5|1127|1</v>
          </cell>
          <cell r="D31" t="str">
            <v>弥勒佛</v>
          </cell>
          <cell r="E31" t="str">
            <v>5|1127|1|1</v>
          </cell>
        </row>
        <row r="32">
          <cell r="A32">
            <v>10028</v>
          </cell>
          <cell r="B32">
            <v>1</v>
          </cell>
          <cell r="C32" t="str">
            <v>5|1128|1</v>
          </cell>
          <cell r="D32" t="str">
            <v>赛太岁</v>
          </cell>
          <cell r="E32" t="str">
            <v>5|1128|1|1</v>
          </cell>
        </row>
        <row r="33">
          <cell r="A33">
            <v>10030</v>
          </cell>
          <cell r="B33">
            <v>1</v>
          </cell>
          <cell r="C33" t="str">
            <v>5|1130|1</v>
          </cell>
          <cell r="D33" t="str">
            <v>地藏王</v>
          </cell>
          <cell r="E33" t="str">
            <v>5|1130|1|1</v>
          </cell>
        </row>
        <row r="34">
          <cell r="A34">
            <v>10031</v>
          </cell>
          <cell r="B34">
            <v>1</v>
          </cell>
          <cell r="C34" t="str">
            <v>5|1131|1</v>
          </cell>
          <cell r="D34" t="str">
            <v>蝎子精</v>
          </cell>
          <cell r="E34" t="str">
            <v>5|1131|1|1</v>
          </cell>
        </row>
        <row r="35">
          <cell r="A35">
            <v>10032</v>
          </cell>
          <cell r="B35">
            <v>1</v>
          </cell>
          <cell r="C35" t="str">
            <v>5|1132|1</v>
          </cell>
          <cell r="D35" t="str">
            <v>混世魔王</v>
          </cell>
          <cell r="E35" t="str">
            <v>5|1132|1|1</v>
          </cell>
        </row>
        <row r="36">
          <cell r="A36">
            <v>10033</v>
          </cell>
          <cell r="B36">
            <v>1</v>
          </cell>
          <cell r="C36" t="str">
            <v>5|1134|1</v>
          </cell>
          <cell r="D36" t="str">
            <v>泾河龙王</v>
          </cell>
          <cell r="E36" t="str">
            <v>5|1134|1|1</v>
          </cell>
        </row>
        <row r="37">
          <cell r="A37">
            <v>10034</v>
          </cell>
          <cell r="B37">
            <v>1</v>
          </cell>
          <cell r="C37" t="str">
            <v>5|1134|1</v>
          </cell>
          <cell r="D37" t="str">
            <v>泾河龙王</v>
          </cell>
          <cell r="E37" t="str">
            <v>5|1134|1|1</v>
          </cell>
        </row>
        <row r="38">
          <cell r="A38">
            <v>10035</v>
          </cell>
          <cell r="B38">
            <v>1</v>
          </cell>
          <cell r="C38" t="str">
            <v>5|1135|1</v>
          </cell>
          <cell r="D38" t="str">
            <v>东海龙王</v>
          </cell>
          <cell r="E38" t="str">
            <v>5|1135|1|1</v>
          </cell>
        </row>
        <row r="39">
          <cell r="A39">
            <v>10036</v>
          </cell>
          <cell r="B39">
            <v>1</v>
          </cell>
          <cell r="C39" t="str">
            <v>5|1136|1</v>
          </cell>
          <cell r="D39" t="str">
            <v>白龙公主</v>
          </cell>
          <cell r="E39" t="str">
            <v>5|1136|1|1</v>
          </cell>
        </row>
        <row r="40">
          <cell r="A40">
            <v>10037</v>
          </cell>
          <cell r="B40">
            <v>1</v>
          </cell>
          <cell r="C40" t="str">
            <v>5|1137|1</v>
          </cell>
          <cell r="D40" t="str">
            <v>蜘蛛精</v>
          </cell>
          <cell r="E40" t="str">
            <v>5|1137|1|1</v>
          </cell>
        </row>
        <row r="41">
          <cell r="A41">
            <v>10038</v>
          </cell>
          <cell r="B41">
            <v>1</v>
          </cell>
          <cell r="C41" t="str">
            <v>5|1138|1</v>
          </cell>
          <cell r="D41" t="str">
            <v>玉面夫人</v>
          </cell>
          <cell r="E41" t="str">
            <v>5|1138|1|1</v>
          </cell>
        </row>
        <row r="42">
          <cell r="A42">
            <v>10039</v>
          </cell>
          <cell r="B42">
            <v>1</v>
          </cell>
          <cell r="C42" t="str">
            <v>5|1139|1</v>
          </cell>
          <cell r="D42" t="str">
            <v>金钱豹王</v>
          </cell>
          <cell r="E42" t="str">
            <v>5|1139|1|1</v>
          </cell>
        </row>
        <row r="43">
          <cell r="A43">
            <v>10040</v>
          </cell>
          <cell r="B43">
            <v>1</v>
          </cell>
          <cell r="C43" t="str">
            <v>5|1140|1</v>
          </cell>
          <cell r="D43" t="str">
            <v>墨鱼精</v>
          </cell>
          <cell r="E43" t="str">
            <v>5|1140|1|1</v>
          </cell>
        </row>
        <row r="44">
          <cell r="A44">
            <v>10041</v>
          </cell>
          <cell r="B44">
            <v>1</v>
          </cell>
          <cell r="C44" t="str">
            <v>5|1141|1</v>
          </cell>
          <cell r="D44" t="str">
            <v>玉兔精</v>
          </cell>
          <cell r="E44" t="str">
            <v>5|1141|1|1</v>
          </cell>
        </row>
        <row r="45">
          <cell r="A45">
            <v>10042</v>
          </cell>
          <cell r="B45">
            <v>1</v>
          </cell>
          <cell r="C45" t="str">
            <v>5|1142|1</v>
          </cell>
          <cell r="D45" t="str">
            <v>火狮人</v>
          </cell>
          <cell r="E45" t="str">
            <v>5|1142|1|1</v>
          </cell>
        </row>
        <row r="46">
          <cell r="A46">
            <v>10043</v>
          </cell>
          <cell r="B46">
            <v>1</v>
          </cell>
          <cell r="C46" t="str">
            <v>5|1143|1</v>
          </cell>
          <cell r="D46" t="str">
            <v>土狮人</v>
          </cell>
          <cell r="E46" t="str">
            <v>5|1143|1|1</v>
          </cell>
        </row>
        <row r="47">
          <cell r="A47">
            <v>10046</v>
          </cell>
          <cell r="B47">
            <v>1</v>
          </cell>
          <cell r="C47" t="str">
            <v>5|1146|1</v>
          </cell>
          <cell r="D47" t="str">
            <v>金石头人</v>
          </cell>
          <cell r="E47" t="str">
            <v>5|1146|1|1</v>
          </cell>
        </row>
        <row r="48">
          <cell r="A48">
            <v>10047</v>
          </cell>
          <cell r="B48">
            <v>1</v>
          </cell>
          <cell r="C48" t="str">
            <v>5|1147|1</v>
          </cell>
          <cell r="D48" t="str">
            <v>木石头人</v>
          </cell>
          <cell r="E48" t="str">
            <v>5|1147|1|1</v>
          </cell>
        </row>
        <row r="49">
          <cell r="A49">
            <v>10048</v>
          </cell>
          <cell r="B49">
            <v>1</v>
          </cell>
          <cell r="C49" t="str">
            <v>5|1148|1</v>
          </cell>
          <cell r="D49" t="str">
            <v>土石头人</v>
          </cell>
          <cell r="E49" t="str">
            <v>5|1148|1|1</v>
          </cell>
        </row>
        <row r="50">
          <cell r="A50">
            <v>10052</v>
          </cell>
          <cell r="B50">
            <v>1</v>
          </cell>
          <cell r="C50" t="str">
            <v>5|1152|1</v>
          </cell>
          <cell r="D50" t="str">
            <v>黑熊精</v>
          </cell>
          <cell r="E50" t="str">
            <v>5|1152|1|1</v>
          </cell>
        </row>
        <row r="51">
          <cell r="A51">
            <v>10053</v>
          </cell>
          <cell r="B51">
            <v>1</v>
          </cell>
          <cell r="C51" t="str">
            <v>5|1153|1</v>
          </cell>
          <cell r="D51" t="str">
            <v>奔波儿灞</v>
          </cell>
          <cell r="E51" t="str">
            <v>5|1153|1|1</v>
          </cell>
        </row>
        <row r="52">
          <cell r="A52">
            <v>10054</v>
          </cell>
          <cell r="B52">
            <v>1</v>
          </cell>
          <cell r="C52" t="str">
            <v>5|1154|1</v>
          </cell>
          <cell r="D52" t="str">
            <v>灞波尔奔</v>
          </cell>
          <cell r="E52" t="str">
            <v>5|1154|1|1</v>
          </cell>
        </row>
        <row r="53">
          <cell r="A53">
            <v>10055</v>
          </cell>
          <cell r="B53">
            <v>1</v>
          </cell>
          <cell r="C53" t="str">
            <v>5|1155|1</v>
          </cell>
          <cell r="D53" t="str">
            <v>金大蟒精</v>
          </cell>
          <cell r="E53" t="str">
            <v>5|1155|1|1</v>
          </cell>
        </row>
        <row r="54">
          <cell r="A54">
            <v>10056</v>
          </cell>
          <cell r="B54">
            <v>1</v>
          </cell>
          <cell r="C54" t="str">
            <v>5|1156|1</v>
          </cell>
          <cell r="D54" t="str">
            <v>木大蟒精</v>
          </cell>
          <cell r="E54" t="str">
            <v>5|1156|1|1</v>
          </cell>
        </row>
        <row r="55">
          <cell r="A55">
            <v>10057</v>
          </cell>
          <cell r="B55">
            <v>1</v>
          </cell>
          <cell r="C55" t="str">
            <v>5|1157|1</v>
          </cell>
          <cell r="D55" t="str">
            <v>木狐美人</v>
          </cell>
          <cell r="E55" t="str">
            <v>5|1157|1|1</v>
          </cell>
        </row>
        <row r="56">
          <cell r="A56">
            <v>10058</v>
          </cell>
          <cell r="B56">
            <v>1</v>
          </cell>
          <cell r="C56" t="str">
            <v>5|1158|1</v>
          </cell>
          <cell r="D56" t="str">
            <v>水狐美人</v>
          </cell>
          <cell r="E56" t="str">
            <v>5|1158|1|1</v>
          </cell>
        </row>
        <row r="57">
          <cell r="A57">
            <v>10059</v>
          </cell>
          <cell r="B57">
            <v>1</v>
          </cell>
          <cell r="C57" t="str">
            <v>5|1159|1</v>
          </cell>
          <cell r="D57" t="str">
            <v>火狐美人</v>
          </cell>
          <cell r="E57" t="str">
            <v>5|1159|1|1</v>
          </cell>
        </row>
        <row r="58">
          <cell r="A58">
            <v>10062</v>
          </cell>
          <cell r="B58">
            <v>1</v>
          </cell>
          <cell r="C58" t="str">
            <v>5|1162|1</v>
          </cell>
          <cell r="D58" t="str">
            <v>金鲛人</v>
          </cell>
          <cell r="E58" t="str">
            <v>5|1162|1|1</v>
          </cell>
        </row>
        <row r="59">
          <cell r="A59">
            <v>10063</v>
          </cell>
          <cell r="B59">
            <v>1</v>
          </cell>
          <cell r="C59" t="str">
            <v>5|1163|1</v>
          </cell>
          <cell r="D59" t="str">
            <v>水鲛人</v>
          </cell>
          <cell r="E59" t="str">
            <v>5|1163|1|1</v>
          </cell>
        </row>
        <row r="60">
          <cell r="A60">
            <v>10064</v>
          </cell>
          <cell r="B60">
            <v>1</v>
          </cell>
          <cell r="C60" t="str">
            <v>5|1164|1</v>
          </cell>
          <cell r="D60" t="str">
            <v>金天兵</v>
          </cell>
          <cell r="E60" t="str">
            <v>5|1164|1|1</v>
          </cell>
        </row>
        <row r="61">
          <cell r="A61">
            <v>10065</v>
          </cell>
          <cell r="B61">
            <v>1</v>
          </cell>
          <cell r="C61" t="str">
            <v>5|1165|1</v>
          </cell>
          <cell r="D61" t="str">
            <v>土天兵</v>
          </cell>
          <cell r="E61" t="str">
            <v>5|1165|1|1</v>
          </cell>
        </row>
        <row r="62">
          <cell r="A62">
            <v>10066</v>
          </cell>
          <cell r="B62">
            <v>1</v>
          </cell>
          <cell r="C62" t="str">
            <v>5|1166|1</v>
          </cell>
          <cell r="D62" t="str">
            <v>火天兵</v>
          </cell>
          <cell r="E62" t="str">
            <v>5|1166|1|1</v>
          </cell>
        </row>
        <row r="63">
          <cell r="A63">
            <v>10067</v>
          </cell>
          <cell r="B63">
            <v>1</v>
          </cell>
          <cell r="C63" t="str">
            <v>5|1167|1</v>
          </cell>
          <cell r="D63" t="str">
            <v>金狼人</v>
          </cell>
          <cell r="E63" t="str">
            <v>5|1167|1|1</v>
          </cell>
        </row>
        <row r="64">
          <cell r="A64">
            <v>10068</v>
          </cell>
          <cell r="B64">
            <v>1</v>
          </cell>
          <cell r="C64" t="str">
            <v>5|1168|1</v>
          </cell>
          <cell r="D64" t="str">
            <v>木狼人</v>
          </cell>
          <cell r="E64" t="str">
            <v>5|1168|1|1</v>
          </cell>
        </row>
        <row r="65">
          <cell r="A65">
            <v>10069</v>
          </cell>
          <cell r="B65">
            <v>1</v>
          </cell>
          <cell r="C65" t="str">
            <v>5|1169|1</v>
          </cell>
          <cell r="D65" t="str">
            <v>水狼人</v>
          </cell>
          <cell r="E65" t="str">
            <v>5|1169|1|1</v>
          </cell>
        </row>
        <row r="66">
          <cell r="A66">
            <v>10070</v>
          </cell>
          <cell r="B66">
            <v>1</v>
          </cell>
          <cell r="C66" t="str">
            <v>5|1170|1</v>
          </cell>
          <cell r="D66" t="str">
            <v>火狼人</v>
          </cell>
          <cell r="E66" t="str">
            <v>5|1170|1|1</v>
          </cell>
        </row>
        <row r="67">
          <cell r="A67">
            <v>10071</v>
          </cell>
          <cell r="B67">
            <v>1</v>
          </cell>
          <cell r="C67" t="str">
            <v>5|1171|1</v>
          </cell>
          <cell r="D67" t="str">
            <v>土狼人</v>
          </cell>
          <cell r="E67" t="str">
            <v>5|1171|1|1</v>
          </cell>
        </row>
        <row r="68">
          <cell r="A68">
            <v>10076</v>
          </cell>
          <cell r="B68">
            <v>1</v>
          </cell>
          <cell r="C68" t="str">
            <v>5|1176|1</v>
          </cell>
          <cell r="D68" t="str">
            <v>木骷髅兵</v>
          </cell>
          <cell r="E68" t="str">
            <v>5|1176|1|1</v>
          </cell>
        </row>
        <row r="69">
          <cell r="A69">
            <v>10077</v>
          </cell>
          <cell r="B69">
            <v>1</v>
          </cell>
          <cell r="C69" t="str">
            <v>5|1177|1</v>
          </cell>
          <cell r="D69" t="str">
            <v>水骷髅兵</v>
          </cell>
          <cell r="E69" t="str">
            <v>5|1177|1|1</v>
          </cell>
        </row>
        <row r="70">
          <cell r="A70">
            <v>10078</v>
          </cell>
          <cell r="B70">
            <v>1</v>
          </cell>
          <cell r="C70" t="str">
            <v>5|1178|1</v>
          </cell>
          <cell r="D70" t="str">
            <v>火骷髅兵</v>
          </cell>
          <cell r="E70" t="str">
            <v>5|1178|1|1</v>
          </cell>
        </row>
        <row r="71">
          <cell r="A71">
            <v>10079</v>
          </cell>
          <cell r="B71">
            <v>1</v>
          </cell>
          <cell r="C71" t="str">
            <v>5|1179|1</v>
          </cell>
          <cell r="D71" t="str">
            <v>土骷髅兵</v>
          </cell>
          <cell r="E71" t="str">
            <v>5|1179|1|1</v>
          </cell>
        </row>
        <row r="72">
          <cell r="A72">
            <v>10080</v>
          </cell>
          <cell r="B72">
            <v>1</v>
          </cell>
          <cell r="C72" t="str">
            <v>5|1180|1</v>
          </cell>
          <cell r="D72" t="str">
            <v>金蜘蛛</v>
          </cell>
          <cell r="E72" t="str">
            <v>5|1180|1|1</v>
          </cell>
        </row>
        <row r="73">
          <cell r="A73">
            <v>10081</v>
          </cell>
          <cell r="B73">
            <v>1</v>
          </cell>
          <cell r="C73" t="str">
            <v>5|1181|1</v>
          </cell>
          <cell r="D73" t="str">
            <v>水蜘蛛</v>
          </cell>
          <cell r="E73" t="str">
            <v>5|1181|1|1</v>
          </cell>
        </row>
        <row r="74">
          <cell r="A74">
            <v>10082</v>
          </cell>
          <cell r="B74">
            <v>1</v>
          </cell>
          <cell r="C74" t="str">
            <v>5|1182|1</v>
          </cell>
          <cell r="D74" t="str">
            <v>土蜘蛛</v>
          </cell>
          <cell r="E74" t="str">
            <v>5|1182|1|1</v>
          </cell>
        </row>
        <row r="75">
          <cell r="A75">
            <v>10085</v>
          </cell>
          <cell r="B75">
            <v>1</v>
          </cell>
          <cell r="C75" t="str">
            <v>5|1185|1</v>
          </cell>
          <cell r="D75" t="str">
            <v>金女鬼</v>
          </cell>
          <cell r="E75" t="str">
            <v>5|1185|1|1</v>
          </cell>
        </row>
        <row r="76">
          <cell r="A76">
            <v>10086</v>
          </cell>
          <cell r="B76">
            <v>1</v>
          </cell>
          <cell r="C76" t="str">
            <v>5|1186|1</v>
          </cell>
          <cell r="D76" t="str">
            <v>木女鬼</v>
          </cell>
          <cell r="E76" t="str">
            <v>5|1186|1|1</v>
          </cell>
        </row>
        <row r="77">
          <cell r="A77">
            <v>10087</v>
          </cell>
          <cell r="B77">
            <v>1</v>
          </cell>
          <cell r="C77" t="str">
            <v>5|1187|1</v>
          </cell>
          <cell r="D77" t="str">
            <v>水女鬼</v>
          </cell>
          <cell r="E77" t="str">
            <v>5|1187|1|1</v>
          </cell>
        </row>
        <row r="78">
          <cell r="A78">
            <v>10088</v>
          </cell>
          <cell r="B78">
            <v>1</v>
          </cell>
          <cell r="C78" t="str">
            <v>5|1188|1</v>
          </cell>
          <cell r="D78" t="str">
            <v>火女鬼</v>
          </cell>
          <cell r="E78" t="str">
            <v>5|1188|1|1</v>
          </cell>
        </row>
        <row r="79">
          <cell r="A79">
            <v>10089</v>
          </cell>
          <cell r="B79">
            <v>1</v>
          </cell>
          <cell r="C79" t="str">
            <v>5|1188|1</v>
          </cell>
          <cell r="D79" t="str">
            <v>水女鬼</v>
          </cell>
          <cell r="E79" t="str">
            <v>5|1188|1|1</v>
          </cell>
        </row>
        <row r="80">
          <cell r="A80">
            <v>10090</v>
          </cell>
          <cell r="B80">
            <v>1</v>
          </cell>
          <cell r="C80" t="str">
            <v>5|1188|1</v>
          </cell>
          <cell r="D80" t="str">
            <v>火女鬼</v>
          </cell>
          <cell r="E80" t="str">
            <v>5|1188|1|1</v>
          </cell>
        </row>
        <row r="81">
          <cell r="A81">
            <v>11001</v>
          </cell>
          <cell r="B81">
            <v>0</v>
          </cell>
          <cell r="C81" t="str">
            <v>4|3|100,4|1|1000</v>
          </cell>
          <cell r="D81" t="str">
            <v>通关大雁塔1层奖励器魂</v>
          </cell>
          <cell r="E81" t="str">
            <v>4|3|100|1,4|1|1000|1</v>
          </cell>
        </row>
        <row r="82">
          <cell r="A82">
            <v>11002</v>
          </cell>
          <cell r="B82">
            <v>0</v>
          </cell>
          <cell r="C82" t="str">
            <v>4|3|100,4|1|1000</v>
          </cell>
          <cell r="D82" t="str">
            <v>通关大雁塔2层奖励器魂</v>
          </cell>
          <cell r="E82" t="str">
            <v>4|3|100|1,4|1|1000|1</v>
          </cell>
        </row>
        <row r="83">
          <cell r="A83">
            <v>11003</v>
          </cell>
          <cell r="B83">
            <v>0</v>
          </cell>
          <cell r="C83" t="str">
            <v>4|3|100,4|1|1000</v>
          </cell>
          <cell r="D83" t="str">
            <v>通关大雁塔3层奖励器魂</v>
          </cell>
          <cell r="E83" t="str">
            <v>4|3|100|1,4|1|1000|1</v>
          </cell>
        </row>
        <row r="84">
          <cell r="A84">
            <v>11004</v>
          </cell>
          <cell r="B84">
            <v>0</v>
          </cell>
          <cell r="C84" t="str">
            <v>4|3|100,4|1|1000</v>
          </cell>
          <cell r="D84" t="str">
            <v>通关大雁塔4层奖励器魂</v>
          </cell>
          <cell r="E84" t="str">
            <v>4|3|100|1,4|1|1000|1</v>
          </cell>
        </row>
        <row r="85">
          <cell r="A85">
            <v>11005</v>
          </cell>
          <cell r="B85">
            <v>0</v>
          </cell>
          <cell r="C85" t="str">
            <v>4|3|100,4|1|1000</v>
          </cell>
          <cell r="D85" t="str">
            <v>通关大雁塔5层奖励器魂</v>
          </cell>
          <cell r="E85" t="str">
            <v>4|3|100|1,4|1|1000|1</v>
          </cell>
        </row>
        <row r="86">
          <cell r="A86">
            <v>11006</v>
          </cell>
          <cell r="B86">
            <v>0</v>
          </cell>
          <cell r="C86" t="str">
            <v>4|3|120,4|1|1000</v>
          </cell>
          <cell r="D86" t="str">
            <v>通关大雁塔6层奖励器魂</v>
          </cell>
          <cell r="E86" t="str">
            <v>4|3|120|1,4|1|1000|1</v>
          </cell>
        </row>
        <row r="87">
          <cell r="A87">
            <v>11007</v>
          </cell>
          <cell r="B87">
            <v>0</v>
          </cell>
          <cell r="C87" t="str">
            <v>4|3|120,4|1|1000</v>
          </cell>
          <cell r="D87" t="str">
            <v>通关大雁塔7层奖励器魂</v>
          </cell>
          <cell r="E87" t="str">
            <v>4|3|120|1,4|1|1000|1</v>
          </cell>
        </row>
        <row r="88">
          <cell r="A88">
            <v>11008</v>
          </cell>
          <cell r="B88">
            <v>0</v>
          </cell>
          <cell r="C88" t="str">
            <v>4|3|120,4|1|1000</v>
          </cell>
          <cell r="D88" t="str">
            <v>通关大雁塔8层奖励器魂</v>
          </cell>
          <cell r="E88" t="str">
            <v>4|3|120|1,4|1|1000|1</v>
          </cell>
        </row>
        <row r="89">
          <cell r="A89">
            <v>11009</v>
          </cell>
          <cell r="B89">
            <v>0</v>
          </cell>
          <cell r="C89" t="str">
            <v>4|3|120,4|1|1000</v>
          </cell>
          <cell r="D89" t="str">
            <v>通关大雁塔9层奖励器魂</v>
          </cell>
          <cell r="E89" t="str">
            <v>4|3|120|1,4|1|1000|1</v>
          </cell>
        </row>
        <row r="90">
          <cell r="A90">
            <v>11010</v>
          </cell>
          <cell r="B90">
            <v>0</v>
          </cell>
          <cell r="C90" t="str">
            <v>4|3|120,4|1|1000</v>
          </cell>
          <cell r="D90" t="str">
            <v>通关大雁塔10层奖励器魂</v>
          </cell>
          <cell r="E90" t="str">
            <v>4|3|120|1,4|1|1000|1</v>
          </cell>
        </row>
        <row r="91">
          <cell r="A91">
            <v>11011</v>
          </cell>
          <cell r="B91">
            <v>0</v>
          </cell>
          <cell r="C91" t="str">
            <v>4|3|140,4|1|1000</v>
          </cell>
          <cell r="D91" t="str">
            <v>通关大雁塔11层奖励器魂</v>
          </cell>
          <cell r="E91" t="str">
            <v>4|3|140|1,4|1|1000|1</v>
          </cell>
        </row>
        <row r="92">
          <cell r="A92">
            <v>11012</v>
          </cell>
          <cell r="B92">
            <v>0</v>
          </cell>
          <cell r="C92" t="str">
            <v>4|3|140,4|1|1000</v>
          </cell>
          <cell r="D92" t="str">
            <v>通关大雁塔12层奖励器魂</v>
          </cell>
          <cell r="E92" t="str">
            <v>4|3|140|1,4|1|1000|1</v>
          </cell>
        </row>
        <row r="93">
          <cell r="A93">
            <v>11013</v>
          </cell>
          <cell r="B93">
            <v>0</v>
          </cell>
          <cell r="C93" t="str">
            <v>4|3|140,4|1|1000</v>
          </cell>
          <cell r="D93" t="str">
            <v>通关大雁塔13层奖励器魂</v>
          </cell>
          <cell r="E93" t="str">
            <v>4|3|140|1,4|1|1000|1</v>
          </cell>
        </row>
        <row r="94">
          <cell r="A94">
            <v>11014</v>
          </cell>
          <cell r="B94">
            <v>0</v>
          </cell>
          <cell r="C94" t="str">
            <v>4|3|140,4|1|1000</v>
          </cell>
          <cell r="D94" t="str">
            <v>通关大雁塔14层奖励器魂</v>
          </cell>
          <cell r="E94" t="str">
            <v>4|3|140|1,4|1|1000|1</v>
          </cell>
        </row>
        <row r="95">
          <cell r="A95">
            <v>11015</v>
          </cell>
          <cell r="B95">
            <v>0</v>
          </cell>
          <cell r="C95" t="str">
            <v>4|3|140,4|1|1000</v>
          </cell>
          <cell r="D95" t="str">
            <v>通关大雁塔15层奖励器魂</v>
          </cell>
          <cell r="E95" t="str">
            <v>4|3|140|1,4|1|1000|1</v>
          </cell>
        </row>
        <row r="96">
          <cell r="A96">
            <v>11016</v>
          </cell>
          <cell r="B96">
            <v>0</v>
          </cell>
          <cell r="C96" t="str">
            <v>4|3|160,4|1|1000</v>
          </cell>
          <cell r="D96" t="str">
            <v>通关大雁塔16层奖励器魂</v>
          </cell>
          <cell r="E96" t="str">
            <v>4|3|160|1,4|1|1000|1</v>
          </cell>
        </row>
        <row r="97">
          <cell r="A97">
            <v>11017</v>
          </cell>
          <cell r="B97">
            <v>0</v>
          </cell>
          <cell r="C97" t="str">
            <v>4|3|160,4|1|1000</v>
          </cell>
          <cell r="D97" t="str">
            <v>通关大雁塔17层奖励器魂</v>
          </cell>
          <cell r="E97" t="str">
            <v>4|3|160|1,4|1|1000|1</v>
          </cell>
        </row>
        <row r="98">
          <cell r="A98">
            <v>11018</v>
          </cell>
          <cell r="B98">
            <v>0</v>
          </cell>
          <cell r="C98" t="str">
            <v>4|3|160,4|1|1000</v>
          </cell>
          <cell r="D98" t="str">
            <v>通关大雁塔18层奖励器魂</v>
          </cell>
          <cell r="E98" t="str">
            <v>4|3|160|1,4|1|1000|1</v>
          </cell>
        </row>
        <row r="99">
          <cell r="A99">
            <v>11019</v>
          </cell>
          <cell r="B99">
            <v>0</v>
          </cell>
          <cell r="C99" t="str">
            <v>4|3|160,4|1|1000</v>
          </cell>
          <cell r="D99" t="str">
            <v>通关大雁塔19层奖励器魂</v>
          </cell>
          <cell r="E99" t="str">
            <v>4|3|160|1,4|1|1000|1</v>
          </cell>
        </row>
        <row r="100">
          <cell r="A100">
            <v>11020</v>
          </cell>
          <cell r="B100">
            <v>0</v>
          </cell>
          <cell r="C100" t="str">
            <v>4|3|160,4|1|1000</v>
          </cell>
          <cell r="D100" t="str">
            <v>通关大雁塔20层奖励器魂</v>
          </cell>
          <cell r="E100" t="str">
            <v>4|3|160|1,4|1|1000|1</v>
          </cell>
        </row>
        <row r="101">
          <cell r="A101">
            <v>11021</v>
          </cell>
          <cell r="B101">
            <v>0</v>
          </cell>
          <cell r="C101" t="str">
            <v>4|3|180,4|1|1000</v>
          </cell>
          <cell r="D101" t="str">
            <v>通关大雁塔21层奖励器魂</v>
          </cell>
          <cell r="E101" t="str">
            <v>4|3|180|1,4|1|1000|1</v>
          </cell>
        </row>
        <row r="102">
          <cell r="A102">
            <v>11022</v>
          </cell>
          <cell r="B102">
            <v>0</v>
          </cell>
          <cell r="C102" t="str">
            <v>4|3|180,4|1|1000</v>
          </cell>
          <cell r="D102" t="str">
            <v>通关大雁塔22层奖励器魂</v>
          </cell>
          <cell r="E102" t="str">
            <v>4|3|180|1,4|1|1000|1</v>
          </cell>
        </row>
        <row r="103">
          <cell r="A103">
            <v>11023</v>
          </cell>
          <cell r="B103">
            <v>0</v>
          </cell>
          <cell r="C103" t="str">
            <v>4|3|180,4|1|1000</v>
          </cell>
          <cell r="D103" t="str">
            <v>通关大雁塔23层奖励器魂</v>
          </cell>
          <cell r="E103" t="str">
            <v>4|3|180|1,4|1|1000|1</v>
          </cell>
        </row>
        <row r="104">
          <cell r="A104">
            <v>11024</v>
          </cell>
          <cell r="B104">
            <v>0</v>
          </cell>
          <cell r="C104" t="str">
            <v>4|3|180,4|1|1000</v>
          </cell>
          <cell r="D104" t="str">
            <v>通关大雁塔24层奖励器魂</v>
          </cell>
          <cell r="E104" t="str">
            <v>4|3|180|1,4|1|1000|1</v>
          </cell>
        </row>
        <row r="105">
          <cell r="A105">
            <v>11025</v>
          </cell>
          <cell r="B105">
            <v>0</v>
          </cell>
          <cell r="C105" t="str">
            <v>4|3|180,4|1|1000</v>
          </cell>
          <cell r="D105" t="str">
            <v>通关大雁塔25层奖励器魂</v>
          </cell>
          <cell r="E105" t="str">
            <v>4|3|180|1,4|1|1000|1</v>
          </cell>
        </row>
        <row r="106">
          <cell r="A106">
            <v>11026</v>
          </cell>
          <cell r="B106">
            <v>0</v>
          </cell>
          <cell r="C106" t="str">
            <v>4|3|200,4|1|1000</v>
          </cell>
          <cell r="D106" t="str">
            <v>通关大雁塔26层奖励器魂</v>
          </cell>
          <cell r="E106" t="str">
            <v>4|3|200|1,4|1|1000|1</v>
          </cell>
        </row>
        <row r="107">
          <cell r="A107">
            <v>11027</v>
          </cell>
          <cell r="B107">
            <v>0</v>
          </cell>
          <cell r="C107" t="str">
            <v>4|3|200,4|1|1000</v>
          </cell>
          <cell r="D107" t="str">
            <v>通关大雁塔27层奖励器魂</v>
          </cell>
          <cell r="E107" t="str">
            <v>4|3|200|1,4|1|1000|1</v>
          </cell>
        </row>
        <row r="108">
          <cell r="A108">
            <v>11028</v>
          </cell>
          <cell r="B108">
            <v>0</v>
          </cell>
          <cell r="C108" t="str">
            <v>4|3|200,4|1|1000</v>
          </cell>
          <cell r="D108" t="str">
            <v>通关大雁塔28层奖励器魂</v>
          </cell>
          <cell r="E108" t="str">
            <v>4|3|200|1,4|1|1000|1</v>
          </cell>
        </row>
        <row r="109">
          <cell r="A109">
            <v>11029</v>
          </cell>
          <cell r="B109">
            <v>0</v>
          </cell>
          <cell r="C109" t="str">
            <v>4|3|200,4|1|1000</v>
          </cell>
          <cell r="D109" t="str">
            <v>通关大雁塔29层奖励器魂</v>
          </cell>
          <cell r="E109" t="str">
            <v>4|3|200|1,4|1|1000|1</v>
          </cell>
        </row>
        <row r="110">
          <cell r="A110">
            <v>11030</v>
          </cell>
          <cell r="B110">
            <v>0</v>
          </cell>
          <cell r="C110" t="str">
            <v>4|3|200,4|1|1000</v>
          </cell>
          <cell r="D110" t="str">
            <v>通关大雁塔30层奖励器魂</v>
          </cell>
          <cell r="E110" t="str">
            <v>4|3|200|1,4|1|1000|1</v>
          </cell>
        </row>
        <row r="111">
          <cell r="A111">
            <v>11031</v>
          </cell>
          <cell r="B111">
            <v>0</v>
          </cell>
          <cell r="C111" t="str">
            <v>4|3|220,4|1|1000</v>
          </cell>
          <cell r="D111" t="str">
            <v>通关大雁塔31层奖励器魂</v>
          </cell>
          <cell r="E111" t="str">
            <v>4|3|220|1,4|1|1000|1</v>
          </cell>
        </row>
        <row r="112">
          <cell r="A112">
            <v>11032</v>
          </cell>
          <cell r="B112">
            <v>0</v>
          </cell>
          <cell r="C112" t="str">
            <v>4|3|220,4|1|1000</v>
          </cell>
          <cell r="D112" t="str">
            <v>通关大雁塔32层奖励器魂</v>
          </cell>
          <cell r="E112" t="str">
            <v>4|3|220|1,4|1|1000|1</v>
          </cell>
        </row>
        <row r="113">
          <cell r="A113">
            <v>11033</v>
          </cell>
          <cell r="B113">
            <v>0</v>
          </cell>
          <cell r="C113" t="str">
            <v>4|3|220,4|1|1000</v>
          </cell>
          <cell r="D113" t="str">
            <v>通关大雁塔33层奖励器魂</v>
          </cell>
          <cell r="E113" t="str">
            <v>4|3|220|1,4|1|1000|1</v>
          </cell>
        </row>
        <row r="114">
          <cell r="A114">
            <v>11034</v>
          </cell>
          <cell r="B114">
            <v>0</v>
          </cell>
          <cell r="C114" t="str">
            <v>4|3|220,4|1|1000</v>
          </cell>
          <cell r="D114" t="str">
            <v>通关大雁塔34层奖励器魂</v>
          </cell>
          <cell r="E114" t="str">
            <v>4|3|220|1,4|1|1000|1</v>
          </cell>
        </row>
        <row r="115">
          <cell r="A115">
            <v>11035</v>
          </cell>
          <cell r="B115">
            <v>0</v>
          </cell>
          <cell r="C115" t="str">
            <v>4|3|220,4|1|1000</v>
          </cell>
          <cell r="D115" t="str">
            <v>通关大雁塔35层奖励器魂</v>
          </cell>
          <cell r="E115" t="str">
            <v>4|3|220|1,4|1|1000|1</v>
          </cell>
        </row>
        <row r="116">
          <cell r="A116">
            <v>11036</v>
          </cell>
          <cell r="B116">
            <v>0</v>
          </cell>
          <cell r="C116" t="str">
            <v>4|3|240,4|1|1000</v>
          </cell>
          <cell r="D116" t="str">
            <v>通关大雁塔36层奖励器魂</v>
          </cell>
          <cell r="E116" t="str">
            <v>4|3|240|1,4|1|1000|1</v>
          </cell>
        </row>
        <row r="117">
          <cell r="A117">
            <v>11037</v>
          </cell>
          <cell r="B117">
            <v>0</v>
          </cell>
          <cell r="C117" t="str">
            <v>4|3|240,4|1|1000</v>
          </cell>
          <cell r="D117" t="str">
            <v>通关大雁塔37层奖励器魂</v>
          </cell>
          <cell r="E117" t="str">
            <v>4|3|240|1,4|1|1000|1</v>
          </cell>
        </row>
        <row r="118">
          <cell r="A118">
            <v>11038</v>
          </cell>
          <cell r="B118">
            <v>0</v>
          </cell>
          <cell r="C118" t="str">
            <v>4|3|240,4|1|1000</v>
          </cell>
          <cell r="D118" t="str">
            <v>通关大雁塔38层奖励器魂</v>
          </cell>
          <cell r="E118" t="str">
            <v>4|3|240|1,4|1|1000|1</v>
          </cell>
        </row>
        <row r="119">
          <cell r="A119">
            <v>11039</v>
          </cell>
          <cell r="B119">
            <v>0</v>
          </cell>
          <cell r="C119" t="str">
            <v>4|3|240,4|1|1000</v>
          </cell>
          <cell r="D119" t="str">
            <v>通关大雁塔39层奖励器魂</v>
          </cell>
          <cell r="E119" t="str">
            <v>4|3|240|1,4|1|1000|1</v>
          </cell>
        </row>
        <row r="120">
          <cell r="A120">
            <v>11040</v>
          </cell>
          <cell r="B120">
            <v>0</v>
          </cell>
          <cell r="C120" t="str">
            <v>4|3|240,4|1|1000</v>
          </cell>
          <cell r="D120" t="str">
            <v>通关大雁塔40层奖励器魂</v>
          </cell>
          <cell r="E120" t="str">
            <v>4|3|240|1,4|1|1000|1</v>
          </cell>
        </row>
        <row r="121">
          <cell r="A121">
            <v>11041</v>
          </cell>
          <cell r="B121">
            <v>0</v>
          </cell>
          <cell r="C121" t="str">
            <v>4|3|260,4|1|1000</v>
          </cell>
          <cell r="D121" t="str">
            <v>通关大雁塔41层奖励器魂</v>
          </cell>
          <cell r="E121" t="str">
            <v>4|3|260|1,4|1|1000|1</v>
          </cell>
        </row>
        <row r="122">
          <cell r="A122">
            <v>11042</v>
          </cell>
          <cell r="B122">
            <v>0</v>
          </cell>
          <cell r="C122" t="str">
            <v>4|3|260,4|1|1000</v>
          </cell>
          <cell r="D122" t="str">
            <v>通关大雁塔42层奖励器魂</v>
          </cell>
          <cell r="E122" t="str">
            <v>4|3|260|1,4|1|1000|1</v>
          </cell>
        </row>
        <row r="123">
          <cell r="A123">
            <v>11043</v>
          </cell>
          <cell r="B123">
            <v>0</v>
          </cell>
          <cell r="C123" t="str">
            <v>4|3|260,4|1|1000</v>
          </cell>
          <cell r="D123" t="str">
            <v>通关大雁塔43层奖励器魂</v>
          </cell>
          <cell r="E123" t="str">
            <v>4|3|260|1,4|1|1000|1</v>
          </cell>
        </row>
        <row r="124">
          <cell r="A124">
            <v>11044</v>
          </cell>
          <cell r="B124">
            <v>0</v>
          </cell>
          <cell r="C124" t="str">
            <v>4|3|260,4|1|1000</v>
          </cell>
          <cell r="D124" t="str">
            <v>通关大雁塔44层奖励器魂</v>
          </cell>
          <cell r="E124" t="str">
            <v>4|3|260|1,4|1|1000|1</v>
          </cell>
        </row>
        <row r="125">
          <cell r="A125">
            <v>11045</v>
          </cell>
          <cell r="B125">
            <v>0</v>
          </cell>
          <cell r="C125" t="str">
            <v>4|3|260,4|1|1000</v>
          </cell>
          <cell r="D125" t="str">
            <v>通关大雁塔45层奖励器魂</v>
          </cell>
          <cell r="E125" t="str">
            <v>4|3|260|1,4|1|1000|1</v>
          </cell>
        </row>
        <row r="126">
          <cell r="A126">
            <v>11046</v>
          </cell>
          <cell r="B126">
            <v>0</v>
          </cell>
          <cell r="C126" t="str">
            <v>4|3|280,4|1|1000</v>
          </cell>
          <cell r="D126" t="str">
            <v>通关大雁塔46层奖励器魂</v>
          </cell>
          <cell r="E126" t="str">
            <v>4|3|280|1,4|1|1000|1</v>
          </cell>
        </row>
        <row r="127">
          <cell r="A127">
            <v>11047</v>
          </cell>
          <cell r="B127">
            <v>0</v>
          </cell>
          <cell r="C127" t="str">
            <v>4|3|280,4|1|1000</v>
          </cell>
          <cell r="D127" t="str">
            <v>通关大雁塔47层奖励器魂</v>
          </cell>
          <cell r="E127" t="str">
            <v>4|3|280|1,4|1|1000|1</v>
          </cell>
        </row>
        <row r="128">
          <cell r="A128">
            <v>11048</v>
          </cell>
          <cell r="B128">
            <v>0</v>
          </cell>
          <cell r="C128" t="str">
            <v>4|3|280,4|1|1000</v>
          </cell>
          <cell r="D128" t="str">
            <v>通关大雁塔48层奖励器魂</v>
          </cell>
          <cell r="E128" t="str">
            <v>4|3|280|1,4|1|1000|1</v>
          </cell>
        </row>
        <row r="129">
          <cell r="A129">
            <v>11049</v>
          </cell>
          <cell r="B129">
            <v>0</v>
          </cell>
          <cell r="C129" t="str">
            <v>4|3|280,4|1|1000</v>
          </cell>
          <cell r="D129" t="str">
            <v>通关大雁塔49层奖励器魂</v>
          </cell>
          <cell r="E129" t="str">
            <v>4|3|280|1,4|1|1000|1</v>
          </cell>
        </row>
        <row r="130">
          <cell r="A130">
            <v>11050</v>
          </cell>
          <cell r="B130">
            <v>0</v>
          </cell>
          <cell r="C130" t="str">
            <v>4|3|280,4|1|1000</v>
          </cell>
          <cell r="D130" t="str">
            <v>通关大雁塔50层奖励器魂</v>
          </cell>
          <cell r="E130" t="str">
            <v>4|3|280|1,4|1|1000|1</v>
          </cell>
        </row>
        <row r="131">
          <cell r="A131">
            <v>11051</v>
          </cell>
          <cell r="B131">
            <v>0</v>
          </cell>
          <cell r="C131" t="str">
            <v>4|3|300,4|1|1000</v>
          </cell>
          <cell r="D131" t="str">
            <v>通关大雁塔51层奖励器魂</v>
          </cell>
          <cell r="E131" t="str">
            <v>4|3|300|1,4|1|1000|1</v>
          </cell>
        </row>
        <row r="132">
          <cell r="A132">
            <v>11052</v>
          </cell>
          <cell r="B132">
            <v>0</v>
          </cell>
          <cell r="C132" t="str">
            <v>4|3|300,4|1|1000</v>
          </cell>
          <cell r="D132" t="str">
            <v>通关大雁塔52层奖励器魂</v>
          </cell>
          <cell r="E132" t="str">
            <v>4|3|300|1,4|1|1000|1</v>
          </cell>
        </row>
        <row r="133">
          <cell r="A133">
            <v>11053</v>
          </cell>
          <cell r="B133">
            <v>0</v>
          </cell>
          <cell r="C133" t="str">
            <v>4|3|300,4|1|1000</v>
          </cell>
          <cell r="D133" t="str">
            <v>通关大雁塔53层奖励器魂</v>
          </cell>
          <cell r="E133" t="str">
            <v>4|3|300|1,4|1|1000|1</v>
          </cell>
        </row>
        <row r="134">
          <cell r="A134">
            <v>11054</v>
          </cell>
          <cell r="B134">
            <v>0</v>
          </cell>
          <cell r="C134" t="str">
            <v>4|3|300,4|1|1000</v>
          </cell>
          <cell r="D134" t="str">
            <v>通关大雁塔54层奖励器魂</v>
          </cell>
          <cell r="E134" t="str">
            <v>4|3|300|1,4|1|1000|1</v>
          </cell>
        </row>
        <row r="135">
          <cell r="A135">
            <v>11055</v>
          </cell>
          <cell r="B135">
            <v>0</v>
          </cell>
          <cell r="C135" t="str">
            <v>4|3|300,4|1|1000</v>
          </cell>
          <cell r="D135" t="str">
            <v>通关大雁塔55层奖励器魂</v>
          </cell>
          <cell r="E135" t="str">
            <v>4|3|300|1,4|1|1000|1</v>
          </cell>
        </row>
        <row r="136">
          <cell r="A136">
            <v>11056</v>
          </cell>
          <cell r="B136">
            <v>0</v>
          </cell>
          <cell r="C136" t="str">
            <v>4|3|320,4|1|1000</v>
          </cell>
          <cell r="D136" t="str">
            <v>通关大雁塔56层奖励器魂</v>
          </cell>
          <cell r="E136" t="str">
            <v>4|3|320|1,4|1|1000|1</v>
          </cell>
        </row>
        <row r="137">
          <cell r="A137">
            <v>11057</v>
          </cell>
          <cell r="B137">
            <v>0</v>
          </cell>
          <cell r="C137" t="str">
            <v>4|3|320,4|1|1000</v>
          </cell>
          <cell r="D137" t="str">
            <v>通关大雁塔57层奖励器魂</v>
          </cell>
          <cell r="E137" t="str">
            <v>4|3|320|1,4|1|1000|1</v>
          </cell>
        </row>
        <row r="138">
          <cell r="A138">
            <v>11058</v>
          </cell>
          <cell r="B138">
            <v>0</v>
          </cell>
          <cell r="C138" t="str">
            <v>4|3|320,4|1|1000</v>
          </cell>
          <cell r="D138" t="str">
            <v>通关大雁塔58层奖励器魂</v>
          </cell>
          <cell r="E138" t="str">
            <v>4|3|320|1,4|1|1000|1</v>
          </cell>
        </row>
        <row r="139">
          <cell r="A139">
            <v>11059</v>
          </cell>
          <cell r="B139">
            <v>0</v>
          </cell>
          <cell r="C139" t="str">
            <v>4|3|320,4|1|1000</v>
          </cell>
          <cell r="D139" t="str">
            <v>通关大雁塔59层奖励器魂</v>
          </cell>
          <cell r="E139" t="str">
            <v>4|3|320|1,4|1|1000|1</v>
          </cell>
        </row>
        <row r="140">
          <cell r="A140">
            <v>11060</v>
          </cell>
          <cell r="B140">
            <v>0</v>
          </cell>
          <cell r="C140" t="str">
            <v>4|3|320,4|1|1000</v>
          </cell>
          <cell r="D140" t="str">
            <v>通关大雁塔60层奖励器魂</v>
          </cell>
          <cell r="E140" t="str">
            <v>4|3|320|1,4|1|1000|1</v>
          </cell>
        </row>
        <row r="141">
          <cell r="A141">
            <v>11061</v>
          </cell>
          <cell r="B141">
            <v>0</v>
          </cell>
          <cell r="C141" t="str">
            <v>4|3|340,4|1|1000</v>
          </cell>
          <cell r="D141" t="str">
            <v>通关大雁塔61层奖励器魂</v>
          </cell>
          <cell r="E141" t="str">
            <v>4|3|340|1,4|1|1000|1</v>
          </cell>
        </row>
        <row r="142">
          <cell r="A142">
            <v>11062</v>
          </cell>
          <cell r="B142">
            <v>0</v>
          </cell>
          <cell r="C142" t="str">
            <v>4|3|340,4|1|1000</v>
          </cell>
          <cell r="D142" t="str">
            <v>通关大雁塔62层奖励器魂</v>
          </cell>
          <cell r="E142" t="str">
            <v>4|3|340|1,4|1|1000|1</v>
          </cell>
        </row>
        <row r="143">
          <cell r="A143">
            <v>11063</v>
          </cell>
          <cell r="B143">
            <v>0</v>
          </cell>
          <cell r="C143" t="str">
            <v>4|3|340,4|1|1000</v>
          </cell>
          <cell r="D143" t="str">
            <v>通关大雁塔63层奖励器魂</v>
          </cell>
          <cell r="E143" t="str">
            <v>4|3|340|1,4|1|1000|1</v>
          </cell>
        </row>
        <row r="144">
          <cell r="A144">
            <v>11064</v>
          </cell>
          <cell r="B144">
            <v>0</v>
          </cell>
          <cell r="C144" t="str">
            <v>4|3|340,4|1|1000</v>
          </cell>
          <cell r="D144" t="str">
            <v>通关大雁塔64层奖励器魂</v>
          </cell>
          <cell r="E144" t="str">
            <v>4|3|340|1,4|1|1000|1</v>
          </cell>
        </row>
        <row r="145">
          <cell r="A145">
            <v>11065</v>
          </cell>
          <cell r="B145">
            <v>0</v>
          </cell>
          <cell r="C145" t="str">
            <v>4|3|340,4|1|1000</v>
          </cell>
          <cell r="D145" t="str">
            <v>通关大雁塔65层奖励器魂</v>
          </cell>
          <cell r="E145" t="str">
            <v>4|3|340|1,4|1|1000|1</v>
          </cell>
        </row>
        <row r="146">
          <cell r="A146">
            <v>11066</v>
          </cell>
          <cell r="B146">
            <v>0</v>
          </cell>
          <cell r="C146" t="str">
            <v>4|3|360,4|1|1000</v>
          </cell>
          <cell r="D146" t="str">
            <v>通关大雁塔66层奖励器魂</v>
          </cell>
          <cell r="E146" t="str">
            <v>4|3|360|1,4|1|1000|1</v>
          </cell>
        </row>
        <row r="147">
          <cell r="A147">
            <v>11067</v>
          </cell>
          <cell r="B147">
            <v>0</v>
          </cell>
          <cell r="C147" t="str">
            <v>4|3|360,4|1|1000</v>
          </cell>
          <cell r="D147" t="str">
            <v>通关大雁塔67层奖励器魂</v>
          </cell>
          <cell r="E147" t="str">
            <v>4|3|360|1,4|1|1000|1</v>
          </cell>
        </row>
        <row r="148">
          <cell r="A148">
            <v>11068</v>
          </cell>
          <cell r="B148">
            <v>0</v>
          </cell>
          <cell r="C148" t="str">
            <v>4|3|360,4|1|1000</v>
          </cell>
          <cell r="D148" t="str">
            <v>通关大雁塔68层奖励器魂</v>
          </cell>
          <cell r="E148" t="str">
            <v>4|3|360|1,4|1|1000|1</v>
          </cell>
        </row>
        <row r="149">
          <cell r="A149">
            <v>11069</v>
          </cell>
          <cell r="B149">
            <v>0</v>
          </cell>
          <cell r="C149" t="str">
            <v>4|3|360,4|1|1000</v>
          </cell>
          <cell r="D149" t="str">
            <v>通关大雁塔69层奖励器魂</v>
          </cell>
          <cell r="E149" t="str">
            <v>4|3|360|1,4|1|1000|1</v>
          </cell>
        </row>
        <row r="150">
          <cell r="A150">
            <v>11070</v>
          </cell>
          <cell r="B150">
            <v>0</v>
          </cell>
          <cell r="C150" t="str">
            <v>4|3|360,4|1|1000</v>
          </cell>
          <cell r="D150" t="str">
            <v>通关大雁塔70层奖励器魂</v>
          </cell>
          <cell r="E150" t="str">
            <v>4|3|360|1,4|1|1000|1</v>
          </cell>
        </row>
        <row r="151">
          <cell r="A151">
            <v>11071</v>
          </cell>
          <cell r="B151">
            <v>0</v>
          </cell>
          <cell r="C151" t="str">
            <v>4|3|380,4|1|1000</v>
          </cell>
          <cell r="D151" t="str">
            <v>通关大雁塔71层奖励器魂</v>
          </cell>
          <cell r="E151" t="str">
            <v>4|3|380|1,4|1|1000|1</v>
          </cell>
        </row>
        <row r="152">
          <cell r="A152">
            <v>11072</v>
          </cell>
          <cell r="B152">
            <v>0</v>
          </cell>
          <cell r="C152" t="str">
            <v>4|3|380,4|1|1000</v>
          </cell>
          <cell r="D152" t="str">
            <v>通关大雁塔72层奖励器魂</v>
          </cell>
          <cell r="E152" t="str">
            <v>4|3|380|1,4|1|1000|1</v>
          </cell>
        </row>
        <row r="153">
          <cell r="A153">
            <v>11073</v>
          </cell>
          <cell r="B153">
            <v>0</v>
          </cell>
          <cell r="C153" t="str">
            <v>4|3|380,4|1|1000</v>
          </cell>
          <cell r="D153" t="str">
            <v>通关大雁塔73层奖励器魂</v>
          </cell>
          <cell r="E153" t="str">
            <v>4|3|380|1,4|1|1000|1</v>
          </cell>
        </row>
        <row r="154">
          <cell r="A154">
            <v>11074</v>
          </cell>
          <cell r="B154">
            <v>0</v>
          </cell>
          <cell r="C154" t="str">
            <v>4|3|380,4|1|1000</v>
          </cell>
          <cell r="D154" t="str">
            <v>通关大雁塔74层奖励器魂</v>
          </cell>
          <cell r="E154" t="str">
            <v>4|3|380|1,4|1|1000|1</v>
          </cell>
        </row>
        <row r="155">
          <cell r="A155">
            <v>11075</v>
          </cell>
          <cell r="B155">
            <v>0</v>
          </cell>
          <cell r="C155" t="str">
            <v>4|3|380,4|1|1000</v>
          </cell>
          <cell r="D155" t="str">
            <v>通关大雁塔75层奖励器魂</v>
          </cell>
          <cell r="E155" t="str">
            <v>4|3|380|1,4|1|1000|1</v>
          </cell>
        </row>
        <row r="156">
          <cell r="A156">
            <v>11076</v>
          </cell>
          <cell r="B156">
            <v>0</v>
          </cell>
          <cell r="C156" t="str">
            <v>4|3|400,4|1|1000</v>
          </cell>
          <cell r="D156" t="str">
            <v>通关大雁塔76层奖励器魂</v>
          </cell>
          <cell r="E156" t="str">
            <v>4|3|400|1,4|1|1000|1</v>
          </cell>
        </row>
        <row r="157">
          <cell r="A157">
            <v>11077</v>
          </cell>
          <cell r="B157">
            <v>0</v>
          </cell>
          <cell r="C157" t="str">
            <v>4|3|400,4|1|1000</v>
          </cell>
          <cell r="D157" t="str">
            <v>通关大雁塔77层奖励器魂</v>
          </cell>
          <cell r="E157" t="str">
            <v>4|3|400|1,4|1|1000|1</v>
          </cell>
        </row>
        <row r="158">
          <cell r="A158">
            <v>11078</v>
          </cell>
          <cell r="B158">
            <v>0</v>
          </cell>
          <cell r="C158" t="str">
            <v>4|3|400,4|1|1000</v>
          </cell>
          <cell r="D158" t="str">
            <v>通关大雁塔78层奖励器魂</v>
          </cell>
          <cell r="E158" t="str">
            <v>4|3|400|1,4|1|1000|1</v>
          </cell>
        </row>
        <row r="159">
          <cell r="A159">
            <v>11079</v>
          </cell>
          <cell r="B159">
            <v>0</v>
          </cell>
          <cell r="C159" t="str">
            <v>4|3|400,4|1|1000</v>
          </cell>
          <cell r="D159" t="str">
            <v>通关大雁塔79层奖励器魂</v>
          </cell>
          <cell r="E159" t="str">
            <v>4|3|400|1,4|1|1000|1</v>
          </cell>
        </row>
        <row r="160">
          <cell r="A160">
            <v>11080</v>
          </cell>
          <cell r="B160">
            <v>0</v>
          </cell>
          <cell r="C160" t="str">
            <v>4|3|400,4|1|1000</v>
          </cell>
          <cell r="D160" t="str">
            <v>通关大雁塔80层奖励器魂</v>
          </cell>
          <cell r="E160" t="str">
            <v>4|3|400|1,4|1|1000|1</v>
          </cell>
        </row>
        <row r="161">
          <cell r="A161">
            <v>11081</v>
          </cell>
          <cell r="B161">
            <v>0</v>
          </cell>
          <cell r="C161" t="str">
            <v>4|3|420,4|1|1000</v>
          </cell>
          <cell r="D161" t="str">
            <v>通关大雁塔81层奖励器魂</v>
          </cell>
          <cell r="E161" t="str">
            <v>4|3|420|1,4|1|1000|1</v>
          </cell>
        </row>
        <row r="162">
          <cell r="A162">
            <v>11082</v>
          </cell>
          <cell r="B162">
            <v>0</v>
          </cell>
          <cell r="C162" t="str">
            <v>4|3|420,4|1|1000</v>
          </cell>
          <cell r="D162" t="str">
            <v>通关大雁塔82层奖励器魂</v>
          </cell>
          <cell r="E162" t="str">
            <v>4|3|420|1,4|1|1000|1</v>
          </cell>
        </row>
        <row r="163">
          <cell r="A163">
            <v>11083</v>
          </cell>
          <cell r="B163">
            <v>0</v>
          </cell>
          <cell r="C163" t="str">
            <v>4|3|420,4|1|1000</v>
          </cell>
          <cell r="D163" t="str">
            <v>通关大雁塔83层奖励器魂</v>
          </cell>
          <cell r="E163" t="str">
            <v>4|3|420|1,4|1|1000|1</v>
          </cell>
        </row>
        <row r="164">
          <cell r="A164">
            <v>11084</v>
          </cell>
          <cell r="B164">
            <v>0</v>
          </cell>
          <cell r="C164" t="str">
            <v>4|3|420,4|1|1000</v>
          </cell>
          <cell r="D164" t="str">
            <v>通关大雁塔84层奖励器魂</v>
          </cell>
          <cell r="E164" t="str">
            <v>4|3|420|1,4|1|1000|1</v>
          </cell>
        </row>
        <row r="165">
          <cell r="A165">
            <v>11085</v>
          </cell>
          <cell r="B165">
            <v>0</v>
          </cell>
          <cell r="C165" t="str">
            <v>4|3|420,4|1|1000</v>
          </cell>
          <cell r="D165" t="str">
            <v>通关大雁塔85层奖励器魂</v>
          </cell>
          <cell r="E165" t="str">
            <v>4|3|420|1,4|1|1000|1</v>
          </cell>
        </row>
        <row r="166">
          <cell r="A166">
            <v>11086</v>
          </cell>
          <cell r="B166">
            <v>0</v>
          </cell>
          <cell r="C166" t="str">
            <v>4|3|440,4|1|1000</v>
          </cell>
          <cell r="D166" t="str">
            <v>通关大雁塔86层奖励器魂</v>
          </cell>
          <cell r="E166" t="str">
            <v>4|3|440|1,4|1|1000|1</v>
          </cell>
        </row>
        <row r="167">
          <cell r="A167">
            <v>11087</v>
          </cell>
          <cell r="B167">
            <v>0</v>
          </cell>
          <cell r="C167" t="str">
            <v>4|3|440,4|1|1000</v>
          </cell>
          <cell r="D167" t="str">
            <v>通关大雁塔87层奖励器魂</v>
          </cell>
          <cell r="E167" t="str">
            <v>4|3|440|1,4|1|1000|1</v>
          </cell>
        </row>
        <row r="168">
          <cell r="A168">
            <v>11088</v>
          </cell>
          <cell r="B168">
            <v>0</v>
          </cell>
          <cell r="C168" t="str">
            <v>4|3|440,4|1|1000</v>
          </cell>
          <cell r="D168" t="str">
            <v>通关大雁塔88层奖励器魂</v>
          </cell>
          <cell r="E168" t="str">
            <v>4|3|440|1,4|1|1000|1</v>
          </cell>
        </row>
        <row r="169">
          <cell r="A169">
            <v>11089</v>
          </cell>
          <cell r="B169">
            <v>0</v>
          </cell>
          <cell r="C169" t="str">
            <v>4|3|440,4|1|1000</v>
          </cell>
          <cell r="D169" t="str">
            <v>通关大雁塔89层奖励器魂</v>
          </cell>
          <cell r="E169" t="str">
            <v>4|3|440|1,4|1|1000|1</v>
          </cell>
        </row>
        <row r="170">
          <cell r="A170">
            <v>11090</v>
          </cell>
          <cell r="B170">
            <v>0</v>
          </cell>
          <cell r="C170" t="str">
            <v>4|3|440,4|1|1000</v>
          </cell>
          <cell r="D170" t="str">
            <v>通关大雁塔90层奖励器魂</v>
          </cell>
          <cell r="E170" t="str">
            <v>4|3|440|1,4|1|1000|1</v>
          </cell>
        </row>
        <row r="171">
          <cell r="A171">
            <v>11091</v>
          </cell>
          <cell r="B171">
            <v>0</v>
          </cell>
          <cell r="C171" t="str">
            <v>4|3|460,4|1|1000</v>
          </cell>
          <cell r="D171" t="str">
            <v>通关大雁塔91层奖励器魂</v>
          </cell>
          <cell r="E171" t="str">
            <v>4|3|460|1,4|1|1000|1</v>
          </cell>
        </row>
        <row r="172">
          <cell r="A172">
            <v>11092</v>
          </cell>
          <cell r="B172">
            <v>0</v>
          </cell>
          <cell r="C172" t="str">
            <v>4|3|460,4|1|1000</v>
          </cell>
          <cell r="D172" t="str">
            <v>通关大雁塔92层奖励器魂</v>
          </cell>
          <cell r="E172" t="str">
            <v>4|3|460|1,4|1|1000|1</v>
          </cell>
        </row>
        <row r="173">
          <cell r="A173">
            <v>11093</v>
          </cell>
          <cell r="B173">
            <v>0</v>
          </cell>
          <cell r="C173" t="str">
            <v>4|3|460,4|1|1000</v>
          </cell>
          <cell r="D173" t="str">
            <v>通关大雁塔93层奖励器魂</v>
          </cell>
          <cell r="E173" t="str">
            <v>4|3|460|1,4|1|1000|1</v>
          </cell>
        </row>
        <row r="174">
          <cell r="A174">
            <v>11094</v>
          </cell>
          <cell r="B174">
            <v>0</v>
          </cell>
          <cell r="C174" t="str">
            <v>4|3|460,4|1|1000</v>
          </cell>
          <cell r="D174" t="str">
            <v>通关大雁塔94层奖励器魂</v>
          </cell>
          <cell r="E174" t="str">
            <v>4|3|460|1,4|1|1000|1</v>
          </cell>
        </row>
        <row r="175">
          <cell r="A175">
            <v>11095</v>
          </cell>
          <cell r="B175">
            <v>0</v>
          </cell>
          <cell r="C175" t="str">
            <v>4|3|460,4|1|1000</v>
          </cell>
          <cell r="D175" t="str">
            <v>通关大雁塔95层奖励器魂</v>
          </cell>
          <cell r="E175" t="str">
            <v>4|3|460|1,4|1|1000|1</v>
          </cell>
        </row>
        <row r="176">
          <cell r="A176">
            <v>11096</v>
          </cell>
          <cell r="B176">
            <v>0</v>
          </cell>
          <cell r="C176" t="str">
            <v>4|3|480,4|1|1000</v>
          </cell>
          <cell r="D176" t="str">
            <v>通关大雁塔96层奖励器魂</v>
          </cell>
          <cell r="E176" t="str">
            <v>4|3|480|1,4|1|1000|1</v>
          </cell>
        </row>
        <row r="177">
          <cell r="A177">
            <v>11097</v>
          </cell>
          <cell r="B177">
            <v>0</v>
          </cell>
          <cell r="C177" t="str">
            <v>4|3|480,4|1|1000</v>
          </cell>
          <cell r="D177" t="str">
            <v>通关大雁塔97层奖励器魂</v>
          </cell>
          <cell r="E177" t="str">
            <v>4|3|480|1,4|1|1000|1</v>
          </cell>
        </row>
        <row r="178">
          <cell r="A178">
            <v>11098</v>
          </cell>
          <cell r="B178">
            <v>0</v>
          </cell>
          <cell r="C178" t="str">
            <v>4|3|480,4|1|1000</v>
          </cell>
          <cell r="D178" t="str">
            <v>通关大雁塔98层奖励器魂</v>
          </cell>
          <cell r="E178" t="str">
            <v>4|3|480|1,4|1|1000|1</v>
          </cell>
        </row>
        <row r="179">
          <cell r="A179">
            <v>11099</v>
          </cell>
          <cell r="B179">
            <v>0</v>
          </cell>
          <cell r="C179" t="str">
            <v>4|3|480,4|1|1000</v>
          </cell>
          <cell r="D179" t="str">
            <v>通关大雁塔99层奖励器魂</v>
          </cell>
          <cell r="E179" t="str">
            <v>4|3|480|1,4|1|1000|1</v>
          </cell>
        </row>
        <row r="180">
          <cell r="A180">
            <v>11100</v>
          </cell>
          <cell r="B180">
            <v>0</v>
          </cell>
          <cell r="C180" t="str">
            <v>4|3|480,4|1|1000</v>
          </cell>
          <cell r="D180" t="str">
            <v>通关大雁塔100层奖励器魂</v>
          </cell>
          <cell r="E180" t="str">
            <v>4|3|480|1,4|1|1000|1</v>
          </cell>
        </row>
        <row r="181">
          <cell r="A181">
            <v>11101</v>
          </cell>
          <cell r="B181">
            <v>0</v>
          </cell>
          <cell r="C181" t="str">
            <v>4|3|500,4|1|1000</v>
          </cell>
          <cell r="D181" t="str">
            <v>通关大雁塔101层奖励器魂</v>
          </cell>
          <cell r="E181" t="str">
            <v>4|3|500|1,4|1|1000|1</v>
          </cell>
        </row>
        <row r="182">
          <cell r="A182">
            <v>11102</v>
          </cell>
          <cell r="B182">
            <v>0</v>
          </cell>
          <cell r="C182" t="str">
            <v>4|3|500,4|1|1000</v>
          </cell>
          <cell r="D182" t="str">
            <v>通关大雁塔102层奖励器魂</v>
          </cell>
          <cell r="E182" t="str">
            <v>4|3|500|1,4|1|1000|1</v>
          </cell>
        </row>
        <row r="183">
          <cell r="A183">
            <v>11103</v>
          </cell>
          <cell r="B183">
            <v>0</v>
          </cell>
          <cell r="C183" t="str">
            <v>4|3|500,4|1|1000</v>
          </cell>
          <cell r="D183" t="str">
            <v>通关大雁塔103层奖励器魂</v>
          </cell>
          <cell r="E183" t="str">
            <v>4|3|500|1,4|1|1000|1</v>
          </cell>
        </row>
        <row r="184">
          <cell r="A184">
            <v>11104</v>
          </cell>
          <cell r="B184">
            <v>0</v>
          </cell>
          <cell r="C184" t="str">
            <v>4|3|500,4|1|1000</v>
          </cell>
          <cell r="D184" t="str">
            <v>通关大雁塔104层奖励器魂</v>
          </cell>
          <cell r="E184" t="str">
            <v>4|3|500|1,4|1|1000|1</v>
          </cell>
        </row>
        <row r="185">
          <cell r="A185">
            <v>11105</v>
          </cell>
          <cell r="B185">
            <v>0</v>
          </cell>
          <cell r="C185" t="str">
            <v>4|3|500,4|1|1000</v>
          </cell>
          <cell r="D185" t="str">
            <v>通关大雁塔105层奖励器魂</v>
          </cell>
          <cell r="E185" t="str">
            <v>4|3|500|1,4|1|1000|1</v>
          </cell>
        </row>
        <row r="186">
          <cell r="A186">
            <v>11106</v>
          </cell>
          <cell r="B186">
            <v>0</v>
          </cell>
          <cell r="C186" t="str">
            <v>4|3|520,4|1|1000</v>
          </cell>
          <cell r="D186" t="str">
            <v>通关大雁塔106层奖励器魂</v>
          </cell>
          <cell r="E186" t="str">
            <v>4|3|520|1,4|1|1000|1</v>
          </cell>
        </row>
        <row r="187">
          <cell r="A187">
            <v>11107</v>
          </cell>
          <cell r="B187">
            <v>0</v>
          </cell>
          <cell r="C187" t="str">
            <v>4|3|520,4|1|1000</v>
          </cell>
          <cell r="D187" t="str">
            <v>通关大雁塔107层奖励器魂</v>
          </cell>
          <cell r="E187" t="str">
            <v>4|3|520|1,4|1|1000|1</v>
          </cell>
        </row>
        <row r="188">
          <cell r="A188">
            <v>11108</v>
          </cell>
          <cell r="B188">
            <v>0</v>
          </cell>
          <cell r="C188" t="str">
            <v>4|3|520,4|1|1000</v>
          </cell>
          <cell r="D188" t="str">
            <v>通关大雁塔108层奖励器魂</v>
          </cell>
          <cell r="E188" t="str">
            <v>4|3|520|1,4|1|1000|1</v>
          </cell>
        </row>
        <row r="189">
          <cell r="A189">
            <v>11109</v>
          </cell>
          <cell r="B189">
            <v>0</v>
          </cell>
          <cell r="C189" t="str">
            <v>4|3|520,4|1|1000</v>
          </cell>
          <cell r="D189" t="str">
            <v>通关大雁塔109层奖励器魂</v>
          </cell>
          <cell r="E189" t="str">
            <v>4|3|520|1,4|1|1000|1</v>
          </cell>
        </row>
        <row r="190">
          <cell r="A190">
            <v>11110</v>
          </cell>
          <cell r="B190">
            <v>0</v>
          </cell>
          <cell r="C190" t="str">
            <v>4|3|520,4|1|1000</v>
          </cell>
          <cell r="D190" t="str">
            <v>通关大雁塔110层奖励器魂</v>
          </cell>
          <cell r="E190" t="str">
            <v>4|3|520|1,4|1|1000|1</v>
          </cell>
        </row>
        <row r="191">
          <cell r="A191">
            <v>11111</v>
          </cell>
          <cell r="B191">
            <v>0</v>
          </cell>
          <cell r="C191" t="str">
            <v>4|3|540,4|1|1000</v>
          </cell>
          <cell r="D191" t="str">
            <v>通关大雁塔111层奖励器魂</v>
          </cell>
          <cell r="E191" t="str">
            <v>4|3|540|1,4|1|1000|1</v>
          </cell>
        </row>
        <row r="192">
          <cell r="A192">
            <v>11112</v>
          </cell>
          <cell r="B192">
            <v>0</v>
          </cell>
          <cell r="C192" t="str">
            <v>4|3|540,4|1|1000</v>
          </cell>
          <cell r="D192" t="str">
            <v>通关大雁塔112层奖励器魂</v>
          </cell>
          <cell r="E192" t="str">
            <v>4|3|540|1,4|1|1000|1</v>
          </cell>
        </row>
        <row r="193">
          <cell r="A193">
            <v>11113</v>
          </cell>
          <cell r="B193">
            <v>0</v>
          </cell>
          <cell r="C193" t="str">
            <v>4|3|540,4|1|1000</v>
          </cell>
          <cell r="D193" t="str">
            <v>通关大雁塔113层奖励器魂</v>
          </cell>
          <cell r="E193" t="str">
            <v>4|3|540|1,4|1|1000|1</v>
          </cell>
        </row>
        <row r="194">
          <cell r="A194">
            <v>11114</v>
          </cell>
          <cell r="B194">
            <v>0</v>
          </cell>
          <cell r="C194" t="str">
            <v>4|3|540,4|1|1000</v>
          </cell>
          <cell r="D194" t="str">
            <v>通关大雁塔114层奖励器魂</v>
          </cell>
          <cell r="E194" t="str">
            <v>4|3|540|1,4|1|1000|1</v>
          </cell>
        </row>
        <row r="195">
          <cell r="A195">
            <v>11115</v>
          </cell>
          <cell r="B195">
            <v>0</v>
          </cell>
          <cell r="C195" t="str">
            <v>4|3|540,4|1|1000</v>
          </cell>
          <cell r="D195" t="str">
            <v>通关大雁塔115层奖励器魂</v>
          </cell>
          <cell r="E195" t="str">
            <v>4|3|540|1,4|1|1000|1</v>
          </cell>
        </row>
        <row r="196">
          <cell r="A196">
            <v>11116</v>
          </cell>
          <cell r="B196">
            <v>0</v>
          </cell>
          <cell r="C196" t="str">
            <v>4|3|560,4|1|1000</v>
          </cell>
          <cell r="D196" t="str">
            <v>通关大雁塔116层奖励器魂</v>
          </cell>
          <cell r="E196" t="str">
            <v>4|3|560|1,4|1|1000|1</v>
          </cell>
        </row>
        <row r="197">
          <cell r="A197">
            <v>11117</v>
          </cell>
          <cell r="B197">
            <v>0</v>
          </cell>
          <cell r="C197" t="str">
            <v>4|3|560,4|1|1000</v>
          </cell>
          <cell r="D197" t="str">
            <v>通关大雁塔117层奖励器魂</v>
          </cell>
          <cell r="E197" t="str">
            <v>4|3|560|1,4|1|1000|1</v>
          </cell>
        </row>
        <row r="198">
          <cell r="A198">
            <v>11118</v>
          </cell>
          <cell r="B198">
            <v>0</v>
          </cell>
          <cell r="C198" t="str">
            <v>4|3|560,4|1|1000</v>
          </cell>
          <cell r="D198" t="str">
            <v>通关大雁塔118层奖励器魂</v>
          </cell>
          <cell r="E198" t="str">
            <v>4|3|560|1,4|1|1000|1</v>
          </cell>
        </row>
        <row r="199">
          <cell r="A199">
            <v>11119</v>
          </cell>
          <cell r="B199">
            <v>0</v>
          </cell>
          <cell r="C199" t="str">
            <v>4|3|560,4|1|1000</v>
          </cell>
          <cell r="D199" t="str">
            <v>通关大雁塔119层奖励器魂</v>
          </cell>
          <cell r="E199" t="str">
            <v>4|3|560|1,4|1|1000|1</v>
          </cell>
        </row>
        <row r="200">
          <cell r="A200">
            <v>11120</v>
          </cell>
          <cell r="B200">
            <v>0</v>
          </cell>
          <cell r="C200" t="str">
            <v>4|3|560,4|1|1000</v>
          </cell>
          <cell r="D200" t="str">
            <v>通关大雁塔120层奖励器魂</v>
          </cell>
          <cell r="E200" t="str">
            <v>4|3|560|1,4|1|1000|1</v>
          </cell>
        </row>
        <row r="201">
          <cell r="A201">
            <v>11121</v>
          </cell>
          <cell r="B201">
            <v>0</v>
          </cell>
          <cell r="C201" t="str">
            <v>4|3|580,4|1|1000</v>
          </cell>
          <cell r="D201" t="str">
            <v>通关大雁塔121层奖励器魂</v>
          </cell>
          <cell r="E201" t="str">
            <v>4|3|580|1,4|1|1000|1</v>
          </cell>
        </row>
        <row r="202">
          <cell r="A202">
            <v>11122</v>
          </cell>
          <cell r="B202">
            <v>0</v>
          </cell>
          <cell r="C202" t="str">
            <v>4|3|580,4|1|1000</v>
          </cell>
          <cell r="D202" t="str">
            <v>通关大雁塔122层奖励器魂</v>
          </cell>
          <cell r="E202" t="str">
            <v>4|3|580|1,4|1|1000|1</v>
          </cell>
        </row>
        <row r="203">
          <cell r="A203">
            <v>11123</v>
          </cell>
          <cell r="B203">
            <v>0</v>
          </cell>
          <cell r="C203" t="str">
            <v>4|3|580,4|1|1000</v>
          </cell>
          <cell r="D203" t="str">
            <v>通关大雁塔123层奖励器魂</v>
          </cell>
          <cell r="E203" t="str">
            <v>4|3|580|1,4|1|1000|1</v>
          </cell>
        </row>
        <row r="204">
          <cell r="A204">
            <v>11124</v>
          </cell>
          <cell r="B204">
            <v>0</v>
          </cell>
          <cell r="C204" t="str">
            <v>4|3|580,4|1|1000</v>
          </cell>
          <cell r="D204" t="str">
            <v>通关大雁塔124层奖励器魂</v>
          </cell>
          <cell r="E204" t="str">
            <v>4|3|580|1,4|1|1000|1</v>
          </cell>
        </row>
        <row r="205">
          <cell r="A205">
            <v>11125</v>
          </cell>
          <cell r="B205">
            <v>0</v>
          </cell>
          <cell r="C205" t="str">
            <v>4|3|580,4|1|1000</v>
          </cell>
          <cell r="D205" t="str">
            <v>通关大雁塔125层奖励器魂</v>
          </cell>
          <cell r="E205" t="str">
            <v>4|3|580|1,4|1|1000|1</v>
          </cell>
        </row>
        <row r="206">
          <cell r="A206">
            <v>11126</v>
          </cell>
          <cell r="B206">
            <v>0</v>
          </cell>
          <cell r="C206" t="str">
            <v>4|3|600,4|1|1000</v>
          </cell>
          <cell r="D206" t="str">
            <v>通关大雁塔126层奖励器魂</v>
          </cell>
          <cell r="E206" t="str">
            <v>4|3|600|1,4|1|1000|1</v>
          </cell>
        </row>
        <row r="207">
          <cell r="A207">
            <v>11127</v>
          </cell>
          <cell r="B207">
            <v>0</v>
          </cell>
          <cell r="C207" t="str">
            <v>4|3|600,4|1|1000</v>
          </cell>
          <cell r="D207" t="str">
            <v>通关大雁塔127层奖励器魂</v>
          </cell>
          <cell r="E207" t="str">
            <v>4|3|600|1,4|1|1000|1</v>
          </cell>
        </row>
        <row r="208">
          <cell r="A208">
            <v>11128</v>
          </cell>
          <cell r="B208">
            <v>0</v>
          </cell>
          <cell r="C208" t="str">
            <v>4|3|600,4|1|1000</v>
          </cell>
          <cell r="D208" t="str">
            <v>通关大雁塔128层奖励器魂</v>
          </cell>
          <cell r="E208" t="str">
            <v>4|3|600|1,4|1|1000|1</v>
          </cell>
        </row>
        <row r="209">
          <cell r="A209">
            <v>11129</v>
          </cell>
          <cell r="B209">
            <v>0</v>
          </cell>
          <cell r="C209" t="str">
            <v>4|3|600,4|1|1000</v>
          </cell>
          <cell r="D209" t="str">
            <v>通关大雁塔129层奖励器魂</v>
          </cell>
          <cell r="E209" t="str">
            <v>4|3|600|1,4|1|1000|1</v>
          </cell>
        </row>
        <row r="210">
          <cell r="A210">
            <v>11130</v>
          </cell>
          <cell r="B210">
            <v>0</v>
          </cell>
          <cell r="C210" t="str">
            <v>4|3|600,4|1|1000</v>
          </cell>
          <cell r="D210" t="str">
            <v>通关大雁塔130层奖励器魂</v>
          </cell>
          <cell r="E210" t="str">
            <v>4|3|600|1,4|1|1000|1</v>
          </cell>
        </row>
        <row r="211">
          <cell r="A211">
            <v>11131</v>
          </cell>
          <cell r="B211">
            <v>0</v>
          </cell>
          <cell r="C211" t="str">
            <v>4|3|620,4|1|1000</v>
          </cell>
          <cell r="D211" t="str">
            <v>通关大雁塔131层奖励器魂</v>
          </cell>
          <cell r="E211" t="str">
            <v>4|3|620|1,4|1|1000|1</v>
          </cell>
        </row>
        <row r="212">
          <cell r="A212">
            <v>11132</v>
          </cell>
          <cell r="B212">
            <v>0</v>
          </cell>
          <cell r="C212" t="str">
            <v>4|3|620,4|1|1000</v>
          </cell>
          <cell r="D212" t="str">
            <v>通关大雁塔132层奖励器魂</v>
          </cell>
          <cell r="E212" t="str">
            <v>4|3|620|1,4|1|1000|1</v>
          </cell>
        </row>
        <row r="213">
          <cell r="A213">
            <v>11133</v>
          </cell>
          <cell r="B213">
            <v>0</v>
          </cell>
          <cell r="C213" t="str">
            <v>4|3|620,4|1|1000</v>
          </cell>
          <cell r="D213" t="str">
            <v>通关大雁塔133层奖励器魂</v>
          </cell>
          <cell r="E213" t="str">
            <v>4|3|620|1,4|1|1000|1</v>
          </cell>
        </row>
        <row r="214">
          <cell r="A214">
            <v>11134</v>
          </cell>
          <cell r="B214">
            <v>0</v>
          </cell>
          <cell r="C214" t="str">
            <v>4|3|620,4|1|1000</v>
          </cell>
          <cell r="D214" t="str">
            <v>通关大雁塔134层奖励器魂</v>
          </cell>
          <cell r="E214" t="str">
            <v>4|3|620|1,4|1|1000|1</v>
          </cell>
        </row>
        <row r="215">
          <cell r="A215">
            <v>11135</v>
          </cell>
          <cell r="B215">
            <v>0</v>
          </cell>
          <cell r="C215" t="str">
            <v>4|3|620,4|1|1000</v>
          </cell>
          <cell r="D215" t="str">
            <v>通关大雁塔135层奖励器魂</v>
          </cell>
          <cell r="E215" t="str">
            <v>4|3|620|1,4|1|1000|1</v>
          </cell>
        </row>
        <row r="216">
          <cell r="A216">
            <v>11136</v>
          </cell>
          <cell r="B216">
            <v>0</v>
          </cell>
          <cell r="C216" t="str">
            <v>4|3|640,4|1|1000</v>
          </cell>
          <cell r="D216" t="str">
            <v>通关大雁塔136层奖励器魂</v>
          </cell>
          <cell r="E216" t="str">
            <v>4|3|640|1,4|1|1000|1</v>
          </cell>
        </row>
        <row r="217">
          <cell r="A217">
            <v>11137</v>
          </cell>
          <cell r="B217">
            <v>0</v>
          </cell>
          <cell r="C217" t="str">
            <v>4|3|640,4|1|1000</v>
          </cell>
          <cell r="D217" t="str">
            <v>通关大雁塔137层奖励器魂</v>
          </cell>
          <cell r="E217" t="str">
            <v>4|3|640|1,4|1|1000|1</v>
          </cell>
        </row>
        <row r="218">
          <cell r="A218">
            <v>11138</v>
          </cell>
          <cell r="B218">
            <v>0</v>
          </cell>
          <cell r="C218" t="str">
            <v>4|3|640,4|1|1000</v>
          </cell>
          <cell r="D218" t="str">
            <v>通关大雁塔138层奖励器魂</v>
          </cell>
          <cell r="E218" t="str">
            <v>4|3|640|1,4|1|1000|1</v>
          </cell>
        </row>
        <row r="219">
          <cell r="A219">
            <v>11139</v>
          </cell>
          <cell r="B219">
            <v>0</v>
          </cell>
          <cell r="C219" t="str">
            <v>4|3|640,4|1|1000</v>
          </cell>
          <cell r="D219" t="str">
            <v>通关大雁塔139层奖励器魂</v>
          </cell>
          <cell r="E219" t="str">
            <v>4|3|640|1,4|1|1000|1</v>
          </cell>
        </row>
        <row r="220">
          <cell r="A220">
            <v>11140</v>
          </cell>
          <cell r="B220">
            <v>0</v>
          </cell>
          <cell r="C220" t="str">
            <v>4|3|640,4|1|1000</v>
          </cell>
          <cell r="D220" t="str">
            <v>通关大雁塔140层奖励器魂</v>
          </cell>
          <cell r="E220" t="str">
            <v>4|3|640|1,4|1|1000|1</v>
          </cell>
        </row>
        <row r="221">
          <cell r="A221">
            <v>11141</v>
          </cell>
          <cell r="B221">
            <v>0</v>
          </cell>
          <cell r="C221" t="str">
            <v>4|3|660,4|1|1000</v>
          </cell>
          <cell r="D221" t="str">
            <v>通关大雁塔141层奖励器魂</v>
          </cell>
          <cell r="E221" t="str">
            <v>4|3|660|1,4|1|1000|1</v>
          </cell>
        </row>
        <row r="222">
          <cell r="A222">
            <v>11142</v>
          </cell>
          <cell r="B222">
            <v>0</v>
          </cell>
          <cell r="C222" t="str">
            <v>4|3|660,4|1|1000</v>
          </cell>
          <cell r="D222" t="str">
            <v>通关大雁塔142层奖励器魂</v>
          </cell>
          <cell r="E222" t="str">
            <v>4|3|660|1,4|1|1000|1</v>
          </cell>
        </row>
        <row r="223">
          <cell r="A223">
            <v>11143</v>
          </cell>
          <cell r="B223">
            <v>0</v>
          </cell>
          <cell r="C223" t="str">
            <v>4|3|660,4|1|1000</v>
          </cell>
          <cell r="D223" t="str">
            <v>通关大雁塔143层奖励器魂</v>
          </cell>
          <cell r="E223" t="str">
            <v>4|3|660|1,4|1|1000|1</v>
          </cell>
        </row>
        <row r="224">
          <cell r="A224">
            <v>11144</v>
          </cell>
          <cell r="B224">
            <v>0</v>
          </cell>
          <cell r="C224" t="str">
            <v>4|3|660,4|1|1000</v>
          </cell>
          <cell r="D224" t="str">
            <v>通关大雁塔144层奖励器魂</v>
          </cell>
          <cell r="E224" t="str">
            <v>4|3|660|1,4|1|1000|1</v>
          </cell>
        </row>
        <row r="225">
          <cell r="A225">
            <v>11145</v>
          </cell>
          <cell r="B225">
            <v>0</v>
          </cell>
          <cell r="C225" t="str">
            <v>4|3|660,4|1|1000</v>
          </cell>
          <cell r="D225" t="str">
            <v>通关大雁塔145层奖励器魂</v>
          </cell>
          <cell r="E225" t="str">
            <v>4|3|660|1,4|1|1000|1</v>
          </cell>
        </row>
        <row r="226">
          <cell r="A226">
            <v>11146</v>
          </cell>
          <cell r="B226">
            <v>0</v>
          </cell>
          <cell r="C226" t="str">
            <v>4|3|680,4|1|1000</v>
          </cell>
          <cell r="D226" t="str">
            <v>通关大雁塔146层奖励器魂</v>
          </cell>
          <cell r="E226" t="str">
            <v>4|3|680|1,4|1|1000|1</v>
          </cell>
        </row>
        <row r="227">
          <cell r="A227">
            <v>11147</v>
          </cell>
          <cell r="B227">
            <v>0</v>
          </cell>
          <cell r="C227" t="str">
            <v>4|3|680,4|1|1000</v>
          </cell>
          <cell r="D227" t="str">
            <v>通关大雁塔147层奖励器魂</v>
          </cell>
          <cell r="E227" t="str">
            <v>4|3|680|1,4|1|1000|1</v>
          </cell>
        </row>
        <row r="228">
          <cell r="A228">
            <v>11148</v>
          </cell>
          <cell r="B228">
            <v>0</v>
          </cell>
          <cell r="C228" t="str">
            <v>4|3|680,4|1|1000</v>
          </cell>
          <cell r="D228" t="str">
            <v>通关大雁塔148层奖励器魂</v>
          </cell>
          <cell r="E228" t="str">
            <v>4|3|680|1,4|1|1000|1</v>
          </cell>
        </row>
        <row r="229">
          <cell r="A229">
            <v>11149</v>
          </cell>
          <cell r="B229">
            <v>0</v>
          </cell>
          <cell r="C229" t="str">
            <v>4|3|680,4|1|1000</v>
          </cell>
          <cell r="D229" t="str">
            <v>通关大雁塔149层奖励器魂</v>
          </cell>
          <cell r="E229" t="str">
            <v>4|3|680|1,4|1|1000|1</v>
          </cell>
        </row>
        <row r="230">
          <cell r="A230">
            <v>11150</v>
          </cell>
          <cell r="B230">
            <v>0</v>
          </cell>
          <cell r="C230" t="str">
            <v>4|3|680,4|1|1000</v>
          </cell>
          <cell r="D230" t="str">
            <v>通关大雁塔150层奖励器魂</v>
          </cell>
          <cell r="E230" t="str">
            <v>4|3|680|1,4|1|1000|1</v>
          </cell>
        </row>
        <row r="231">
          <cell r="A231">
            <v>11801</v>
          </cell>
          <cell r="B231">
            <v>0</v>
          </cell>
          <cell r="C231" t="str">
            <v>1|14300|1</v>
          </cell>
          <cell r="D231" t="str">
            <v>关大雁塔5层额外奖励</v>
          </cell>
          <cell r="E231" t="str">
            <v>1|14300|1|1</v>
          </cell>
        </row>
        <row r="232">
          <cell r="A232">
            <v>11802</v>
          </cell>
          <cell r="B232">
            <v>0</v>
          </cell>
          <cell r="C232" t="str">
            <v>1|14300|1</v>
          </cell>
          <cell r="D232" t="str">
            <v>关大雁塔10层额外奖励</v>
          </cell>
          <cell r="E232" t="str">
            <v>1|14300|1|1</v>
          </cell>
        </row>
        <row r="233">
          <cell r="A233">
            <v>11803</v>
          </cell>
          <cell r="B233">
            <v>0</v>
          </cell>
          <cell r="C233" t="str">
            <v>1|14300|1</v>
          </cell>
          <cell r="D233" t="str">
            <v>关大雁塔15层额外奖励</v>
          </cell>
          <cell r="E233" t="str">
            <v>1|14300|1|1</v>
          </cell>
        </row>
        <row r="234">
          <cell r="A234">
            <v>11804</v>
          </cell>
          <cell r="B234">
            <v>0</v>
          </cell>
          <cell r="C234" t="str">
            <v>1|14300|2</v>
          </cell>
          <cell r="D234" t="str">
            <v>关大雁塔20层额外奖励</v>
          </cell>
          <cell r="E234" t="str">
            <v>1|14300|2|1</v>
          </cell>
        </row>
        <row r="235">
          <cell r="A235">
            <v>11805</v>
          </cell>
          <cell r="B235">
            <v>0</v>
          </cell>
          <cell r="C235" t="str">
            <v>1|14300|2</v>
          </cell>
          <cell r="D235" t="str">
            <v>关大雁塔25层额外奖励</v>
          </cell>
          <cell r="E235" t="str">
            <v>1|14300|2|1</v>
          </cell>
        </row>
        <row r="236">
          <cell r="A236">
            <v>11806</v>
          </cell>
          <cell r="B236">
            <v>0</v>
          </cell>
          <cell r="C236" t="str">
            <v>1|14314|1</v>
          </cell>
          <cell r="D236" t="str">
            <v>关大雁塔30层额外奖励</v>
          </cell>
          <cell r="E236" t="str">
            <v>1|14314|1|1</v>
          </cell>
        </row>
        <row r="237">
          <cell r="A237">
            <v>11807</v>
          </cell>
          <cell r="B237">
            <v>0</v>
          </cell>
          <cell r="C237" t="str">
            <v>1|14314|1</v>
          </cell>
          <cell r="D237" t="str">
            <v>关大雁塔35层额外奖励</v>
          </cell>
          <cell r="E237" t="str">
            <v>1|14314|1|1</v>
          </cell>
        </row>
        <row r="238">
          <cell r="A238">
            <v>11808</v>
          </cell>
          <cell r="B238">
            <v>0</v>
          </cell>
          <cell r="C238" t="str">
            <v>1|14314|1</v>
          </cell>
          <cell r="D238" t="str">
            <v>关大雁塔40层额外奖励</v>
          </cell>
          <cell r="E238" t="str">
            <v>1|14314|1|1</v>
          </cell>
        </row>
        <row r="239">
          <cell r="A239">
            <v>11809</v>
          </cell>
          <cell r="B239">
            <v>0</v>
          </cell>
          <cell r="C239" t="str">
            <v>1|14314|1</v>
          </cell>
          <cell r="D239" t="str">
            <v>关大雁塔45层额外奖励</v>
          </cell>
          <cell r="E239" t="str">
            <v>1|14314|1|1</v>
          </cell>
        </row>
        <row r="240">
          <cell r="A240">
            <v>11810</v>
          </cell>
          <cell r="B240">
            <v>0</v>
          </cell>
          <cell r="C240" t="str">
            <v>1|14314|2</v>
          </cell>
          <cell r="D240" t="str">
            <v>关大雁塔50层额外奖励</v>
          </cell>
          <cell r="E240" t="str">
            <v>1|14314|2|1</v>
          </cell>
        </row>
        <row r="241">
          <cell r="A241">
            <v>11811</v>
          </cell>
          <cell r="B241">
            <v>0</v>
          </cell>
          <cell r="C241" t="str">
            <v>1|14314|2</v>
          </cell>
          <cell r="D241" t="str">
            <v>关大雁塔55层额外奖励</v>
          </cell>
          <cell r="E241" t="str">
            <v>1|14314|2|1</v>
          </cell>
        </row>
        <row r="242">
          <cell r="A242">
            <v>11812</v>
          </cell>
          <cell r="B242">
            <v>0</v>
          </cell>
          <cell r="C242" t="str">
            <v>1|14314|2</v>
          </cell>
          <cell r="D242" t="str">
            <v>关大雁塔60层额外奖励</v>
          </cell>
          <cell r="E242" t="str">
            <v>1|14314|2|1</v>
          </cell>
        </row>
        <row r="243">
          <cell r="A243">
            <v>11813</v>
          </cell>
          <cell r="B243">
            <v>0</v>
          </cell>
          <cell r="C243" t="str">
            <v>1|14314|2</v>
          </cell>
          <cell r="D243" t="str">
            <v>关大雁塔65层额外奖励</v>
          </cell>
          <cell r="E243" t="str">
            <v>1|14314|2|1</v>
          </cell>
        </row>
        <row r="244">
          <cell r="A244">
            <v>11814</v>
          </cell>
          <cell r="B244">
            <v>0</v>
          </cell>
          <cell r="C244" t="str">
            <v>1|14314|2</v>
          </cell>
          <cell r="D244" t="str">
            <v>关大雁塔70层额外奖励</v>
          </cell>
          <cell r="E244" t="str">
            <v>1|14314|2|1</v>
          </cell>
        </row>
        <row r="245">
          <cell r="A245">
            <v>11815</v>
          </cell>
          <cell r="B245">
            <v>0</v>
          </cell>
          <cell r="C245" t="str">
            <v>1|14315|1</v>
          </cell>
          <cell r="D245" t="str">
            <v>关大雁塔75层额外奖励</v>
          </cell>
          <cell r="E245" t="str">
            <v>1|14315|1|1</v>
          </cell>
        </row>
        <row r="246">
          <cell r="A246">
            <v>11816</v>
          </cell>
          <cell r="B246">
            <v>0</v>
          </cell>
          <cell r="C246" t="str">
            <v>1|14315|1</v>
          </cell>
          <cell r="D246" t="str">
            <v>关大雁塔80层额外奖励</v>
          </cell>
          <cell r="E246" t="str">
            <v>1|14315|1|1</v>
          </cell>
        </row>
        <row r="247">
          <cell r="A247">
            <v>11817</v>
          </cell>
          <cell r="B247">
            <v>0</v>
          </cell>
          <cell r="C247" t="str">
            <v>1|14315|1</v>
          </cell>
          <cell r="D247" t="str">
            <v>关大雁塔85层额外奖励</v>
          </cell>
          <cell r="E247" t="str">
            <v>1|14315|1|1</v>
          </cell>
        </row>
        <row r="248">
          <cell r="A248">
            <v>11818</v>
          </cell>
          <cell r="B248">
            <v>0</v>
          </cell>
          <cell r="C248" t="str">
            <v>1|14315|1</v>
          </cell>
          <cell r="D248" t="str">
            <v>关大雁塔90层额外奖励</v>
          </cell>
          <cell r="E248" t="str">
            <v>1|14315|1|1</v>
          </cell>
        </row>
        <row r="249">
          <cell r="A249">
            <v>11819</v>
          </cell>
          <cell r="B249">
            <v>0</v>
          </cell>
          <cell r="C249" t="str">
            <v>1|14315|1</v>
          </cell>
          <cell r="D249" t="str">
            <v>关大雁塔95层额外奖励</v>
          </cell>
          <cell r="E249" t="str">
            <v>1|14315|1|1</v>
          </cell>
        </row>
        <row r="250">
          <cell r="A250">
            <v>11820</v>
          </cell>
          <cell r="B250">
            <v>0</v>
          </cell>
          <cell r="C250" t="str">
            <v>1|14315|2</v>
          </cell>
          <cell r="D250" t="str">
            <v>关大雁塔100层额外奖励</v>
          </cell>
          <cell r="E250" t="str">
            <v>1|14315|2|1</v>
          </cell>
        </row>
        <row r="251">
          <cell r="A251">
            <v>11821</v>
          </cell>
          <cell r="B251">
            <v>0</v>
          </cell>
          <cell r="C251" t="str">
            <v>1|14315|2</v>
          </cell>
          <cell r="D251" t="str">
            <v>关大雁塔105层额外奖励</v>
          </cell>
          <cell r="E251" t="str">
            <v>1|14315|2|1</v>
          </cell>
        </row>
        <row r="252">
          <cell r="A252">
            <v>11822</v>
          </cell>
          <cell r="B252">
            <v>0</v>
          </cell>
          <cell r="C252" t="str">
            <v>1|14315|2</v>
          </cell>
          <cell r="D252" t="str">
            <v>关大雁塔110层额外奖励</v>
          </cell>
          <cell r="E252" t="str">
            <v>1|14315|2|1</v>
          </cell>
        </row>
        <row r="253">
          <cell r="A253">
            <v>11823</v>
          </cell>
          <cell r="B253">
            <v>0</v>
          </cell>
          <cell r="C253" t="str">
            <v>1|14315|2</v>
          </cell>
          <cell r="D253" t="str">
            <v>关大雁塔115层额外奖励</v>
          </cell>
          <cell r="E253" t="str">
            <v>1|14315|2|1</v>
          </cell>
        </row>
        <row r="254">
          <cell r="A254">
            <v>11824</v>
          </cell>
          <cell r="B254">
            <v>0</v>
          </cell>
          <cell r="C254" t="str">
            <v>1|14315|2</v>
          </cell>
          <cell r="D254" t="str">
            <v>关大雁塔120层额外奖励</v>
          </cell>
          <cell r="E254" t="str">
            <v>1|14315|2|1</v>
          </cell>
        </row>
        <row r="255">
          <cell r="A255">
            <v>11825</v>
          </cell>
          <cell r="B255">
            <v>0</v>
          </cell>
          <cell r="C255" t="str">
            <v>1|14315|2</v>
          </cell>
          <cell r="D255" t="str">
            <v>关大雁塔125层额外奖励</v>
          </cell>
          <cell r="E255" t="str">
            <v>1|14315|2|1</v>
          </cell>
        </row>
        <row r="256">
          <cell r="A256">
            <v>11826</v>
          </cell>
          <cell r="B256">
            <v>0</v>
          </cell>
          <cell r="C256" t="str">
            <v>1|14315|2</v>
          </cell>
          <cell r="D256" t="str">
            <v>关大雁塔130层额外奖励</v>
          </cell>
          <cell r="E256" t="str">
            <v>1|14315|2|1</v>
          </cell>
        </row>
        <row r="257">
          <cell r="A257">
            <v>11827</v>
          </cell>
          <cell r="B257">
            <v>0</v>
          </cell>
          <cell r="C257" t="str">
            <v>1|14315|2</v>
          </cell>
          <cell r="D257" t="str">
            <v>关大雁塔135层额外奖励</v>
          </cell>
          <cell r="E257" t="str">
            <v>1|14315|2|1</v>
          </cell>
        </row>
        <row r="258">
          <cell r="A258">
            <v>11828</v>
          </cell>
          <cell r="B258">
            <v>0</v>
          </cell>
          <cell r="C258" t="str">
            <v>1|14315|2</v>
          </cell>
          <cell r="D258" t="str">
            <v>关大雁塔140层额外奖励</v>
          </cell>
          <cell r="E258" t="str">
            <v>1|14315|2|1</v>
          </cell>
        </row>
        <row r="259">
          <cell r="A259">
            <v>11829</v>
          </cell>
          <cell r="B259">
            <v>0</v>
          </cell>
          <cell r="C259" t="str">
            <v>1|14315|2</v>
          </cell>
          <cell r="D259" t="str">
            <v>关大雁塔145层额外奖励</v>
          </cell>
          <cell r="E259" t="str">
            <v>1|14315|2|1</v>
          </cell>
        </row>
        <row r="260">
          <cell r="A260">
            <v>11830</v>
          </cell>
          <cell r="B260">
            <v>0</v>
          </cell>
          <cell r="C260" t="str">
            <v>1|14315|2</v>
          </cell>
          <cell r="D260" t="str">
            <v>关大雁塔150层额外奖励</v>
          </cell>
          <cell r="E260" t="str">
            <v>1|14315|2|1</v>
          </cell>
        </row>
        <row r="261">
          <cell r="A261">
            <v>12501</v>
          </cell>
          <cell r="B261">
            <v>1</v>
          </cell>
          <cell r="C261" t="str">
            <v>1|10001|1</v>
          </cell>
          <cell r="D261" t="str">
            <v>二郎神碎片</v>
          </cell>
          <cell r="E261" t="str">
            <v>1|10001|1|1</v>
          </cell>
        </row>
        <row r="262">
          <cell r="A262">
            <v>12502</v>
          </cell>
          <cell r="B262">
            <v>1</v>
          </cell>
          <cell r="C262" t="str">
            <v>1|10002|1</v>
          </cell>
          <cell r="D262" t="str">
            <v>哪吒碎片</v>
          </cell>
          <cell r="E262" t="str">
            <v>1|10002|1|1</v>
          </cell>
        </row>
        <row r="263">
          <cell r="A263">
            <v>12503</v>
          </cell>
          <cell r="B263">
            <v>1</v>
          </cell>
          <cell r="C263" t="str">
            <v>1|10003|1</v>
          </cell>
          <cell r="D263" t="str">
            <v>嫦娥碎片</v>
          </cell>
          <cell r="E263" t="str">
            <v>1|10003|1|1</v>
          </cell>
        </row>
        <row r="264">
          <cell r="A264">
            <v>12504</v>
          </cell>
          <cell r="B264">
            <v>1</v>
          </cell>
          <cell r="C264" t="str">
            <v>1|10004|1</v>
          </cell>
          <cell r="D264" t="str">
            <v>玉皇大帝碎片</v>
          </cell>
          <cell r="E264" t="str">
            <v>1|10004|1|1</v>
          </cell>
        </row>
        <row r="265">
          <cell r="A265">
            <v>12505</v>
          </cell>
          <cell r="B265">
            <v>1</v>
          </cell>
          <cell r="C265" t="str">
            <v>1|10005|1</v>
          </cell>
          <cell r="D265" t="str">
            <v>王母娘娘碎片</v>
          </cell>
          <cell r="E265" t="str">
            <v>1|10005|1|1</v>
          </cell>
        </row>
        <row r="266">
          <cell r="A266">
            <v>12506</v>
          </cell>
          <cell r="B266">
            <v>1</v>
          </cell>
          <cell r="C266" t="str">
            <v>1|10006|1</v>
          </cell>
          <cell r="D266" t="str">
            <v>太白金星碎片</v>
          </cell>
          <cell r="E266" t="str">
            <v>1|10006|1|1</v>
          </cell>
        </row>
        <row r="267">
          <cell r="A267">
            <v>12507</v>
          </cell>
          <cell r="B267">
            <v>1</v>
          </cell>
          <cell r="C267" t="str">
            <v>1|10007|1</v>
          </cell>
          <cell r="D267" t="str">
            <v>赤脚大仙碎片</v>
          </cell>
          <cell r="E267" t="str">
            <v>1|10007|1|1</v>
          </cell>
        </row>
        <row r="268">
          <cell r="A268">
            <v>12508</v>
          </cell>
          <cell r="B268">
            <v>1</v>
          </cell>
          <cell r="C268" t="str">
            <v>1|10008|1</v>
          </cell>
          <cell r="D268" t="str">
            <v>托塔天王碎片</v>
          </cell>
          <cell r="E268" t="str">
            <v>1|10008|1|1</v>
          </cell>
        </row>
        <row r="269">
          <cell r="A269">
            <v>12509</v>
          </cell>
          <cell r="B269">
            <v>1</v>
          </cell>
          <cell r="C269" t="str">
            <v>1|10009|1</v>
          </cell>
          <cell r="D269" t="str">
            <v>九天玄女碎片</v>
          </cell>
          <cell r="E269" t="str">
            <v>1|10009|1|1</v>
          </cell>
        </row>
        <row r="270">
          <cell r="A270">
            <v>12510</v>
          </cell>
          <cell r="B270">
            <v>1</v>
          </cell>
          <cell r="C270" t="str">
            <v>1|10010|1</v>
          </cell>
          <cell r="D270" t="str">
            <v>红孩儿碎片</v>
          </cell>
          <cell r="E270" t="str">
            <v>1|10010|1|1</v>
          </cell>
        </row>
        <row r="271">
          <cell r="A271">
            <v>12511</v>
          </cell>
          <cell r="B271">
            <v>1</v>
          </cell>
          <cell r="C271" t="str">
            <v>1|10011|1</v>
          </cell>
          <cell r="D271" t="str">
            <v>铁扇公主碎片</v>
          </cell>
          <cell r="E271" t="str">
            <v>1|10011|1|1</v>
          </cell>
        </row>
        <row r="272">
          <cell r="A272">
            <v>12512</v>
          </cell>
          <cell r="B272">
            <v>1</v>
          </cell>
          <cell r="C272" t="str">
            <v>1|10012|1</v>
          </cell>
          <cell r="D272" t="str">
            <v>牛魔王碎片</v>
          </cell>
          <cell r="E272" t="str">
            <v>1|10012|1|1</v>
          </cell>
        </row>
        <row r="273">
          <cell r="A273">
            <v>12513</v>
          </cell>
          <cell r="B273">
            <v>1</v>
          </cell>
          <cell r="C273" t="str">
            <v>1|10013|1</v>
          </cell>
          <cell r="D273" t="str">
            <v>虎力大仙碎片</v>
          </cell>
          <cell r="E273" t="str">
            <v>1|10013|1|1</v>
          </cell>
        </row>
        <row r="274">
          <cell r="A274">
            <v>12514</v>
          </cell>
          <cell r="B274">
            <v>1</v>
          </cell>
          <cell r="C274" t="str">
            <v>1|10014|1</v>
          </cell>
          <cell r="D274" t="str">
            <v>鹿力大仙碎片</v>
          </cell>
          <cell r="E274" t="str">
            <v>1|10014|1|1</v>
          </cell>
        </row>
        <row r="275">
          <cell r="A275">
            <v>12515</v>
          </cell>
          <cell r="B275">
            <v>1</v>
          </cell>
          <cell r="C275" t="str">
            <v>1|10015|1</v>
          </cell>
          <cell r="D275" t="str">
            <v>羊力大仙碎片</v>
          </cell>
          <cell r="E275" t="str">
            <v>1|10015|1|1</v>
          </cell>
        </row>
        <row r="276">
          <cell r="A276">
            <v>12516</v>
          </cell>
          <cell r="B276">
            <v>1</v>
          </cell>
          <cell r="C276" t="str">
            <v>1|10016|1</v>
          </cell>
          <cell r="D276" t="str">
            <v>白骨夫人碎片</v>
          </cell>
          <cell r="E276" t="str">
            <v>1|10016|1|1</v>
          </cell>
        </row>
        <row r="277">
          <cell r="A277">
            <v>12517</v>
          </cell>
          <cell r="B277">
            <v>1</v>
          </cell>
          <cell r="C277" t="str">
            <v>1|10017|1</v>
          </cell>
          <cell r="D277" t="str">
            <v>六耳猕猴碎片</v>
          </cell>
          <cell r="E277" t="str">
            <v>1|10017|1|1</v>
          </cell>
        </row>
        <row r="278">
          <cell r="A278">
            <v>12518</v>
          </cell>
          <cell r="B278">
            <v>1</v>
          </cell>
          <cell r="C278" t="str">
            <v>1|10018|1</v>
          </cell>
          <cell r="D278" t="str">
            <v>混沌碎片</v>
          </cell>
          <cell r="E278" t="str">
            <v>1|10018|1|1</v>
          </cell>
        </row>
        <row r="279">
          <cell r="A279">
            <v>12519</v>
          </cell>
          <cell r="B279">
            <v>1</v>
          </cell>
          <cell r="C279" t="str">
            <v>1|10019|1</v>
          </cell>
          <cell r="D279" t="str">
            <v>孙悟空碎片</v>
          </cell>
          <cell r="E279" t="str">
            <v>1|10019|1|1</v>
          </cell>
        </row>
        <row r="280">
          <cell r="A280">
            <v>12520</v>
          </cell>
          <cell r="B280">
            <v>1</v>
          </cell>
          <cell r="C280" t="str">
            <v>1|10020|1</v>
          </cell>
          <cell r="D280" t="str">
            <v>猪八戒碎片</v>
          </cell>
          <cell r="E280" t="str">
            <v>1|10020|1|1</v>
          </cell>
        </row>
        <row r="281">
          <cell r="A281">
            <v>12521</v>
          </cell>
          <cell r="B281">
            <v>1</v>
          </cell>
          <cell r="C281" t="str">
            <v>1|10021|1</v>
          </cell>
          <cell r="D281" t="str">
            <v>紫霞仙子碎片</v>
          </cell>
          <cell r="E281" t="str">
            <v>1|10021|1|1</v>
          </cell>
        </row>
        <row r="282">
          <cell r="A282">
            <v>12522</v>
          </cell>
          <cell r="B282">
            <v>1</v>
          </cell>
          <cell r="C282" t="str">
            <v>1|10022|1</v>
          </cell>
          <cell r="D282" t="str">
            <v>唐三藏碎片</v>
          </cell>
          <cell r="E282" t="str">
            <v>1|10022|1|1</v>
          </cell>
        </row>
        <row r="283">
          <cell r="A283">
            <v>12523</v>
          </cell>
          <cell r="B283">
            <v>1</v>
          </cell>
          <cell r="C283" t="str">
            <v>1|10023|1</v>
          </cell>
          <cell r="D283" t="str">
            <v>小白龙碎片</v>
          </cell>
          <cell r="E283" t="str">
            <v>1|10023|1|1</v>
          </cell>
        </row>
        <row r="284">
          <cell r="A284">
            <v>12524</v>
          </cell>
          <cell r="B284">
            <v>1</v>
          </cell>
          <cell r="C284" t="str">
            <v>1|10024|1</v>
          </cell>
          <cell r="D284" t="str">
            <v>沙和尚碎片</v>
          </cell>
          <cell r="E284" t="str">
            <v>1|10024|1|1</v>
          </cell>
        </row>
        <row r="285">
          <cell r="A285">
            <v>12525</v>
          </cell>
          <cell r="B285">
            <v>1</v>
          </cell>
          <cell r="C285" t="str">
            <v>1|10025|1</v>
          </cell>
          <cell r="D285" t="str">
            <v>迦叶碎片</v>
          </cell>
          <cell r="E285" t="str">
            <v>1|10025|1|1</v>
          </cell>
        </row>
        <row r="286">
          <cell r="A286">
            <v>12526</v>
          </cell>
          <cell r="B286">
            <v>1</v>
          </cell>
          <cell r="C286" t="str">
            <v>1|10026|1</v>
          </cell>
          <cell r="D286" t="str">
            <v>文殊菩萨碎片</v>
          </cell>
          <cell r="E286" t="str">
            <v>1|10026|1|1</v>
          </cell>
        </row>
        <row r="287">
          <cell r="A287">
            <v>12527</v>
          </cell>
          <cell r="B287">
            <v>1</v>
          </cell>
          <cell r="C287" t="str">
            <v>1|10027|1</v>
          </cell>
          <cell r="D287" t="str">
            <v>弥勒佛碎片</v>
          </cell>
          <cell r="E287" t="str">
            <v>1|10027|1|1</v>
          </cell>
        </row>
        <row r="288">
          <cell r="A288">
            <v>12528</v>
          </cell>
          <cell r="B288">
            <v>1</v>
          </cell>
          <cell r="C288" t="str">
            <v>1|10028|1</v>
          </cell>
          <cell r="D288" t="str">
            <v>赛太岁碎片</v>
          </cell>
          <cell r="E288" t="str">
            <v>1|10028|1|1</v>
          </cell>
        </row>
        <row r="289">
          <cell r="A289">
            <v>12529</v>
          </cell>
          <cell r="B289">
            <v>1</v>
          </cell>
          <cell r="C289" t="str">
            <v>1|10101|1</v>
          </cell>
          <cell r="D289" t="str">
            <v>阎罗王碎片</v>
          </cell>
          <cell r="E289" t="str">
            <v>1|10101|1|1</v>
          </cell>
        </row>
        <row r="290">
          <cell r="A290">
            <v>12530</v>
          </cell>
          <cell r="B290">
            <v>1</v>
          </cell>
          <cell r="C290" t="str">
            <v>1|10030|1</v>
          </cell>
          <cell r="D290" t="str">
            <v>地藏王碎片</v>
          </cell>
          <cell r="E290" t="str">
            <v>1|10030|1|1</v>
          </cell>
        </row>
        <row r="291">
          <cell r="A291">
            <v>12531</v>
          </cell>
          <cell r="B291">
            <v>1</v>
          </cell>
          <cell r="C291" t="str">
            <v>1|10031|1</v>
          </cell>
          <cell r="D291" t="str">
            <v>蝎子精碎片</v>
          </cell>
          <cell r="E291" t="str">
            <v>1|10031|1|1</v>
          </cell>
        </row>
        <row r="292">
          <cell r="A292">
            <v>12532</v>
          </cell>
          <cell r="B292">
            <v>1</v>
          </cell>
          <cell r="C292" t="str">
            <v>1|10032|1</v>
          </cell>
          <cell r="D292" t="str">
            <v>混世魔王碎片</v>
          </cell>
          <cell r="E292" t="str">
            <v>1|10032|1|1</v>
          </cell>
        </row>
        <row r="293">
          <cell r="A293">
            <v>12533</v>
          </cell>
          <cell r="B293">
            <v>1</v>
          </cell>
          <cell r="C293" t="str">
            <v>1|10033|1</v>
          </cell>
          <cell r="D293" t="str">
            <v>雷公碎片</v>
          </cell>
          <cell r="E293" t="str">
            <v>1|10033|1|1</v>
          </cell>
        </row>
        <row r="294">
          <cell r="A294">
            <v>12534</v>
          </cell>
          <cell r="B294">
            <v>1</v>
          </cell>
          <cell r="C294" t="str">
            <v>1|10034|1</v>
          </cell>
          <cell r="D294" t="str">
            <v>泾河龙王碎片</v>
          </cell>
          <cell r="E294" t="str">
            <v>1|10034|1|1</v>
          </cell>
        </row>
        <row r="295">
          <cell r="A295">
            <v>12535</v>
          </cell>
          <cell r="B295">
            <v>1</v>
          </cell>
          <cell r="C295" t="str">
            <v>1|10035|1</v>
          </cell>
          <cell r="D295" t="str">
            <v>东海龙王碎片</v>
          </cell>
          <cell r="E295" t="str">
            <v>1|10035|1|1</v>
          </cell>
        </row>
        <row r="296">
          <cell r="A296">
            <v>12536</v>
          </cell>
          <cell r="B296">
            <v>1</v>
          </cell>
          <cell r="C296" t="str">
            <v>1|10036|1</v>
          </cell>
          <cell r="D296" t="str">
            <v>白龙公主碎片</v>
          </cell>
          <cell r="E296" t="str">
            <v>1|10036|1|1</v>
          </cell>
        </row>
        <row r="297">
          <cell r="A297">
            <v>12537</v>
          </cell>
          <cell r="B297">
            <v>1</v>
          </cell>
          <cell r="C297" t="str">
            <v>1|10037|1</v>
          </cell>
          <cell r="D297" t="str">
            <v>蜘蛛精碎片</v>
          </cell>
          <cell r="E297" t="str">
            <v>1|10037|1|1</v>
          </cell>
        </row>
        <row r="298">
          <cell r="A298">
            <v>12538</v>
          </cell>
          <cell r="B298">
            <v>1</v>
          </cell>
          <cell r="C298" t="str">
            <v>1|10038|1</v>
          </cell>
          <cell r="D298" t="str">
            <v>玉面夫人碎片</v>
          </cell>
          <cell r="E298" t="str">
            <v>1|10038|1|1</v>
          </cell>
        </row>
        <row r="299">
          <cell r="A299">
            <v>12539</v>
          </cell>
          <cell r="B299">
            <v>1</v>
          </cell>
          <cell r="C299" t="str">
            <v>1|10039|1</v>
          </cell>
          <cell r="D299" t="str">
            <v>金钱豹王碎片</v>
          </cell>
          <cell r="E299" t="str">
            <v>1|10039|1|1</v>
          </cell>
        </row>
        <row r="300">
          <cell r="A300">
            <v>12540</v>
          </cell>
          <cell r="B300">
            <v>1</v>
          </cell>
          <cell r="C300" t="str">
            <v>1|10040|1</v>
          </cell>
          <cell r="D300" t="str">
            <v>墨鱼精碎片</v>
          </cell>
          <cell r="E300" t="str">
            <v>1|10040|1|1</v>
          </cell>
        </row>
        <row r="301">
          <cell r="A301">
            <v>12541</v>
          </cell>
          <cell r="B301">
            <v>1</v>
          </cell>
          <cell r="C301" t="str">
            <v>1|10041|1</v>
          </cell>
          <cell r="D301" t="str">
            <v>玉兔精碎片</v>
          </cell>
          <cell r="E301" t="str">
            <v>1|10041|1|1</v>
          </cell>
        </row>
        <row r="302">
          <cell r="A302">
            <v>12542</v>
          </cell>
          <cell r="B302">
            <v>1</v>
          </cell>
          <cell r="C302" t="str">
            <v>1|10042|1</v>
          </cell>
          <cell r="D302" t="str">
            <v>火狮人碎片</v>
          </cell>
          <cell r="E302" t="str">
            <v>1|10042|1|1</v>
          </cell>
        </row>
        <row r="303">
          <cell r="A303">
            <v>12543</v>
          </cell>
          <cell r="B303">
            <v>1</v>
          </cell>
          <cell r="C303" t="str">
            <v>1|10043|1</v>
          </cell>
          <cell r="D303" t="str">
            <v>土狮人碎片</v>
          </cell>
          <cell r="E303" t="str">
            <v>1|10043|1|1</v>
          </cell>
        </row>
        <row r="304">
          <cell r="A304">
            <v>12546</v>
          </cell>
          <cell r="B304">
            <v>1</v>
          </cell>
          <cell r="C304" t="str">
            <v>1|10046|1</v>
          </cell>
          <cell r="D304" t="str">
            <v>金石头人碎片</v>
          </cell>
          <cell r="E304" t="str">
            <v>1|10046|1|1</v>
          </cell>
        </row>
        <row r="305">
          <cell r="A305">
            <v>12547</v>
          </cell>
          <cell r="B305">
            <v>1</v>
          </cell>
          <cell r="C305" t="str">
            <v>1|10047|1</v>
          </cell>
          <cell r="D305" t="str">
            <v>木石头人碎片</v>
          </cell>
          <cell r="E305" t="str">
            <v>1|10047|1|1</v>
          </cell>
        </row>
        <row r="306">
          <cell r="A306">
            <v>12548</v>
          </cell>
          <cell r="B306">
            <v>1</v>
          </cell>
          <cell r="C306" t="str">
            <v>1|10048|1</v>
          </cell>
          <cell r="D306" t="str">
            <v>土石头人碎片</v>
          </cell>
          <cell r="E306" t="str">
            <v>1|10048|1|1</v>
          </cell>
        </row>
        <row r="307">
          <cell r="A307">
            <v>12552</v>
          </cell>
          <cell r="B307">
            <v>1</v>
          </cell>
          <cell r="C307" t="str">
            <v>1|10052|1</v>
          </cell>
          <cell r="D307" t="str">
            <v>黑熊精碎片</v>
          </cell>
          <cell r="E307" t="str">
            <v>1|10052|1|1</v>
          </cell>
        </row>
        <row r="308">
          <cell r="A308">
            <v>12553</v>
          </cell>
          <cell r="B308">
            <v>1</v>
          </cell>
          <cell r="C308" t="str">
            <v>1|10053|1</v>
          </cell>
          <cell r="D308" t="str">
            <v>奔波儿灞碎片</v>
          </cell>
          <cell r="E308" t="str">
            <v>1|10053|1|1</v>
          </cell>
        </row>
        <row r="309">
          <cell r="A309">
            <v>12554</v>
          </cell>
          <cell r="B309">
            <v>1</v>
          </cell>
          <cell r="C309" t="str">
            <v>1|10054|1</v>
          </cell>
          <cell r="D309" t="str">
            <v>灞波尔奔碎片</v>
          </cell>
          <cell r="E309" t="str">
            <v>1|10054|1|1</v>
          </cell>
        </row>
        <row r="310">
          <cell r="A310">
            <v>12555</v>
          </cell>
          <cell r="B310">
            <v>1</v>
          </cell>
          <cell r="C310" t="str">
            <v>1|10055|1</v>
          </cell>
          <cell r="D310" t="str">
            <v>金大蟒精碎片</v>
          </cell>
          <cell r="E310" t="str">
            <v>1|10055|1|1</v>
          </cell>
        </row>
        <row r="311">
          <cell r="A311">
            <v>12556</v>
          </cell>
          <cell r="B311">
            <v>1</v>
          </cell>
          <cell r="C311" t="str">
            <v>1|10056|1</v>
          </cell>
          <cell r="D311" t="str">
            <v>木大蟒精碎片</v>
          </cell>
          <cell r="E311" t="str">
            <v>1|10056|1|1</v>
          </cell>
        </row>
        <row r="312">
          <cell r="A312">
            <v>12557</v>
          </cell>
          <cell r="B312">
            <v>1</v>
          </cell>
          <cell r="C312" t="str">
            <v>1|10057|1</v>
          </cell>
          <cell r="D312" t="str">
            <v>木狐美人碎片</v>
          </cell>
          <cell r="E312" t="str">
            <v>1|10057|1|1</v>
          </cell>
        </row>
        <row r="313">
          <cell r="A313">
            <v>12558</v>
          </cell>
          <cell r="B313">
            <v>1</v>
          </cell>
          <cell r="C313" t="str">
            <v>1|10058|1</v>
          </cell>
          <cell r="D313" t="str">
            <v>水狐美人碎片</v>
          </cell>
          <cell r="E313" t="str">
            <v>1|10058|1|1</v>
          </cell>
        </row>
        <row r="314">
          <cell r="A314">
            <v>12559</v>
          </cell>
          <cell r="B314">
            <v>1</v>
          </cell>
          <cell r="C314" t="str">
            <v>1|10059|1</v>
          </cell>
          <cell r="D314" t="str">
            <v>火狐美人碎片</v>
          </cell>
          <cell r="E314" t="str">
            <v>1|10059|1|1</v>
          </cell>
        </row>
        <row r="315">
          <cell r="A315">
            <v>12562</v>
          </cell>
          <cell r="B315">
            <v>1</v>
          </cell>
          <cell r="C315" t="str">
            <v>1|10062|1</v>
          </cell>
          <cell r="D315" t="str">
            <v>金鲛人碎片</v>
          </cell>
          <cell r="E315" t="str">
            <v>1|10062|1|1</v>
          </cell>
        </row>
        <row r="316">
          <cell r="A316">
            <v>12563</v>
          </cell>
          <cell r="B316">
            <v>1</v>
          </cell>
          <cell r="C316" t="str">
            <v>1|10063|1</v>
          </cell>
          <cell r="D316" t="str">
            <v>水鲛人碎片</v>
          </cell>
          <cell r="E316" t="str">
            <v>1|10063|1|1</v>
          </cell>
        </row>
        <row r="317">
          <cell r="A317">
            <v>12600</v>
          </cell>
          <cell r="B317">
            <v>0</v>
          </cell>
          <cell r="C317" t="str">
            <v>4|10|50,4|1|1000</v>
          </cell>
          <cell r="D317" t="str">
            <v>主线副本掉落测试用</v>
          </cell>
          <cell r="E317" t="str">
            <v>4|10|50|1,4|1|1000|1</v>
          </cell>
        </row>
        <row r="318">
          <cell r="A318">
            <v>13000</v>
          </cell>
          <cell r="B318">
            <v>0</v>
          </cell>
          <cell r="C318" t="str">
            <v>4|38|250</v>
          </cell>
          <cell r="D318" t="str">
            <v>无底洞奖励-探索值</v>
          </cell>
          <cell r="E318" t="str">
            <v>4|38|250|1</v>
          </cell>
        </row>
        <row r="319">
          <cell r="A319">
            <v>13100</v>
          </cell>
          <cell r="B319">
            <v>0</v>
          </cell>
          <cell r="C319" t="str">
            <v>4|1|2000,4|3|100</v>
          </cell>
          <cell r="D319" t="str">
            <v>大雁塔通关奖励</v>
          </cell>
          <cell r="E319" t="str">
            <v>4|1|2000|1,4|3|100|1</v>
          </cell>
        </row>
        <row r="320">
          <cell r="A320">
            <v>15001</v>
          </cell>
          <cell r="B320">
            <v>1</v>
          </cell>
          <cell r="C320" t="str">
            <v>2|2001|1</v>
          </cell>
          <cell r="D320" t="str">
            <v>行者战甲</v>
          </cell>
          <cell r="E320" t="str">
            <v>2|2001|1|1</v>
          </cell>
        </row>
        <row r="321">
          <cell r="A321">
            <v>15002</v>
          </cell>
          <cell r="B321">
            <v>1</v>
          </cell>
          <cell r="C321" t="str">
            <v>2|2002|1</v>
          </cell>
          <cell r="D321" t="str">
            <v>行者长剑</v>
          </cell>
          <cell r="E321" t="str">
            <v>2|2002|1|1</v>
          </cell>
        </row>
        <row r="322">
          <cell r="A322">
            <v>15003</v>
          </cell>
          <cell r="B322">
            <v>1</v>
          </cell>
          <cell r="C322" t="str">
            <v>2|2003|1</v>
          </cell>
          <cell r="D322" t="str">
            <v>行者头盔</v>
          </cell>
          <cell r="E322" t="str">
            <v>2|2003|1|1</v>
          </cell>
        </row>
        <row r="323">
          <cell r="A323">
            <v>15004</v>
          </cell>
          <cell r="B323">
            <v>1</v>
          </cell>
          <cell r="C323" t="str">
            <v>2|2004|1</v>
          </cell>
          <cell r="D323" t="str">
            <v>行者腰带</v>
          </cell>
          <cell r="E323" t="str">
            <v>2|2004|1|1</v>
          </cell>
        </row>
        <row r="324">
          <cell r="A324">
            <v>15005</v>
          </cell>
          <cell r="B324">
            <v>1</v>
          </cell>
          <cell r="C324" t="str">
            <v>2|2021|1</v>
          </cell>
          <cell r="D324" t="str">
            <v>勇士战甲</v>
          </cell>
          <cell r="E324" t="str">
            <v>2|2021|1|1</v>
          </cell>
        </row>
        <row r="325">
          <cell r="A325">
            <v>15006</v>
          </cell>
          <cell r="B325">
            <v>1</v>
          </cell>
          <cell r="C325" t="str">
            <v>2|2022|1</v>
          </cell>
          <cell r="D325" t="str">
            <v>勇士长剑</v>
          </cell>
          <cell r="E325" t="str">
            <v>2|2022|1|1</v>
          </cell>
        </row>
        <row r="326">
          <cell r="A326">
            <v>15007</v>
          </cell>
          <cell r="B326">
            <v>1</v>
          </cell>
          <cell r="C326" t="str">
            <v>2|2023|1</v>
          </cell>
          <cell r="D326" t="str">
            <v>勇士头盔</v>
          </cell>
          <cell r="E326" t="str">
            <v>2|2023|1|1</v>
          </cell>
        </row>
        <row r="327">
          <cell r="A327">
            <v>15008</v>
          </cell>
          <cell r="B327">
            <v>1</v>
          </cell>
          <cell r="C327" t="str">
            <v>2|2024|1</v>
          </cell>
          <cell r="D327" t="str">
            <v>勇士腰带</v>
          </cell>
          <cell r="E327" t="str">
            <v>2|2024|1|1</v>
          </cell>
        </row>
        <row r="328">
          <cell r="A328">
            <v>15009</v>
          </cell>
          <cell r="B328">
            <v>1</v>
          </cell>
          <cell r="C328" t="str">
            <v>2|2025|1</v>
          </cell>
          <cell r="D328" t="str">
            <v>精英战甲</v>
          </cell>
          <cell r="E328" t="str">
            <v>2|2025|1|1</v>
          </cell>
        </row>
        <row r="329">
          <cell r="A329">
            <v>15010</v>
          </cell>
          <cell r="B329">
            <v>1</v>
          </cell>
          <cell r="C329" t="str">
            <v>2|2026|1</v>
          </cell>
          <cell r="D329" t="str">
            <v>精英长剑</v>
          </cell>
          <cell r="E329" t="str">
            <v>2|2026|1|1</v>
          </cell>
        </row>
        <row r="330">
          <cell r="A330">
            <v>15011</v>
          </cell>
          <cell r="B330">
            <v>1</v>
          </cell>
          <cell r="C330" t="str">
            <v>2|2027|1</v>
          </cell>
          <cell r="D330" t="str">
            <v>精英头盔</v>
          </cell>
          <cell r="E330" t="str">
            <v>2|2027|1|1</v>
          </cell>
        </row>
        <row r="331">
          <cell r="A331">
            <v>15012</v>
          </cell>
          <cell r="B331">
            <v>1</v>
          </cell>
          <cell r="C331" t="str">
            <v>2|2028|1</v>
          </cell>
          <cell r="D331" t="str">
            <v>精英腰带</v>
          </cell>
          <cell r="E331" t="str">
            <v>2|2028|1|1</v>
          </cell>
        </row>
        <row r="332">
          <cell r="A332">
            <v>15013</v>
          </cell>
          <cell r="B332">
            <v>1</v>
          </cell>
          <cell r="C332" t="str">
            <v>2|2041|1</v>
          </cell>
          <cell r="D332" t="str">
            <v>紫金战甲</v>
          </cell>
          <cell r="E332" t="str">
            <v>2|2041|1|1</v>
          </cell>
        </row>
        <row r="333">
          <cell r="A333">
            <v>15014</v>
          </cell>
          <cell r="B333">
            <v>1</v>
          </cell>
          <cell r="C333" t="str">
            <v>2|2042|1</v>
          </cell>
          <cell r="D333" t="str">
            <v>紫金长剑</v>
          </cell>
          <cell r="E333" t="str">
            <v>2|2042|1|1</v>
          </cell>
        </row>
        <row r="334">
          <cell r="A334">
            <v>15015</v>
          </cell>
          <cell r="B334">
            <v>1</v>
          </cell>
          <cell r="C334" t="str">
            <v>2|2043|1</v>
          </cell>
          <cell r="D334" t="str">
            <v>紫金头盔</v>
          </cell>
          <cell r="E334" t="str">
            <v>2|2043|1|1</v>
          </cell>
        </row>
        <row r="335">
          <cell r="A335">
            <v>15016</v>
          </cell>
          <cell r="B335">
            <v>1</v>
          </cell>
          <cell r="C335" t="str">
            <v>2|2044|1</v>
          </cell>
          <cell r="D335" t="str">
            <v>紫金腰带</v>
          </cell>
          <cell r="E335" t="str">
            <v>2|2044|1|1</v>
          </cell>
        </row>
        <row r="336">
          <cell r="A336">
            <v>15017</v>
          </cell>
          <cell r="B336">
            <v>1</v>
          </cell>
          <cell r="C336" t="str">
            <v>2|2045|1</v>
          </cell>
          <cell r="D336" t="str">
            <v>陨铁战甲</v>
          </cell>
          <cell r="E336" t="str">
            <v>2|2045|1|1</v>
          </cell>
        </row>
        <row r="337">
          <cell r="A337">
            <v>15018</v>
          </cell>
          <cell r="B337">
            <v>1</v>
          </cell>
          <cell r="C337" t="str">
            <v>2|2046|1</v>
          </cell>
          <cell r="D337" t="str">
            <v>陨铁长剑</v>
          </cell>
          <cell r="E337" t="str">
            <v>2|2046|1|1</v>
          </cell>
        </row>
        <row r="338">
          <cell r="A338">
            <v>15019</v>
          </cell>
          <cell r="B338">
            <v>1</v>
          </cell>
          <cell r="C338" t="str">
            <v>2|2047|1</v>
          </cell>
          <cell r="D338" t="str">
            <v>陨铁头盔</v>
          </cell>
          <cell r="E338" t="str">
            <v>2|2047|1|1</v>
          </cell>
        </row>
        <row r="339">
          <cell r="A339">
            <v>15020</v>
          </cell>
          <cell r="B339">
            <v>1</v>
          </cell>
          <cell r="C339" t="str">
            <v>2|2048|1</v>
          </cell>
          <cell r="D339" t="str">
            <v>陨铁腰带</v>
          </cell>
          <cell r="E339" t="str">
            <v>2|2048|1|1</v>
          </cell>
        </row>
        <row r="340">
          <cell r="A340">
            <v>15021</v>
          </cell>
          <cell r="B340">
            <v>1</v>
          </cell>
          <cell r="C340" t="str">
            <v>2|2061|1</v>
          </cell>
          <cell r="D340" t="str">
            <v>龙鳞战甲</v>
          </cell>
          <cell r="E340" t="str">
            <v>2|2061|1|1</v>
          </cell>
        </row>
        <row r="341">
          <cell r="A341">
            <v>15022</v>
          </cell>
          <cell r="B341">
            <v>1</v>
          </cell>
          <cell r="C341" t="str">
            <v>2|2062|1</v>
          </cell>
          <cell r="D341" t="str">
            <v>龙鳞长剑</v>
          </cell>
          <cell r="E341" t="str">
            <v>2|2062|1|1</v>
          </cell>
        </row>
        <row r="342">
          <cell r="A342">
            <v>15023</v>
          </cell>
          <cell r="B342">
            <v>1</v>
          </cell>
          <cell r="C342" t="str">
            <v>2|2063|1</v>
          </cell>
          <cell r="D342" t="str">
            <v>龙鳞头盔</v>
          </cell>
          <cell r="E342" t="str">
            <v>2|2063|1|1</v>
          </cell>
        </row>
        <row r="343">
          <cell r="A343">
            <v>15024</v>
          </cell>
          <cell r="B343">
            <v>1</v>
          </cell>
          <cell r="C343" t="str">
            <v>2|2064|1</v>
          </cell>
          <cell r="D343" t="str">
            <v>龙鳞腰带</v>
          </cell>
          <cell r="E343" t="str">
            <v>2|2064|1|1</v>
          </cell>
        </row>
        <row r="344">
          <cell r="A344">
            <v>15025</v>
          </cell>
          <cell r="B344">
            <v>1</v>
          </cell>
          <cell r="C344" t="str">
            <v>2|2065|1</v>
          </cell>
          <cell r="D344" t="str">
            <v>降魔战甲</v>
          </cell>
          <cell r="E344" t="str">
            <v>2|2065|1|1</v>
          </cell>
        </row>
        <row r="345">
          <cell r="A345">
            <v>15026</v>
          </cell>
          <cell r="B345">
            <v>1</v>
          </cell>
          <cell r="C345" t="str">
            <v>2|2066|1</v>
          </cell>
          <cell r="D345" t="str">
            <v>降魔长剑</v>
          </cell>
          <cell r="E345" t="str">
            <v>2|2066|1|1</v>
          </cell>
        </row>
        <row r="346">
          <cell r="A346">
            <v>15027</v>
          </cell>
          <cell r="B346">
            <v>1</v>
          </cell>
          <cell r="C346" t="str">
            <v>2|2067|1</v>
          </cell>
          <cell r="D346" t="str">
            <v>降魔头盔</v>
          </cell>
          <cell r="E346" t="str">
            <v>2|2067|1|1</v>
          </cell>
        </row>
        <row r="347">
          <cell r="A347">
            <v>15028</v>
          </cell>
          <cell r="B347">
            <v>1</v>
          </cell>
          <cell r="C347" t="str">
            <v>2|2068|1</v>
          </cell>
          <cell r="D347" t="str">
            <v>降魔腰带</v>
          </cell>
          <cell r="E347" t="str">
            <v>2|2068|1|1</v>
          </cell>
        </row>
        <row r="348">
          <cell r="A348">
            <v>15029</v>
          </cell>
          <cell r="B348">
            <v>1</v>
          </cell>
          <cell r="C348" t="str">
            <v>2|2069|1</v>
          </cell>
          <cell r="D348" t="str">
            <v>诛仙战甲</v>
          </cell>
          <cell r="E348" t="str">
            <v>2|2069|1|1</v>
          </cell>
        </row>
        <row r="349">
          <cell r="A349">
            <v>15030</v>
          </cell>
          <cell r="B349">
            <v>1</v>
          </cell>
          <cell r="C349" t="str">
            <v>2|2070|1</v>
          </cell>
          <cell r="D349" t="str">
            <v>诛仙长剑</v>
          </cell>
          <cell r="E349" t="str">
            <v>2|2070|1|1</v>
          </cell>
        </row>
        <row r="350">
          <cell r="A350">
            <v>15031</v>
          </cell>
          <cell r="B350">
            <v>1</v>
          </cell>
          <cell r="C350" t="str">
            <v>2|2071|1</v>
          </cell>
          <cell r="D350" t="str">
            <v>诛仙头盔</v>
          </cell>
          <cell r="E350" t="str">
            <v>2|2071|1|1</v>
          </cell>
        </row>
        <row r="351">
          <cell r="A351">
            <v>15032</v>
          </cell>
          <cell r="B351">
            <v>1</v>
          </cell>
          <cell r="C351" t="str">
            <v>2|2072|1</v>
          </cell>
          <cell r="D351" t="str">
            <v>诛仙腰带</v>
          </cell>
          <cell r="E351" t="str">
            <v>2|2072|1|1</v>
          </cell>
        </row>
        <row r="352">
          <cell r="A352">
            <v>17501</v>
          </cell>
          <cell r="B352">
            <v>1</v>
          </cell>
          <cell r="C352" t="str">
            <v>1|11001|1</v>
          </cell>
          <cell r="D352" t="str">
            <v>勇士战甲碎片</v>
          </cell>
          <cell r="E352" t="str">
            <v>1|11001|1|1</v>
          </cell>
        </row>
        <row r="353">
          <cell r="A353">
            <v>17502</v>
          </cell>
          <cell r="B353">
            <v>1</v>
          </cell>
          <cell r="C353" t="str">
            <v>1|11002|1</v>
          </cell>
          <cell r="D353" t="str">
            <v>勇士长剑碎片</v>
          </cell>
          <cell r="E353" t="str">
            <v>1|11002|1|1</v>
          </cell>
        </row>
        <row r="354">
          <cell r="A354">
            <v>17503</v>
          </cell>
          <cell r="B354">
            <v>1</v>
          </cell>
          <cell r="C354" t="str">
            <v>1|11003|1</v>
          </cell>
          <cell r="D354" t="str">
            <v>勇士头盔碎片</v>
          </cell>
          <cell r="E354" t="str">
            <v>1|11003|1|1</v>
          </cell>
        </row>
        <row r="355">
          <cell r="A355">
            <v>17504</v>
          </cell>
          <cell r="B355">
            <v>1</v>
          </cell>
          <cell r="C355" t="str">
            <v>1|11004|1</v>
          </cell>
          <cell r="D355" t="str">
            <v>勇士腰带碎片</v>
          </cell>
          <cell r="E355" t="str">
            <v>1|11004|1|1</v>
          </cell>
        </row>
        <row r="356">
          <cell r="A356">
            <v>17505</v>
          </cell>
          <cell r="B356">
            <v>1</v>
          </cell>
          <cell r="C356" t="str">
            <v>1|11005|1</v>
          </cell>
          <cell r="D356" t="str">
            <v>精英战甲碎片</v>
          </cell>
          <cell r="E356" t="str">
            <v>1|11005|1|1</v>
          </cell>
        </row>
        <row r="357">
          <cell r="A357">
            <v>17506</v>
          </cell>
          <cell r="B357">
            <v>1</v>
          </cell>
          <cell r="C357" t="str">
            <v>1|11006|1</v>
          </cell>
          <cell r="D357" t="str">
            <v>精英长剑碎片</v>
          </cell>
          <cell r="E357" t="str">
            <v>1|11006|1|1</v>
          </cell>
        </row>
        <row r="358">
          <cell r="A358">
            <v>17507</v>
          </cell>
          <cell r="B358">
            <v>1</v>
          </cell>
          <cell r="C358" t="str">
            <v>1|11007|1</v>
          </cell>
          <cell r="D358" t="str">
            <v>精英头盔碎片</v>
          </cell>
          <cell r="E358" t="str">
            <v>1|11007|1|1</v>
          </cell>
        </row>
        <row r="359">
          <cell r="A359">
            <v>17508</v>
          </cell>
          <cell r="B359">
            <v>1</v>
          </cell>
          <cell r="C359" t="str">
            <v>1|11008|1</v>
          </cell>
          <cell r="D359" t="str">
            <v>精英腰带碎片</v>
          </cell>
          <cell r="E359" t="str">
            <v>1|11008|1|1</v>
          </cell>
        </row>
        <row r="360">
          <cell r="A360">
            <v>17509</v>
          </cell>
          <cell r="B360">
            <v>1</v>
          </cell>
          <cell r="C360" t="str">
            <v>1|11009|1</v>
          </cell>
          <cell r="D360" t="str">
            <v>紫金战甲碎片</v>
          </cell>
          <cell r="E360" t="str">
            <v>1|11009|1|1</v>
          </cell>
        </row>
        <row r="361">
          <cell r="A361">
            <v>17510</v>
          </cell>
          <cell r="B361">
            <v>1</v>
          </cell>
          <cell r="C361" t="str">
            <v>1|11010|1</v>
          </cell>
          <cell r="D361" t="str">
            <v>紫金长剑碎片</v>
          </cell>
          <cell r="E361" t="str">
            <v>1|11010|1|1</v>
          </cell>
        </row>
        <row r="362">
          <cell r="A362">
            <v>17511</v>
          </cell>
          <cell r="B362">
            <v>1</v>
          </cell>
          <cell r="C362" t="str">
            <v>1|11011|1</v>
          </cell>
          <cell r="D362" t="str">
            <v>紫金头盔碎片</v>
          </cell>
          <cell r="E362" t="str">
            <v>1|11011|1|1</v>
          </cell>
        </row>
        <row r="363">
          <cell r="A363">
            <v>17512</v>
          </cell>
          <cell r="B363">
            <v>1</v>
          </cell>
          <cell r="C363" t="str">
            <v>1|11012|1</v>
          </cell>
          <cell r="D363" t="str">
            <v>紫金腰带碎片</v>
          </cell>
          <cell r="E363" t="str">
            <v>1|11012|1|1</v>
          </cell>
        </row>
        <row r="364">
          <cell r="A364">
            <v>17513</v>
          </cell>
          <cell r="B364">
            <v>1</v>
          </cell>
          <cell r="C364" t="str">
            <v>1|11013|1</v>
          </cell>
          <cell r="D364" t="str">
            <v>陨铁战甲碎片</v>
          </cell>
          <cell r="E364" t="str">
            <v>1|11013|1|1</v>
          </cell>
        </row>
        <row r="365">
          <cell r="A365">
            <v>17514</v>
          </cell>
          <cell r="B365">
            <v>1</v>
          </cell>
          <cell r="C365" t="str">
            <v>1|11014|1</v>
          </cell>
          <cell r="D365" t="str">
            <v>陨铁长剑碎片</v>
          </cell>
          <cell r="E365" t="str">
            <v>1|11014|1|1</v>
          </cell>
        </row>
        <row r="366">
          <cell r="A366">
            <v>17515</v>
          </cell>
          <cell r="B366">
            <v>1</v>
          </cell>
          <cell r="C366" t="str">
            <v>1|11015|1</v>
          </cell>
          <cell r="D366" t="str">
            <v>陨铁头盔碎片</v>
          </cell>
          <cell r="E366" t="str">
            <v>1|11015|1|1</v>
          </cell>
        </row>
        <row r="367">
          <cell r="A367">
            <v>17516</v>
          </cell>
          <cell r="B367">
            <v>1</v>
          </cell>
          <cell r="C367" t="str">
            <v>1|11016|1</v>
          </cell>
          <cell r="D367" t="str">
            <v>陨铁腰带碎片</v>
          </cell>
          <cell r="E367" t="str">
            <v>1|11016|1|1</v>
          </cell>
        </row>
        <row r="368">
          <cell r="A368">
            <v>17517</v>
          </cell>
          <cell r="B368">
            <v>1</v>
          </cell>
          <cell r="C368" t="str">
            <v>1|11017|1</v>
          </cell>
          <cell r="D368" t="str">
            <v>龙鳞战甲碎片</v>
          </cell>
          <cell r="E368" t="str">
            <v>1|11017|1|1</v>
          </cell>
        </row>
        <row r="369">
          <cell r="A369">
            <v>17518</v>
          </cell>
          <cell r="B369">
            <v>1</v>
          </cell>
          <cell r="C369" t="str">
            <v>1|11018|1</v>
          </cell>
          <cell r="D369" t="str">
            <v>龙鳞长剑碎片</v>
          </cell>
          <cell r="E369" t="str">
            <v>1|11018|1|1</v>
          </cell>
        </row>
        <row r="370">
          <cell r="A370">
            <v>17519</v>
          </cell>
          <cell r="B370">
            <v>1</v>
          </cell>
          <cell r="C370" t="str">
            <v>1|11019|1</v>
          </cell>
          <cell r="D370" t="str">
            <v>龙鳞头盔碎片</v>
          </cell>
          <cell r="E370" t="str">
            <v>1|11019|1|1</v>
          </cell>
        </row>
        <row r="371">
          <cell r="A371">
            <v>17520</v>
          </cell>
          <cell r="B371">
            <v>1</v>
          </cell>
          <cell r="C371" t="str">
            <v>1|11020|1</v>
          </cell>
          <cell r="D371" t="str">
            <v>龙鳞腰带碎片</v>
          </cell>
          <cell r="E371" t="str">
            <v>1|11020|1|1</v>
          </cell>
        </row>
        <row r="372">
          <cell r="A372">
            <v>17521</v>
          </cell>
          <cell r="B372">
            <v>1</v>
          </cell>
          <cell r="C372" t="str">
            <v>1|11021|1</v>
          </cell>
          <cell r="D372" t="str">
            <v>降魔战甲碎片</v>
          </cell>
          <cell r="E372" t="str">
            <v>1|11021|1|1</v>
          </cell>
        </row>
        <row r="373">
          <cell r="A373">
            <v>17522</v>
          </cell>
          <cell r="B373">
            <v>1</v>
          </cell>
          <cell r="C373" t="str">
            <v>1|11022|1</v>
          </cell>
          <cell r="D373" t="str">
            <v>降魔长剑碎片</v>
          </cell>
          <cell r="E373" t="str">
            <v>1|11022|1|1</v>
          </cell>
        </row>
        <row r="374">
          <cell r="A374">
            <v>17523</v>
          </cell>
          <cell r="B374">
            <v>1</v>
          </cell>
          <cell r="C374" t="str">
            <v>1|11023|1</v>
          </cell>
          <cell r="D374" t="str">
            <v>降魔头盔碎片</v>
          </cell>
          <cell r="E374" t="str">
            <v>1|11023|1|1</v>
          </cell>
        </row>
        <row r="375">
          <cell r="A375">
            <v>17524</v>
          </cell>
          <cell r="B375">
            <v>1</v>
          </cell>
          <cell r="C375" t="str">
            <v>1|11024|1</v>
          </cell>
          <cell r="D375" t="str">
            <v>降魔腰带碎片</v>
          </cell>
          <cell r="E375" t="str">
            <v>1|11024|1|1</v>
          </cell>
        </row>
        <row r="376">
          <cell r="A376">
            <v>17525</v>
          </cell>
          <cell r="B376">
            <v>1</v>
          </cell>
          <cell r="C376" t="str">
            <v>1|11025|1</v>
          </cell>
          <cell r="D376" t="str">
            <v>诛仙战甲碎片</v>
          </cell>
          <cell r="E376" t="str">
            <v>1|11025|1|1</v>
          </cell>
        </row>
        <row r="377">
          <cell r="A377">
            <v>17526</v>
          </cell>
          <cell r="B377">
            <v>1</v>
          </cell>
          <cell r="C377" t="str">
            <v>1|11026|1</v>
          </cell>
          <cell r="D377" t="str">
            <v>诛仙长剑碎片</v>
          </cell>
          <cell r="E377" t="str">
            <v>1|11026|1|1</v>
          </cell>
        </row>
        <row r="378">
          <cell r="A378">
            <v>17527</v>
          </cell>
          <cell r="B378">
            <v>1</v>
          </cell>
          <cell r="C378" t="str">
            <v>1|11027|1</v>
          </cell>
          <cell r="D378" t="str">
            <v>诛仙头盔碎片</v>
          </cell>
          <cell r="E378" t="str">
            <v>1|11027|1|1</v>
          </cell>
        </row>
        <row r="379">
          <cell r="A379">
            <v>17528</v>
          </cell>
          <cell r="B379">
            <v>1</v>
          </cell>
          <cell r="C379" t="str">
            <v>1|11028|1</v>
          </cell>
          <cell r="D379" t="str">
            <v>诛仙腰带碎片</v>
          </cell>
          <cell r="E379" t="str">
            <v>1|11028|1|1</v>
          </cell>
        </row>
        <row r="380">
          <cell r="A380">
            <v>20001</v>
          </cell>
          <cell r="B380">
            <v>1</v>
          </cell>
          <cell r="C380" t="str">
            <v>6|3001|1</v>
          </cell>
          <cell r="D380" t="str">
            <v>莲音玦</v>
          </cell>
          <cell r="E380" t="str">
            <v>6|3001|1|1</v>
          </cell>
        </row>
        <row r="381">
          <cell r="A381">
            <v>20002</v>
          </cell>
          <cell r="B381">
            <v>1</v>
          </cell>
          <cell r="C381" t="str">
            <v>6|3002|1</v>
          </cell>
          <cell r="D381" t="str">
            <v>芙蓉戒</v>
          </cell>
          <cell r="E381" t="str">
            <v>6|3002|1|1</v>
          </cell>
        </row>
        <row r="382">
          <cell r="A382">
            <v>20003</v>
          </cell>
          <cell r="B382">
            <v>1</v>
          </cell>
          <cell r="C382" t="str">
            <v>6|3003|1</v>
          </cell>
          <cell r="D382" t="str">
            <v>逸云佩</v>
          </cell>
          <cell r="E382" t="str">
            <v>6|3003|1|1</v>
          </cell>
        </row>
        <row r="383">
          <cell r="A383">
            <v>20004</v>
          </cell>
          <cell r="B383">
            <v>1</v>
          </cell>
          <cell r="C383" t="str">
            <v>6|3004|1</v>
          </cell>
          <cell r="D383" t="str">
            <v>碧月水</v>
          </cell>
          <cell r="E383" t="str">
            <v>6|3004|1|1</v>
          </cell>
        </row>
        <row r="384">
          <cell r="A384">
            <v>20005</v>
          </cell>
          <cell r="B384">
            <v>1</v>
          </cell>
          <cell r="C384" t="str">
            <v>6|3005|1</v>
          </cell>
          <cell r="D384" t="str">
            <v>凤尾佩</v>
          </cell>
          <cell r="E384" t="str">
            <v>6|3005|1|1</v>
          </cell>
        </row>
        <row r="385">
          <cell r="A385">
            <v>20006</v>
          </cell>
          <cell r="B385">
            <v>1</v>
          </cell>
          <cell r="C385" t="str">
            <v>6|3006|1</v>
          </cell>
          <cell r="D385" t="str">
            <v>玉麟绕</v>
          </cell>
          <cell r="E385" t="str">
            <v>6|3006|1|1</v>
          </cell>
        </row>
        <row r="386">
          <cell r="A386">
            <v>20007</v>
          </cell>
          <cell r="B386">
            <v>1</v>
          </cell>
          <cell r="C386" t="str">
            <v>6|3007|1</v>
          </cell>
          <cell r="D386" t="str">
            <v>相思血</v>
          </cell>
          <cell r="E386" t="str">
            <v>6|3007|1|1</v>
          </cell>
        </row>
        <row r="387">
          <cell r="A387">
            <v>20008</v>
          </cell>
          <cell r="B387">
            <v>1</v>
          </cell>
          <cell r="C387" t="str">
            <v>6|3008|1</v>
          </cell>
          <cell r="D387" t="str">
            <v>幽冥月</v>
          </cell>
          <cell r="E387" t="str">
            <v>6|3008|1|1</v>
          </cell>
        </row>
        <row r="388">
          <cell r="A388">
            <v>20009</v>
          </cell>
          <cell r="B388">
            <v>1</v>
          </cell>
          <cell r="C388" t="str">
            <v>6|3009|1</v>
          </cell>
          <cell r="D388" t="str">
            <v>点星芒</v>
          </cell>
          <cell r="E388" t="str">
            <v>6|3009|1|1</v>
          </cell>
        </row>
        <row r="389">
          <cell r="A389">
            <v>20010</v>
          </cell>
          <cell r="B389">
            <v>1</v>
          </cell>
          <cell r="C389" t="str">
            <v>6|3010|1</v>
          </cell>
          <cell r="D389" t="str">
            <v>金玉缘</v>
          </cell>
          <cell r="E389" t="str">
            <v>6|3010|1|1</v>
          </cell>
        </row>
        <row r="390">
          <cell r="A390">
            <v>20011</v>
          </cell>
          <cell r="B390">
            <v>1</v>
          </cell>
          <cell r="C390" t="str">
            <v>6|3011|1</v>
          </cell>
          <cell r="D390" t="str">
            <v>碧海青天</v>
          </cell>
          <cell r="E390" t="str">
            <v>6|3011|1|1</v>
          </cell>
        </row>
        <row r="391">
          <cell r="A391">
            <v>20012</v>
          </cell>
          <cell r="B391">
            <v>1</v>
          </cell>
          <cell r="C391" t="str">
            <v>6|3012|1</v>
          </cell>
          <cell r="D391" t="str">
            <v>九曜光华</v>
          </cell>
          <cell r="E391" t="str">
            <v>6|3012|1|1</v>
          </cell>
        </row>
        <row r="392">
          <cell r="A392">
            <v>20013</v>
          </cell>
          <cell r="B392">
            <v>1</v>
          </cell>
          <cell r="C392" t="str">
            <v>6|3013|1</v>
          </cell>
          <cell r="D392" t="str">
            <v>千方寂玉</v>
          </cell>
          <cell r="E392" t="str">
            <v>6|3013|1|1</v>
          </cell>
        </row>
        <row r="393">
          <cell r="A393">
            <v>20014</v>
          </cell>
          <cell r="B393">
            <v>1</v>
          </cell>
          <cell r="C393" t="str">
            <v>6|3014|1</v>
          </cell>
          <cell r="D393" t="str">
            <v>噬龙之锋</v>
          </cell>
          <cell r="E393" t="str">
            <v>6|3014|1|1</v>
          </cell>
        </row>
        <row r="394">
          <cell r="A394">
            <v>20015</v>
          </cell>
          <cell r="B394">
            <v>1</v>
          </cell>
          <cell r="C394" t="str">
            <v>6|3015|1</v>
          </cell>
          <cell r="D394" t="str">
            <v>鎏金点翠</v>
          </cell>
          <cell r="E394" t="str">
            <v>6|3015|1|1</v>
          </cell>
        </row>
        <row r="395">
          <cell r="A395">
            <v>20016</v>
          </cell>
          <cell r="B395">
            <v>1</v>
          </cell>
          <cell r="C395" t="str">
            <v>6|3016|1</v>
          </cell>
          <cell r="D395" t="str">
            <v>紫金曼陀</v>
          </cell>
          <cell r="E395" t="str">
            <v>6|3016|1|1</v>
          </cell>
        </row>
        <row r="396">
          <cell r="A396">
            <v>21001</v>
          </cell>
          <cell r="B396">
            <v>1</v>
          </cell>
          <cell r="C396" t="str">
            <v>6|4501|1</v>
          </cell>
          <cell r="D396" t="str">
            <v>蓝色经验法宝</v>
          </cell>
          <cell r="E396" t="str">
            <v>6|4501|1|1</v>
          </cell>
        </row>
        <row r="397">
          <cell r="A397">
            <v>21002</v>
          </cell>
          <cell r="B397">
            <v>1</v>
          </cell>
          <cell r="C397" t="str">
            <v>6|4502|1</v>
          </cell>
          <cell r="D397" t="str">
            <v>紫色经验法宝</v>
          </cell>
          <cell r="E397" t="str">
            <v>6|4502|1|1</v>
          </cell>
        </row>
        <row r="398">
          <cell r="A398">
            <v>21003</v>
          </cell>
          <cell r="B398">
            <v>1</v>
          </cell>
          <cell r="C398" t="str">
            <v>6|4503|1</v>
          </cell>
          <cell r="D398" t="str">
            <v>橙色经验法宝</v>
          </cell>
          <cell r="E398" t="str">
            <v>6|4503|1|1</v>
          </cell>
        </row>
        <row r="399">
          <cell r="A399">
            <v>22501</v>
          </cell>
          <cell r="B399">
            <v>1</v>
          </cell>
          <cell r="C399" t="str">
            <v>1|12001|1</v>
          </cell>
          <cell r="D399" t="str">
            <v>莲音玦碎片1</v>
          </cell>
          <cell r="E399" t="str">
            <v>1|12001|1|1</v>
          </cell>
        </row>
        <row r="400">
          <cell r="A400">
            <v>22502</v>
          </cell>
          <cell r="B400">
            <v>1</v>
          </cell>
          <cell r="C400" t="str">
            <v>1|12002|1</v>
          </cell>
          <cell r="D400" t="str">
            <v>莲音玦碎片2</v>
          </cell>
          <cell r="E400" t="str">
            <v>1|12002|1|1</v>
          </cell>
        </row>
        <row r="401">
          <cell r="A401">
            <v>22503</v>
          </cell>
          <cell r="B401">
            <v>1</v>
          </cell>
          <cell r="C401" t="str">
            <v>1|12003|1</v>
          </cell>
          <cell r="D401" t="str">
            <v>莲音玦碎片3</v>
          </cell>
          <cell r="E401" t="str">
            <v>1|12003|1|1</v>
          </cell>
        </row>
        <row r="402">
          <cell r="A402">
            <v>22504</v>
          </cell>
          <cell r="B402">
            <v>1</v>
          </cell>
          <cell r="C402" t="str">
            <v>1|12004|1</v>
          </cell>
          <cell r="D402" t="str">
            <v>芙蓉戒碎片1</v>
          </cell>
          <cell r="E402" t="str">
            <v>1|12004|1|1</v>
          </cell>
        </row>
        <row r="403">
          <cell r="A403">
            <v>22505</v>
          </cell>
          <cell r="B403">
            <v>1</v>
          </cell>
          <cell r="C403" t="str">
            <v>1|12005|1</v>
          </cell>
          <cell r="D403" t="str">
            <v>芙蓉戒碎片2</v>
          </cell>
          <cell r="E403" t="str">
            <v>1|12005|1|1</v>
          </cell>
        </row>
        <row r="404">
          <cell r="A404">
            <v>22506</v>
          </cell>
          <cell r="B404">
            <v>1</v>
          </cell>
          <cell r="C404" t="str">
            <v>1|12006|1</v>
          </cell>
          <cell r="D404" t="str">
            <v>芙蓉戒碎片3</v>
          </cell>
          <cell r="E404" t="str">
            <v>1|12006|1|1</v>
          </cell>
        </row>
        <row r="405">
          <cell r="A405">
            <v>22507</v>
          </cell>
          <cell r="B405">
            <v>1</v>
          </cell>
          <cell r="C405" t="str">
            <v>1|12007|1</v>
          </cell>
          <cell r="D405" t="str">
            <v>逸云佩碎片1</v>
          </cell>
          <cell r="E405" t="str">
            <v>1|12001|1|1</v>
          </cell>
        </row>
        <row r="406">
          <cell r="A406">
            <v>22508</v>
          </cell>
          <cell r="B406">
            <v>1</v>
          </cell>
          <cell r="C406" t="str">
            <v>1|12008|1</v>
          </cell>
          <cell r="D406" t="str">
            <v>逸云佩碎片2</v>
          </cell>
          <cell r="E406" t="str">
            <v>1|12002|1|1</v>
          </cell>
        </row>
        <row r="407">
          <cell r="A407">
            <v>22509</v>
          </cell>
          <cell r="B407">
            <v>1</v>
          </cell>
          <cell r="C407" t="str">
            <v>1|12009|1</v>
          </cell>
          <cell r="D407" t="str">
            <v>逸云佩碎片3</v>
          </cell>
          <cell r="E407" t="str">
            <v>1|12003|1|1</v>
          </cell>
        </row>
        <row r="408">
          <cell r="A408">
            <v>22510</v>
          </cell>
          <cell r="B408">
            <v>1</v>
          </cell>
          <cell r="C408" t="str">
            <v>1|12010|1</v>
          </cell>
          <cell r="D408" t="str">
            <v>碧月水碎片1</v>
          </cell>
          <cell r="E408" t="str">
            <v>1|12014|1|1</v>
          </cell>
        </row>
        <row r="409">
          <cell r="A409">
            <v>22511</v>
          </cell>
          <cell r="B409">
            <v>1</v>
          </cell>
          <cell r="C409" t="str">
            <v>1|12011|1</v>
          </cell>
          <cell r="D409" t="str">
            <v>碧月水碎片2</v>
          </cell>
          <cell r="E409" t="str">
            <v>1|12015|1|1</v>
          </cell>
        </row>
        <row r="410">
          <cell r="A410">
            <v>22512</v>
          </cell>
          <cell r="B410">
            <v>1</v>
          </cell>
          <cell r="C410" t="str">
            <v>1|12012|1</v>
          </cell>
          <cell r="D410" t="str">
            <v>碧月水碎片3</v>
          </cell>
          <cell r="E410" t="str">
            <v>1|12016|1|1</v>
          </cell>
        </row>
        <row r="411">
          <cell r="A411">
            <v>22513</v>
          </cell>
          <cell r="B411">
            <v>1</v>
          </cell>
          <cell r="C411" t="str">
            <v>1|12013|1</v>
          </cell>
          <cell r="D411" t="str">
            <v>凤尾佩碎片1</v>
          </cell>
          <cell r="E411" t="str">
            <v>1|12013|1|1</v>
          </cell>
        </row>
        <row r="412">
          <cell r="A412">
            <v>22514</v>
          </cell>
          <cell r="B412">
            <v>1</v>
          </cell>
          <cell r="C412" t="str">
            <v>1|12014|1</v>
          </cell>
          <cell r="D412" t="str">
            <v>凤尾佩碎片2</v>
          </cell>
          <cell r="E412" t="str">
            <v>1|12014|1|1</v>
          </cell>
        </row>
        <row r="413">
          <cell r="A413">
            <v>22515</v>
          </cell>
          <cell r="B413">
            <v>1</v>
          </cell>
          <cell r="C413" t="str">
            <v>1|12015|1</v>
          </cell>
          <cell r="D413" t="str">
            <v>凤尾佩碎片3</v>
          </cell>
          <cell r="E413" t="str">
            <v>1|12015|1|1</v>
          </cell>
        </row>
        <row r="414">
          <cell r="A414">
            <v>22516</v>
          </cell>
          <cell r="B414">
            <v>1</v>
          </cell>
          <cell r="C414" t="str">
            <v>1|12016|1</v>
          </cell>
          <cell r="D414" t="str">
            <v>凤尾佩碎片4</v>
          </cell>
          <cell r="E414" t="str">
            <v>1|12016|1|1</v>
          </cell>
        </row>
        <row r="415">
          <cell r="A415">
            <v>22517</v>
          </cell>
          <cell r="B415">
            <v>1</v>
          </cell>
          <cell r="C415" t="str">
            <v>1|12017|1</v>
          </cell>
          <cell r="D415" t="str">
            <v>玉麟绕碎片1</v>
          </cell>
          <cell r="E415" t="str">
            <v>1|12017|1|1</v>
          </cell>
        </row>
        <row r="416">
          <cell r="A416">
            <v>22518</v>
          </cell>
          <cell r="B416">
            <v>1</v>
          </cell>
          <cell r="C416" t="str">
            <v>1|12018|1</v>
          </cell>
          <cell r="D416" t="str">
            <v>玉麟绕碎片2</v>
          </cell>
          <cell r="E416" t="str">
            <v>1|12018|1|1</v>
          </cell>
        </row>
        <row r="417">
          <cell r="A417">
            <v>22519</v>
          </cell>
          <cell r="B417">
            <v>1</v>
          </cell>
          <cell r="C417" t="str">
            <v>1|12019|1</v>
          </cell>
          <cell r="D417" t="str">
            <v>玉麟绕碎片3</v>
          </cell>
          <cell r="E417" t="str">
            <v>1|12019|1|1</v>
          </cell>
        </row>
        <row r="418">
          <cell r="A418">
            <v>22520</v>
          </cell>
          <cell r="B418">
            <v>1</v>
          </cell>
          <cell r="C418" t="str">
            <v>1|12020|1</v>
          </cell>
          <cell r="D418" t="str">
            <v>玉麟绕碎片4</v>
          </cell>
          <cell r="E418" t="str">
            <v>1|12020|1|1</v>
          </cell>
        </row>
        <row r="419">
          <cell r="A419">
            <v>22521</v>
          </cell>
          <cell r="B419">
            <v>1</v>
          </cell>
          <cell r="C419" t="str">
            <v>1|12021|1</v>
          </cell>
          <cell r="D419" t="str">
            <v>相思血碎片1</v>
          </cell>
          <cell r="E419" t="str">
            <v>1|12021|1|1</v>
          </cell>
        </row>
        <row r="420">
          <cell r="A420">
            <v>22522</v>
          </cell>
          <cell r="B420">
            <v>1</v>
          </cell>
          <cell r="C420" t="str">
            <v>1|12022|1</v>
          </cell>
          <cell r="D420" t="str">
            <v>相思血碎片2</v>
          </cell>
          <cell r="E420" t="str">
            <v>1|12022|1|1</v>
          </cell>
        </row>
        <row r="421">
          <cell r="A421">
            <v>22523</v>
          </cell>
          <cell r="B421">
            <v>1</v>
          </cell>
          <cell r="C421" t="str">
            <v>1|12023|1</v>
          </cell>
          <cell r="D421" t="str">
            <v>相思血碎片3</v>
          </cell>
          <cell r="E421" t="str">
            <v>1|12023|1|1</v>
          </cell>
        </row>
        <row r="422">
          <cell r="A422">
            <v>22524</v>
          </cell>
          <cell r="B422">
            <v>1</v>
          </cell>
          <cell r="C422" t="str">
            <v>1|12024|1</v>
          </cell>
          <cell r="D422" t="str">
            <v>相思血碎片4</v>
          </cell>
          <cell r="E422" t="str">
            <v>1|12024|1|1</v>
          </cell>
        </row>
        <row r="423">
          <cell r="A423">
            <v>22525</v>
          </cell>
          <cell r="B423">
            <v>1</v>
          </cell>
          <cell r="C423" t="str">
            <v>1|12025|1</v>
          </cell>
          <cell r="D423" t="str">
            <v>幽冥月碎片1</v>
          </cell>
          <cell r="E423" t="str">
            <v>1|12025|1|1</v>
          </cell>
        </row>
        <row r="424">
          <cell r="A424">
            <v>22526</v>
          </cell>
          <cell r="B424">
            <v>1</v>
          </cell>
          <cell r="C424" t="str">
            <v>1|12026|1</v>
          </cell>
          <cell r="D424" t="str">
            <v>幽冥月碎片2</v>
          </cell>
          <cell r="E424" t="str">
            <v>1|12026|1|1</v>
          </cell>
        </row>
        <row r="425">
          <cell r="A425">
            <v>22527</v>
          </cell>
          <cell r="B425">
            <v>1</v>
          </cell>
          <cell r="C425" t="str">
            <v>1|12027|1</v>
          </cell>
          <cell r="D425" t="str">
            <v>幽冥月碎片3</v>
          </cell>
          <cell r="E425" t="str">
            <v>1|12027|1|1</v>
          </cell>
        </row>
        <row r="426">
          <cell r="A426">
            <v>22528</v>
          </cell>
          <cell r="B426">
            <v>1</v>
          </cell>
          <cell r="C426" t="str">
            <v>1|12028|1</v>
          </cell>
          <cell r="D426" t="str">
            <v>幽冥月碎片4</v>
          </cell>
          <cell r="E426" t="str">
            <v>1|12028|1|1</v>
          </cell>
        </row>
        <row r="427">
          <cell r="A427">
            <v>22529</v>
          </cell>
          <cell r="B427">
            <v>1</v>
          </cell>
          <cell r="C427" t="str">
            <v>1|12029|1</v>
          </cell>
          <cell r="D427" t="str">
            <v>点星芒碎片1</v>
          </cell>
          <cell r="E427" t="str">
            <v>1|12029|1|1</v>
          </cell>
        </row>
        <row r="428">
          <cell r="A428">
            <v>22530</v>
          </cell>
          <cell r="B428">
            <v>1</v>
          </cell>
          <cell r="C428" t="str">
            <v>1|12030|1</v>
          </cell>
          <cell r="D428" t="str">
            <v>点星芒碎片2</v>
          </cell>
          <cell r="E428" t="str">
            <v>1|12030|1|1</v>
          </cell>
        </row>
        <row r="429">
          <cell r="A429">
            <v>22531</v>
          </cell>
          <cell r="B429">
            <v>1</v>
          </cell>
          <cell r="C429" t="str">
            <v>1|12031|1</v>
          </cell>
          <cell r="D429" t="str">
            <v>点星芒碎片3</v>
          </cell>
          <cell r="E429" t="str">
            <v>1|12031|1|1</v>
          </cell>
        </row>
        <row r="430">
          <cell r="A430">
            <v>22532</v>
          </cell>
          <cell r="B430">
            <v>1</v>
          </cell>
          <cell r="C430" t="str">
            <v>1|12032|1</v>
          </cell>
          <cell r="D430" t="str">
            <v>点星芒碎片4</v>
          </cell>
          <cell r="E430" t="str">
            <v>1|12032|1|1</v>
          </cell>
        </row>
        <row r="431">
          <cell r="A431">
            <v>22533</v>
          </cell>
          <cell r="B431">
            <v>1</v>
          </cell>
          <cell r="C431" t="str">
            <v>1|12033|1</v>
          </cell>
          <cell r="D431" t="str">
            <v>金玉缘碎片1</v>
          </cell>
          <cell r="E431" t="str">
            <v>1|12033|1|1</v>
          </cell>
        </row>
        <row r="432">
          <cell r="A432">
            <v>22534</v>
          </cell>
          <cell r="B432">
            <v>1</v>
          </cell>
          <cell r="C432" t="str">
            <v>1|12034|1</v>
          </cell>
          <cell r="D432" t="str">
            <v>金玉缘碎片2</v>
          </cell>
          <cell r="E432" t="str">
            <v>1|12034|1|1</v>
          </cell>
        </row>
        <row r="433">
          <cell r="A433">
            <v>22535</v>
          </cell>
          <cell r="B433">
            <v>1</v>
          </cell>
          <cell r="C433" t="str">
            <v>1|12035|1</v>
          </cell>
          <cell r="D433" t="str">
            <v>金玉缘碎片3</v>
          </cell>
          <cell r="E433" t="str">
            <v>1|12035|1|1</v>
          </cell>
        </row>
        <row r="434">
          <cell r="A434">
            <v>22536</v>
          </cell>
          <cell r="B434">
            <v>1</v>
          </cell>
          <cell r="C434" t="str">
            <v>1|12036|1</v>
          </cell>
          <cell r="D434" t="str">
            <v>金玉缘碎片4</v>
          </cell>
          <cell r="E434" t="str">
            <v>1|12036|1|1</v>
          </cell>
        </row>
        <row r="435">
          <cell r="A435">
            <v>22537</v>
          </cell>
          <cell r="B435">
            <v>1</v>
          </cell>
          <cell r="C435" t="str">
            <v>1|12037|1</v>
          </cell>
          <cell r="D435" t="str">
            <v>碧海青天碎片1</v>
          </cell>
          <cell r="E435" t="str">
            <v>1|12037|1|1</v>
          </cell>
        </row>
        <row r="436">
          <cell r="A436">
            <v>22538</v>
          </cell>
          <cell r="B436">
            <v>1</v>
          </cell>
          <cell r="C436" t="str">
            <v>1|12038|1</v>
          </cell>
          <cell r="D436" t="str">
            <v>碧海青天碎片2</v>
          </cell>
          <cell r="E436" t="str">
            <v>1|12038|1|1</v>
          </cell>
        </row>
        <row r="437">
          <cell r="A437">
            <v>22539</v>
          </cell>
          <cell r="B437">
            <v>1</v>
          </cell>
          <cell r="C437" t="str">
            <v>1|12039|1</v>
          </cell>
          <cell r="D437" t="str">
            <v>碧海青天碎片3</v>
          </cell>
          <cell r="E437" t="str">
            <v>1|12039|1|1</v>
          </cell>
        </row>
        <row r="438">
          <cell r="A438">
            <v>22540</v>
          </cell>
          <cell r="B438">
            <v>1</v>
          </cell>
          <cell r="C438" t="str">
            <v>1|12040|1</v>
          </cell>
          <cell r="D438" t="str">
            <v>碧海青天碎片4</v>
          </cell>
          <cell r="E438" t="str">
            <v>1|12040|1|1</v>
          </cell>
        </row>
        <row r="439">
          <cell r="A439">
            <v>22541</v>
          </cell>
          <cell r="B439">
            <v>1</v>
          </cell>
          <cell r="C439" t="str">
            <v>1|12041|1</v>
          </cell>
          <cell r="D439" t="str">
            <v>碧海青天碎片5</v>
          </cell>
          <cell r="E439" t="str">
            <v>1|12041|1|1</v>
          </cell>
        </row>
        <row r="440">
          <cell r="A440">
            <v>22542</v>
          </cell>
          <cell r="B440">
            <v>1</v>
          </cell>
          <cell r="C440" t="str">
            <v>1|12042|1</v>
          </cell>
          <cell r="D440" t="str">
            <v>九曜光华碎片1</v>
          </cell>
          <cell r="E440" t="str">
            <v>1|12042|1|1</v>
          </cell>
        </row>
        <row r="441">
          <cell r="A441">
            <v>22543</v>
          </cell>
          <cell r="B441">
            <v>1</v>
          </cell>
          <cell r="C441" t="str">
            <v>1|12043|1</v>
          </cell>
          <cell r="D441" t="str">
            <v>九曜光华碎片2</v>
          </cell>
          <cell r="E441" t="str">
            <v>1|12043|1|1</v>
          </cell>
        </row>
        <row r="442">
          <cell r="A442">
            <v>22544</v>
          </cell>
          <cell r="B442">
            <v>1</v>
          </cell>
          <cell r="C442" t="str">
            <v>1|12044|1</v>
          </cell>
          <cell r="D442" t="str">
            <v>九曜光华碎片3</v>
          </cell>
          <cell r="E442" t="str">
            <v>1|12044|1|1</v>
          </cell>
        </row>
        <row r="443">
          <cell r="A443">
            <v>22545</v>
          </cell>
          <cell r="B443">
            <v>1</v>
          </cell>
          <cell r="C443" t="str">
            <v>1|12045|1</v>
          </cell>
          <cell r="D443" t="str">
            <v>九曜光华碎片4</v>
          </cell>
          <cell r="E443" t="str">
            <v>1|12045|1|1</v>
          </cell>
        </row>
        <row r="444">
          <cell r="A444">
            <v>22546</v>
          </cell>
          <cell r="B444">
            <v>1</v>
          </cell>
          <cell r="C444" t="str">
            <v>1|12046|1</v>
          </cell>
          <cell r="D444" t="str">
            <v>九曜光华碎片5</v>
          </cell>
          <cell r="E444" t="str">
            <v>1|12046|1|1</v>
          </cell>
        </row>
        <row r="445">
          <cell r="A445">
            <v>22547</v>
          </cell>
          <cell r="B445">
            <v>1</v>
          </cell>
          <cell r="C445" t="str">
            <v>1|12047|1</v>
          </cell>
          <cell r="D445" t="str">
            <v>千方寂玉碎片1</v>
          </cell>
          <cell r="E445" t="str">
            <v>1|12047|1|1</v>
          </cell>
        </row>
        <row r="446">
          <cell r="A446">
            <v>22548</v>
          </cell>
          <cell r="B446">
            <v>1</v>
          </cell>
          <cell r="C446" t="str">
            <v>1|12048|1</v>
          </cell>
          <cell r="D446" t="str">
            <v>千方寂玉碎片2</v>
          </cell>
          <cell r="E446" t="str">
            <v>1|12048|1|1</v>
          </cell>
        </row>
        <row r="447">
          <cell r="A447">
            <v>22549</v>
          </cell>
          <cell r="B447">
            <v>1</v>
          </cell>
          <cell r="C447" t="str">
            <v>1|12049|1</v>
          </cell>
          <cell r="D447" t="str">
            <v>千方寂玉碎片3</v>
          </cell>
          <cell r="E447" t="str">
            <v>1|12049|1|1</v>
          </cell>
        </row>
        <row r="448">
          <cell r="A448">
            <v>22550</v>
          </cell>
          <cell r="B448">
            <v>1</v>
          </cell>
          <cell r="C448" t="str">
            <v>1|12050|1</v>
          </cell>
          <cell r="D448" t="str">
            <v>千方寂玉碎片4</v>
          </cell>
          <cell r="E448" t="str">
            <v>1|12050|1|1</v>
          </cell>
        </row>
        <row r="449">
          <cell r="A449">
            <v>22551</v>
          </cell>
          <cell r="B449">
            <v>1</v>
          </cell>
          <cell r="C449" t="str">
            <v>1|12051|1</v>
          </cell>
          <cell r="D449" t="str">
            <v>千方寂玉碎片5</v>
          </cell>
          <cell r="E449" t="str">
            <v>1|12051|1|1</v>
          </cell>
        </row>
        <row r="450">
          <cell r="A450">
            <v>22552</v>
          </cell>
          <cell r="B450">
            <v>1</v>
          </cell>
          <cell r="C450" t="str">
            <v>1|12052|1</v>
          </cell>
          <cell r="D450" t="str">
            <v>噬龙之锋碎片1</v>
          </cell>
          <cell r="E450" t="str">
            <v>1|12052|1|1</v>
          </cell>
        </row>
        <row r="451">
          <cell r="A451">
            <v>22553</v>
          </cell>
          <cell r="B451">
            <v>1</v>
          </cell>
          <cell r="C451" t="str">
            <v>1|12053|1</v>
          </cell>
          <cell r="D451" t="str">
            <v>噬龙之锋碎片2</v>
          </cell>
          <cell r="E451" t="str">
            <v>1|12053|1|1</v>
          </cell>
        </row>
        <row r="452">
          <cell r="A452">
            <v>22554</v>
          </cell>
          <cell r="B452">
            <v>1</v>
          </cell>
          <cell r="C452" t="str">
            <v>1|12054|1</v>
          </cell>
          <cell r="D452" t="str">
            <v>噬龙之锋碎片3</v>
          </cell>
          <cell r="E452" t="str">
            <v>1|12054|1|1</v>
          </cell>
        </row>
        <row r="453">
          <cell r="A453">
            <v>22555</v>
          </cell>
          <cell r="B453">
            <v>1</v>
          </cell>
          <cell r="C453" t="str">
            <v>1|12055|1</v>
          </cell>
          <cell r="D453" t="str">
            <v>噬龙之锋碎片4</v>
          </cell>
          <cell r="E453" t="str">
            <v>1|12055|1|1</v>
          </cell>
        </row>
        <row r="454">
          <cell r="A454">
            <v>22556</v>
          </cell>
          <cell r="B454">
            <v>1</v>
          </cell>
          <cell r="C454" t="str">
            <v>1|12056|1</v>
          </cell>
          <cell r="D454" t="str">
            <v>噬龙之锋碎片5</v>
          </cell>
          <cell r="E454" t="str">
            <v>1|12056|1|1</v>
          </cell>
        </row>
        <row r="455">
          <cell r="A455">
            <v>22557</v>
          </cell>
          <cell r="B455">
            <v>1</v>
          </cell>
          <cell r="C455" t="str">
            <v>1|12057|1</v>
          </cell>
          <cell r="D455" t="str">
            <v>鎏金点翠碎片1</v>
          </cell>
          <cell r="E455" t="str">
            <v>1|12057|1|1</v>
          </cell>
        </row>
        <row r="456">
          <cell r="A456">
            <v>22558</v>
          </cell>
          <cell r="B456">
            <v>1</v>
          </cell>
          <cell r="C456" t="str">
            <v>1|12058|1</v>
          </cell>
          <cell r="D456" t="str">
            <v>鎏金点翠碎片2</v>
          </cell>
          <cell r="E456" t="str">
            <v>1|12058|1|1</v>
          </cell>
        </row>
        <row r="457">
          <cell r="A457">
            <v>22559</v>
          </cell>
          <cell r="B457">
            <v>1</v>
          </cell>
          <cell r="C457" t="str">
            <v>1|12059|1</v>
          </cell>
          <cell r="D457" t="str">
            <v>鎏金点翠碎片3</v>
          </cell>
          <cell r="E457" t="str">
            <v>1|12059|1|1</v>
          </cell>
        </row>
        <row r="458">
          <cell r="A458">
            <v>22560</v>
          </cell>
          <cell r="B458">
            <v>1</v>
          </cell>
          <cell r="C458" t="str">
            <v>1|12060|1</v>
          </cell>
          <cell r="D458" t="str">
            <v>鎏金点翠碎片4</v>
          </cell>
          <cell r="E458" t="str">
            <v>1|12060|1|1</v>
          </cell>
        </row>
        <row r="459">
          <cell r="A459">
            <v>22561</v>
          </cell>
          <cell r="B459">
            <v>1</v>
          </cell>
          <cell r="C459" t="str">
            <v>1|12061|1</v>
          </cell>
          <cell r="D459" t="str">
            <v>鎏金点翠碎片5</v>
          </cell>
          <cell r="E459" t="str">
            <v>1|12061|1|1</v>
          </cell>
        </row>
        <row r="460">
          <cell r="A460">
            <v>22562</v>
          </cell>
          <cell r="B460">
            <v>1</v>
          </cell>
          <cell r="C460" t="str">
            <v>1|12062|1</v>
          </cell>
          <cell r="D460" t="str">
            <v>紫金曼陀碎片1</v>
          </cell>
          <cell r="E460" t="str">
            <v>1|12062|1|1</v>
          </cell>
        </row>
        <row r="461">
          <cell r="A461">
            <v>22563</v>
          </cell>
          <cell r="B461">
            <v>1</v>
          </cell>
          <cell r="C461" t="str">
            <v>1|12063|1</v>
          </cell>
          <cell r="D461" t="str">
            <v>紫金曼陀碎片2</v>
          </cell>
          <cell r="E461" t="str">
            <v>1|12063|1|1</v>
          </cell>
        </row>
        <row r="462">
          <cell r="A462">
            <v>22564</v>
          </cell>
          <cell r="B462">
            <v>1</v>
          </cell>
          <cell r="C462" t="str">
            <v>1|12064|1</v>
          </cell>
          <cell r="D462" t="str">
            <v>紫金曼陀碎片3</v>
          </cell>
          <cell r="E462" t="str">
            <v>1|12064|1|1</v>
          </cell>
        </row>
        <row r="463">
          <cell r="A463">
            <v>22565</v>
          </cell>
          <cell r="B463">
            <v>1</v>
          </cell>
          <cell r="C463" t="str">
            <v>1|12065|1</v>
          </cell>
          <cell r="D463" t="str">
            <v>紫金曼陀碎片4</v>
          </cell>
          <cell r="E463" t="str">
            <v>1|12065|1|1</v>
          </cell>
        </row>
        <row r="464">
          <cell r="A464">
            <v>22566</v>
          </cell>
          <cell r="B464">
            <v>1</v>
          </cell>
          <cell r="C464" t="str">
            <v>1|12066|1</v>
          </cell>
          <cell r="D464" t="str">
            <v>紫金曼陀碎片5</v>
          </cell>
          <cell r="E464" t="str">
            <v>1|12066|1|1</v>
          </cell>
        </row>
        <row r="465">
          <cell r="A465">
            <v>22567</v>
          </cell>
          <cell r="B465">
            <v>1</v>
          </cell>
          <cell r="C465" t="str">
            <v>1|12074|1</v>
          </cell>
          <cell r="D465" t="str">
            <v>橙色经验法宝碎片1</v>
          </cell>
          <cell r="E465" t="str">
            <v>1|12074|1|1</v>
          </cell>
        </row>
        <row r="466">
          <cell r="A466">
            <v>22568</v>
          </cell>
          <cell r="B466">
            <v>1</v>
          </cell>
          <cell r="C466" t="str">
            <v>1|12075|1</v>
          </cell>
          <cell r="D466" t="str">
            <v>橙色经验法宝碎片2</v>
          </cell>
          <cell r="E466" t="str">
            <v>1|12075|1|1</v>
          </cell>
        </row>
        <row r="467">
          <cell r="A467">
            <v>22569</v>
          </cell>
          <cell r="B467">
            <v>1</v>
          </cell>
          <cell r="C467" t="str">
            <v>1|12076|1</v>
          </cell>
          <cell r="D467" t="str">
            <v>橙色经验法宝碎片3</v>
          </cell>
          <cell r="E467" t="str">
            <v>1|12076|1|1</v>
          </cell>
        </row>
        <row r="468">
          <cell r="A468">
            <v>22570</v>
          </cell>
          <cell r="B468">
            <v>1</v>
          </cell>
          <cell r="C468" t="str">
            <v>1|12077|1</v>
          </cell>
          <cell r="D468" t="str">
            <v>橙色经验法宝碎片4</v>
          </cell>
          <cell r="E468" t="str">
            <v>1|12077|1|1</v>
          </cell>
        </row>
        <row r="469">
          <cell r="A469">
            <v>22571</v>
          </cell>
          <cell r="B469">
            <v>1</v>
          </cell>
          <cell r="C469" t="str">
            <v>1|12078|1</v>
          </cell>
          <cell r="D469" t="str">
            <v>橙色经验法宝碎片5</v>
          </cell>
          <cell r="E469" t="str">
            <v>1|12078|1|1</v>
          </cell>
        </row>
        <row r="470">
          <cell r="A470">
            <v>22572</v>
          </cell>
          <cell r="B470">
            <v>1</v>
          </cell>
          <cell r="C470" t="str">
            <v>1|12070|1</v>
          </cell>
          <cell r="D470" t="str">
            <v>紫色经验法宝碎片1</v>
          </cell>
          <cell r="E470" t="str">
            <v>1|12070|1|1</v>
          </cell>
        </row>
        <row r="471">
          <cell r="A471">
            <v>22573</v>
          </cell>
          <cell r="B471">
            <v>1</v>
          </cell>
          <cell r="C471" t="str">
            <v>1|12071|1</v>
          </cell>
          <cell r="D471" t="str">
            <v>紫色经验法宝碎片2</v>
          </cell>
          <cell r="E471" t="str">
            <v>1|12071|1|1</v>
          </cell>
        </row>
        <row r="472">
          <cell r="A472">
            <v>22574</v>
          </cell>
          <cell r="B472">
            <v>1</v>
          </cell>
          <cell r="C472" t="str">
            <v>1|12072|1</v>
          </cell>
          <cell r="D472" t="str">
            <v>紫色经验法宝碎片3</v>
          </cell>
          <cell r="E472" t="str">
            <v>1|12072|1|1</v>
          </cell>
        </row>
        <row r="473">
          <cell r="A473">
            <v>22575</v>
          </cell>
          <cell r="B473">
            <v>1</v>
          </cell>
          <cell r="C473" t="str">
            <v>1|12073|1</v>
          </cell>
          <cell r="D473" t="str">
            <v>紫色经验法宝碎片4</v>
          </cell>
          <cell r="E473" t="str">
            <v>1|12073|1|1</v>
          </cell>
        </row>
        <row r="474">
          <cell r="A474">
            <v>22576</v>
          </cell>
          <cell r="B474">
            <v>1</v>
          </cell>
          <cell r="C474" t="str">
            <v>1|12067|1</v>
          </cell>
          <cell r="D474" t="str">
            <v>蓝色经验法宝碎片1</v>
          </cell>
          <cell r="E474" t="str">
            <v>1|12067|1|1</v>
          </cell>
        </row>
        <row r="475">
          <cell r="A475">
            <v>22577</v>
          </cell>
          <cell r="B475">
            <v>1</v>
          </cell>
          <cell r="C475" t="str">
            <v>1|12068|1</v>
          </cell>
          <cell r="D475" t="str">
            <v>蓝色经验法宝碎片2</v>
          </cell>
          <cell r="E475" t="str">
            <v>1|12068|1|1</v>
          </cell>
        </row>
        <row r="476">
          <cell r="A476">
            <v>22578</v>
          </cell>
          <cell r="B476">
            <v>1</v>
          </cell>
          <cell r="C476" t="str">
            <v>1|12069|1</v>
          </cell>
          <cell r="D476" t="str">
            <v>蓝色经验法宝碎片3</v>
          </cell>
          <cell r="E476" t="str">
            <v>1|12069|1|1</v>
          </cell>
        </row>
        <row r="477">
          <cell r="A477">
            <v>25001</v>
          </cell>
          <cell r="B477">
            <v>1</v>
          </cell>
          <cell r="C477" t="str">
            <v>1|14001|2</v>
          </cell>
          <cell r="D477" t="str">
            <v>初级经验药水</v>
          </cell>
          <cell r="E477" t="str">
            <v>1|14001|2|7,1|14001|3|3</v>
          </cell>
        </row>
        <row r="478">
          <cell r="A478">
            <v>25002</v>
          </cell>
          <cell r="B478">
            <v>1</v>
          </cell>
          <cell r="C478" t="str">
            <v>1|14002|2</v>
          </cell>
          <cell r="D478" t="str">
            <v>中级经验药水</v>
          </cell>
          <cell r="E478" t="str">
            <v>1|14002|2|7,1|14002|3|3</v>
          </cell>
        </row>
        <row r="479">
          <cell r="A479">
            <v>25003</v>
          </cell>
          <cell r="B479">
            <v>1</v>
          </cell>
          <cell r="C479" t="str">
            <v>1|14003|1</v>
          </cell>
          <cell r="D479" t="str">
            <v>高级经验药水</v>
          </cell>
          <cell r="E479" t="str">
            <v>1|14003|1|7,1|14003|2|3</v>
          </cell>
        </row>
        <row r="480">
          <cell r="A480">
            <v>25004</v>
          </cell>
          <cell r="B480">
            <v>1</v>
          </cell>
          <cell r="C480" t="str">
            <v>1|14101|1</v>
          </cell>
          <cell r="D480" t="str">
            <v>体力丹 40%</v>
          </cell>
          <cell r="E480" t="str">
            <v>1|14101|1|1</v>
          </cell>
        </row>
        <row r="481">
          <cell r="A481">
            <v>25005</v>
          </cell>
          <cell r="B481">
            <v>1</v>
          </cell>
          <cell r="C481" t="str">
            <v>1|14106|2</v>
          </cell>
          <cell r="D481" t="str">
            <v>培养丹 50%</v>
          </cell>
          <cell r="E481" t="str">
            <v>1|14106|2|5,1|14106|3|3,1|14106|4|2</v>
          </cell>
        </row>
        <row r="482">
          <cell r="A482">
            <v>25006</v>
          </cell>
          <cell r="B482">
            <v>1</v>
          </cell>
          <cell r="C482" t="str">
            <v>1|14107|1</v>
          </cell>
          <cell r="D482" t="str">
            <v>元灵晶石 50%</v>
          </cell>
          <cell r="E482" t="str">
            <v>1|14107|1|7,1|14107|2|3</v>
          </cell>
        </row>
        <row r="483">
          <cell r="A483">
            <v>25007</v>
          </cell>
          <cell r="B483">
            <v>1</v>
          </cell>
          <cell r="C483" t="str">
            <v>4|1|50000</v>
          </cell>
          <cell r="D483" t="str">
            <v>货币</v>
          </cell>
          <cell r="E483" t="str">
            <v>4|1|50000|4,4|1|800000|3,4|1|100000|2,4|1|200000|1</v>
          </cell>
        </row>
        <row r="484">
          <cell r="A484">
            <v>25008</v>
          </cell>
          <cell r="B484">
            <v>1</v>
          </cell>
          <cell r="C484" t="str">
            <v>1|14107|50</v>
          </cell>
          <cell r="D484" t="str">
            <v>精炼石</v>
          </cell>
          <cell r="E484" t="str">
            <v>1|14107|50|4,1|14107|100|4,1|14107|400|2</v>
          </cell>
        </row>
        <row r="485">
          <cell r="A485">
            <v>25009</v>
          </cell>
          <cell r="B485">
            <v>1</v>
          </cell>
          <cell r="C485" t="str">
            <v>4|11|10</v>
          </cell>
          <cell r="D485" t="str">
            <v>精力</v>
          </cell>
          <cell r="E485" t="str">
            <v>4|11|10|1</v>
          </cell>
        </row>
        <row r="486">
          <cell r="A486">
            <v>25010</v>
          </cell>
          <cell r="B486">
            <v>1</v>
          </cell>
          <cell r="C486" t="str">
            <v>1|14201|50</v>
          </cell>
          <cell r="D486" t="str">
            <v>法宝精炼</v>
          </cell>
          <cell r="E486" t="str">
            <v>1|14201|50|4,1|14201|100|4,1|14201|400|2</v>
          </cell>
        </row>
        <row r="487">
          <cell r="A487">
            <v>25011</v>
          </cell>
          <cell r="B487">
            <v>1</v>
          </cell>
          <cell r="C487" t="str">
            <v>1|14104|50</v>
          </cell>
          <cell r="D487" t="str">
            <v>技能书</v>
          </cell>
          <cell r="E487" t="str">
            <v>1|14104|50|4,1|14104|100|4,1|14104|400|2</v>
          </cell>
        </row>
        <row r="488">
          <cell r="A488">
            <v>25012</v>
          </cell>
          <cell r="B488">
            <v>1</v>
          </cell>
          <cell r="C488" t="str">
            <v>1|14108|5</v>
          </cell>
          <cell r="D488" t="str">
            <v>小蟠桃x5</v>
          </cell>
          <cell r="E488" t="str">
            <v>1|14108|5|1</v>
          </cell>
        </row>
        <row r="489">
          <cell r="A489">
            <v>25013</v>
          </cell>
          <cell r="B489">
            <v>1</v>
          </cell>
          <cell r="C489" t="str">
            <v>2|2002|1</v>
          </cell>
          <cell r="D489" t="str">
            <v>行者长剑*1</v>
          </cell>
          <cell r="E489" t="str">
            <v>2|2002|1|1</v>
          </cell>
        </row>
        <row r="490">
          <cell r="A490">
            <v>25014</v>
          </cell>
          <cell r="B490">
            <v>1</v>
          </cell>
          <cell r="C490" t="str">
            <v>1|14101|10</v>
          </cell>
          <cell r="D490" t="str">
            <v>体力丹5</v>
          </cell>
          <cell r="E490" t="str">
            <v>1|14101|10|1</v>
          </cell>
        </row>
        <row r="491">
          <cell r="A491">
            <v>25015</v>
          </cell>
          <cell r="B491">
            <v>1</v>
          </cell>
          <cell r="C491" t="str">
            <v>4|1|100000</v>
          </cell>
          <cell r="D491" t="str">
            <v>货币100000</v>
          </cell>
          <cell r="E491" t="str">
            <v>4|1|100000|1</v>
          </cell>
        </row>
        <row r="492">
          <cell r="A492">
            <v>25016</v>
          </cell>
          <cell r="B492">
            <v>1</v>
          </cell>
          <cell r="C492" t="str">
            <v>1|10033|30</v>
          </cell>
          <cell r="D492" t="str">
            <v>雷公*30</v>
          </cell>
          <cell r="E492" t="str">
            <v>1|10033|30|1</v>
          </cell>
        </row>
        <row r="493">
          <cell r="A493">
            <v>25017</v>
          </cell>
          <cell r="B493">
            <v>1</v>
          </cell>
          <cell r="C493" t="str">
            <v>2|2001|1</v>
          </cell>
          <cell r="D493" t="str">
            <v>行者护甲*1</v>
          </cell>
          <cell r="E493" t="str">
            <v>2|2001|1|1</v>
          </cell>
        </row>
        <row r="494">
          <cell r="A494">
            <v>25018</v>
          </cell>
          <cell r="B494">
            <v>1</v>
          </cell>
          <cell r="C494" t="str">
            <v>4|1|200000</v>
          </cell>
          <cell r="D494" t="str">
            <v>货币200000</v>
          </cell>
          <cell r="E494" t="str">
            <v>4|1|200000|1</v>
          </cell>
        </row>
        <row r="495">
          <cell r="A495">
            <v>25019</v>
          </cell>
          <cell r="B495">
            <v>1</v>
          </cell>
          <cell r="C495" t="str">
            <v>1|14104|200</v>
          </cell>
          <cell r="D495" t="str">
            <v>技能书50</v>
          </cell>
          <cell r="E495" t="str">
            <v>1|14104|200|1</v>
          </cell>
        </row>
        <row r="496">
          <cell r="A496">
            <v>25020</v>
          </cell>
          <cell r="B496">
            <v>1</v>
          </cell>
          <cell r="C496" t="str">
            <v>1|14108|50</v>
          </cell>
          <cell r="D496" t="str">
            <v>精力石50</v>
          </cell>
          <cell r="E496" t="str">
            <v>1|14108|50|1</v>
          </cell>
        </row>
        <row r="497">
          <cell r="A497">
            <v>25021</v>
          </cell>
          <cell r="B497">
            <v>1</v>
          </cell>
          <cell r="C497" t="str">
            <v>4|2|40</v>
          </cell>
          <cell r="D497" t="str">
            <v>钻石40</v>
          </cell>
          <cell r="E497" t="str">
            <v>4|2|40|1</v>
          </cell>
        </row>
        <row r="498">
          <cell r="A498">
            <v>25101</v>
          </cell>
          <cell r="B498">
            <v>1</v>
          </cell>
          <cell r="C498" t="str">
            <v>4|1|10000</v>
          </cell>
          <cell r="D498" t="str">
            <v>游戏币10000</v>
          </cell>
          <cell r="E498" t="str">
            <v>4|1|10000|1</v>
          </cell>
        </row>
        <row r="499">
          <cell r="A499">
            <v>25102</v>
          </cell>
          <cell r="B499">
            <v>1</v>
          </cell>
          <cell r="C499" t="str">
            <v>1|11001|20</v>
          </cell>
          <cell r="D499" t="str">
            <v>勇士护甲碎片20</v>
          </cell>
          <cell r="E499" t="str">
            <v>1|11001|20|1</v>
          </cell>
        </row>
        <row r="500">
          <cell r="A500">
            <v>25103</v>
          </cell>
          <cell r="B500">
            <v>1</v>
          </cell>
          <cell r="C500" t="str">
            <v>4|1|20000</v>
          </cell>
          <cell r="D500" t="str">
            <v>游戏币20000</v>
          </cell>
          <cell r="E500" t="str">
            <v>4|1|20000|1</v>
          </cell>
        </row>
        <row r="501">
          <cell r="A501">
            <v>25104</v>
          </cell>
          <cell r="B501">
            <v>1</v>
          </cell>
          <cell r="C501" t="str">
            <v>1|14001|10</v>
          </cell>
          <cell r="D501" t="str">
            <v>初级经验药水</v>
          </cell>
          <cell r="E501" t="str">
            <v>1|14001|10|1</v>
          </cell>
        </row>
        <row r="502">
          <cell r="A502">
            <v>25105</v>
          </cell>
          <cell r="B502">
            <v>1</v>
          </cell>
          <cell r="C502" t="str">
            <v>1|14202|15</v>
          </cell>
          <cell r="D502" t="str">
            <v>低级装备精炼石15</v>
          </cell>
          <cell r="E502" t="str">
            <v>1|14202|15|1</v>
          </cell>
        </row>
        <row r="503">
          <cell r="A503">
            <v>25106</v>
          </cell>
          <cell r="B503">
            <v>1</v>
          </cell>
          <cell r="C503" t="str">
            <v>4|1|30000</v>
          </cell>
          <cell r="D503" t="str">
            <v>游戏币30000</v>
          </cell>
          <cell r="E503" t="str">
            <v>4|1|30000|1</v>
          </cell>
        </row>
        <row r="504">
          <cell r="A504">
            <v>25107</v>
          </cell>
          <cell r="B504">
            <v>1</v>
          </cell>
          <cell r="C504" t="str">
            <v>1|11002|20</v>
          </cell>
          <cell r="D504" t="str">
            <v>勇士武器碎片20</v>
          </cell>
          <cell r="E504" t="str">
            <v>1|11002|20|1</v>
          </cell>
        </row>
        <row r="505">
          <cell r="A505">
            <v>25108</v>
          </cell>
          <cell r="B505">
            <v>1</v>
          </cell>
          <cell r="C505" t="str">
            <v>1|14202|30</v>
          </cell>
          <cell r="D505" t="str">
            <v>低级装备精炼石30</v>
          </cell>
          <cell r="E505" t="str">
            <v>1|14202|30|1</v>
          </cell>
        </row>
        <row r="506">
          <cell r="A506">
            <v>25109</v>
          </cell>
          <cell r="B506">
            <v>1</v>
          </cell>
          <cell r="C506" t="str">
            <v>1|14001|50</v>
          </cell>
          <cell r="D506" t="str">
            <v>初级经验药水</v>
          </cell>
          <cell r="E506" t="str">
            <v>1|14001|50|1</v>
          </cell>
        </row>
        <row r="507">
          <cell r="A507">
            <v>25110</v>
          </cell>
          <cell r="B507">
            <v>1</v>
          </cell>
          <cell r="C507" t="str">
            <v>4|1|50000</v>
          </cell>
          <cell r="D507" t="str">
            <v>游戏币50000</v>
          </cell>
          <cell r="E507" t="str">
            <v>4|1|50000|1</v>
          </cell>
        </row>
        <row r="508">
          <cell r="A508">
            <v>25111</v>
          </cell>
          <cell r="B508">
            <v>1</v>
          </cell>
          <cell r="C508" t="str">
            <v>1|11006|30</v>
          </cell>
          <cell r="D508" t="str">
            <v>精英长剑碎片30</v>
          </cell>
          <cell r="E508" t="str">
            <v>1|11006|30|1</v>
          </cell>
        </row>
        <row r="509">
          <cell r="A509">
            <v>25112</v>
          </cell>
          <cell r="B509">
            <v>1</v>
          </cell>
          <cell r="C509" t="str">
            <v>1|14002|30</v>
          </cell>
          <cell r="D509" t="str">
            <v>中级经验药水</v>
          </cell>
          <cell r="E509" t="str">
            <v>1|14002|30|1</v>
          </cell>
        </row>
        <row r="510">
          <cell r="A510">
            <v>25113</v>
          </cell>
          <cell r="B510">
            <v>1</v>
          </cell>
          <cell r="C510" t="str">
            <v>1|14203|30</v>
          </cell>
          <cell r="D510" t="str">
            <v>中级装备精炼石30</v>
          </cell>
          <cell r="E510" t="str">
            <v>1|14203|30|1</v>
          </cell>
        </row>
        <row r="511">
          <cell r="A511">
            <v>25114</v>
          </cell>
          <cell r="B511">
            <v>1</v>
          </cell>
          <cell r="C511" t="str">
            <v>1|14107|200</v>
          </cell>
          <cell r="D511" t="str">
            <v>进阶石200</v>
          </cell>
          <cell r="E511" t="str">
            <v>1|14107|200|1</v>
          </cell>
        </row>
        <row r="512">
          <cell r="A512">
            <v>25115</v>
          </cell>
          <cell r="B512">
            <v>1</v>
          </cell>
          <cell r="C512" t="str">
            <v>1|11005|30</v>
          </cell>
          <cell r="D512" t="str">
            <v>精英护甲碎片30</v>
          </cell>
          <cell r="E512" t="str">
            <v>1|11005|30|1</v>
          </cell>
        </row>
        <row r="513">
          <cell r="A513">
            <v>25116</v>
          </cell>
          <cell r="B513">
            <v>1</v>
          </cell>
          <cell r="C513" t="str">
            <v>1|14002|50</v>
          </cell>
          <cell r="D513" t="str">
            <v>中级经验药水</v>
          </cell>
          <cell r="E513" t="str">
            <v>1|14002|50|1</v>
          </cell>
        </row>
        <row r="514">
          <cell r="A514">
            <v>25117</v>
          </cell>
          <cell r="B514">
            <v>1</v>
          </cell>
          <cell r="C514" t="str">
            <v>1|14203|50</v>
          </cell>
          <cell r="D514" t="str">
            <v>中级装备精炼石50</v>
          </cell>
          <cell r="E514" t="str">
            <v>1|14203|50|1</v>
          </cell>
        </row>
        <row r="515">
          <cell r="A515">
            <v>25118</v>
          </cell>
          <cell r="B515">
            <v>1</v>
          </cell>
          <cell r="C515" t="str">
            <v>4|1|70000</v>
          </cell>
          <cell r="D515" t="str">
            <v>游戏币70000</v>
          </cell>
          <cell r="E515" t="str">
            <v>4|1|70000|1</v>
          </cell>
        </row>
        <row r="516">
          <cell r="A516">
            <v>25119</v>
          </cell>
          <cell r="B516">
            <v>1</v>
          </cell>
          <cell r="C516" t="str">
            <v>1|14003|50</v>
          </cell>
          <cell r="D516" t="str">
            <v>高级经验药水</v>
          </cell>
          <cell r="E516" t="str">
            <v>1|14003|50|1</v>
          </cell>
        </row>
        <row r="517">
          <cell r="A517">
            <v>25120</v>
          </cell>
          <cell r="B517">
            <v>1</v>
          </cell>
          <cell r="C517" t="str">
            <v>1|14203|50</v>
          </cell>
          <cell r="D517" t="str">
            <v>中级装备精炼石50</v>
          </cell>
          <cell r="E517" t="str">
            <v>1|14203|50|1</v>
          </cell>
        </row>
        <row r="518">
          <cell r="A518">
            <v>25121</v>
          </cell>
          <cell r="B518">
            <v>1</v>
          </cell>
          <cell r="C518" t="str">
            <v>4|1|90000</v>
          </cell>
          <cell r="D518" t="str">
            <v>游戏币90000</v>
          </cell>
          <cell r="E518" t="str">
            <v>4|1|90000|1</v>
          </cell>
        </row>
        <row r="519">
          <cell r="A519">
            <v>25122</v>
          </cell>
          <cell r="B519">
            <v>1</v>
          </cell>
          <cell r="C519" t="str">
            <v>1|14107|300</v>
          </cell>
          <cell r="D519" t="str">
            <v>进阶石300</v>
          </cell>
          <cell r="E519" t="str">
            <v>1|14107|300|1</v>
          </cell>
        </row>
        <row r="520">
          <cell r="A520">
            <v>25123</v>
          </cell>
          <cell r="B520">
            <v>1</v>
          </cell>
          <cell r="C520" t="str">
            <v>4|1|120000</v>
          </cell>
          <cell r="D520" t="str">
            <v>游戏币120000</v>
          </cell>
          <cell r="E520" t="str">
            <v>4|1|120000|1</v>
          </cell>
        </row>
        <row r="521">
          <cell r="A521">
            <v>25124</v>
          </cell>
          <cell r="B521">
            <v>1</v>
          </cell>
          <cell r="C521" t="str">
            <v>1|14107|350</v>
          </cell>
          <cell r="D521" t="str">
            <v>进阶石350</v>
          </cell>
          <cell r="E521" t="str">
            <v>1|14107|350|1</v>
          </cell>
        </row>
        <row r="522">
          <cell r="A522">
            <v>25125</v>
          </cell>
          <cell r="B522">
            <v>1</v>
          </cell>
          <cell r="C522" t="str">
            <v>4|1|150000</v>
          </cell>
          <cell r="D522" t="str">
            <v>游戏币150000</v>
          </cell>
          <cell r="E522" t="str">
            <v>4|1|150000|1</v>
          </cell>
        </row>
        <row r="523">
          <cell r="A523">
            <v>25126</v>
          </cell>
          <cell r="B523">
            <v>1</v>
          </cell>
          <cell r="C523" t="str">
            <v>1|14107|400</v>
          </cell>
          <cell r="D523" t="str">
            <v>进阶石400</v>
          </cell>
          <cell r="E523" t="str">
            <v>1|14107|400|1</v>
          </cell>
        </row>
        <row r="524">
          <cell r="A524">
            <v>25127</v>
          </cell>
          <cell r="B524">
            <v>1</v>
          </cell>
          <cell r="C524" t="str">
            <v>4|1|170000</v>
          </cell>
          <cell r="D524" t="str">
            <v>游戏币170000</v>
          </cell>
          <cell r="E524" t="str">
            <v>4|1|170000|1</v>
          </cell>
        </row>
        <row r="525">
          <cell r="A525">
            <v>25128</v>
          </cell>
          <cell r="B525">
            <v>1</v>
          </cell>
          <cell r="C525" t="str">
            <v>1|14107|450</v>
          </cell>
          <cell r="D525" t="str">
            <v>进阶石450</v>
          </cell>
          <cell r="E525" t="str">
            <v>1|14107|450|1</v>
          </cell>
        </row>
        <row r="526">
          <cell r="A526">
            <v>25129</v>
          </cell>
          <cell r="B526">
            <v>1</v>
          </cell>
          <cell r="C526" t="str">
            <v>4|1|200000</v>
          </cell>
          <cell r="D526" t="str">
            <v>游戏币200000</v>
          </cell>
          <cell r="E526" t="str">
            <v>4|1|200000|1</v>
          </cell>
        </row>
        <row r="527">
          <cell r="A527">
            <v>25130</v>
          </cell>
          <cell r="B527">
            <v>1</v>
          </cell>
          <cell r="C527" t="str">
            <v>1|14107|500</v>
          </cell>
          <cell r="D527" t="str">
            <v>进阶石500</v>
          </cell>
          <cell r="E527" t="str">
            <v>1|14107|500|1</v>
          </cell>
        </row>
        <row r="528">
          <cell r="A528">
            <v>25131</v>
          </cell>
          <cell r="B528">
            <v>1</v>
          </cell>
          <cell r="C528" t="str">
            <v>1|14107|550</v>
          </cell>
          <cell r="D528" t="str">
            <v>进阶石550</v>
          </cell>
          <cell r="E528" t="str">
            <v>1|14107|550|1</v>
          </cell>
        </row>
        <row r="529">
          <cell r="A529">
            <v>25900</v>
          </cell>
          <cell r="B529">
            <v>0</v>
          </cell>
          <cell r="C529" t="str">
            <v>4|12|50</v>
          </cell>
          <cell r="D529" t="str">
            <v>午餐晚餐领取体力</v>
          </cell>
          <cell r="E529" t="str">
            <v>4|12|50|1,3|25901|1|1</v>
          </cell>
        </row>
        <row r="530">
          <cell r="A530">
            <v>25901</v>
          </cell>
          <cell r="B530">
            <v>1</v>
          </cell>
          <cell r="C530" t="str">
            <v>4|2|50</v>
          </cell>
          <cell r="D530" t="str">
            <v>午餐晚餐领取体力同时有概率获得50钻石</v>
          </cell>
          <cell r="E530" t="str">
            <v>4|2|50|50,4|2|0|50</v>
          </cell>
        </row>
        <row r="531">
          <cell r="A531">
            <v>25902</v>
          </cell>
          <cell r="B531">
            <v>1</v>
          </cell>
          <cell r="C531" t="str">
            <v>4|2|50</v>
          </cell>
          <cell r="D531" t="str">
            <v>午餐晚餐领取体力同时有概率获得50钻石</v>
          </cell>
          <cell r="E531" t="str">
            <v>4|2|50|50,4|2|0|50</v>
          </cell>
        </row>
        <row r="532">
          <cell r="A532">
            <v>25903</v>
          </cell>
          <cell r="B532">
            <v>1</v>
          </cell>
          <cell r="C532" t="str">
            <v>4|2|50</v>
          </cell>
          <cell r="D532" t="str">
            <v>午餐晚餐领取体力同时有概率获得50钻石</v>
          </cell>
          <cell r="E532" t="str">
            <v>4|2|50|50,4|2|0|50</v>
          </cell>
        </row>
        <row r="533">
          <cell r="A533">
            <v>25910</v>
          </cell>
          <cell r="B533">
            <v>0</v>
          </cell>
          <cell r="C533" t="str">
            <v>4|29|250</v>
          </cell>
          <cell r="D533" t="str">
            <v>梦魇入侵挑战奖励</v>
          </cell>
          <cell r="E533" t="str">
            <v>4|29|250|1</v>
          </cell>
        </row>
        <row r="534">
          <cell r="A534">
            <v>25911</v>
          </cell>
          <cell r="B534">
            <v>0</v>
          </cell>
          <cell r="C534" t="str">
            <v>4|2|10</v>
          </cell>
          <cell r="D534" t="str">
            <v>梦魇入侵挑战奖励</v>
          </cell>
          <cell r="E534" t="str">
            <v>4|2|10|1</v>
          </cell>
        </row>
        <row r="535">
          <cell r="A535">
            <v>25912</v>
          </cell>
          <cell r="B535">
            <v>0</v>
          </cell>
          <cell r="C535" t="str">
            <v>4|2|20</v>
          </cell>
          <cell r="D535" t="str">
            <v>梦魇入侵挑战奖励</v>
          </cell>
          <cell r="E535" t="str">
            <v>4|2|20|1</v>
          </cell>
        </row>
        <row r="536">
          <cell r="A536">
            <v>25913</v>
          </cell>
          <cell r="B536">
            <v>0</v>
          </cell>
          <cell r="C536" t="str">
            <v>4|2|30</v>
          </cell>
          <cell r="D536" t="str">
            <v>梦魇入侵挑战奖励</v>
          </cell>
          <cell r="E536" t="str">
            <v>4|2|30|1</v>
          </cell>
        </row>
        <row r="537">
          <cell r="A537">
            <v>25914</v>
          </cell>
          <cell r="B537">
            <v>0</v>
          </cell>
          <cell r="C537" t="str">
            <v>4|2|40</v>
          </cell>
          <cell r="D537" t="str">
            <v>梦魇入侵挑战奖励</v>
          </cell>
          <cell r="E537" t="str">
            <v>4|2|40|1</v>
          </cell>
        </row>
        <row r="538">
          <cell r="A538">
            <v>25920</v>
          </cell>
          <cell r="B538">
            <v>0</v>
          </cell>
          <cell r="C538" t="str">
            <v>4|30|50</v>
          </cell>
          <cell r="D538" t="str">
            <v>全服BOSS挑战奖励</v>
          </cell>
          <cell r="E538" t="str">
            <v>4|30|50|1</v>
          </cell>
        </row>
        <row r="539">
          <cell r="A539">
            <v>25921</v>
          </cell>
          <cell r="B539">
            <v>0</v>
          </cell>
          <cell r="C539" t="str">
            <v>4|2|300</v>
          </cell>
          <cell r="D539" t="str">
            <v>全服BOSS击杀奖励</v>
          </cell>
          <cell r="E539" t="str">
            <v>4|2|300|1</v>
          </cell>
        </row>
        <row r="540">
          <cell r="A540">
            <v>25989</v>
          </cell>
          <cell r="B540">
            <v>1</v>
          </cell>
          <cell r="C540" t="str">
            <v>[]</v>
          </cell>
          <cell r="D540" t="str">
            <v>灵台斗法翻牌奖励</v>
          </cell>
          <cell r="E540" t="str">
            <v>4|2|10|10,4|1|10000|10,1|16005|2|10,1|14107|10|10,1|14305|1|6,6|4501|2|10,1|17000|2|10,1|14102|1|10,1|14201|2|10,1|14003|1|10,1|14101|1|2,1|14108|1|2</v>
          </cell>
        </row>
        <row r="541">
          <cell r="A541">
            <v>25990</v>
          </cell>
          <cell r="B541">
            <v>1</v>
          </cell>
          <cell r="C541" t="str">
            <v>[]</v>
          </cell>
          <cell r="D541" t="str">
            <v>大闹三界宝箱奖励</v>
          </cell>
          <cell r="E541" t="str">
            <v>4|2|5|1000,4|2|10|500,4|2|20|200,4|2|50|100,4|1|1000|1000,4|1|5000|500,4|1|10000|200,4|1|20000|100,1|16005|1|2000,6|4501|1|400,6|4502|1|100,1|14107|1|10000,1|14315|1|200,1|14314|1|500,1|14300|1|1000,1|14306|1|66,1|14305|1|142,1|14299|1|333,1|17000|1|5000,1|17001|1|1000,1|14102|1|500,1|14001|1|1250,1|14002|1|250,1|14003|1|125,1|14004|1|62</v>
          </cell>
        </row>
        <row r="542">
          <cell r="A542">
            <v>25991</v>
          </cell>
          <cell r="B542">
            <v>0</v>
          </cell>
          <cell r="C542" t="str">
            <v>4|12|25</v>
          </cell>
          <cell r="D542" t="str">
            <v>恢复25点体力</v>
          </cell>
          <cell r="E542" t="str">
            <v>4|12|25|1</v>
          </cell>
        </row>
        <row r="543">
          <cell r="A543">
            <v>25992</v>
          </cell>
          <cell r="B543">
            <v>0</v>
          </cell>
          <cell r="C543" t="str">
            <v>4|13|10</v>
          </cell>
          <cell r="D543" t="str">
            <v>恢复10点精力</v>
          </cell>
          <cell r="E543" t="str">
            <v>4|13|10|1</v>
          </cell>
        </row>
        <row r="544">
          <cell r="A544">
            <v>25993</v>
          </cell>
          <cell r="B544">
            <v>0</v>
          </cell>
          <cell r="C544" t="str">
            <v>4|14|1</v>
          </cell>
          <cell r="D544" t="str">
            <v>获得1个迎战券</v>
          </cell>
          <cell r="E544" t="str">
            <v>4|14|1|1</v>
          </cell>
        </row>
        <row r="545">
          <cell r="A545">
            <v>25994</v>
          </cell>
          <cell r="B545">
            <v>0</v>
          </cell>
          <cell r="C545" t="str">
            <v>4|26|100</v>
          </cell>
          <cell r="D545" t="str">
            <v>VIP经验卡-获得100点VIP经验值</v>
          </cell>
          <cell r="E545" t="str">
            <v>4|26|100|1</v>
          </cell>
        </row>
        <row r="546">
          <cell r="A546">
            <v>25995</v>
          </cell>
          <cell r="B546">
            <v>0</v>
          </cell>
          <cell r="C546" t="str">
            <v>4|10|10000</v>
          </cell>
          <cell r="D546" t="str">
            <v>玩家经验-获得10000点玩家经验值</v>
          </cell>
          <cell r="E546" t="str">
            <v>4|10|10000|1</v>
          </cell>
        </row>
        <row r="547">
          <cell r="A547">
            <v>25996</v>
          </cell>
          <cell r="B547">
            <v>0</v>
          </cell>
          <cell r="C547" t="str">
            <v>4|5|100,4|1|2000</v>
          </cell>
          <cell r="D547" t="str">
            <v>灵台斗法挑战胜利奖励</v>
          </cell>
          <cell r="E547" t="str">
            <v>4|5|100|1,4|1|2000|1</v>
          </cell>
        </row>
        <row r="548">
          <cell r="A548">
            <v>25997</v>
          </cell>
          <cell r="B548">
            <v>0</v>
          </cell>
          <cell r="C548" t="str">
            <v>4|5|60</v>
          </cell>
          <cell r="D548" t="str">
            <v>灵台斗法挑战失败奖励</v>
          </cell>
          <cell r="E548" t="str">
            <v>4|5|60|1</v>
          </cell>
        </row>
        <row r="549">
          <cell r="A549">
            <v>25998</v>
          </cell>
          <cell r="B549">
            <v>0</v>
          </cell>
          <cell r="C549" t="str">
            <v>4|33|1</v>
          </cell>
          <cell r="D549" t="str">
            <v>挑战令开启获得挑战次数</v>
          </cell>
          <cell r="E549" t="str">
            <v>4|33|1|1</v>
          </cell>
        </row>
        <row r="550">
          <cell r="A550">
            <v>25999</v>
          </cell>
          <cell r="B550">
            <v>0</v>
          </cell>
          <cell r="C550" t="str">
            <v>4|1|20000</v>
          </cell>
          <cell r="D550" t="str">
            <v>单次膜拜奖励</v>
          </cell>
          <cell r="E550" t="str">
            <v>4|1|20000|1</v>
          </cell>
        </row>
        <row r="551">
          <cell r="A551">
            <v>26000</v>
          </cell>
          <cell r="B551">
            <v>1</v>
          </cell>
          <cell r="C551" t="str">
            <v>[]</v>
          </cell>
          <cell r="D551" t="str">
            <v>法宝抢夺奖励</v>
          </cell>
          <cell r="E551" t="str">
            <v>4|2|10|10,4|1|10000|10,1|16005|2|10,1|14107|10|10,3|26005|1|5,3|26004|1|11,1|17000|2|10,1|14102|1|10,1|14201|2|10,1|14003|1|10,1|14101|1|2,1|14108|1|2</v>
          </cell>
        </row>
        <row r="552">
          <cell r="A552">
            <v>26001</v>
          </cell>
          <cell r="B552">
            <v>1</v>
          </cell>
          <cell r="C552" t="str">
            <v>[]</v>
          </cell>
          <cell r="D552" t="str">
            <v>法宝抢夺结算翻牌奖励-金币</v>
          </cell>
          <cell r="E552" t="str">
            <v>4|1|10000|1</v>
          </cell>
        </row>
        <row r="553">
          <cell r="A553">
            <v>26002</v>
          </cell>
          <cell r="B553">
            <v>1</v>
          </cell>
          <cell r="C553" t="str">
            <v>[]</v>
          </cell>
          <cell r="D553" t="str">
            <v>法宝抢夺结算翻牌奖励-钻石</v>
          </cell>
          <cell r="E553" t="str">
            <v>4|2|10|50,4|2|20|30,4|2|50|20</v>
          </cell>
        </row>
        <row r="554">
          <cell r="A554">
            <v>26003</v>
          </cell>
          <cell r="B554">
            <v>1</v>
          </cell>
          <cell r="C554" t="str">
            <v>[]</v>
          </cell>
          <cell r="D554" t="str">
            <v>法宝抢夺结算翻牌奖励-伙伴经验药</v>
          </cell>
          <cell r="E554" t="str">
            <v>1|14003|1|30</v>
          </cell>
        </row>
        <row r="555">
          <cell r="A555">
            <v>26004</v>
          </cell>
          <cell r="B555">
            <v>1</v>
          </cell>
          <cell r="C555" t="str">
            <v>[]</v>
          </cell>
          <cell r="D555" t="str">
            <v>法宝抢夺结算翻牌奖励-经验法宝碎片</v>
          </cell>
          <cell r="E555" t="str">
            <v>3|26031|1|15,3|26030|1|30,3|26029|1|55</v>
          </cell>
        </row>
        <row r="556">
          <cell r="A556">
            <v>26005</v>
          </cell>
          <cell r="B556">
            <v>1</v>
          </cell>
          <cell r="C556" t="str">
            <v>[]</v>
          </cell>
          <cell r="D556" t="str">
            <v>法宝抢夺结算翻牌奖励-法宝碎片</v>
          </cell>
          <cell r="E556" t="str">
            <v>3|26028|1|15,3|26027|1|30,3|26026|1|55</v>
          </cell>
        </row>
        <row r="557">
          <cell r="A557">
            <v>26006</v>
          </cell>
          <cell r="B557">
            <v>1</v>
          </cell>
          <cell r="C557" t="str">
            <v>[]</v>
          </cell>
          <cell r="D557" t="str">
            <v>法宝抢夺结算翻牌奖励-进阶丹</v>
          </cell>
          <cell r="E557" t="str">
            <v>1|14107|1|1</v>
          </cell>
        </row>
        <row r="558">
          <cell r="A558">
            <v>26007</v>
          </cell>
          <cell r="B558">
            <v>1</v>
          </cell>
          <cell r="C558" t="str">
            <v>[]</v>
          </cell>
          <cell r="D558" t="str">
            <v>法宝抢夺结算翻牌奖励-法宝精炼石</v>
          </cell>
          <cell r="E558" t="str">
            <v>1|14201|1|1</v>
          </cell>
        </row>
        <row r="559">
          <cell r="A559">
            <v>26008</v>
          </cell>
          <cell r="B559">
            <v>1</v>
          </cell>
          <cell r="C559" t="str">
            <v>[]</v>
          </cell>
          <cell r="D559" t="str">
            <v>法宝抢夺结算翻牌奖励-技能卷轴</v>
          </cell>
          <cell r="E559" t="str">
            <v>1|14104|1|1</v>
          </cell>
        </row>
        <row r="560">
          <cell r="A560">
            <v>26009</v>
          </cell>
          <cell r="B560">
            <v>1</v>
          </cell>
          <cell r="C560" t="str">
            <v>[]</v>
          </cell>
          <cell r="D560" t="str">
            <v>法宝抢夺结算翻牌奖励-装备通用精炼石</v>
          </cell>
          <cell r="E560" t="str">
            <v>1|16005|1|1</v>
          </cell>
        </row>
        <row r="561">
          <cell r="A561">
            <v>26010</v>
          </cell>
          <cell r="B561">
            <v>1</v>
          </cell>
          <cell r="C561" t="str">
            <v>[]</v>
          </cell>
          <cell r="D561" t="str">
            <v>法宝抢夺结算翻牌奖励-高级经验药</v>
          </cell>
          <cell r="E561" t="str">
            <v>1|14003|1|1</v>
          </cell>
        </row>
        <row r="562">
          <cell r="A562">
            <v>26020</v>
          </cell>
          <cell r="B562">
            <v>1</v>
          </cell>
          <cell r="C562" t="str">
            <v>1|10033|1</v>
          </cell>
          <cell r="D562" t="str">
            <v>法宝抢夺结算翻牌奖励-武将碎片（紫色）</v>
          </cell>
          <cell r="E562" t="str">
            <v>1|10033|1|1,1|10034|1|1,1|10036|1|1,1|10038|1|1,1|10039|1|1,1|10040|1|1,1|10041|1|1</v>
          </cell>
        </row>
        <row r="563">
          <cell r="A563">
            <v>26021</v>
          </cell>
          <cell r="B563">
            <v>1</v>
          </cell>
          <cell r="C563" t="str">
            <v>1|10004|1</v>
          </cell>
          <cell r="D563" t="str">
            <v>法宝抢夺结算翻牌奖励-武将碎片（橙色）</v>
          </cell>
          <cell r="E563" t="str">
            <v>1|10004|1|1,1|10006|1|1,1|10010|1|1,1|10014|1|1,1|10015|1|1,1|10018|1|1,1|10022|1|1,1|10023|1|1,1|10024|1|1,1|10031|1|1,1|10032|1|1,1|10035|1|1,1|10037|1|1,1|10101|1|1,1|10104|1|1,1|10105|1|1,1|10106|1|1,1|10107|1|1</v>
          </cell>
        </row>
        <row r="564">
          <cell r="A564">
            <v>26022</v>
          </cell>
          <cell r="B564">
            <v>1</v>
          </cell>
          <cell r="C564" t="str">
            <v>1|10001|1</v>
          </cell>
          <cell r="D564" t="str">
            <v>法宝抢夺结算翻牌奖励-武将碎片（核心橙色）</v>
          </cell>
          <cell r="E564" t="str">
            <v>1|10001|1|1,1|10002|1|1,1|10003|1|1,1|10005|1|1,1|10011|1|1,1|10012|1|1,1|10013|1|1,1|10017|1|1,1|10019|1|1,1|10020|1|1,1|10021|1|1</v>
          </cell>
        </row>
        <row r="565">
          <cell r="A565">
            <v>26023</v>
          </cell>
          <cell r="B565">
            <v>1</v>
          </cell>
          <cell r="C565" t="str">
            <v>1|11001|1</v>
          </cell>
          <cell r="D565" t="str">
            <v>法宝抢夺结算翻牌奖励-装备碎片（蓝色）</v>
          </cell>
          <cell r="E565" t="str">
            <v>1|11001|1|1,1|11001|1|1,1|11003|1|1,1|11004|1|1,1|11005|1|1,1|11006|1|1,1|11007|1|1,1|11008|1|1,1|11009|1|1,1|11010|1|1,1|11011|1|1,1|11012|1|1</v>
          </cell>
        </row>
        <row r="566">
          <cell r="A566">
            <v>26024</v>
          </cell>
          <cell r="B566">
            <v>1</v>
          </cell>
          <cell r="C566" t="str">
            <v>1|11013|1</v>
          </cell>
          <cell r="D566" t="str">
            <v>法宝抢夺结算翻牌奖励-装备碎片（紫色）</v>
          </cell>
          <cell r="E566" t="str">
            <v>1|11013|1|1,1|11014|1|1,1|11015|1|1,1|11016|1|1,1|11017|1|1,1|11018|1|1,1|11019|1|1,1|11020|1|1,1|11021|1|1,1|11022|1|1,1|11023|1|1,1|11024|1|1</v>
          </cell>
        </row>
        <row r="567">
          <cell r="A567">
            <v>26025</v>
          </cell>
          <cell r="B567">
            <v>1</v>
          </cell>
          <cell r="C567" t="str">
            <v>1|11025|1</v>
          </cell>
          <cell r="D567" t="str">
            <v>法宝抢夺结算翻牌奖励-装备碎片（橙色）</v>
          </cell>
          <cell r="E567" t="str">
            <v>1|11025|1|1,1|11026|1|1,1|11027|1|1,1|11028|1|1,1|11029|1|1,1|11030|1|1,1|11031|1|1,1|11032|1|1,1|11033|1|1,1|11034|1|1,1|11035|1|1,1|11036|1|1</v>
          </cell>
        </row>
        <row r="568">
          <cell r="A568">
            <v>26026</v>
          </cell>
          <cell r="B568">
            <v>1</v>
          </cell>
          <cell r="C568" t="str">
            <v>1|12001|1</v>
          </cell>
          <cell r="D568" t="str">
            <v>法宝抢夺结算翻牌奖励-属性法宝碎片（蓝色）</v>
          </cell>
          <cell r="E568" t="str">
            <v>1|12001|1|1,1|12002|1|1,1|12003|1|1,1|12004|1|1,1|12005|1|1,1|12006|1|1</v>
          </cell>
        </row>
        <row r="569">
          <cell r="A569">
            <v>26027</v>
          </cell>
          <cell r="B569">
            <v>1</v>
          </cell>
          <cell r="C569" t="str">
            <v>1|12013|1</v>
          </cell>
          <cell r="D569" t="str">
            <v>法宝抢夺结算翻牌奖励-属性法宝碎片（紫色）</v>
          </cell>
          <cell r="E569" t="str">
            <v>1|12013|1|1,1|12014|1|1,1|12015|1|1,1|12016|1|1,1|12017|1|1,1|12018|1|1,1|12019|1|1,1|12020|1|1,1|12021|1|1,1|12022|1|1,1|12023|1|1,1|12024|1|1,1|12025|1|1,1|12026|1|1,1|12027|1|1,1|12028|1|1</v>
          </cell>
        </row>
        <row r="570">
          <cell r="A570">
            <v>26028</v>
          </cell>
          <cell r="B570">
            <v>1</v>
          </cell>
          <cell r="C570" t="str">
            <v>1|12037|1</v>
          </cell>
          <cell r="D570" t="str">
            <v>法宝抢夺结算翻牌奖励-属性法宝碎片（橙色）</v>
          </cell>
          <cell r="E570" t="str">
            <v>1|12037|1|1,1|12038|1|1,1|12039|1|1,1|12040|1|1,1|12041|1|1,1|12042|1|1,1|12043|1|1,1|12044|1|1,1|12045|1|1,1|12046|1|1,1|12047|1|1,1|12048|1|1,1|12049|1|1,1|12050|1|1,1|12051|1|1,1|12052|1|1,1|12053|1|1,1|12054|1|1,1|12055|1|1,1|12056|1|1</v>
          </cell>
        </row>
        <row r="571">
          <cell r="A571">
            <v>26029</v>
          </cell>
          <cell r="B571">
            <v>1</v>
          </cell>
          <cell r="C571" t="str">
            <v>1|12067|1</v>
          </cell>
          <cell r="D571" t="str">
            <v>法宝抢夺结算翻牌奖励-经验法宝碎片（蓝色）</v>
          </cell>
          <cell r="E571" t="str">
            <v>1|12067|1|1,1|12068|1|1,1|12069|1|1</v>
          </cell>
        </row>
        <row r="572">
          <cell r="A572">
            <v>26030</v>
          </cell>
          <cell r="B572">
            <v>1</v>
          </cell>
          <cell r="C572" t="str">
            <v>1|12070|1</v>
          </cell>
          <cell r="D572" t="str">
            <v>法宝抢夺结算翻牌奖励-经验法宝碎片（紫色）</v>
          </cell>
          <cell r="E572" t="str">
            <v>1|12070|1|1,1|12071|1|1,1|12072|1|1,1|12073|1|1</v>
          </cell>
        </row>
        <row r="573">
          <cell r="A573">
            <v>26031</v>
          </cell>
          <cell r="B573">
            <v>1</v>
          </cell>
          <cell r="C573" t="str">
            <v>1|12074|1</v>
          </cell>
          <cell r="D573" t="str">
            <v>法宝抢夺结算翻牌奖励-经验法宝碎片（橙色）</v>
          </cell>
          <cell r="E573" t="str">
            <v>1|12074|1|1,1|12075|1|1,1|12076|1|1,1|12077|1|1,1|12078|1|1</v>
          </cell>
        </row>
        <row r="574">
          <cell r="A574">
            <v>26101</v>
          </cell>
          <cell r="B574">
            <v>1</v>
          </cell>
          <cell r="C574" t="str">
            <v>[]</v>
          </cell>
          <cell r="D574" t="str">
            <v>游历四方-花果山</v>
          </cell>
          <cell r="E574" t="str">
            <v>4|1|3000|2064,4|4|5|960,1|14002|1|960,1|14107|20|480,1|14101|1|48,1|14108|1|48,3|26111|1|240</v>
          </cell>
        </row>
        <row r="575">
          <cell r="A575">
            <v>26102</v>
          </cell>
          <cell r="B575">
            <v>1</v>
          </cell>
          <cell r="C575" t="str">
            <v>[]</v>
          </cell>
          <cell r="D575" t="str">
            <v>游历四方-东海龙宫</v>
          </cell>
          <cell r="E575" t="str">
            <v>4|1|3000|2064,4|3|50|960,1|16005|2|960,1|14315|1|480,1|14101|1|48,1|14108|1|48,3|26112|1|240</v>
          </cell>
        </row>
        <row r="576">
          <cell r="A576">
            <v>26103</v>
          </cell>
          <cell r="B576">
            <v>1</v>
          </cell>
          <cell r="C576" t="str">
            <v>[]</v>
          </cell>
          <cell r="D576" t="str">
            <v>游历四方-阴曹地府</v>
          </cell>
          <cell r="E576" t="str">
            <v>4|1|3000|2064,4|29|50|960,1|17000|5|960,1|17001|2|480,1|14101|1|48,1|14108|1|48,3|26113|1|240</v>
          </cell>
        </row>
        <row r="577">
          <cell r="A577">
            <v>26104</v>
          </cell>
          <cell r="B577">
            <v>1</v>
          </cell>
          <cell r="C577" t="str">
            <v>[]</v>
          </cell>
          <cell r="D577" t="str">
            <v>游历四方-天宫</v>
          </cell>
          <cell r="E577" t="str">
            <v>4|1|3000|2064,4|39|50|960,6|4501|1|960,1|14201|4|480,1|14101|1|48,1|14108|1|48,3|26114|1|240</v>
          </cell>
        </row>
        <row r="578">
          <cell r="A578">
            <v>26105</v>
          </cell>
          <cell r="B578">
            <v>1</v>
          </cell>
          <cell r="C578" t="str">
            <v>[]</v>
          </cell>
          <cell r="D578" t="str">
            <v>游历四方-火焰山</v>
          </cell>
          <cell r="E578" t="str">
            <v>4|1|3000|2064,4|4|5|960,1|17000|5|960,1|17001|2|480,1|14101|1|48,1|14108|1|48,3|26115|1|240</v>
          </cell>
        </row>
        <row r="579">
          <cell r="A579">
            <v>26111</v>
          </cell>
          <cell r="B579">
            <v>1</v>
          </cell>
          <cell r="C579" t="str">
            <v>[]</v>
          </cell>
          <cell r="D579" t="str">
            <v>八部天龙碎片，哪吒碎片，牛魔王碎片</v>
          </cell>
          <cell r="E579" t="str">
            <v>1|10114|1|1,1|10002|1|1,1|10012|1|1</v>
          </cell>
        </row>
        <row r="580">
          <cell r="A580">
            <v>26112</v>
          </cell>
          <cell r="B580">
            <v>1</v>
          </cell>
          <cell r="C580" t="str">
            <v>[]</v>
          </cell>
          <cell r="D580" t="str">
            <v>金蝉子碎片，托塔天王碎片，猪八戒碎片</v>
          </cell>
          <cell r="E580" t="str">
            <v>1|10112|1|1,1|10008|1|1,1|10020|1|1</v>
          </cell>
        </row>
        <row r="581">
          <cell r="A581">
            <v>26113</v>
          </cell>
          <cell r="B581">
            <v>1</v>
          </cell>
          <cell r="C581" t="str">
            <v>[]</v>
          </cell>
          <cell r="D581" t="str">
            <v>观世音碎片，嫦娥碎片，羊力大仙碎片</v>
          </cell>
          <cell r="E581" t="str">
            <v>1|10115|1|1,1|10003|1|1,1|10015|1|1</v>
          </cell>
        </row>
        <row r="582">
          <cell r="A582">
            <v>26114</v>
          </cell>
          <cell r="B582">
            <v>1</v>
          </cell>
          <cell r="C582" t="str">
            <v>[]</v>
          </cell>
          <cell r="D582" t="str">
            <v>弥勒佛碎片，黑无常碎片，虎力大仙碎片</v>
          </cell>
          <cell r="E582" t="str">
            <v>1|10027|1|1,1|10119|1|1,1|10013|1|1</v>
          </cell>
        </row>
        <row r="583">
          <cell r="A583">
            <v>26115</v>
          </cell>
          <cell r="B583">
            <v>1</v>
          </cell>
          <cell r="C583" t="str">
            <v>[]</v>
          </cell>
          <cell r="D583" t="str">
            <v>龙帝碎片，白无常碎片，铁扇公主碎片</v>
          </cell>
          <cell r="E583" t="str">
            <v>1|10113|1|1,1|10118|1|1,1|10011|1|1</v>
          </cell>
        </row>
        <row r="584">
          <cell r="A584">
            <v>26200</v>
          </cell>
          <cell r="B584">
            <v>1</v>
          </cell>
          <cell r="C584" t="str">
            <v>4|1|100000,4|2|100,4|39|400,1|14107|200,6|4502|2,1|14201|100,1|16005|100,1|17000|100,1|17001|50,1|14004|5</v>
          </cell>
          <cell r="D584" t="str">
            <v>斩妖夺宝最后宝箱奖励</v>
          </cell>
          <cell r="E584" t="str">
            <v>4|1|100000|1,4|2|100|1,4|39|400|1,1|14107|200|1,6|4502|2|1,1|14201|100|1,1|16005|100|1,1|17000|100|1,1|17001|50|1,1|14004|5|1</v>
          </cell>
        </row>
        <row r="585">
          <cell r="A585">
            <v>26201</v>
          </cell>
          <cell r="B585">
            <v>1</v>
          </cell>
          <cell r="C585" t="str">
            <v>[]</v>
          </cell>
          <cell r="D585" t="str">
            <v>斩妖夺宝随机宝箱奖励</v>
          </cell>
          <cell r="E585" t="str">
            <v>4|39|500|1,4|39|1000|1,4|39|1500|1,4|39|2000|1,4|39|2500|1</v>
          </cell>
        </row>
        <row r="586">
          <cell r="A586">
            <v>30001</v>
          </cell>
          <cell r="B586">
            <v>0</v>
          </cell>
          <cell r="C586" t="str">
            <v>4|2|50,4|1|20000</v>
          </cell>
          <cell r="D586" t="str">
            <v>购买5个精力丹</v>
          </cell>
          <cell r="E586" t="str">
            <v>4|2|50|1,4|1|20000|1</v>
          </cell>
        </row>
        <row r="587">
          <cell r="A587">
            <v>30002</v>
          </cell>
          <cell r="B587">
            <v>0</v>
          </cell>
          <cell r="C587" t="str">
            <v>4|2|50,4|1|20000</v>
          </cell>
          <cell r="D587" t="str">
            <v>购买5个体力丹</v>
          </cell>
          <cell r="E587" t="str">
            <v>4|2|50|1,4|1|20000|1</v>
          </cell>
        </row>
        <row r="588">
          <cell r="A588">
            <v>30003</v>
          </cell>
          <cell r="B588">
            <v>0</v>
          </cell>
          <cell r="C588" t="str">
            <v>1|14101|2,4|1|20000</v>
          </cell>
          <cell r="D588" t="str">
            <v>挑战10次主线副本</v>
          </cell>
          <cell r="E588" t="str">
            <v>1|14101|2|1,4|1|20000|1</v>
          </cell>
        </row>
        <row r="589">
          <cell r="A589">
            <v>30004</v>
          </cell>
          <cell r="B589">
            <v>0</v>
          </cell>
          <cell r="C589" t="str">
            <v>4|5|150,4|1|20000</v>
          </cell>
          <cell r="D589" t="str">
            <v>挑战5次灵台斗法</v>
          </cell>
          <cell r="E589" t="str">
            <v>4|5|150|1,4|1|20000|1</v>
          </cell>
        </row>
        <row r="590">
          <cell r="A590">
            <v>30005</v>
          </cell>
          <cell r="B590">
            <v>0</v>
          </cell>
          <cell r="C590" t="str">
            <v>1|14108|2,4|1|20000</v>
          </cell>
          <cell r="D590" t="str">
            <v>进行3次法宝合成</v>
          </cell>
          <cell r="E590" t="str">
            <v>1|14108|2|1,4|1|20000|1</v>
          </cell>
        </row>
        <row r="591">
          <cell r="A591">
            <v>30006</v>
          </cell>
          <cell r="B591">
            <v>0</v>
          </cell>
          <cell r="C591" t="str">
            <v>1|14315|1,4|1|20000</v>
          </cell>
          <cell r="D591" t="str">
            <v>挑战3次大雁塔</v>
          </cell>
          <cell r="E591" t="str">
            <v>1|14315|1|1,4|1|20000|1</v>
          </cell>
        </row>
        <row r="592">
          <cell r="A592">
            <v>30007</v>
          </cell>
          <cell r="B592">
            <v>0</v>
          </cell>
          <cell r="C592" t="str">
            <v>4|1|40000</v>
          </cell>
          <cell r="D592" t="str">
            <v>装备强化5次</v>
          </cell>
          <cell r="E592" t="str">
            <v>4|1|40000|1</v>
          </cell>
        </row>
        <row r="593">
          <cell r="A593">
            <v>30008</v>
          </cell>
          <cell r="B593">
            <v>0</v>
          </cell>
          <cell r="C593" t="str">
            <v>4|1|40000</v>
          </cell>
          <cell r="D593" t="str">
            <v>法宝强化3次</v>
          </cell>
          <cell r="E593" t="str">
            <v>4|1|40000|1</v>
          </cell>
        </row>
        <row r="594">
          <cell r="A594">
            <v>30009</v>
          </cell>
          <cell r="B594">
            <v>0</v>
          </cell>
          <cell r="C594" t="str">
            <v>1|14005|1,4|1|20000</v>
          </cell>
          <cell r="D594" t="str">
            <v>进行3次普通聚仙</v>
          </cell>
          <cell r="E594" t="str">
            <v>1|14005|1|1,4|1|20000|1</v>
          </cell>
        </row>
        <row r="595">
          <cell r="A595">
            <v>30010</v>
          </cell>
          <cell r="B595">
            <v>0</v>
          </cell>
          <cell r="C595" t="str">
            <v>4|4|150,4|1|20000</v>
          </cell>
          <cell r="D595" t="str">
            <v>进行1次高级聚仙</v>
          </cell>
          <cell r="E595" t="str">
            <v>4|4|150|1,4|1|20000|1</v>
          </cell>
        </row>
        <row r="596">
          <cell r="A596">
            <v>30011</v>
          </cell>
          <cell r="B596">
            <v>0</v>
          </cell>
          <cell r="C596" t="str">
            <v>1|14003|2,4|1|20000</v>
          </cell>
          <cell r="D596" t="str">
            <v>武将升级1次</v>
          </cell>
          <cell r="E596" t="str">
            <v>1|14003|2|1,4|1|20000|1</v>
          </cell>
        </row>
        <row r="597">
          <cell r="A597">
            <v>30012</v>
          </cell>
          <cell r="B597">
            <v>0</v>
          </cell>
          <cell r="C597" t="str">
            <v>1|14108|2,4|1|20000</v>
          </cell>
          <cell r="D597" t="str">
            <v>法宝抢夺5次</v>
          </cell>
          <cell r="E597" t="str">
            <v>1|14108|2|1,4|1|20000|1</v>
          </cell>
        </row>
        <row r="598">
          <cell r="A598">
            <v>30013</v>
          </cell>
          <cell r="B598">
            <v>0</v>
          </cell>
          <cell r="C598" t="str">
            <v>1|14107|20</v>
          </cell>
          <cell r="D598" t="str">
            <v>法宝抢夺5次</v>
          </cell>
          <cell r="E598" t="str">
            <v>1|14107|20|1</v>
          </cell>
        </row>
        <row r="599">
          <cell r="A599">
            <v>30014</v>
          </cell>
          <cell r="B599">
            <v>0</v>
          </cell>
          <cell r="C599" t="str">
            <v>4|10|30</v>
          </cell>
          <cell r="D599" t="str">
            <v>赠送好友体力</v>
          </cell>
          <cell r="E599" t="str">
            <v>4|10|30|1</v>
          </cell>
        </row>
        <row r="600">
          <cell r="A600">
            <v>30015</v>
          </cell>
          <cell r="B600">
            <v>0</v>
          </cell>
          <cell r="C600" t="str">
            <v>1|14108|1</v>
          </cell>
          <cell r="D600" t="str">
            <v>挑战战神山</v>
          </cell>
          <cell r="E600" t="str">
            <v>1|14108|1|1</v>
          </cell>
        </row>
        <row r="601">
          <cell r="A601">
            <v>30016</v>
          </cell>
          <cell r="B601">
            <v>0</v>
          </cell>
          <cell r="C601" t="str">
            <v>4|4|200</v>
          </cell>
          <cell r="D601" t="str">
            <v>挑战皇榜悬赏5次</v>
          </cell>
          <cell r="E601" t="str">
            <v>4|4|200|1</v>
          </cell>
        </row>
        <row r="602">
          <cell r="A602">
            <v>30017</v>
          </cell>
          <cell r="B602">
            <v>0</v>
          </cell>
          <cell r="C602" t="str">
            <v>4|11|500</v>
          </cell>
          <cell r="D602" t="str">
            <v>挑战皇榜悬赏10次</v>
          </cell>
          <cell r="E602" t="str">
            <v>4|11|500|1</v>
          </cell>
        </row>
        <row r="603">
          <cell r="A603">
            <v>30018</v>
          </cell>
          <cell r="B603">
            <v>0</v>
          </cell>
          <cell r="C603" t="str">
            <v>4|2|120</v>
          </cell>
          <cell r="D603" t="str">
            <v>月度福利</v>
          </cell>
          <cell r="E603" t="str">
            <v>4|2|120|1</v>
          </cell>
        </row>
        <row r="604">
          <cell r="A604">
            <v>30019</v>
          </cell>
          <cell r="B604">
            <v>0</v>
          </cell>
          <cell r="C604" t="str">
            <v>4|2|120</v>
          </cell>
          <cell r="D604" t="str">
            <v>至尊福利</v>
          </cell>
          <cell r="E604" t="str">
            <v>4|2|120|1</v>
          </cell>
        </row>
        <row r="605">
          <cell r="A605">
            <v>30020</v>
          </cell>
          <cell r="B605">
            <v>0</v>
          </cell>
          <cell r="C605" t="str">
            <v>6|3006|1</v>
          </cell>
          <cell r="D605" t="str">
            <v>首冲法宝</v>
          </cell>
          <cell r="E605" t="str">
            <v>6|3006|1|1</v>
          </cell>
        </row>
        <row r="606">
          <cell r="A606">
            <v>30021</v>
          </cell>
          <cell r="B606">
            <v>0</v>
          </cell>
          <cell r="C606" t="str">
            <v>2|2062|1</v>
          </cell>
          <cell r="D606" t="str">
            <v>首冲装备</v>
          </cell>
          <cell r="E606" t="str">
            <v>2|2062|1|1</v>
          </cell>
        </row>
        <row r="607">
          <cell r="A607">
            <v>30022</v>
          </cell>
          <cell r="B607">
            <v>0</v>
          </cell>
          <cell r="C607" t="str">
            <v>5|1110|1</v>
          </cell>
          <cell r="D607" t="str">
            <v>首冲英雄</v>
          </cell>
          <cell r="E607" t="str">
            <v>5|1110|1|1</v>
          </cell>
        </row>
        <row r="608">
          <cell r="A608">
            <v>30051</v>
          </cell>
          <cell r="B608">
            <v>0</v>
          </cell>
          <cell r="C608" t="str">
            <v>4|2|50,4|1|20000</v>
          </cell>
          <cell r="D608" t="str">
            <v>购买5个精力丹</v>
          </cell>
          <cell r="E608" t="str">
            <v>4|2|50|1,4|1|20000|1</v>
          </cell>
        </row>
        <row r="609">
          <cell r="A609">
            <v>30052</v>
          </cell>
          <cell r="B609">
            <v>0</v>
          </cell>
          <cell r="C609" t="str">
            <v>4|2|50,4|1|20000</v>
          </cell>
          <cell r="D609" t="str">
            <v>购买5个体力丹</v>
          </cell>
          <cell r="E609" t="str">
            <v>4|2|50|1,4|1|20000|1</v>
          </cell>
        </row>
        <row r="610">
          <cell r="A610">
            <v>30053</v>
          </cell>
          <cell r="B610">
            <v>0</v>
          </cell>
          <cell r="C610" t="str">
            <v>1|14101|2,4|1|20000</v>
          </cell>
          <cell r="D610" t="str">
            <v>挑战10次主线副本</v>
          </cell>
          <cell r="E610" t="str">
            <v>1|14101|2|1,4|1|20000|1</v>
          </cell>
        </row>
        <row r="611">
          <cell r="A611">
            <v>30054</v>
          </cell>
          <cell r="B611">
            <v>0</v>
          </cell>
          <cell r="C611" t="str">
            <v>4|5|150,4|1|20000</v>
          </cell>
          <cell r="D611" t="str">
            <v>挑战5次灵台斗法</v>
          </cell>
          <cell r="E611" t="str">
            <v>4|5|150|1,4|1|20000|1</v>
          </cell>
        </row>
        <row r="612">
          <cell r="A612">
            <v>30055</v>
          </cell>
          <cell r="B612">
            <v>0</v>
          </cell>
          <cell r="C612" t="str">
            <v>1|14108|2,4|1|20000</v>
          </cell>
          <cell r="D612" t="str">
            <v>进行3次法宝合成</v>
          </cell>
          <cell r="E612" t="str">
            <v>1|14108|2|1,4|1|20000|1</v>
          </cell>
        </row>
        <row r="613">
          <cell r="A613">
            <v>30056</v>
          </cell>
          <cell r="B613">
            <v>0</v>
          </cell>
          <cell r="C613" t="str">
            <v>1|14315|1,4|1|20000</v>
          </cell>
          <cell r="D613" t="str">
            <v>挑战3次大雁塔</v>
          </cell>
          <cell r="E613" t="str">
            <v>1|14315|1|1,4|1|20000|1</v>
          </cell>
        </row>
        <row r="614">
          <cell r="A614">
            <v>30057</v>
          </cell>
          <cell r="B614">
            <v>0</v>
          </cell>
          <cell r="C614" t="str">
            <v>4|1|40000</v>
          </cell>
          <cell r="D614" t="str">
            <v>装备强化5次</v>
          </cell>
          <cell r="E614" t="str">
            <v>4|1|40000|1</v>
          </cell>
        </row>
        <row r="615">
          <cell r="A615">
            <v>30058</v>
          </cell>
          <cell r="B615">
            <v>0</v>
          </cell>
          <cell r="C615" t="str">
            <v>4|1|40000</v>
          </cell>
          <cell r="D615" t="str">
            <v>法宝强化3次</v>
          </cell>
          <cell r="E615" t="str">
            <v>4|1|40000|1</v>
          </cell>
        </row>
        <row r="616">
          <cell r="A616">
            <v>30059</v>
          </cell>
          <cell r="B616">
            <v>0</v>
          </cell>
          <cell r="C616" t="str">
            <v>1|14005|1,4|1|20000</v>
          </cell>
          <cell r="D616" t="str">
            <v>进行3次普通聚仙</v>
          </cell>
          <cell r="E616" t="str">
            <v>1|14005|1|1,4|1|20000|1</v>
          </cell>
        </row>
        <row r="617">
          <cell r="A617">
            <v>30060</v>
          </cell>
          <cell r="B617">
            <v>0</v>
          </cell>
          <cell r="C617" t="str">
            <v>4|4|150,4|1|20000</v>
          </cell>
          <cell r="D617" t="str">
            <v>进行1次高级聚仙</v>
          </cell>
          <cell r="E617" t="str">
            <v>4|4|150|1,4|1|20000|1</v>
          </cell>
        </row>
        <row r="618">
          <cell r="A618">
            <v>30061</v>
          </cell>
          <cell r="B618">
            <v>0</v>
          </cell>
          <cell r="C618" t="str">
            <v>1|14003|2,4|1|20000</v>
          </cell>
          <cell r="D618" t="str">
            <v>武将升级1次</v>
          </cell>
          <cell r="E618" t="str">
            <v>1|14003|2|1,4|1|20000|1</v>
          </cell>
        </row>
        <row r="619">
          <cell r="A619">
            <v>30062</v>
          </cell>
          <cell r="B619">
            <v>0</v>
          </cell>
          <cell r="C619" t="str">
            <v>1|14108|2,4|1|20000</v>
          </cell>
          <cell r="D619" t="str">
            <v>法宝抢夺5次</v>
          </cell>
          <cell r="E619" t="str">
            <v>1|14108|2|1,4|1|20000|1</v>
          </cell>
        </row>
        <row r="620">
          <cell r="A620">
            <v>30101</v>
          </cell>
          <cell r="B620">
            <v>0</v>
          </cell>
          <cell r="C620" t="str">
            <v>4|2|50,4|1|20000</v>
          </cell>
          <cell r="D620" t="str">
            <v>购买5个精力丹</v>
          </cell>
          <cell r="E620" t="str">
            <v>4|2|50|1,4|1|20000|1</v>
          </cell>
        </row>
        <row r="621">
          <cell r="A621">
            <v>30102</v>
          </cell>
          <cell r="B621">
            <v>0</v>
          </cell>
          <cell r="C621" t="str">
            <v>4|2|50,4|1|20000</v>
          </cell>
          <cell r="D621" t="str">
            <v>购买5个体力丹</v>
          </cell>
          <cell r="E621" t="str">
            <v>4|2|50|1,4|1|20000|1</v>
          </cell>
        </row>
        <row r="622">
          <cell r="A622">
            <v>30103</v>
          </cell>
          <cell r="B622">
            <v>0</v>
          </cell>
          <cell r="C622" t="str">
            <v>1|14101|2,4|1|20000</v>
          </cell>
          <cell r="D622" t="str">
            <v>挑战10次主线副本</v>
          </cell>
          <cell r="E622" t="str">
            <v>1|14101|2|1,4|1|20000|1</v>
          </cell>
        </row>
        <row r="623">
          <cell r="A623">
            <v>30104</v>
          </cell>
          <cell r="B623">
            <v>0</v>
          </cell>
          <cell r="C623" t="str">
            <v>4|5|150,4|1|20000</v>
          </cell>
          <cell r="D623" t="str">
            <v>挑战5次灵台斗法</v>
          </cell>
          <cell r="E623" t="str">
            <v>4|5|150|1,4|1|20000|1</v>
          </cell>
        </row>
        <row r="624">
          <cell r="A624">
            <v>30105</v>
          </cell>
          <cell r="B624">
            <v>0</v>
          </cell>
          <cell r="C624" t="str">
            <v>1|14108|2,4|1|20000</v>
          </cell>
          <cell r="D624" t="str">
            <v>进行3次法宝合成</v>
          </cell>
          <cell r="E624" t="str">
            <v>1|14108|2|1,4|1|20000|1</v>
          </cell>
        </row>
        <row r="625">
          <cell r="A625">
            <v>30106</v>
          </cell>
          <cell r="B625">
            <v>0</v>
          </cell>
          <cell r="C625" t="str">
            <v>1|14315|1,4|1|20000</v>
          </cell>
          <cell r="D625" t="str">
            <v>挑战3次大雁塔</v>
          </cell>
          <cell r="E625" t="str">
            <v>1|14315|1|1,4|1|20000|1</v>
          </cell>
        </row>
        <row r="626">
          <cell r="A626">
            <v>30107</v>
          </cell>
          <cell r="B626">
            <v>0</v>
          </cell>
          <cell r="C626" t="str">
            <v>4|1|40000</v>
          </cell>
          <cell r="D626" t="str">
            <v>装备强化5次</v>
          </cell>
          <cell r="E626" t="str">
            <v>4|1|40000|1</v>
          </cell>
        </row>
        <row r="627">
          <cell r="A627">
            <v>30108</v>
          </cell>
          <cell r="B627">
            <v>0</v>
          </cell>
          <cell r="C627" t="str">
            <v>4|1|40000</v>
          </cell>
          <cell r="D627" t="str">
            <v>法宝强化3次</v>
          </cell>
          <cell r="E627" t="str">
            <v>4|1|40000|1</v>
          </cell>
        </row>
        <row r="628">
          <cell r="A628">
            <v>30109</v>
          </cell>
          <cell r="B628">
            <v>0</v>
          </cell>
          <cell r="C628" t="str">
            <v>1|14005|1,4|1|20000</v>
          </cell>
          <cell r="D628" t="str">
            <v>进行3次普通聚仙</v>
          </cell>
          <cell r="E628" t="str">
            <v>1|14005|1|1,4|1|20000|1</v>
          </cell>
        </row>
        <row r="629">
          <cell r="A629">
            <v>30110</v>
          </cell>
          <cell r="B629">
            <v>0</v>
          </cell>
          <cell r="C629" t="str">
            <v>4|4|150,4|1|20000</v>
          </cell>
          <cell r="D629" t="str">
            <v>进行1次高级聚仙</v>
          </cell>
          <cell r="E629" t="str">
            <v>4|4|150|1,4|1|20000|1</v>
          </cell>
        </row>
        <row r="630">
          <cell r="A630">
            <v>30111</v>
          </cell>
          <cell r="B630">
            <v>0</v>
          </cell>
          <cell r="C630" t="str">
            <v>1|14003|2,4|1|20000</v>
          </cell>
          <cell r="D630" t="str">
            <v>武将升级1次</v>
          </cell>
          <cell r="E630" t="str">
            <v>1|14003|2|1,4|1|20000|1</v>
          </cell>
        </row>
        <row r="631">
          <cell r="A631">
            <v>30112</v>
          </cell>
          <cell r="B631">
            <v>0</v>
          </cell>
          <cell r="C631" t="str">
            <v>1|14108|2,4|1|20000</v>
          </cell>
          <cell r="D631" t="str">
            <v>法宝抢夺5次</v>
          </cell>
          <cell r="E631" t="str">
            <v>1|14108|2|1,4|1|20000|1</v>
          </cell>
        </row>
        <row r="632">
          <cell r="A632">
            <v>30151</v>
          </cell>
          <cell r="B632">
            <v>0</v>
          </cell>
          <cell r="C632" t="str">
            <v>4|2|50,4|1|20000</v>
          </cell>
          <cell r="D632" t="str">
            <v>购买5个精力丹</v>
          </cell>
          <cell r="E632" t="str">
            <v>4|2|50|1,4|1|20000|1</v>
          </cell>
        </row>
        <row r="633">
          <cell r="A633">
            <v>30152</v>
          </cell>
          <cell r="B633">
            <v>0</v>
          </cell>
          <cell r="C633" t="str">
            <v>4|2|50,4|1|20000</v>
          </cell>
          <cell r="D633" t="str">
            <v>购买5个体力丹</v>
          </cell>
          <cell r="E633" t="str">
            <v>4|2|50|1,4|1|20000|1</v>
          </cell>
        </row>
        <row r="634">
          <cell r="A634">
            <v>30153</v>
          </cell>
          <cell r="B634">
            <v>0</v>
          </cell>
          <cell r="C634" t="str">
            <v>1|14101|2,4|1|20000</v>
          </cell>
          <cell r="D634" t="str">
            <v>挑战10次主线副本</v>
          </cell>
          <cell r="E634" t="str">
            <v>1|14101|2|1,4|1|20000|1</v>
          </cell>
        </row>
        <row r="635">
          <cell r="A635">
            <v>30154</v>
          </cell>
          <cell r="B635">
            <v>0</v>
          </cell>
          <cell r="C635" t="str">
            <v>4|5|150,4|1|20000</v>
          </cell>
          <cell r="D635" t="str">
            <v>挑战5次灵台斗法</v>
          </cell>
          <cell r="E635" t="str">
            <v>4|5|150|1,4|1|20000|1</v>
          </cell>
        </row>
        <row r="636">
          <cell r="A636">
            <v>30155</v>
          </cell>
          <cell r="B636">
            <v>0</v>
          </cell>
          <cell r="C636" t="str">
            <v>1|14108|2,4|1|20000</v>
          </cell>
          <cell r="D636" t="str">
            <v>进行3次法宝合成</v>
          </cell>
          <cell r="E636" t="str">
            <v>1|14108|2|1,4|1|20000|1</v>
          </cell>
        </row>
        <row r="637">
          <cell r="A637">
            <v>30156</v>
          </cell>
          <cell r="B637">
            <v>0</v>
          </cell>
          <cell r="C637" t="str">
            <v>1|14315|1,4|1|20000</v>
          </cell>
          <cell r="D637" t="str">
            <v>挑战3次大雁塔</v>
          </cell>
          <cell r="E637" t="str">
            <v>1|14315|1|1,4|1|20000|1</v>
          </cell>
        </row>
        <row r="638">
          <cell r="A638">
            <v>30157</v>
          </cell>
          <cell r="B638">
            <v>0</v>
          </cell>
          <cell r="C638" t="str">
            <v>4|1|40000</v>
          </cell>
          <cell r="D638" t="str">
            <v>装备强化5次</v>
          </cell>
          <cell r="E638" t="str">
            <v>4|1|40000|1</v>
          </cell>
        </row>
        <row r="639">
          <cell r="A639">
            <v>30158</v>
          </cell>
          <cell r="B639">
            <v>0</v>
          </cell>
          <cell r="C639" t="str">
            <v>4|1|40000</v>
          </cell>
          <cell r="D639" t="str">
            <v>法宝强化3次</v>
          </cell>
          <cell r="E639" t="str">
            <v>4|1|40000|1</v>
          </cell>
        </row>
        <row r="640">
          <cell r="A640">
            <v>30159</v>
          </cell>
          <cell r="B640">
            <v>0</v>
          </cell>
          <cell r="C640" t="str">
            <v>1|14005|1,4|1|20000</v>
          </cell>
          <cell r="D640" t="str">
            <v>进行3次普通聚仙</v>
          </cell>
          <cell r="E640" t="str">
            <v>1|14005|1|1,4|1|20000|1</v>
          </cell>
        </row>
        <row r="641">
          <cell r="A641">
            <v>30160</v>
          </cell>
          <cell r="B641">
            <v>0</v>
          </cell>
          <cell r="C641" t="str">
            <v>4|4|150,4|1|20000</v>
          </cell>
          <cell r="D641" t="str">
            <v>进行1次高级聚仙</v>
          </cell>
          <cell r="E641" t="str">
            <v>4|4|150|1,4|1|20000|1</v>
          </cell>
        </row>
        <row r="642">
          <cell r="A642">
            <v>30161</v>
          </cell>
          <cell r="B642">
            <v>0</v>
          </cell>
          <cell r="C642" t="str">
            <v>1|14003|2,4|1|20000</v>
          </cell>
          <cell r="D642" t="str">
            <v>武将升级1次</v>
          </cell>
          <cell r="E642" t="str">
            <v>1|14003|2|1,4|1|20000|1</v>
          </cell>
        </row>
        <row r="643">
          <cell r="A643">
            <v>30162</v>
          </cell>
          <cell r="B643">
            <v>0</v>
          </cell>
          <cell r="C643" t="str">
            <v>1|14108|2,4|1|20000</v>
          </cell>
          <cell r="D643" t="str">
            <v>法宝抢夺5次</v>
          </cell>
          <cell r="E643" t="str">
            <v>1|14108|2|1,4|1|20000|1</v>
          </cell>
        </row>
        <row r="644">
          <cell r="A644">
            <v>30201</v>
          </cell>
          <cell r="B644">
            <v>0</v>
          </cell>
          <cell r="C644" t="str">
            <v>4|2|50,4|1|20000</v>
          </cell>
          <cell r="D644" t="str">
            <v>购买5个精力丹</v>
          </cell>
          <cell r="E644" t="str">
            <v>4|2|50|1,4|1|20000|1</v>
          </cell>
        </row>
        <row r="645">
          <cell r="A645">
            <v>30202</v>
          </cell>
          <cell r="B645">
            <v>0</v>
          </cell>
          <cell r="C645" t="str">
            <v>4|2|50,4|1|20000</v>
          </cell>
          <cell r="D645" t="str">
            <v>购买5个体力丹</v>
          </cell>
          <cell r="E645" t="str">
            <v>4|2|50|1,4|1|20000|1</v>
          </cell>
        </row>
        <row r="646">
          <cell r="A646">
            <v>30203</v>
          </cell>
          <cell r="B646">
            <v>0</v>
          </cell>
          <cell r="C646" t="str">
            <v>1|14101|2,4|1|20000</v>
          </cell>
          <cell r="D646" t="str">
            <v>挑战10次主线副本</v>
          </cell>
          <cell r="E646" t="str">
            <v>1|14101|2|1,4|1|20000|1</v>
          </cell>
        </row>
        <row r="647">
          <cell r="A647">
            <v>30204</v>
          </cell>
          <cell r="B647">
            <v>0</v>
          </cell>
          <cell r="C647" t="str">
            <v>4|5|150,4|1|20000</v>
          </cell>
          <cell r="D647" t="str">
            <v>挑战5次灵台斗法</v>
          </cell>
          <cell r="E647" t="str">
            <v>4|5|150|1,4|1|20000|1</v>
          </cell>
        </row>
        <row r="648">
          <cell r="A648">
            <v>30205</v>
          </cell>
          <cell r="B648">
            <v>0</v>
          </cell>
          <cell r="C648" t="str">
            <v>1|14108|2,4|1|20000</v>
          </cell>
          <cell r="D648" t="str">
            <v>进行3次法宝合成</v>
          </cell>
          <cell r="E648" t="str">
            <v>1|14108|2|1,4|1|20000|1</v>
          </cell>
        </row>
        <row r="649">
          <cell r="A649">
            <v>30206</v>
          </cell>
          <cell r="B649">
            <v>0</v>
          </cell>
          <cell r="C649" t="str">
            <v>1|14315|1,4|1|20000</v>
          </cell>
          <cell r="D649" t="str">
            <v>挑战3次大雁塔</v>
          </cell>
          <cell r="E649" t="str">
            <v>1|14315|1|1,4|1|20000|1</v>
          </cell>
        </row>
        <row r="650">
          <cell r="A650">
            <v>30207</v>
          </cell>
          <cell r="B650">
            <v>0</v>
          </cell>
          <cell r="C650" t="str">
            <v>4|1|40000</v>
          </cell>
          <cell r="D650" t="str">
            <v>装备强化5次</v>
          </cell>
          <cell r="E650" t="str">
            <v>4|1|40000|1</v>
          </cell>
        </row>
        <row r="651">
          <cell r="A651">
            <v>30208</v>
          </cell>
          <cell r="B651">
            <v>0</v>
          </cell>
          <cell r="C651" t="str">
            <v>4|1|40000</v>
          </cell>
          <cell r="D651" t="str">
            <v>法宝强化3次</v>
          </cell>
          <cell r="E651" t="str">
            <v>4|1|40000|1</v>
          </cell>
        </row>
        <row r="652">
          <cell r="A652">
            <v>30209</v>
          </cell>
          <cell r="B652">
            <v>0</v>
          </cell>
          <cell r="C652" t="str">
            <v>1|14005|1,4|1|20000</v>
          </cell>
          <cell r="D652" t="str">
            <v>进行3次普通聚仙</v>
          </cell>
          <cell r="E652" t="str">
            <v>1|14005|1|1,4|1|20000|1</v>
          </cell>
        </row>
        <row r="653">
          <cell r="A653">
            <v>30210</v>
          </cell>
          <cell r="B653">
            <v>0</v>
          </cell>
          <cell r="C653" t="str">
            <v>4|4|150,4|1|20000</v>
          </cell>
          <cell r="D653" t="str">
            <v>进行1次高级聚仙</v>
          </cell>
          <cell r="E653" t="str">
            <v>4|4|150|1,4|1|20000|1</v>
          </cell>
        </row>
        <row r="654">
          <cell r="A654">
            <v>30211</v>
          </cell>
          <cell r="B654">
            <v>0</v>
          </cell>
          <cell r="C654" t="str">
            <v>1|14003|2,4|1|20000</v>
          </cell>
          <cell r="D654" t="str">
            <v>武将升级1次</v>
          </cell>
          <cell r="E654" t="str">
            <v>1|14003|2|1,4|1|20000|1</v>
          </cell>
        </row>
        <row r="655">
          <cell r="A655">
            <v>30212</v>
          </cell>
          <cell r="B655">
            <v>0</v>
          </cell>
          <cell r="C655" t="str">
            <v>1|14108|2,4|1|20000</v>
          </cell>
          <cell r="D655" t="str">
            <v>法宝抢夺5次</v>
          </cell>
          <cell r="E655" t="str">
            <v>1|14108|2|1,4|1|20000|1</v>
          </cell>
        </row>
        <row r="656">
          <cell r="A656">
            <v>30251</v>
          </cell>
          <cell r="B656">
            <v>0</v>
          </cell>
          <cell r="C656" t="str">
            <v>4|2|50,4|1|20000</v>
          </cell>
          <cell r="D656" t="str">
            <v>购买5个精力丹</v>
          </cell>
          <cell r="E656" t="str">
            <v>4|2|50|1,4|1|20000|1</v>
          </cell>
        </row>
        <row r="657">
          <cell r="A657">
            <v>30252</v>
          </cell>
          <cell r="B657">
            <v>0</v>
          </cell>
          <cell r="C657" t="str">
            <v>4|2|50,4|1|20000</v>
          </cell>
          <cell r="D657" t="str">
            <v>购买5个体力丹</v>
          </cell>
          <cell r="E657" t="str">
            <v>4|2|50|1,4|1|20000|1</v>
          </cell>
        </row>
        <row r="658">
          <cell r="A658">
            <v>30253</v>
          </cell>
          <cell r="B658">
            <v>0</v>
          </cell>
          <cell r="C658" t="str">
            <v>1|14101|2,4|1|20000</v>
          </cell>
          <cell r="D658" t="str">
            <v>挑战10次主线副本</v>
          </cell>
          <cell r="E658" t="str">
            <v>1|14101|2|1,4|1|20000|1</v>
          </cell>
        </row>
        <row r="659">
          <cell r="A659">
            <v>30254</v>
          </cell>
          <cell r="B659">
            <v>0</v>
          </cell>
          <cell r="C659" t="str">
            <v>4|5|150,4|1|20000</v>
          </cell>
          <cell r="D659" t="str">
            <v>挑战5次灵台斗法</v>
          </cell>
          <cell r="E659" t="str">
            <v>4|5|150|1,4|1|20000|1</v>
          </cell>
        </row>
        <row r="660">
          <cell r="A660">
            <v>30255</v>
          </cell>
          <cell r="B660">
            <v>0</v>
          </cell>
          <cell r="C660" t="str">
            <v>1|14108|2,4|1|20000</v>
          </cell>
          <cell r="D660" t="str">
            <v>进行3次法宝合成</v>
          </cell>
          <cell r="E660" t="str">
            <v>1|14108|2|1,4|1|20000|1</v>
          </cell>
        </row>
        <row r="661">
          <cell r="A661">
            <v>30256</v>
          </cell>
          <cell r="B661">
            <v>0</v>
          </cell>
          <cell r="C661" t="str">
            <v>1|14315|1,4|1|20000</v>
          </cell>
          <cell r="D661" t="str">
            <v>挑战3次大雁塔</v>
          </cell>
          <cell r="E661" t="str">
            <v>1|14315|1|1,4|1|20000|1</v>
          </cell>
        </row>
        <row r="662">
          <cell r="A662">
            <v>30257</v>
          </cell>
          <cell r="B662">
            <v>0</v>
          </cell>
          <cell r="C662" t="str">
            <v>4|1|40000</v>
          </cell>
          <cell r="D662" t="str">
            <v>装备强化5次</v>
          </cell>
          <cell r="E662" t="str">
            <v>4|1|40000|1</v>
          </cell>
        </row>
        <row r="663">
          <cell r="A663">
            <v>30258</v>
          </cell>
          <cell r="B663">
            <v>0</v>
          </cell>
          <cell r="C663" t="str">
            <v>4|1|40000</v>
          </cell>
          <cell r="D663" t="str">
            <v>法宝强化3次</v>
          </cell>
          <cell r="E663" t="str">
            <v>4|1|40000|1</v>
          </cell>
        </row>
        <row r="664">
          <cell r="A664">
            <v>30259</v>
          </cell>
          <cell r="B664">
            <v>0</v>
          </cell>
          <cell r="C664" t="str">
            <v>1|14005|1,4|1|20000</v>
          </cell>
          <cell r="D664" t="str">
            <v>进行3次普通聚仙</v>
          </cell>
          <cell r="E664" t="str">
            <v>1|14005|1|1,4|1|20000|1</v>
          </cell>
        </row>
        <row r="665">
          <cell r="A665">
            <v>30260</v>
          </cell>
          <cell r="B665">
            <v>0</v>
          </cell>
          <cell r="C665" t="str">
            <v>4|4|150,4|1|20000</v>
          </cell>
          <cell r="D665" t="str">
            <v>进行1次高级聚仙</v>
          </cell>
          <cell r="E665" t="str">
            <v>4|4|150|1,4|1|20000|1</v>
          </cell>
        </row>
        <row r="666">
          <cell r="A666">
            <v>30261</v>
          </cell>
          <cell r="B666">
            <v>0</v>
          </cell>
          <cell r="C666" t="str">
            <v>1|14003|2,4|1|20000</v>
          </cell>
          <cell r="D666" t="str">
            <v>武将升级1次</v>
          </cell>
          <cell r="E666" t="str">
            <v>1|14003|2|1,4|1|20000|1</v>
          </cell>
        </row>
        <row r="667">
          <cell r="A667">
            <v>30262</v>
          </cell>
          <cell r="B667">
            <v>0</v>
          </cell>
          <cell r="C667" t="str">
            <v>1|14108|2,4|1|20000</v>
          </cell>
          <cell r="D667" t="str">
            <v>法宝抢夺5次</v>
          </cell>
          <cell r="E667" t="str">
            <v>1|14108|2|1,4|1|20000|1</v>
          </cell>
        </row>
        <row r="668">
          <cell r="A668">
            <v>30301</v>
          </cell>
          <cell r="B668">
            <v>0</v>
          </cell>
          <cell r="C668" t="str">
            <v>4|2|50,4|1|20000</v>
          </cell>
          <cell r="D668" t="str">
            <v>购买5个精力丹</v>
          </cell>
          <cell r="E668" t="str">
            <v>4|2|50|1,4|1|20000|1</v>
          </cell>
        </row>
        <row r="669">
          <cell r="A669">
            <v>30302</v>
          </cell>
          <cell r="B669">
            <v>0</v>
          </cell>
          <cell r="C669" t="str">
            <v>4|2|50,4|1|20000</v>
          </cell>
          <cell r="D669" t="str">
            <v>购买5个体力丹</v>
          </cell>
          <cell r="E669" t="str">
            <v>4|2|50|1,4|1|20000|1</v>
          </cell>
        </row>
        <row r="670">
          <cell r="A670">
            <v>30303</v>
          </cell>
          <cell r="B670">
            <v>0</v>
          </cell>
          <cell r="C670" t="str">
            <v>1|14101|2,4|1|20000</v>
          </cell>
          <cell r="D670" t="str">
            <v>挑战10次主线副本</v>
          </cell>
          <cell r="E670" t="str">
            <v>1|14101|2|1,4|1|20000|1</v>
          </cell>
        </row>
        <row r="671">
          <cell r="A671">
            <v>30304</v>
          </cell>
          <cell r="B671">
            <v>0</v>
          </cell>
          <cell r="C671" t="str">
            <v>4|5|150,4|1|20000</v>
          </cell>
          <cell r="D671" t="str">
            <v>挑战5次灵台斗法</v>
          </cell>
          <cell r="E671" t="str">
            <v>4|5|150|1,4|1|20000|1</v>
          </cell>
        </row>
        <row r="672">
          <cell r="A672">
            <v>30305</v>
          </cell>
          <cell r="B672">
            <v>0</v>
          </cell>
          <cell r="C672" t="str">
            <v>1|14108|2,4|1|20000</v>
          </cell>
          <cell r="D672" t="str">
            <v>进行3次法宝合成</v>
          </cell>
          <cell r="E672" t="str">
            <v>1|14108|2|1,4|1|20000|1</v>
          </cell>
        </row>
        <row r="673">
          <cell r="A673">
            <v>30306</v>
          </cell>
          <cell r="B673">
            <v>0</v>
          </cell>
          <cell r="C673" t="str">
            <v>1|14315|1,4|1|20000</v>
          </cell>
          <cell r="D673" t="str">
            <v>挑战3次大雁塔</v>
          </cell>
          <cell r="E673" t="str">
            <v>1|14315|1|1,4|1|20000|1</v>
          </cell>
        </row>
        <row r="674">
          <cell r="A674">
            <v>30307</v>
          </cell>
          <cell r="B674">
            <v>0</v>
          </cell>
          <cell r="C674" t="str">
            <v>4|1|40000</v>
          </cell>
          <cell r="D674" t="str">
            <v>装备强化5次</v>
          </cell>
          <cell r="E674" t="str">
            <v>4|1|40000|1</v>
          </cell>
        </row>
        <row r="675">
          <cell r="A675">
            <v>30308</v>
          </cell>
          <cell r="B675">
            <v>0</v>
          </cell>
          <cell r="C675" t="str">
            <v>4|1|40000</v>
          </cell>
          <cell r="D675" t="str">
            <v>法宝强化3次</v>
          </cell>
          <cell r="E675" t="str">
            <v>4|1|40000|1</v>
          </cell>
        </row>
        <row r="676">
          <cell r="A676">
            <v>30309</v>
          </cell>
          <cell r="B676">
            <v>0</v>
          </cell>
          <cell r="C676" t="str">
            <v>1|14005|1,4|1|20000</v>
          </cell>
          <cell r="D676" t="str">
            <v>进行3次普通聚仙</v>
          </cell>
          <cell r="E676" t="str">
            <v>1|14005|1|1,4|1|20000|1</v>
          </cell>
        </row>
        <row r="677">
          <cell r="A677">
            <v>30310</v>
          </cell>
          <cell r="B677">
            <v>0</v>
          </cell>
          <cell r="C677" t="str">
            <v>4|4|150,4|1|20000</v>
          </cell>
          <cell r="D677" t="str">
            <v>进行1次高级聚仙</v>
          </cell>
          <cell r="E677" t="str">
            <v>4|4|150|1,4|1|20000|1</v>
          </cell>
        </row>
        <row r="678">
          <cell r="A678">
            <v>30311</v>
          </cell>
          <cell r="B678">
            <v>0</v>
          </cell>
          <cell r="C678" t="str">
            <v>1|14003|2,4|1|20000</v>
          </cell>
          <cell r="D678" t="str">
            <v>武将升级1次</v>
          </cell>
          <cell r="E678" t="str">
            <v>1|14003|2|1,4|1|20000|1</v>
          </cell>
        </row>
        <row r="679">
          <cell r="A679">
            <v>30312</v>
          </cell>
          <cell r="B679">
            <v>0</v>
          </cell>
          <cell r="C679" t="str">
            <v>1|14108|2,4|1|20000</v>
          </cell>
          <cell r="D679" t="str">
            <v>法宝抢夺5次</v>
          </cell>
          <cell r="E679" t="str">
            <v>1|14108|2|1,4|1|20000|1</v>
          </cell>
        </row>
        <row r="680">
          <cell r="A680">
            <v>30351</v>
          </cell>
          <cell r="B680">
            <v>0</v>
          </cell>
          <cell r="C680" t="str">
            <v>4|2|50,4|1|20000</v>
          </cell>
          <cell r="D680" t="str">
            <v>购买5个精力丹</v>
          </cell>
          <cell r="E680" t="str">
            <v>4|2|50|1,4|1|20000|1</v>
          </cell>
        </row>
        <row r="681">
          <cell r="A681">
            <v>30352</v>
          </cell>
          <cell r="B681">
            <v>0</v>
          </cell>
          <cell r="C681" t="str">
            <v>4|2|50,4|1|20000</v>
          </cell>
          <cell r="D681" t="str">
            <v>购买5个体力丹</v>
          </cell>
          <cell r="E681" t="str">
            <v>4|2|50|1,4|1|20000|1</v>
          </cell>
        </row>
        <row r="682">
          <cell r="A682">
            <v>30353</v>
          </cell>
          <cell r="B682">
            <v>0</v>
          </cell>
          <cell r="C682" t="str">
            <v>1|14101|2,4|1|20000</v>
          </cell>
          <cell r="D682" t="str">
            <v>挑战10次主线副本</v>
          </cell>
          <cell r="E682" t="str">
            <v>1|14101|2|1,4|1|20000|1</v>
          </cell>
        </row>
        <row r="683">
          <cell r="A683">
            <v>30354</v>
          </cell>
          <cell r="B683">
            <v>0</v>
          </cell>
          <cell r="C683" t="str">
            <v>4|5|150,4|1|20000</v>
          </cell>
          <cell r="D683" t="str">
            <v>挑战5次灵台斗法</v>
          </cell>
          <cell r="E683" t="str">
            <v>4|5|150|1,4|1|20000|1</v>
          </cell>
        </row>
        <row r="684">
          <cell r="A684">
            <v>30355</v>
          </cell>
          <cell r="B684">
            <v>0</v>
          </cell>
          <cell r="C684" t="str">
            <v>1|14108|2,4|1|20000</v>
          </cell>
          <cell r="D684" t="str">
            <v>进行3次法宝合成</v>
          </cell>
          <cell r="E684" t="str">
            <v>1|14108|2|1,4|1|20000|1</v>
          </cell>
        </row>
        <row r="685">
          <cell r="A685">
            <v>30356</v>
          </cell>
          <cell r="B685">
            <v>0</v>
          </cell>
          <cell r="C685" t="str">
            <v>1|14315|1,4|1|20000</v>
          </cell>
          <cell r="D685" t="str">
            <v>挑战3次大雁塔</v>
          </cell>
          <cell r="E685" t="str">
            <v>1|14315|1|1,4|1|20000|1</v>
          </cell>
        </row>
        <row r="686">
          <cell r="A686">
            <v>30357</v>
          </cell>
          <cell r="B686">
            <v>0</v>
          </cell>
          <cell r="C686" t="str">
            <v>4|1|40000</v>
          </cell>
          <cell r="D686" t="str">
            <v>装备强化5次</v>
          </cell>
          <cell r="E686" t="str">
            <v>4|1|40000|1</v>
          </cell>
        </row>
        <row r="687">
          <cell r="A687">
            <v>30358</v>
          </cell>
          <cell r="B687">
            <v>0</v>
          </cell>
          <cell r="C687" t="str">
            <v>4|1|40000</v>
          </cell>
          <cell r="D687" t="str">
            <v>法宝强化3次</v>
          </cell>
          <cell r="E687" t="str">
            <v>4|1|40000|1</v>
          </cell>
        </row>
        <row r="688">
          <cell r="A688">
            <v>30359</v>
          </cell>
          <cell r="B688">
            <v>0</v>
          </cell>
          <cell r="C688" t="str">
            <v>1|14005|1,4|1|20000</v>
          </cell>
          <cell r="D688" t="str">
            <v>进行3次普通聚仙</v>
          </cell>
          <cell r="E688" t="str">
            <v>1|14005|1|1,4|1|20000|1</v>
          </cell>
        </row>
        <row r="689">
          <cell r="A689">
            <v>30360</v>
          </cell>
          <cell r="B689">
            <v>0</v>
          </cell>
          <cell r="C689" t="str">
            <v>4|4|150,4|1|20000</v>
          </cell>
          <cell r="D689" t="str">
            <v>进行1次高级聚仙</v>
          </cell>
          <cell r="E689" t="str">
            <v>4|4|150|1,4|1|20000|1</v>
          </cell>
        </row>
        <row r="690">
          <cell r="A690">
            <v>30361</v>
          </cell>
          <cell r="B690">
            <v>0</v>
          </cell>
          <cell r="C690" t="str">
            <v>1|14003|2,4|1|20000</v>
          </cell>
          <cell r="D690" t="str">
            <v>武将升级1次</v>
          </cell>
          <cell r="E690" t="str">
            <v>1|14003|2|1,4|1|20000|1</v>
          </cell>
        </row>
        <row r="691">
          <cell r="A691">
            <v>30362</v>
          </cell>
          <cell r="B691">
            <v>0</v>
          </cell>
          <cell r="C691" t="str">
            <v>1|14108|2,4|1|20000</v>
          </cell>
          <cell r="D691" t="str">
            <v>法宝抢夺5次</v>
          </cell>
          <cell r="E691" t="str">
            <v>1|14108|2|1,4|1|20000|1</v>
          </cell>
        </row>
        <row r="692">
          <cell r="A692">
            <v>30401</v>
          </cell>
          <cell r="B692">
            <v>0</v>
          </cell>
          <cell r="C692" t="str">
            <v>4|2|50,4|1|20000</v>
          </cell>
          <cell r="D692" t="str">
            <v>购买5个精力丹</v>
          </cell>
          <cell r="E692" t="str">
            <v>4|2|50|1,4|1|20000|1</v>
          </cell>
        </row>
        <row r="693">
          <cell r="A693">
            <v>30402</v>
          </cell>
          <cell r="B693">
            <v>0</v>
          </cell>
          <cell r="C693" t="str">
            <v>4|2|50,4|1|20000</v>
          </cell>
          <cell r="D693" t="str">
            <v>购买5个体力丹</v>
          </cell>
          <cell r="E693" t="str">
            <v>4|2|50|1,4|1|20000|1</v>
          </cell>
        </row>
        <row r="694">
          <cell r="A694">
            <v>30403</v>
          </cell>
          <cell r="B694">
            <v>0</v>
          </cell>
          <cell r="C694" t="str">
            <v>1|14101|2,4|1|20000</v>
          </cell>
          <cell r="D694" t="str">
            <v>挑战10次主线副本</v>
          </cell>
          <cell r="E694" t="str">
            <v>1|14101|2|1,4|1|20000|1</v>
          </cell>
        </row>
        <row r="695">
          <cell r="A695">
            <v>30404</v>
          </cell>
          <cell r="B695">
            <v>0</v>
          </cell>
          <cell r="C695" t="str">
            <v>4|5|150,4|1|20000</v>
          </cell>
          <cell r="D695" t="str">
            <v>挑战5次灵台斗法</v>
          </cell>
          <cell r="E695" t="str">
            <v>4|5|150|1,4|1|20000|1</v>
          </cell>
        </row>
        <row r="696">
          <cell r="A696">
            <v>30405</v>
          </cell>
          <cell r="B696">
            <v>0</v>
          </cell>
          <cell r="C696" t="str">
            <v>1|14108|2,4|1|20000</v>
          </cell>
          <cell r="D696" t="str">
            <v>进行3次法宝合成</v>
          </cell>
          <cell r="E696" t="str">
            <v>1|14108|2|1,4|1|20000|1</v>
          </cell>
        </row>
        <row r="697">
          <cell r="A697">
            <v>30406</v>
          </cell>
          <cell r="B697">
            <v>0</v>
          </cell>
          <cell r="C697" t="str">
            <v>1|14315|1,4|1|20000</v>
          </cell>
          <cell r="D697" t="str">
            <v>挑战3次大雁塔</v>
          </cell>
          <cell r="E697" t="str">
            <v>1|14315|1|1,4|1|20000|1</v>
          </cell>
        </row>
        <row r="698">
          <cell r="A698">
            <v>30407</v>
          </cell>
          <cell r="B698">
            <v>0</v>
          </cell>
          <cell r="C698" t="str">
            <v>4|1|40000</v>
          </cell>
          <cell r="D698" t="str">
            <v>装备强化5次</v>
          </cell>
          <cell r="E698" t="str">
            <v>4|1|40000|1</v>
          </cell>
        </row>
        <row r="699">
          <cell r="A699">
            <v>30408</v>
          </cell>
          <cell r="B699">
            <v>0</v>
          </cell>
          <cell r="C699" t="str">
            <v>4|1|40000</v>
          </cell>
          <cell r="D699" t="str">
            <v>法宝强化3次</v>
          </cell>
          <cell r="E699" t="str">
            <v>4|1|40000|1</v>
          </cell>
        </row>
        <row r="700">
          <cell r="A700">
            <v>30409</v>
          </cell>
          <cell r="B700">
            <v>0</v>
          </cell>
          <cell r="C700" t="str">
            <v>1|14005|1,4|1|20000</v>
          </cell>
          <cell r="D700" t="str">
            <v>进行3次普通聚仙</v>
          </cell>
          <cell r="E700" t="str">
            <v>1|14005|1|1,4|1|20000|1</v>
          </cell>
        </row>
        <row r="701">
          <cell r="A701">
            <v>30410</v>
          </cell>
          <cell r="B701">
            <v>0</v>
          </cell>
          <cell r="C701" t="str">
            <v>4|4|150,4|1|20000</v>
          </cell>
          <cell r="D701" t="str">
            <v>进行1次高级聚仙</v>
          </cell>
          <cell r="E701" t="str">
            <v>4|4|150|1,4|1|20000|1</v>
          </cell>
        </row>
        <row r="702">
          <cell r="A702">
            <v>30411</v>
          </cell>
          <cell r="B702">
            <v>0</v>
          </cell>
          <cell r="C702" t="str">
            <v>1|14003|2,4|1|20000</v>
          </cell>
          <cell r="D702" t="str">
            <v>武将升级1次</v>
          </cell>
          <cell r="E702" t="str">
            <v>1|14003|2|1,4|1|20000|1</v>
          </cell>
        </row>
        <row r="703">
          <cell r="A703">
            <v>30412</v>
          </cell>
          <cell r="B703">
            <v>0</v>
          </cell>
          <cell r="C703" t="str">
            <v>1|14108|2,4|1|20000</v>
          </cell>
          <cell r="D703" t="str">
            <v>法宝抢夺5次</v>
          </cell>
          <cell r="E703" t="str">
            <v>1|14108|2|1,4|1|20000|1</v>
          </cell>
        </row>
        <row r="704">
          <cell r="A704">
            <v>30451</v>
          </cell>
          <cell r="B704">
            <v>0</v>
          </cell>
          <cell r="C704" t="str">
            <v>4|2|50,4|1|20000</v>
          </cell>
          <cell r="D704" t="str">
            <v>购买5个精力丹</v>
          </cell>
          <cell r="E704" t="str">
            <v>4|2|50|1,4|1|20000|1</v>
          </cell>
        </row>
        <row r="705">
          <cell r="A705">
            <v>30452</v>
          </cell>
          <cell r="B705">
            <v>0</v>
          </cell>
          <cell r="C705" t="str">
            <v>4|2|50,4|1|20000</v>
          </cell>
          <cell r="D705" t="str">
            <v>购买5个体力丹</v>
          </cell>
          <cell r="E705" t="str">
            <v>4|2|50|1,4|1|20000|1</v>
          </cell>
        </row>
        <row r="706">
          <cell r="A706">
            <v>30453</v>
          </cell>
          <cell r="B706">
            <v>0</v>
          </cell>
          <cell r="C706" t="str">
            <v>1|14101|2,4|1|20000</v>
          </cell>
          <cell r="D706" t="str">
            <v>挑战10次主线副本</v>
          </cell>
          <cell r="E706" t="str">
            <v>1|14101|2|1,4|1|20000|1</v>
          </cell>
        </row>
        <row r="707">
          <cell r="A707">
            <v>30454</v>
          </cell>
          <cell r="B707">
            <v>0</v>
          </cell>
          <cell r="C707" t="str">
            <v>4|5|150,4|1|20000</v>
          </cell>
          <cell r="D707" t="str">
            <v>挑战5次灵台斗法</v>
          </cell>
          <cell r="E707" t="str">
            <v>4|5|150|1,4|1|20000|1</v>
          </cell>
        </row>
        <row r="708">
          <cell r="A708">
            <v>30455</v>
          </cell>
          <cell r="B708">
            <v>0</v>
          </cell>
          <cell r="C708" t="str">
            <v>1|14108|2,4|1|20000</v>
          </cell>
          <cell r="D708" t="str">
            <v>进行3次法宝合成</v>
          </cell>
          <cell r="E708" t="str">
            <v>1|14108|2|1,4|1|20000|1</v>
          </cell>
        </row>
        <row r="709">
          <cell r="A709">
            <v>30456</v>
          </cell>
          <cell r="B709">
            <v>0</v>
          </cell>
          <cell r="C709" t="str">
            <v>1|14315|1,4|1|20000</v>
          </cell>
          <cell r="D709" t="str">
            <v>挑战3次大雁塔</v>
          </cell>
          <cell r="E709" t="str">
            <v>1|14315|1|1,4|1|20000|1</v>
          </cell>
        </row>
        <row r="710">
          <cell r="A710">
            <v>30457</v>
          </cell>
          <cell r="B710">
            <v>0</v>
          </cell>
          <cell r="C710" t="str">
            <v>4|1|40000</v>
          </cell>
          <cell r="D710" t="str">
            <v>装备强化5次</v>
          </cell>
          <cell r="E710" t="str">
            <v>4|1|40000|1</v>
          </cell>
        </row>
        <row r="711">
          <cell r="A711">
            <v>30458</v>
          </cell>
          <cell r="B711">
            <v>0</v>
          </cell>
          <cell r="C711" t="str">
            <v>4|1|40000</v>
          </cell>
          <cell r="D711" t="str">
            <v>法宝强化3次</v>
          </cell>
          <cell r="E711" t="str">
            <v>4|1|40000|1</v>
          </cell>
        </row>
        <row r="712">
          <cell r="A712">
            <v>30459</v>
          </cell>
          <cell r="B712">
            <v>0</v>
          </cell>
          <cell r="C712" t="str">
            <v>1|14005|1,4|1|20000</v>
          </cell>
          <cell r="D712" t="str">
            <v>进行3次普通聚仙</v>
          </cell>
          <cell r="E712" t="str">
            <v>1|14005|1|1,4|1|20000|1</v>
          </cell>
        </row>
        <row r="713">
          <cell r="A713">
            <v>30460</v>
          </cell>
          <cell r="B713">
            <v>0</v>
          </cell>
          <cell r="C713" t="str">
            <v>4|4|150,4|1|20000</v>
          </cell>
          <cell r="D713" t="str">
            <v>进行1次高级聚仙</v>
          </cell>
          <cell r="E713" t="str">
            <v>4|4|150|1,4|1|20000|1</v>
          </cell>
        </row>
        <row r="714">
          <cell r="A714">
            <v>30461</v>
          </cell>
          <cell r="B714">
            <v>0</v>
          </cell>
          <cell r="C714" t="str">
            <v>1|14003|2,4|1|20000</v>
          </cell>
          <cell r="D714" t="str">
            <v>武将升级1次</v>
          </cell>
          <cell r="E714" t="str">
            <v>1|14003|2|1,4|1|20000|1</v>
          </cell>
        </row>
        <row r="715">
          <cell r="A715">
            <v>30462</v>
          </cell>
          <cell r="B715">
            <v>0</v>
          </cell>
          <cell r="C715" t="str">
            <v>1|14108|2,4|1|20000</v>
          </cell>
          <cell r="D715" t="str">
            <v>法宝抢夺5次</v>
          </cell>
          <cell r="E715" t="str">
            <v>1|14108|2|1,4|1|20000|1</v>
          </cell>
        </row>
        <row r="716">
          <cell r="A716">
            <v>30501</v>
          </cell>
          <cell r="B716">
            <v>0</v>
          </cell>
          <cell r="C716" t="str">
            <v>4|2|50,4|1|20000</v>
          </cell>
          <cell r="D716" t="str">
            <v>购买5个精力丹</v>
          </cell>
          <cell r="E716" t="str">
            <v>4|2|50|1,4|1|20000|1</v>
          </cell>
        </row>
        <row r="717">
          <cell r="A717">
            <v>30502</v>
          </cell>
          <cell r="B717">
            <v>0</v>
          </cell>
          <cell r="C717" t="str">
            <v>4|2|50,4|1|20000</v>
          </cell>
          <cell r="D717" t="str">
            <v>购买5个体力丹</v>
          </cell>
          <cell r="E717" t="str">
            <v>4|2|50|1,4|1|20000|1</v>
          </cell>
        </row>
        <row r="718">
          <cell r="A718">
            <v>30503</v>
          </cell>
          <cell r="B718">
            <v>0</v>
          </cell>
          <cell r="C718" t="str">
            <v>1|14101|2,4|1|20000</v>
          </cell>
          <cell r="D718" t="str">
            <v>挑战10次主线副本</v>
          </cell>
          <cell r="E718" t="str">
            <v>1|14101|2|1,4|1|20000|1</v>
          </cell>
        </row>
        <row r="719">
          <cell r="A719">
            <v>30504</v>
          </cell>
          <cell r="B719">
            <v>0</v>
          </cell>
          <cell r="C719" t="str">
            <v>4|5|150,4|1|20000</v>
          </cell>
          <cell r="D719" t="str">
            <v>挑战5次灵台斗法</v>
          </cell>
          <cell r="E719" t="str">
            <v>4|5|150|1,4|1|20000|1</v>
          </cell>
        </row>
        <row r="720">
          <cell r="A720">
            <v>30505</v>
          </cell>
          <cell r="B720">
            <v>0</v>
          </cell>
          <cell r="C720" t="str">
            <v>1|14108|2,4|1|20000</v>
          </cell>
          <cell r="D720" t="str">
            <v>进行3次法宝合成</v>
          </cell>
          <cell r="E720" t="str">
            <v>1|14108|2|1,4|1|20000|1</v>
          </cell>
        </row>
        <row r="721">
          <cell r="A721">
            <v>30506</v>
          </cell>
          <cell r="B721">
            <v>0</v>
          </cell>
          <cell r="C721" t="str">
            <v>1|14315|1,4|1|20000</v>
          </cell>
          <cell r="D721" t="str">
            <v>挑战3次大雁塔</v>
          </cell>
          <cell r="E721" t="str">
            <v>1|14315|1|1,4|1|20000|1</v>
          </cell>
        </row>
        <row r="722">
          <cell r="A722">
            <v>30507</v>
          </cell>
          <cell r="B722">
            <v>0</v>
          </cell>
          <cell r="C722" t="str">
            <v>4|1|40000</v>
          </cell>
          <cell r="D722" t="str">
            <v>装备强化5次</v>
          </cell>
          <cell r="E722" t="str">
            <v>4|1|40000|1</v>
          </cell>
        </row>
        <row r="723">
          <cell r="A723">
            <v>30508</v>
          </cell>
          <cell r="B723">
            <v>0</v>
          </cell>
          <cell r="C723" t="str">
            <v>4|1|40000</v>
          </cell>
          <cell r="D723" t="str">
            <v>法宝强化3次</v>
          </cell>
          <cell r="E723" t="str">
            <v>4|1|40000|1</v>
          </cell>
        </row>
        <row r="724">
          <cell r="A724">
            <v>30509</v>
          </cell>
          <cell r="B724">
            <v>0</v>
          </cell>
          <cell r="C724" t="str">
            <v>1|14005|1,4|1|20000</v>
          </cell>
          <cell r="D724" t="str">
            <v>进行3次普通聚仙</v>
          </cell>
          <cell r="E724" t="str">
            <v>1|14005|1|1,4|1|20000|1</v>
          </cell>
        </row>
        <row r="725">
          <cell r="A725">
            <v>30510</v>
          </cell>
          <cell r="B725">
            <v>0</v>
          </cell>
          <cell r="C725" t="str">
            <v>4|4|150,4|1|20000</v>
          </cell>
          <cell r="D725" t="str">
            <v>进行1次高级聚仙</v>
          </cell>
          <cell r="E725" t="str">
            <v>4|4|150|1,4|1|20000|1</v>
          </cell>
        </row>
        <row r="726">
          <cell r="A726">
            <v>30511</v>
          </cell>
          <cell r="B726">
            <v>0</v>
          </cell>
          <cell r="C726" t="str">
            <v>1|14003|2,4|1|20000</v>
          </cell>
          <cell r="D726" t="str">
            <v>武将升级1次</v>
          </cell>
          <cell r="E726" t="str">
            <v>1|14003|2|1,4|1|20000|1</v>
          </cell>
        </row>
        <row r="727">
          <cell r="A727">
            <v>30512</v>
          </cell>
          <cell r="B727">
            <v>0</v>
          </cell>
          <cell r="C727" t="str">
            <v>1|14108|2,4|1|20000</v>
          </cell>
          <cell r="D727" t="str">
            <v>法宝抢夺5次</v>
          </cell>
          <cell r="E727" t="str">
            <v>1|14108|2|1,4|1|20000|1</v>
          </cell>
        </row>
        <row r="728">
          <cell r="A728">
            <v>30551</v>
          </cell>
          <cell r="B728">
            <v>0</v>
          </cell>
          <cell r="C728" t="str">
            <v>4|2|50,4|1|20000</v>
          </cell>
          <cell r="D728" t="str">
            <v>购买5个精力丹</v>
          </cell>
          <cell r="E728" t="str">
            <v>4|2|50|1,4|1|20000|1</v>
          </cell>
        </row>
        <row r="729">
          <cell r="A729">
            <v>30552</v>
          </cell>
          <cell r="B729">
            <v>0</v>
          </cell>
          <cell r="C729" t="str">
            <v>4|2|50,4|1|20000</v>
          </cell>
          <cell r="D729" t="str">
            <v>购买5个体力丹</v>
          </cell>
          <cell r="E729" t="str">
            <v>4|2|50|1,4|1|20000|1</v>
          </cell>
        </row>
        <row r="730">
          <cell r="A730">
            <v>30553</v>
          </cell>
          <cell r="B730">
            <v>0</v>
          </cell>
          <cell r="C730" t="str">
            <v>1|14101|2,4|1|20000</v>
          </cell>
          <cell r="D730" t="str">
            <v>挑战10次主线副本</v>
          </cell>
          <cell r="E730" t="str">
            <v>1|14101|2|1,4|1|20000|1</v>
          </cell>
        </row>
        <row r="731">
          <cell r="A731">
            <v>30554</v>
          </cell>
          <cell r="B731">
            <v>0</v>
          </cell>
          <cell r="C731" t="str">
            <v>4|5|150,4|1|20000</v>
          </cell>
          <cell r="D731" t="str">
            <v>挑战5次灵台斗法</v>
          </cell>
          <cell r="E731" t="str">
            <v>4|5|150|1,4|1|20000|1</v>
          </cell>
        </row>
        <row r="732">
          <cell r="A732">
            <v>30555</v>
          </cell>
          <cell r="B732">
            <v>0</v>
          </cell>
          <cell r="C732" t="str">
            <v>1|14108|2,4|1|20000</v>
          </cell>
          <cell r="D732" t="str">
            <v>进行3次法宝合成</v>
          </cell>
          <cell r="E732" t="str">
            <v>1|14108|2|1,4|1|20000|1</v>
          </cell>
        </row>
        <row r="733">
          <cell r="A733">
            <v>30556</v>
          </cell>
          <cell r="B733">
            <v>0</v>
          </cell>
          <cell r="C733" t="str">
            <v>1|14315|1,4|1|20000</v>
          </cell>
          <cell r="D733" t="str">
            <v>挑战3次大雁塔</v>
          </cell>
          <cell r="E733" t="str">
            <v>1|14315|1|1,4|1|20000|1</v>
          </cell>
        </row>
        <row r="734">
          <cell r="A734">
            <v>30557</v>
          </cell>
          <cell r="B734">
            <v>0</v>
          </cell>
          <cell r="C734" t="str">
            <v>4|1|40000</v>
          </cell>
          <cell r="D734" t="str">
            <v>装备强化5次</v>
          </cell>
          <cell r="E734" t="str">
            <v>4|1|40000|1</v>
          </cell>
        </row>
        <row r="735">
          <cell r="A735">
            <v>30558</v>
          </cell>
          <cell r="B735">
            <v>0</v>
          </cell>
          <cell r="C735" t="str">
            <v>4|1|40000</v>
          </cell>
          <cell r="D735" t="str">
            <v>法宝强化3次</v>
          </cell>
          <cell r="E735" t="str">
            <v>4|1|40000|1</v>
          </cell>
        </row>
        <row r="736">
          <cell r="A736">
            <v>30559</v>
          </cell>
          <cell r="B736">
            <v>0</v>
          </cell>
          <cell r="C736" t="str">
            <v>1|14005|1,4|1|20000</v>
          </cell>
          <cell r="D736" t="str">
            <v>进行3次普通聚仙</v>
          </cell>
          <cell r="E736" t="str">
            <v>1|14005|1|1,4|1|20000|1</v>
          </cell>
        </row>
        <row r="737">
          <cell r="A737">
            <v>30560</v>
          </cell>
          <cell r="B737">
            <v>0</v>
          </cell>
          <cell r="C737" t="str">
            <v>4|4|150,4|1|20000</v>
          </cell>
          <cell r="D737" t="str">
            <v>进行1次高级聚仙</v>
          </cell>
          <cell r="E737" t="str">
            <v>4|4|150|1,4|1|20000|1</v>
          </cell>
        </row>
        <row r="738">
          <cell r="A738">
            <v>30561</v>
          </cell>
          <cell r="B738">
            <v>0</v>
          </cell>
          <cell r="C738" t="str">
            <v>1|14003|2,4|1|20000</v>
          </cell>
          <cell r="D738" t="str">
            <v>武将升级1次</v>
          </cell>
          <cell r="E738" t="str">
            <v>1|14003|2|1,4|1|20000|1</v>
          </cell>
        </row>
        <row r="739">
          <cell r="A739">
            <v>30562</v>
          </cell>
          <cell r="B739">
            <v>0</v>
          </cell>
          <cell r="C739" t="str">
            <v>1|14108|2,4|1|20000</v>
          </cell>
          <cell r="D739" t="str">
            <v>法宝抢夺5次</v>
          </cell>
          <cell r="E739" t="str">
            <v>1|14108|2|1,4|1|20000|1</v>
          </cell>
        </row>
        <row r="740">
          <cell r="A740">
            <v>30601</v>
          </cell>
          <cell r="B740">
            <v>0</v>
          </cell>
          <cell r="C740" t="str">
            <v>4|2|50,4|1|20000</v>
          </cell>
          <cell r="D740" t="str">
            <v>购买5个精力丹</v>
          </cell>
          <cell r="E740" t="str">
            <v>4|2|50|1,4|1|20000|1</v>
          </cell>
        </row>
        <row r="741">
          <cell r="A741">
            <v>30602</v>
          </cell>
          <cell r="B741">
            <v>0</v>
          </cell>
          <cell r="C741" t="str">
            <v>4|2|50,4|1|20000</v>
          </cell>
          <cell r="D741" t="str">
            <v>购买5个体力丹</v>
          </cell>
          <cell r="E741" t="str">
            <v>4|2|50|1,4|1|20000|1</v>
          </cell>
        </row>
        <row r="742">
          <cell r="A742">
            <v>30603</v>
          </cell>
          <cell r="B742">
            <v>0</v>
          </cell>
          <cell r="C742" t="str">
            <v>1|14101|2,4|1|20000</v>
          </cell>
          <cell r="D742" t="str">
            <v>挑战10次主线副本</v>
          </cell>
          <cell r="E742" t="str">
            <v>1|14101|2|1,4|1|20000|1</v>
          </cell>
        </row>
        <row r="743">
          <cell r="A743">
            <v>30604</v>
          </cell>
          <cell r="B743">
            <v>0</v>
          </cell>
          <cell r="C743" t="str">
            <v>4|5|150,4|1|20000</v>
          </cell>
          <cell r="D743" t="str">
            <v>挑战5次灵台斗法</v>
          </cell>
          <cell r="E743" t="str">
            <v>4|5|150|1,4|1|20000|1</v>
          </cell>
        </row>
        <row r="744">
          <cell r="A744">
            <v>30605</v>
          </cell>
          <cell r="B744">
            <v>0</v>
          </cell>
          <cell r="C744" t="str">
            <v>1|14108|2,4|1|20000</v>
          </cell>
          <cell r="D744" t="str">
            <v>进行3次法宝合成</v>
          </cell>
          <cell r="E744" t="str">
            <v>1|14108|2|1,4|1|20000|1</v>
          </cell>
        </row>
        <row r="745">
          <cell r="A745">
            <v>30606</v>
          </cell>
          <cell r="B745">
            <v>0</v>
          </cell>
          <cell r="C745" t="str">
            <v>1|14315|1,4|1|20000</v>
          </cell>
          <cell r="D745" t="str">
            <v>挑战3次大雁塔</v>
          </cell>
          <cell r="E745" t="str">
            <v>1|14315|1|1,4|1|20000|1</v>
          </cell>
        </row>
        <row r="746">
          <cell r="A746">
            <v>30607</v>
          </cell>
          <cell r="B746">
            <v>0</v>
          </cell>
          <cell r="C746" t="str">
            <v>4|1|40000</v>
          </cell>
          <cell r="D746" t="str">
            <v>装备强化5次</v>
          </cell>
          <cell r="E746" t="str">
            <v>4|1|40000|1</v>
          </cell>
        </row>
        <row r="747">
          <cell r="A747">
            <v>30608</v>
          </cell>
          <cell r="B747">
            <v>0</v>
          </cell>
          <cell r="C747" t="str">
            <v>4|1|40000</v>
          </cell>
          <cell r="D747" t="str">
            <v>法宝强化3次</v>
          </cell>
          <cell r="E747" t="str">
            <v>4|1|40000|1</v>
          </cell>
        </row>
        <row r="748">
          <cell r="A748">
            <v>30609</v>
          </cell>
          <cell r="B748">
            <v>0</v>
          </cell>
          <cell r="C748" t="str">
            <v>1|14005|1,4|1|20000</v>
          </cell>
          <cell r="D748" t="str">
            <v>进行3次普通聚仙</v>
          </cell>
          <cell r="E748" t="str">
            <v>1|14005|1|1,4|1|20000|1</v>
          </cell>
        </row>
        <row r="749">
          <cell r="A749">
            <v>30610</v>
          </cell>
          <cell r="B749">
            <v>0</v>
          </cell>
          <cell r="C749" t="str">
            <v>4|4|150,4|1|20000</v>
          </cell>
          <cell r="D749" t="str">
            <v>进行1次高级聚仙</v>
          </cell>
          <cell r="E749" t="str">
            <v>4|4|150|1,4|1|20000|1</v>
          </cell>
        </row>
        <row r="750">
          <cell r="A750">
            <v>30611</v>
          </cell>
          <cell r="B750">
            <v>0</v>
          </cell>
          <cell r="C750" t="str">
            <v>1|14003|2,4|1|20000</v>
          </cell>
          <cell r="D750" t="str">
            <v>武将升级1次</v>
          </cell>
          <cell r="E750" t="str">
            <v>1|14003|2|1,4|1|20000|1</v>
          </cell>
        </row>
        <row r="751">
          <cell r="A751">
            <v>30612</v>
          </cell>
          <cell r="B751">
            <v>0</v>
          </cell>
          <cell r="C751" t="str">
            <v>1|14108|2,4|1|20000</v>
          </cell>
          <cell r="D751" t="str">
            <v>法宝抢夺5次</v>
          </cell>
          <cell r="E751" t="str">
            <v>1|14108|2|1,4|1|20000|1</v>
          </cell>
        </row>
        <row r="752">
          <cell r="A752">
            <v>30651</v>
          </cell>
          <cell r="B752">
            <v>0</v>
          </cell>
          <cell r="C752" t="str">
            <v>4|2|50,4|1|20000</v>
          </cell>
          <cell r="D752" t="str">
            <v>购买5个精力丹</v>
          </cell>
          <cell r="E752" t="str">
            <v>4|2|50|1,4|1|20000|1</v>
          </cell>
        </row>
        <row r="753">
          <cell r="A753">
            <v>30652</v>
          </cell>
          <cell r="B753">
            <v>0</v>
          </cell>
          <cell r="C753" t="str">
            <v>4|2|50,4|1|20000</v>
          </cell>
          <cell r="D753" t="str">
            <v>购买5个体力丹</v>
          </cell>
          <cell r="E753" t="str">
            <v>4|2|50|1,4|1|20000|1</v>
          </cell>
        </row>
        <row r="754">
          <cell r="A754">
            <v>30653</v>
          </cell>
          <cell r="B754">
            <v>0</v>
          </cell>
          <cell r="C754" t="str">
            <v>1|14101|2,4|1|20000</v>
          </cell>
          <cell r="D754" t="str">
            <v>挑战10次主线副本</v>
          </cell>
          <cell r="E754" t="str">
            <v>1|14101|2|1,4|1|20000|1</v>
          </cell>
        </row>
        <row r="755">
          <cell r="A755">
            <v>30654</v>
          </cell>
          <cell r="B755">
            <v>0</v>
          </cell>
          <cell r="C755" t="str">
            <v>4|5|150,4|1|20000</v>
          </cell>
          <cell r="D755" t="str">
            <v>挑战5次灵台斗法</v>
          </cell>
          <cell r="E755" t="str">
            <v>4|5|150|1,4|1|20000|1</v>
          </cell>
        </row>
        <row r="756">
          <cell r="A756">
            <v>30655</v>
          </cell>
          <cell r="B756">
            <v>0</v>
          </cell>
          <cell r="C756" t="str">
            <v>1|14108|2,4|1|20000</v>
          </cell>
          <cell r="D756" t="str">
            <v>进行3次法宝合成</v>
          </cell>
          <cell r="E756" t="str">
            <v>1|14108|2|1,4|1|20000|1</v>
          </cell>
        </row>
        <row r="757">
          <cell r="A757">
            <v>30656</v>
          </cell>
          <cell r="B757">
            <v>0</v>
          </cell>
          <cell r="C757" t="str">
            <v>1|14315|1,4|1|20000</v>
          </cell>
          <cell r="D757" t="str">
            <v>挑战3次大雁塔</v>
          </cell>
          <cell r="E757" t="str">
            <v>1|14315|1|1,4|1|20000|1</v>
          </cell>
        </row>
        <row r="758">
          <cell r="A758">
            <v>30657</v>
          </cell>
          <cell r="B758">
            <v>0</v>
          </cell>
          <cell r="C758" t="str">
            <v>4|1|40000</v>
          </cell>
          <cell r="D758" t="str">
            <v>装备强化5次</v>
          </cell>
          <cell r="E758" t="str">
            <v>4|1|40000|1</v>
          </cell>
        </row>
        <row r="759">
          <cell r="A759">
            <v>30658</v>
          </cell>
          <cell r="B759">
            <v>0</v>
          </cell>
          <cell r="C759" t="str">
            <v>4|1|40000</v>
          </cell>
          <cell r="D759" t="str">
            <v>法宝强化3次</v>
          </cell>
          <cell r="E759" t="str">
            <v>4|1|40000|1</v>
          </cell>
        </row>
        <row r="760">
          <cell r="A760">
            <v>30659</v>
          </cell>
          <cell r="B760">
            <v>0</v>
          </cell>
          <cell r="C760" t="str">
            <v>1|14005|1,4|1|20000</v>
          </cell>
          <cell r="D760" t="str">
            <v>进行3次普通聚仙</v>
          </cell>
          <cell r="E760" t="str">
            <v>1|14005|1|1,4|1|20000|1</v>
          </cell>
        </row>
        <row r="761">
          <cell r="A761">
            <v>30660</v>
          </cell>
          <cell r="B761">
            <v>0</v>
          </cell>
          <cell r="C761" t="str">
            <v>4|4|150,4|1|20000</v>
          </cell>
          <cell r="D761" t="str">
            <v>进行1次高级聚仙</v>
          </cell>
          <cell r="E761" t="str">
            <v>4|4|150|1,4|1|20000|1</v>
          </cell>
        </row>
        <row r="762">
          <cell r="A762">
            <v>30661</v>
          </cell>
          <cell r="B762">
            <v>0</v>
          </cell>
          <cell r="C762" t="str">
            <v>1|14003|2,4|1|20000</v>
          </cell>
          <cell r="D762" t="str">
            <v>武将升级1次</v>
          </cell>
          <cell r="E762" t="str">
            <v>1|14003|2|1,4|1|20000|1</v>
          </cell>
        </row>
        <row r="763">
          <cell r="A763">
            <v>30662</v>
          </cell>
          <cell r="B763">
            <v>0</v>
          </cell>
          <cell r="C763" t="str">
            <v>1|14108|2,4|1|20000</v>
          </cell>
          <cell r="D763" t="str">
            <v>法宝抢夺5次</v>
          </cell>
          <cell r="E763" t="str">
            <v>1|14108|2|1,4|1|20000|1</v>
          </cell>
        </row>
        <row r="764">
          <cell r="A764">
            <v>31000</v>
          </cell>
          <cell r="B764">
            <v>0</v>
          </cell>
          <cell r="C764" t="str">
            <v>4|2|200</v>
          </cell>
          <cell r="D764" t="str">
            <v>等级10</v>
          </cell>
          <cell r="E764" t="str">
            <v>4|2|200|1</v>
          </cell>
        </row>
        <row r="765">
          <cell r="A765">
            <v>31001</v>
          </cell>
          <cell r="B765">
            <v>0</v>
          </cell>
          <cell r="C765" t="str">
            <v>4|1|10000</v>
          </cell>
          <cell r="D765" t="str">
            <v>等级10</v>
          </cell>
          <cell r="E765" t="str">
            <v>4|1|10000|1</v>
          </cell>
        </row>
        <row r="766">
          <cell r="A766">
            <v>31002</v>
          </cell>
          <cell r="B766">
            <v>0</v>
          </cell>
          <cell r="C766" t="str">
            <v>2|2022|1</v>
          </cell>
          <cell r="D766" t="str">
            <v>等级15</v>
          </cell>
          <cell r="E766" t="str">
            <v>2|2022|1|1</v>
          </cell>
        </row>
        <row r="767">
          <cell r="A767">
            <v>31003</v>
          </cell>
          <cell r="B767">
            <v>0</v>
          </cell>
          <cell r="C767" t="str">
            <v>4|2|300</v>
          </cell>
          <cell r="D767" t="str">
            <v>等级20</v>
          </cell>
          <cell r="E767" t="str">
            <v>4|2|300|1</v>
          </cell>
        </row>
        <row r="768">
          <cell r="A768">
            <v>31004</v>
          </cell>
          <cell r="B768">
            <v>0</v>
          </cell>
          <cell r="C768" t="str">
            <v>4|2|300</v>
          </cell>
          <cell r="D768" t="str">
            <v>等级25</v>
          </cell>
          <cell r="E768" t="str">
            <v>4|2|300|1</v>
          </cell>
        </row>
        <row r="769">
          <cell r="A769">
            <v>31005</v>
          </cell>
          <cell r="B769">
            <v>0</v>
          </cell>
          <cell r="C769" t="str">
            <v>1|14502|1</v>
          </cell>
          <cell r="D769" t="str">
            <v>等级30</v>
          </cell>
          <cell r="E769" t="str">
            <v>1|14502|1|1</v>
          </cell>
        </row>
        <row r="770">
          <cell r="A770">
            <v>31006</v>
          </cell>
          <cell r="B770">
            <v>0</v>
          </cell>
          <cell r="C770" t="str">
            <v>1|14302|5</v>
          </cell>
          <cell r="D770" t="str">
            <v>等级35</v>
          </cell>
          <cell r="E770" t="str">
            <v>1|14302|5|1</v>
          </cell>
        </row>
        <row r="771">
          <cell r="A771">
            <v>31007</v>
          </cell>
          <cell r="B771">
            <v>0</v>
          </cell>
          <cell r="C771" t="str">
            <v>1|14107|200</v>
          </cell>
          <cell r="D771" t="str">
            <v>等级40</v>
          </cell>
          <cell r="E771" t="str">
            <v>1|14107|200|1</v>
          </cell>
        </row>
        <row r="772">
          <cell r="A772">
            <v>31008</v>
          </cell>
          <cell r="B772">
            <v>0</v>
          </cell>
          <cell r="C772" t="str">
            <v>1|14502|1</v>
          </cell>
          <cell r="D772" t="str">
            <v>等级45</v>
          </cell>
          <cell r="E772" t="str">
            <v>1|14502|1|1</v>
          </cell>
        </row>
        <row r="773">
          <cell r="A773">
            <v>31009</v>
          </cell>
          <cell r="B773">
            <v>0</v>
          </cell>
          <cell r="C773" t="str">
            <v>1|16005|50</v>
          </cell>
          <cell r="D773" t="str">
            <v>等级50</v>
          </cell>
          <cell r="E773" t="str">
            <v>1|16005|50|1</v>
          </cell>
        </row>
        <row r="774">
          <cell r="A774">
            <v>31010</v>
          </cell>
          <cell r="B774">
            <v>0</v>
          </cell>
          <cell r="C774" t="str">
            <v>1|14201|100</v>
          </cell>
          <cell r="D774" t="str">
            <v>等级55</v>
          </cell>
          <cell r="E774" t="str">
            <v>1|14201|100|1</v>
          </cell>
        </row>
        <row r="775">
          <cell r="A775">
            <v>31011</v>
          </cell>
          <cell r="B775">
            <v>0</v>
          </cell>
          <cell r="C775" t="str">
            <v>1|14303|3</v>
          </cell>
          <cell r="D775" t="str">
            <v>等级60</v>
          </cell>
          <cell r="E775" t="str">
            <v>1|14303|3|1</v>
          </cell>
        </row>
        <row r="776">
          <cell r="A776">
            <v>31012</v>
          </cell>
          <cell r="B776">
            <v>0</v>
          </cell>
          <cell r="C776" t="str">
            <v>1|14303|3</v>
          </cell>
          <cell r="D776" t="str">
            <v>等级65</v>
          </cell>
          <cell r="E776" t="str">
            <v>1|14303|3|1</v>
          </cell>
        </row>
        <row r="777">
          <cell r="A777">
            <v>31013</v>
          </cell>
          <cell r="B777">
            <v>0</v>
          </cell>
          <cell r="C777" t="str">
            <v>1|16005|50</v>
          </cell>
          <cell r="D777" t="str">
            <v>等级70</v>
          </cell>
          <cell r="E777" t="str">
            <v>1|16005|50|1</v>
          </cell>
        </row>
        <row r="778">
          <cell r="A778">
            <v>31014</v>
          </cell>
          <cell r="B778">
            <v>0</v>
          </cell>
          <cell r="C778" t="str">
            <v>1|14201|100</v>
          </cell>
          <cell r="D778" t="str">
            <v>等级75</v>
          </cell>
          <cell r="E778" t="str">
            <v>1|14201|100|1</v>
          </cell>
        </row>
        <row r="779">
          <cell r="A779">
            <v>31015</v>
          </cell>
          <cell r="B779">
            <v>0</v>
          </cell>
          <cell r="C779" t="str">
            <v>4|2|1000</v>
          </cell>
          <cell r="D779" t="str">
            <v>等级80</v>
          </cell>
          <cell r="E779" t="str">
            <v>4|2|1000|1</v>
          </cell>
        </row>
        <row r="780">
          <cell r="A780">
            <v>31016</v>
          </cell>
          <cell r="B780">
            <v>0</v>
          </cell>
          <cell r="C780" t="str">
            <v>4|2|1000</v>
          </cell>
          <cell r="D780" t="str">
            <v>等级85</v>
          </cell>
          <cell r="E780" t="str">
            <v>4|2|1000|1</v>
          </cell>
        </row>
        <row r="781">
          <cell r="A781">
            <v>31017</v>
          </cell>
          <cell r="B781">
            <v>0</v>
          </cell>
          <cell r="C781" t="str">
            <v>4|2|1000</v>
          </cell>
          <cell r="D781" t="str">
            <v>等级90</v>
          </cell>
          <cell r="E781" t="str">
            <v>4|2|1000|1</v>
          </cell>
        </row>
        <row r="782">
          <cell r="A782">
            <v>31018</v>
          </cell>
          <cell r="B782">
            <v>0</v>
          </cell>
          <cell r="C782" t="str">
            <v>4|2|1000</v>
          </cell>
          <cell r="D782" t="str">
            <v>等级95</v>
          </cell>
          <cell r="E782" t="str">
            <v>4|2|1000|1</v>
          </cell>
        </row>
        <row r="783">
          <cell r="A783">
            <v>31019</v>
          </cell>
          <cell r="B783">
            <v>0</v>
          </cell>
          <cell r="C783" t="str">
            <v>4|2|1000</v>
          </cell>
          <cell r="D783" t="str">
            <v>等级100</v>
          </cell>
          <cell r="E783" t="str">
            <v>4|2|1000|1</v>
          </cell>
        </row>
        <row r="784">
          <cell r="A784">
            <v>31020</v>
          </cell>
          <cell r="B784">
            <v>0</v>
          </cell>
          <cell r="C784" t="str">
            <v>4|2|1000</v>
          </cell>
          <cell r="D784" t="str">
            <v>等级105</v>
          </cell>
          <cell r="E784" t="str">
            <v>4|2|1000|1</v>
          </cell>
        </row>
        <row r="785">
          <cell r="A785">
            <v>31021</v>
          </cell>
          <cell r="B785">
            <v>0</v>
          </cell>
          <cell r="C785" t="str">
            <v>4|2|1000</v>
          </cell>
          <cell r="D785" t="str">
            <v>等级110</v>
          </cell>
          <cell r="E785" t="str">
            <v>4|2|1000|1</v>
          </cell>
        </row>
        <row r="786">
          <cell r="A786">
            <v>31022</v>
          </cell>
          <cell r="B786">
            <v>0</v>
          </cell>
          <cell r="C786" t="str">
            <v>4|2|1000</v>
          </cell>
          <cell r="D786" t="str">
            <v>等级115</v>
          </cell>
          <cell r="E786" t="str">
            <v>4|2|1000|1</v>
          </cell>
        </row>
        <row r="787">
          <cell r="A787">
            <v>31023</v>
          </cell>
          <cell r="B787">
            <v>0</v>
          </cell>
          <cell r="C787" t="str">
            <v>4|2|1000</v>
          </cell>
          <cell r="D787" t="str">
            <v>等级120</v>
          </cell>
          <cell r="E787" t="str">
            <v>4|2|1000|1</v>
          </cell>
        </row>
        <row r="788">
          <cell r="A788">
            <v>31051</v>
          </cell>
          <cell r="B788">
            <v>0</v>
          </cell>
          <cell r="C788" t="str">
            <v>4|1|10000</v>
          </cell>
          <cell r="D788" t="str">
            <v>主线副本星数达到30星</v>
          </cell>
          <cell r="E788" t="str">
            <v>4|1|10000|1</v>
          </cell>
        </row>
        <row r="789">
          <cell r="A789">
            <v>31052</v>
          </cell>
          <cell r="B789">
            <v>0</v>
          </cell>
          <cell r="C789" t="str">
            <v>4|1|30000</v>
          </cell>
          <cell r="D789" t="str">
            <v>主线副本星数达到60星</v>
          </cell>
          <cell r="E789" t="str">
            <v>4|1|30000|1</v>
          </cell>
        </row>
        <row r="790">
          <cell r="A790">
            <v>31053</v>
          </cell>
          <cell r="B790">
            <v>0</v>
          </cell>
          <cell r="C790" t="str">
            <v>4|1|50000</v>
          </cell>
          <cell r="D790" t="str">
            <v>主线副本星数达到90星</v>
          </cell>
          <cell r="E790" t="str">
            <v>4|1|50000|1</v>
          </cell>
        </row>
        <row r="791">
          <cell r="A791">
            <v>31054</v>
          </cell>
          <cell r="B791">
            <v>0</v>
          </cell>
          <cell r="C791" t="str">
            <v>4|1|80000</v>
          </cell>
          <cell r="D791" t="str">
            <v>主线副本星数达到120星</v>
          </cell>
          <cell r="E791" t="str">
            <v>4|1|80000|1</v>
          </cell>
        </row>
        <row r="792">
          <cell r="A792">
            <v>31055</v>
          </cell>
          <cell r="B792">
            <v>0</v>
          </cell>
          <cell r="C792" t="str">
            <v>4|1|100000</v>
          </cell>
          <cell r="D792" t="str">
            <v>主线副本星数达到150星</v>
          </cell>
          <cell r="E792" t="str">
            <v>4|1|100000|1</v>
          </cell>
        </row>
        <row r="793">
          <cell r="A793">
            <v>31056</v>
          </cell>
          <cell r="B793">
            <v>0</v>
          </cell>
          <cell r="C793" t="str">
            <v>4|1|150000</v>
          </cell>
          <cell r="D793" t="str">
            <v>主线副本星数达到180星</v>
          </cell>
          <cell r="E793" t="str">
            <v>4|1|150000|1</v>
          </cell>
        </row>
        <row r="794">
          <cell r="A794">
            <v>31057</v>
          </cell>
          <cell r="B794">
            <v>0</v>
          </cell>
          <cell r="C794" t="str">
            <v>4|1|200000</v>
          </cell>
          <cell r="D794" t="str">
            <v>主线副本星数达到210星</v>
          </cell>
          <cell r="E794" t="str">
            <v>4|1|200000|1</v>
          </cell>
        </row>
        <row r="795">
          <cell r="A795">
            <v>31058</v>
          </cell>
          <cell r="B795">
            <v>0</v>
          </cell>
          <cell r="C795" t="str">
            <v>4|2|500</v>
          </cell>
          <cell r="D795" t="str">
            <v>主线副本星数达到240星</v>
          </cell>
          <cell r="E795" t="str">
            <v>4|2|500|1</v>
          </cell>
        </row>
        <row r="796">
          <cell r="A796">
            <v>31059</v>
          </cell>
          <cell r="B796">
            <v>0</v>
          </cell>
          <cell r="C796" t="str">
            <v>4|1|250000</v>
          </cell>
          <cell r="D796" t="str">
            <v>主线副本星数达到270星</v>
          </cell>
          <cell r="E796" t="str">
            <v>4|1|250000|1</v>
          </cell>
        </row>
        <row r="797">
          <cell r="A797">
            <v>31060</v>
          </cell>
          <cell r="B797">
            <v>0</v>
          </cell>
          <cell r="C797" t="str">
            <v>4|2|550</v>
          </cell>
          <cell r="D797" t="str">
            <v>主线副本星数达到300星</v>
          </cell>
          <cell r="E797" t="str">
            <v>4|2|550|1</v>
          </cell>
        </row>
        <row r="798">
          <cell r="A798">
            <v>31061</v>
          </cell>
          <cell r="B798">
            <v>0</v>
          </cell>
          <cell r="C798" t="str">
            <v>4|1|300000</v>
          </cell>
          <cell r="D798" t="str">
            <v>主线副本星数达到330星</v>
          </cell>
          <cell r="E798" t="str">
            <v>4|1|300000|1</v>
          </cell>
        </row>
        <row r="799">
          <cell r="A799">
            <v>31062</v>
          </cell>
          <cell r="B799">
            <v>0</v>
          </cell>
          <cell r="C799" t="str">
            <v>4|2|600</v>
          </cell>
          <cell r="D799" t="str">
            <v>主线副本星数达到360星</v>
          </cell>
          <cell r="E799" t="str">
            <v>4|2|600|1</v>
          </cell>
        </row>
        <row r="800">
          <cell r="A800">
            <v>31063</v>
          </cell>
          <cell r="B800">
            <v>0</v>
          </cell>
          <cell r="C800" t="str">
            <v>4|1|350000</v>
          </cell>
          <cell r="D800" t="str">
            <v>主线副本星数达到390星</v>
          </cell>
          <cell r="E800" t="str">
            <v>4|1|350000|1</v>
          </cell>
        </row>
        <row r="801">
          <cell r="A801">
            <v>31064</v>
          </cell>
          <cell r="B801">
            <v>0</v>
          </cell>
          <cell r="C801" t="str">
            <v>4|2|650</v>
          </cell>
          <cell r="D801" t="str">
            <v>主线副本星数达到420星</v>
          </cell>
          <cell r="E801" t="str">
            <v>4|2|650|1</v>
          </cell>
        </row>
        <row r="802">
          <cell r="A802">
            <v>31065</v>
          </cell>
          <cell r="B802">
            <v>0</v>
          </cell>
          <cell r="C802" t="str">
            <v>4|1|400000</v>
          </cell>
          <cell r="D802" t="str">
            <v>主线副本星数达到450星</v>
          </cell>
          <cell r="E802" t="str">
            <v>4|1|400000|1</v>
          </cell>
        </row>
        <row r="803">
          <cell r="A803">
            <v>31066</v>
          </cell>
          <cell r="B803">
            <v>0</v>
          </cell>
          <cell r="C803" t="str">
            <v>4|2|700</v>
          </cell>
          <cell r="D803" t="str">
            <v>主线副本星数达到480星</v>
          </cell>
          <cell r="E803" t="str">
            <v>4|2|700|1</v>
          </cell>
        </row>
        <row r="804">
          <cell r="A804">
            <v>31067</v>
          </cell>
          <cell r="B804">
            <v>0</v>
          </cell>
          <cell r="C804" t="str">
            <v>4|1|450000</v>
          </cell>
          <cell r="D804" t="str">
            <v>主线副本星数达到510星</v>
          </cell>
          <cell r="E804" t="str">
            <v>4|1|450000|1</v>
          </cell>
        </row>
        <row r="805">
          <cell r="A805">
            <v>31068</v>
          </cell>
          <cell r="B805">
            <v>0</v>
          </cell>
          <cell r="C805" t="str">
            <v>4|2|750</v>
          </cell>
          <cell r="D805" t="str">
            <v>主线副本星数达到540星</v>
          </cell>
          <cell r="E805" t="str">
            <v>4|2|750|1</v>
          </cell>
        </row>
        <row r="806">
          <cell r="A806">
            <v>31069</v>
          </cell>
          <cell r="B806">
            <v>0</v>
          </cell>
          <cell r="C806" t="str">
            <v>4|1|500000</v>
          </cell>
          <cell r="D806" t="str">
            <v>主线副本星数达到570星</v>
          </cell>
          <cell r="E806" t="str">
            <v>4|1|500000|1</v>
          </cell>
        </row>
        <row r="807">
          <cell r="A807">
            <v>31070</v>
          </cell>
          <cell r="B807">
            <v>0</v>
          </cell>
          <cell r="C807" t="str">
            <v>4|2|800</v>
          </cell>
          <cell r="D807" t="str">
            <v>主线副本星数达到600星</v>
          </cell>
          <cell r="E807" t="str">
            <v>4|2|800|1</v>
          </cell>
        </row>
        <row r="808">
          <cell r="A808">
            <v>31071</v>
          </cell>
          <cell r="B808">
            <v>0</v>
          </cell>
          <cell r="C808" t="str">
            <v>4|1|500000</v>
          </cell>
          <cell r="D808" t="str">
            <v>主线副本星数达到630星</v>
          </cell>
          <cell r="E808" t="str">
            <v>4|1|500000|1</v>
          </cell>
        </row>
        <row r="809">
          <cell r="A809">
            <v>31072</v>
          </cell>
          <cell r="B809">
            <v>0</v>
          </cell>
          <cell r="C809" t="str">
            <v>4|2|850</v>
          </cell>
          <cell r="D809" t="str">
            <v>主线副本星数达到660星</v>
          </cell>
          <cell r="E809" t="str">
            <v>4|2|850|1</v>
          </cell>
        </row>
        <row r="810">
          <cell r="A810">
            <v>31073</v>
          </cell>
          <cell r="B810">
            <v>0</v>
          </cell>
          <cell r="C810" t="str">
            <v>4|1|500000</v>
          </cell>
          <cell r="D810" t="str">
            <v>主线副本星数达到690星</v>
          </cell>
          <cell r="E810" t="str">
            <v>4|1|500000|1</v>
          </cell>
        </row>
        <row r="811">
          <cell r="A811">
            <v>31074</v>
          </cell>
          <cell r="B811">
            <v>0</v>
          </cell>
          <cell r="C811" t="str">
            <v>4|2|900</v>
          </cell>
          <cell r="D811" t="str">
            <v>主线副本星数达到720星</v>
          </cell>
          <cell r="E811" t="str">
            <v>4|2|900|1</v>
          </cell>
        </row>
        <row r="812">
          <cell r="A812">
            <v>31075</v>
          </cell>
          <cell r="B812">
            <v>0</v>
          </cell>
          <cell r="C812" t="str">
            <v>4|1|500000</v>
          </cell>
          <cell r="D812" t="str">
            <v>主线副本星数达到750星</v>
          </cell>
          <cell r="E812" t="str">
            <v>4|1|500000|1</v>
          </cell>
        </row>
        <row r="813">
          <cell r="A813">
            <v>31076</v>
          </cell>
          <cell r="B813">
            <v>0</v>
          </cell>
          <cell r="C813" t="str">
            <v>4|2|950</v>
          </cell>
          <cell r="D813" t="str">
            <v>主线副本星数达到780星</v>
          </cell>
          <cell r="E813" t="str">
            <v>4|2|950|1</v>
          </cell>
        </row>
        <row r="814">
          <cell r="A814">
            <v>31077</v>
          </cell>
          <cell r="B814">
            <v>0</v>
          </cell>
          <cell r="C814" t="str">
            <v>4|1|500000</v>
          </cell>
          <cell r="D814" t="str">
            <v>主线副本星数达到810星</v>
          </cell>
          <cell r="E814" t="str">
            <v>4|1|500000|1</v>
          </cell>
        </row>
        <row r="815">
          <cell r="A815">
            <v>31078</v>
          </cell>
          <cell r="B815">
            <v>0</v>
          </cell>
          <cell r="C815" t="str">
            <v>4|2|1000</v>
          </cell>
          <cell r="D815" t="str">
            <v>主线副本星数达到840星</v>
          </cell>
          <cell r="E815" t="str">
            <v>4|2|1000|1</v>
          </cell>
        </row>
        <row r="816">
          <cell r="A816">
            <v>31079</v>
          </cell>
          <cell r="B816">
            <v>0</v>
          </cell>
          <cell r="C816" t="str">
            <v>4|1|500000</v>
          </cell>
          <cell r="D816" t="str">
            <v>主线副本星数达到870星</v>
          </cell>
          <cell r="E816" t="str">
            <v>4|1|500000|1</v>
          </cell>
        </row>
        <row r="817">
          <cell r="A817">
            <v>31080</v>
          </cell>
          <cell r="B817">
            <v>0</v>
          </cell>
          <cell r="C817" t="str">
            <v>4|2|1000</v>
          </cell>
          <cell r="D817" t="str">
            <v>主线副本星数达到900星</v>
          </cell>
          <cell r="E817" t="str">
            <v>4|2|1000|1</v>
          </cell>
        </row>
        <row r="818">
          <cell r="A818">
            <v>31081</v>
          </cell>
          <cell r="B818">
            <v>0</v>
          </cell>
          <cell r="C818" t="str">
            <v>4|1|500000</v>
          </cell>
          <cell r="D818" t="str">
            <v>主线副本星数达到930星</v>
          </cell>
          <cell r="E818" t="str">
            <v>4|1|500000|1</v>
          </cell>
        </row>
        <row r="819">
          <cell r="A819">
            <v>31082</v>
          </cell>
          <cell r="B819">
            <v>0</v>
          </cell>
          <cell r="C819" t="str">
            <v>4|2|1000</v>
          </cell>
          <cell r="D819" t="str">
            <v>主线副本星数达到960星</v>
          </cell>
          <cell r="E819" t="str">
            <v>4|2|1000|1</v>
          </cell>
        </row>
        <row r="820">
          <cell r="A820">
            <v>31083</v>
          </cell>
          <cell r="B820">
            <v>0</v>
          </cell>
          <cell r="C820" t="str">
            <v>4|1|500000</v>
          </cell>
          <cell r="D820" t="str">
            <v>主线副本星数达到1000星</v>
          </cell>
          <cell r="E820" t="str">
            <v>4|1|500000|1</v>
          </cell>
        </row>
        <row r="821">
          <cell r="A821">
            <v>31084</v>
          </cell>
          <cell r="B821">
            <v>0</v>
          </cell>
          <cell r="C821" t="str">
            <v>4|2|1050</v>
          </cell>
          <cell r="D821" t="str">
            <v>主线副本星数达到1050星</v>
          </cell>
          <cell r="E821" t="str">
            <v>4|2|1050|1</v>
          </cell>
        </row>
        <row r="822">
          <cell r="A822">
            <v>31085</v>
          </cell>
          <cell r="B822">
            <v>0</v>
          </cell>
          <cell r="C822" t="str">
            <v>4|1|500000</v>
          </cell>
          <cell r="D822" t="str">
            <v>主线副本星数达到1100星</v>
          </cell>
          <cell r="E822" t="str">
            <v>4|1|500000|1</v>
          </cell>
        </row>
        <row r="823">
          <cell r="A823">
            <v>31086</v>
          </cell>
          <cell r="B823">
            <v>0</v>
          </cell>
          <cell r="C823" t="str">
            <v>4|2|1100</v>
          </cell>
          <cell r="D823" t="str">
            <v>主线副本星数达到1150星</v>
          </cell>
          <cell r="E823" t="str">
            <v>4|2|1100|1</v>
          </cell>
        </row>
        <row r="824">
          <cell r="A824">
            <v>31087</v>
          </cell>
          <cell r="B824">
            <v>0</v>
          </cell>
          <cell r="C824" t="str">
            <v>4|1|500000</v>
          </cell>
          <cell r="D824" t="str">
            <v>主线副本星数达到1200星</v>
          </cell>
          <cell r="E824" t="str">
            <v>4|1|500000|1</v>
          </cell>
        </row>
        <row r="825">
          <cell r="A825">
            <v>31088</v>
          </cell>
          <cell r="B825">
            <v>0</v>
          </cell>
          <cell r="C825" t="str">
            <v>4|2|1150</v>
          </cell>
          <cell r="D825" t="str">
            <v>主线副本星数达到1250星</v>
          </cell>
          <cell r="E825" t="str">
            <v>4|2|1150|1</v>
          </cell>
        </row>
        <row r="826">
          <cell r="A826">
            <v>31089</v>
          </cell>
          <cell r="B826">
            <v>0</v>
          </cell>
          <cell r="C826" t="str">
            <v>4|1|500000</v>
          </cell>
          <cell r="D826" t="str">
            <v>主线副本星数达到1300星</v>
          </cell>
          <cell r="E826" t="str">
            <v>4|1|500000|1</v>
          </cell>
        </row>
        <row r="827">
          <cell r="A827">
            <v>31090</v>
          </cell>
          <cell r="B827">
            <v>0</v>
          </cell>
          <cell r="C827" t="str">
            <v>4|2|1200</v>
          </cell>
          <cell r="D827" t="str">
            <v>主线副本星数达到1350星</v>
          </cell>
          <cell r="E827" t="str">
            <v>4|2|1200|1</v>
          </cell>
        </row>
        <row r="828">
          <cell r="A828">
            <v>31091</v>
          </cell>
          <cell r="B828">
            <v>0</v>
          </cell>
          <cell r="C828" t="str">
            <v>4|1|500000</v>
          </cell>
          <cell r="D828" t="str">
            <v>主线副本星数达到1400星</v>
          </cell>
          <cell r="E828" t="str">
            <v>4|1|500000|1</v>
          </cell>
        </row>
        <row r="829">
          <cell r="A829">
            <v>31092</v>
          </cell>
          <cell r="B829">
            <v>0</v>
          </cell>
          <cell r="C829" t="str">
            <v>4|2|1250</v>
          </cell>
          <cell r="D829" t="str">
            <v>主线副本星数达到1450星</v>
          </cell>
          <cell r="E829" t="str">
            <v>4|2|1250|1</v>
          </cell>
        </row>
        <row r="830">
          <cell r="A830">
            <v>31093</v>
          </cell>
          <cell r="B830">
            <v>0</v>
          </cell>
          <cell r="C830" t="str">
            <v>4|1|500000</v>
          </cell>
          <cell r="D830" t="str">
            <v>主线副本星数达到1500星</v>
          </cell>
          <cell r="E830" t="str">
            <v>4|1|500000|1</v>
          </cell>
        </row>
        <row r="831">
          <cell r="A831">
            <v>31101</v>
          </cell>
          <cell r="B831">
            <v>0</v>
          </cell>
          <cell r="C831" t="str">
            <v>4|2|60</v>
          </cell>
          <cell r="D831" t="str">
            <v>困难关卡30星</v>
          </cell>
          <cell r="E831" t="str">
            <v>4|2|60|1</v>
          </cell>
        </row>
        <row r="832">
          <cell r="A832">
            <v>31102</v>
          </cell>
          <cell r="B832">
            <v>0</v>
          </cell>
          <cell r="C832" t="str">
            <v>4|2|120</v>
          </cell>
          <cell r="D832" t="str">
            <v>困难关卡60星</v>
          </cell>
          <cell r="E832" t="str">
            <v>4|2|120|1</v>
          </cell>
        </row>
        <row r="833">
          <cell r="A833">
            <v>31103</v>
          </cell>
          <cell r="B833">
            <v>0</v>
          </cell>
          <cell r="C833" t="str">
            <v>4|2|180</v>
          </cell>
          <cell r="D833" t="str">
            <v>困难关卡90星</v>
          </cell>
          <cell r="E833" t="str">
            <v>4|2|180|1</v>
          </cell>
        </row>
        <row r="834">
          <cell r="A834">
            <v>31104</v>
          </cell>
          <cell r="B834">
            <v>0</v>
          </cell>
          <cell r="C834" t="str">
            <v>4|2|240</v>
          </cell>
          <cell r="D834" t="str">
            <v>困难关卡120星</v>
          </cell>
          <cell r="E834" t="str">
            <v>4|2|240|1</v>
          </cell>
        </row>
        <row r="835">
          <cell r="A835">
            <v>31105</v>
          </cell>
          <cell r="B835">
            <v>0</v>
          </cell>
          <cell r="C835" t="str">
            <v>4|2|300</v>
          </cell>
          <cell r="D835" t="str">
            <v>困难关卡150星</v>
          </cell>
          <cell r="E835" t="str">
            <v>4|2|300|1</v>
          </cell>
        </row>
        <row r="836">
          <cell r="A836">
            <v>31106</v>
          </cell>
          <cell r="B836">
            <v>0</v>
          </cell>
          <cell r="C836" t="str">
            <v>4|2|360</v>
          </cell>
          <cell r="D836" t="str">
            <v>困难关卡180星</v>
          </cell>
          <cell r="E836" t="str">
            <v>4|2|360|1</v>
          </cell>
        </row>
        <row r="837">
          <cell r="A837">
            <v>31107</v>
          </cell>
          <cell r="B837">
            <v>0</v>
          </cell>
          <cell r="C837" t="str">
            <v>4|2|420</v>
          </cell>
          <cell r="D837" t="str">
            <v>困难关卡210星</v>
          </cell>
          <cell r="E837" t="str">
            <v>4|2|420|1</v>
          </cell>
        </row>
        <row r="838">
          <cell r="A838">
            <v>31108</v>
          </cell>
          <cell r="B838">
            <v>0</v>
          </cell>
          <cell r="C838" t="str">
            <v>4|2|480</v>
          </cell>
          <cell r="D838" t="str">
            <v>困难关卡240星</v>
          </cell>
          <cell r="E838" t="str">
            <v>4|2|480|1</v>
          </cell>
        </row>
        <row r="839">
          <cell r="A839">
            <v>31109</v>
          </cell>
          <cell r="B839">
            <v>0</v>
          </cell>
          <cell r="C839" t="str">
            <v>4|2|540</v>
          </cell>
          <cell r="D839" t="str">
            <v>困难关卡270星</v>
          </cell>
          <cell r="E839" t="str">
            <v>4|2|540|1</v>
          </cell>
        </row>
        <row r="840">
          <cell r="A840">
            <v>31110</v>
          </cell>
          <cell r="B840">
            <v>0</v>
          </cell>
          <cell r="C840" t="str">
            <v>4|2|600</v>
          </cell>
          <cell r="D840" t="str">
            <v>困难关卡300星</v>
          </cell>
          <cell r="E840" t="str">
            <v>4|2|600|1</v>
          </cell>
        </row>
        <row r="841">
          <cell r="A841">
            <v>31111</v>
          </cell>
          <cell r="B841">
            <v>0</v>
          </cell>
          <cell r="C841" t="str">
            <v>4|2|660</v>
          </cell>
          <cell r="D841" t="str">
            <v>困难关卡330星</v>
          </cell>
          <cell r="E841" t="str">
            <v>4|2|660|1</v>
          </cell>
        </row>
        <row r="842">
          <cell r="A842">
            <v>31112</v>
          </cell>
          <cell r="B842">
            <v>0</v>
          </cell>
          <cell r="C842" t="str">
            <v>4|2|720</v>
          </cell>
          <cell r="D842" t="str">
            <v>困难关卡360星</v>
          </cell>
          <cell r="E842" t="str">
            <v>4|2|720|1</v>
          </cell>
        </row>
        <row r="843">
          <cell r="A843">
            <v>31113</v>
          </cell>
          <cell r="B843">
            <v>0</v>
          </cell>
          <cell r="C843" t="str">
            <v>4|2|780</v>
          </cell>
          <cell r="D843" t="str">
            <v>困难关卡390星</v>
          </cell>
          <cell r="E843" t="str">
            <v>4|2|780|1</v>
          </cell>
        </row>
        <row r="844">
          <cell r="A844">
            <v>31114</v>
          </cell>
          <cell r="B844">
            <v>0</v>
          </cell>
          <cell r="C844" t="str">
            <v>4|2|840</v>
          </cell>
          <cell r="D844" t="str">
            <v>困难关卡420星</v>
          </cell>
          <cell r="E844" t="str">
            <v>4|2|840|1</v>
          </cell>
        </row>
        <row r="845">
          <cell r="A845">
            <v>31115</v>
          </cell>
          <cell r="B845">
            <v>0</v>
          </cell>
          <cell r="C845" t="str">
            <v>4|2|900</v>
          </cell>
          <cell r="D845" t="str">
            <v>困难关卡450星</v>
          </cell>
          <cell r="E845" t="str">
            <v>4|2|900|1</v>
          </cell>
        </row>
        <row r="846">
          <cell r="A846">
            <v>31116</v>
          </cell>
          <cell r="B846">
            <v>0</v>
          </cell>
          <cell r="C846" t="str">
            <v>4|2|960</v>
          </cell>
          <cell r="D846" t="str">
            <v>困难关卡480星</v>
          </cell>
          <cell r="E846" t="str">
            <v>4|2|960|1</v>
          </cell>
        </row>
        <row r="847">
          <cell r="A847">
            <v>31117</v>
          </cell>
          <cell r="B847">
            <v>0</v>
          </cell>
          <cell r="C847" t="str">
            <v>4|2|1020</v>
          </cell>
          <cell r="D847" t="str">
            <v>困难关卡510星</v>
          </cell>
          <cell r="E847" t="str">
            <v>4|2|1020|1</v>
          </cell>
        </row>
        <row r="848">
          <cell r="A848">
            <v>31151</v>
          </cell>
          <cell r="B848">
            <v>0</v>
          </cell>
          <cell r="C848" t="str">
            <v>4|2|60</v>
          </cell>
          <cell r="D848" t="str">
            <v>炼狱副本12星</v>
          </cell>
          <cell r="E848" t="str">
            <v>4|2|60|1</v>
          </cell>
        </row>
        <row r="849">
          <cell r="A849">
            <v>31152</v>
          </cell>
          <cell r="B849">
            <v>0</v>
          </cell>
          <cell r="C849" t="str">
            <v>4|2|120</v>
          </cell>
          <cell r="D849" t="str">
            <v>炼狱副本24星</v>
          </cell>
          <cell r="E849" t="str">
            <v>4|2|120|1</v>
          </cell>
        </row>
        <row r="850">
          <cell r="A850">
            <v>31153</v>
          </cell>
          <cell r="B850">
            <v>0</v>
          </cell>
          <cell r="C850" t="str">
            <v>4|2|180</v>
          </cell>
          <cell r="D850" t="str">
            <v>炼狱副本36星</v>
          </cell>
          <cell r="E850" t="str">
            <v>4|2|180|1</v>
          </cell>
        </row>
        <row r="851">
          <cell r="A851">
            <v>31154</v>
          </cell>
          <cell r="B851">
            <v>0</v>
          </cell>
          <cell r="C851" t="str">
            <v>4|2|240</v>
          </cell>
          <cell r="D851" t="str">
            <v>炼狱副本48星</v>
          </cell>
          <cell r="E851" t="str">
            <v>4|2|240|1</v>
          </cell>
        </row>
        <row r="852">
          <cell r="A852">
            <v>31155</v>
          </cell>
          <cell r="B852">
            <v>0</v>
          </cell>
          <cell r="C852" t="str">
            <v>4|2|300</v>
          </cell>
          <cell r="D852" t="str">
            <v>炼狱副本60星</v>
          </cell>
          <cell r="E852" t="str">
            <v>4|2|300|1</v>
          </cell>
        </row>
        <row r="853">
          <cell r="A853">
            <v>31156</v>
          </cell>
          <cell r="B853">
            <v>0</v>
          </cell>
          <cell r="C853" t="str">
            <v>4|2|360</v>
          </cell>
          <cell r="D853" t="str">
            <v>炼狱副本72星</v>
          </cell>
          <cell r="E853" t="str">
            <v>4|2|360|1</v>
          </cell>
        </row>
        <row r="854">
          <cell r="A854">
            <v>31157</v>
          </cell>
          <cell r="B854">
            <v>0</v>
          </cell>
          <cell r="C854" t="str">
            <v>4|2|420</v>
          </cell>
          <cell r="D854" t="str">
            <v>炼狱副本84星</v>
          </cell>
          <cell r="E854" t="str">
            <v>4|2|420|1</v>
          </cell>
        </row>
        <row r="855">
          <cell r="A855">
            <v>31158</v>
          </cell>
          <cell r="B855">
            <v>0</v>
          </cell>
          <cell r="C855" t="str">
            <v>4|2|480</v>
          </cell>
          <cell r="D855" t="str">
            <v>炼狱副本96星</v>
          </cell>
          <cell r="E855" t="str">
            <v>4|2|480|1</v>
          </cell>
        </row>
        <row r="856">
          <cell r="A856">
            <v>31159</v>
          </cell>
          <cell r="B856">
            <v>0</v>
          </cell>
          <cell r="C856" t="str">
            <v>4|2|540</v>
          </cell>
          <cell r="D856" t="str">
            <v>炼狱副本108星</v>
          </cell>
          <cell r="E856" t="str">
            <v>4|2|540|1</v>
          </cell>
        </row>
        <row r="857">
          <cell r="A857">
            <v>31160</v>
          </cell>
          <cell r="B857">
            <v>0</v>
          </cell>
          <cell r="C857" t="str">
            <v>4|2|600</v>
          </cell>
          <cell r="D857" t="str">
            <v>炼狱副本120星</v>
          </cell>
          <cell r="E857" t="str">
            <v>4|2|600|1</v>
          </cell>
        </row>
        <row r="858">
          <cell r="A858">
            <v>31161</v>
          </cell>
          <cell r="B858">
            <v>0</v>
          </cell>
          <cell r="C858" t="str">
            <v>4|2|660</v>
          </cell>
          <cell r="D858" t="str">
            <v>炼狱副本132星</v>
          </cell>
          <cell r="E858" t="str">
            <v>4|2|660|1</v>
          </cell>
        </row>
        <row r="859">
          <cell r="A859">
            <v>31162</v>
          </cell>
          <cell r="B859">
            <v>0</v>
          </cell>
          <cell r="C859" t="str">
            <v>4|2|720</v>
          </cell>
          <cell r="D859" t="str">
            <v>炼狱副本144星</v>
          </cell>
          <cell r="E859" t="str">
            <v>4|2|720|1</v>
          </cell>
        </row>
        <row r="860">
          <cell r="A860">
            <v>31163</v>
          </cell>
          <cell r="B860">
            <v>0</v>
          </cell>
          <cell r="C860" t="str">
            <v>4|2|780</v>
          </cell>
          <cell r="D860" t="str">
            <v>炼狱副本156星</v>
          </cell>
          <cell r="E860" t="str">
            <v>4|2|780|1</v>
          </cell>
        </row>
        <row r="861">
          <cell r="A861">
            <v>31164</v>
          </cell>
          <cell r="B861">
            <v>0</v>
          </cell>
          <cell r="C861" t="str">
            <v>4|2|840</v>
          </cell>
          <cell r="D861" t="str">
            <v>炼狱副本168星</v>
          </cell>
          <cell r="E861" t="str">
            <v>4|2|840|1</v>
          </cell>
        </row>
        <row r="862">
          <cell r="A862">
            <v>31165</v>
          </cell>
          <cell r="B862">
            <v>0</v>
          </cell>
          <cell r="C862" t="str">
            <v>4|2|900</v>
          </cell>
          <cell r="D862" t="str">
            <v>炼狱副本180星</v>
          </cell>
          <cell r="E862" t="str">
            <v>4|2|900|1</v>
          </cell>
        </row>
        <row r="863">
          <cell r="A863">
            <v>31166</v>
          </cell>
          <cell r="B863">
            <v>0</v>
          </cell>
          <cell r="C863" t="str">
            <v>4|2|960</v>
          </cell>
          <cell r="D863" t="str">
            <v>炼狱副本192星</v>
          </cell>
          <cell r="E863" t="str">
            <v>4|2|960|1</v>
          </cell>
        </row>
        <row r="864">
          <cell r="A864">
            <v>31200</v>
          </cell>
          <cell r="B864">
            <v>0</v>
          </cell>
          <cell r="C864" t="str">
            <v>4|3|1000</v>
          </cell>
          <cell r="D864" t="str">
            <v>大雁塔5层</v>
          </cell>
          <cell r="E864" t="str">
            <v>4|3|1000|1</v>
          </cell>
        </row>
        <row r="865">
          <cell r="A865">
            <v>31201</v>
          </cell>
          <cell r="B865">
            <v>0</v>
          </cell>
          <cell r="C865" t="str">
            <v>4|3|1000</v>
          </cell>
          <cell r="D865" t="str">
            <v>大雁塔10层</v>
          </cell>
          <cell r="E865" t="str">
            <v>4|3|1000|1</v>
          </cell>
        </row>
        <row r="866">
          <cell r="A866">
            <v>31202</v>
          </cell>
          <cell r="B866">
            <v>0</v>
          </cell>
          <cell r="C866" t="str">
            <v>4|3|1500</v>
          </cell>
          <cell r="D866" t="str">
            <v>大雁塔15层</v>
          </cell>
          <cell r="E866" t="str">
            <v>4|3|1500|1</v>
          </cell>
        </row>
        <row r="867">
          <cell r="A867">
            <v>31203</v>
          </cell>
          <cell r="B867">
            <v>0</v>
          </cell>
          <cell r="C867" t="str">
            <v>4|3|2000</v>
          </cell>
          <cell r="D867" t="str">
            <v>大雁塔20层</v>
          </cell>
          <cell r="E867" t="str">
            <v>4|3|2000|1</v>
          </cell>
        </row>
        <row r="868">
          <cell r="A868">
            <v>31204</v>
          </cell>
          <cell r="B868">
            <v>0</v>
          </cell>
          <cell r="C868" t="str">
            <v>4|3|2500</v>
          </cell>
          <cell r="D868" t="str">
            <v>大雁塔25层</v>
          </cell>
          <cell r="E868" t="str">
            <v>4|3|2500|1</v>
          </cell>
        </row>
        <row r="869">
          <cell r="A869">
            <v>31205</v>
          </cell>
          <cell r="B869">
            <v>0</v>
          </cell>
          <cell r="C869" t="str">
            <v>4|3|3000</v>
          </cell>
          <cell r="D869" t="str">
            <v>大雁塔30层</v>
          </cell>
          <cell r="E869" t="str">
            <v>4|3|3000|1</v>
          </cell>
        </row>
        <row r="870">
          <cell r="A870">
            <v>31206</v>
          </cell>
          <cell r="B870">
            <v>0</v>
          </cell>
          <cell r="C870" t="str">
            <v>4|3|3500</v>
          </cell>
          <cell r="D870" t="str">
            <v>大雁塔35层</v>
          </cell>
          <cell r="E870" t="str">
            <v>4|3|3500|1</v>
          </cell>
        </row>
        <row r="871">
          <cell r="A871">
            <v>31207</v>
          </cell>
          <cell r="B871">
            <v>0</v>
          </cell>
          <cell r="C871" t="str">
            <v>4|3|4000</v>
          </cell>
          <cell r="D871" t="str">
            <v>大雁塔40层</v>
          </cell>
          <cell r="E871" t="str">
            <v>4|3|4000|1</v>
          </cell>
        </row>
        <row r="872">
          <cell r="A872">
            <v>31208</v>
          </cell>
          <cell r="B872">
            <v>0</v>
          </cell>
          <cell r="C872" t="str">
            <v>4|3|4500</v>
          </cell>
          <cell r="D872" t="str">
            <v>大雁塔45层</v>
          </cell>
          <cell r="E872" t="str">
            <v>4|3|4500|1</v>
          </cell>
        </row>
        <row r="873">
          <cell r="A873">
            <v>31209</v>
          </cell>
          <cell r="B873">
            <v>0</v>
          </cell>
          <cell r="C873" t="str">
            <v>4|3|5000</v>
          </cell>
          <cell r="D873" t="str">
            <v>大雁塔50层</v>
          </cell>
          <cell r="E873" t="str">
            <v>4|3|5000|1</v>
          </cell>
        </row>
        <row r="874">
          <cell r="A874">
            <v>31210</v>
          </cell>
          <cell r="B874">
            <v>0</v>
          </cell>
          <cell r="C874" t="str">
            <v>4|3|5500</v>
          </cell>
          <cell r="D874" t="str">
            <v>大雁塔55层</v>
          </cell>
          <cell r="E874" t="str">
            <v>4|3|5500|1</v>
          </cell>
        </row>
        <row r="875">
          <cell r="A875">
            <v>31211</v>
          </cell>
          <cell r="B875">
            <v>0</v>
          </cell>
          <cell r="C875" t="str">
            <v>4|3|6000</v>
          </cell>
          <cell r="D875" t="str">
            <v>大雁塔60层</v>
          </cell>
          <cell r="E875" t="str">
            <v>4|3|6000|1</v>
          </cell>
        </row>
        <row r="876">
          <cell r="A876">
            <v>31212</v>
          </cell>
          <cell r="B876">
            <v>0</v>
          </cell>
          <cell r="C876" t="str">
            <v>4|3|6500</v>
          </cell>
          <cell r="D876" t="str">
            <v>大雁塔65层</v>
          </cell>
          <cell r="E876" t="str">
            <v>4|3|6500|1</v>
          </cell>
        </row>
        <row r="877">
          <cell r="A877">
            <v>31213</v>
          </cell>
          <cell r="B877">
            <v>0</v>
          </cell>
          <cell r="C877" t="str">
            <v>4|3|7000</v>
          </cell>
          <cell r="D877" t="str">
            <v>大雁塔70层</v>
          </cell>
          <cell r="E877" t="str">
            <v>4|3|7000|1</v>
          </cell>
        </row>
        <row r="878">
          <cell r="A878">
            <v>31214</v>
          </cell>
          <cell r="B878">
            <v>0</v>
          </cell>
          <cell r="C878" t="str">
            <v>4|3|7500</v>
          </cell>
          <cell r="D878" t="str">
            <v>大雁塔75层</v>
          </cell>
          <cell r="E878" t="str">
            <v>4|3|7500|1</v>
          </cell>
        </row>
        <row r="879">
          <cell r="A879">
            <v>31215</v>
          </cell>
          <cell r="B879">
            <v>0</v>
          </cell>
          <cell r="C879" t="str">
            <v>4|3|8000</v>
          </cell>
          <cell r="D879" t="str">
            <v>大雁塔80层</v>
          </cell>
          <cell r="E879" t="str">
            <v>4|3|8000|1</v>
          </cell>
        </row>
        <row r="880">
          <cell r="A880">
            <v>31216</v>
          </cell>
          <cell r="B880">
            <v>0</v>
          </cell>
          <cell r="C880" t="str">
            <v>4|3|8500</v>
          </cell>
          <cell r="D880" t="str">
            <v>大雁塔85层</v>
          </cell>
          <cell r="E880" t="str">
            <v>4|3|8500|1</v>
          </cell>
        </row>
        <row r="881">
          <cell r="A881">
            <v>31217</v>
          </cell>
          <cell r="B881">
            <v>0</v>
          </cell>
          <cell r="C881" t="str">
            <v>4|3|9000</v>
          </cell>
          <cell r="D881" t="str">
            <v>大雁塔90层</v>
          </cell>
          <cell r="E881" t="str">
            <v>4|3|9000|1</v>
          </cell>
        </row>
        <row r="882">
          <cell r="A882">
            <v>31218</v>
          </cell>
          <cell r="B882">
            <v>0</v>
          </cell>
          <cell r="C882" t="str">
            <v>4|3|9500</v>
          </cell>
          <cell r="D882" t="str">
            <v>大雁塔95层</v>
          </cell>
          <cell r="E882" t="str">
            <v>4|3|9500|1</v>
          </cell>
        </row>
        <row r="883">
          <cell r="A883">
            <v>31219</v>
          </cell>
          <cell r="B883">
            <v>0</v>
          </cell>
          <cell r="C883" t="str">
            <v>4|3|10000</v>
          </cell>
          <cell r="D883" t="str">
            <v>大雁塔100层</v>
          </cell>
          <cell r="E883" t="str">
            <v>4|3|10000|1</v>
          </cell>
        </row>
        <row r="884">
          <cell r="A884">
            <v>31251</v>
          </cell>
          <cell r="B884">
            <v>0</v>
          </cell>
          <cell r="C884" t="str">
            <v>4|2|100</v>
          </cell>
          <cell r="D884" t="str">
            <v>队伍战斗力达到1万</v>
          </cell>
          <cell r="E884" t="str">
            <v>4|2|100|1</v>
          </cell>
        </row>
        <row r="885">
          <cell r="A885">
            <v>31252</v>
          </cell>
          <cell r="B885">
            <v>0</v>
          </cell>
          <cell r="C885" t="str">
            <v>4|2|100</v>
          </cell>
          <cell r="D885" t="str">
            <v>队伍战斗力达到2万</v>
          </cell>
          <cell r="E885" t="str">
            <v>4|2|100|1</v>
          </cell>
        </row>
        <row r="886">
          <cell r="A886">
            <v>31253</v>
          </cell>
          <cell r="B886">
            <v>0</v>
          </cell>
          <cell r="C886" t="str">
            <v>4|2|150</v>
          </cell>
          <cell r="D886" t="str">
            <v>队伍战斗力达到3万</v>
          </cell>
          <cell r="E886" t="str">
            <v>4|2|150|1</v>
          </cell>
        </row>
        <row r="887">
          <cell r="A887">
            <v>31254</v>
          </cell>
          <cell r="B887">
            <v>0</v>
          </cell>
          <cell r="C887" t="str">
            <v>4|2|150</v>
          </cell>
          <cell r="D887" t="str">
            <v>队伍战斗力达到5万</v>
          </cell>
          <cell r="E887" t="str">
            <v>4|2|150|1</v>
          </cell>
        </row>
        <row r="888">
          <cell r="A888">
            <v>31255</v>
          </cell>
          <cell r="B888">
            <v>0</v>
          </cell>
          <cell r="C888" t="str">
            <v>4|2|200</v>
          </cell>
          <cell r="D888" t="str">
            <v>队伍战斗力达到8万</v>
          </cell>
          <cell r="E888" t="str">
            <v>4|2|200|1</v>
          </cell>
        </row>
        <row r="889">
          <cell r="A889">
            <v>31256</v>
          </cell>
          <cell r="B889">
            <v>0</v>
          </cell>
          <cell r="C889" t="str">
            <v>4|2|200</v>
          </cell>
          <cell r="D889" t="str">
            <v>队伍战斗力达到12万</v>
          </cell>
          <cell r="E889" t="str">
            <v>4|2|200|1</v>
          </cell>
        </row>
        <row r="890">
          <cell r="A890">
            <v>31257</v>
          </cell>
          <cell r="B890">
            <v>0</v>
          </cell>
          <cell r="C890" t="str">
            <v>4|2|250</v>
          </cell>
          <cell r="D890" t="str">
            <v>队伍战斗力达到16万</v>
          </cell>
          <cell r="E890" t="str">
            <v>4|2|250|1</v>
          </cell>
        </row>
        <row r="891">
          <cell r="A891">
            <v>31258</v>
          </cell>
          <cell r="B891">
            <v>0</v>
          </cell>
          <cell r="C891" t="str">
            <v>4|2|250</v>
          </cell>
          <cell r="D891" t="str">
            <v>队伍战斗力达到20万</v>
          </cell>
          <cell r="E891" t="str">
            <v>4|2|250|1</v>
          </cell>
        </row>
        <row r="892">
          <cell r="A892">
            <v>31259</v>
          </cell>
          <cell r="B892">
            <v>0</v>
          </cell>
          <cell r="C892" t="str">
            <v>4|2|300</v>
          </cell>
          <cell r="D892" t="str">
            <v>队伍战斗力达到25万</v>
          </cell>
          <cell r="E892" t="str">
            <v>4|2|300|1</v>
          </cell>
        </row>
        <row r="893">
          <cell r="A893">
            <v>31260</v>
          </cell>
          <cell r="B893">
            <v>0</v>
          </cell>
          <cell r="C893" t="str">
            <v>4|2|300</v>
          </cell>
          <cell r="D893" t="str">
            <v>队伍战斗力达到30万</v>
          </cell>
          <cell r="E893" t="str">
            <v>4|2|300|1</v>
          </cell>
        </row>
        <row r="894">
          <cell r="A894">
            <v>31261</v>
          </cell>
          <cell r="B894">
            <v>0</v>
          </cell>
          <cell r="C894" t="str">
            <v>4|2|350</v>
          </cell>
          <cell r="D894" t="str">
            <v>队伍战斗力达到35万</v>
          </cell>
          <cell r="E894" t="str">
            <v>4|2|350|1</v>
          </cell>
        </row>
        <row r="895">
          <cell r="A895">
            <v>31262</v>
          </cell>
          <cell r="B895">
            <v>0</v>
          </cell>
          <cell r="C895" t="str">
            <v>4|2|350</v>
          </cell>
          <cell r="D895" t="str">
            <v>队伍战斗力达到40万</v>
          </cell>
          <cell r="E895" t="str">
            <v>4|2|350|1</v>
          </cell>
        </row>
        <row r="896">
          <cell r="A896">
            <v>31263</v>
          </cell>
          <cell r="B896">
            <v>0</v>
          </cell>
          <cell r="C896" t="str">
            <v>4|2|400</v>
          </cell>
          <cell r="D896" t="str">
            <v>队伍战斗力达到45万</v>
          </cell>
          <cell r="E896" t="str">
            <v>4|2|400|1</v>
          </cell>
        </row>
        <row r="897">
          <cell r="A897">
            <v>31264</v>
          </cell>
          <cell r="B897">
            <v>0</v>
          </cell>
          <cell r="C897" t="str">
            <v>4|2|400</v>
          </cell>
          <cell r="D897" t="str">
            <v>队伍战斗力达到50万</v>
          </cell>
          <cell r="E897" t="str">
            <v>4|2|400|1</v>
          </cell>
        </row>
        <row r="898">
          <cell r="A898">
            <v>31265</v>
          </cell>
          <cell r="B898">
            <v>0</v>
          </cell>
          <cell r="C898" t="str">
            <v>4|2|450</v>
          </cell>
          <cell r="D898" t="str">
            <v>队伍战斗力达到55万</v>
          </cell>
          <cell r="E898" t="str">
            <v>4|2|450|1</v>
          </cell>
        </row>
        <row r="899">
          <cell r="A899">
            <v>31266</v>
          </cell>
          <cell r="B899">
            <v>0</v>
          </cell>
          <cell r="C899" t="str">
            <v>4|2|450</v>
          </cell>
          <cell r="D899" t="str">
            <v>队伍战斗力达到60万</v>
          </cell>
          <cell r="E899" t="str">
            <v>4|2|450|1</v>
          </cell>
        </row>
        <row r="900">
          <cell r="A900">
            <v>31267</v>
          </cell>
          <cell r="B900">
            <v>0</v>
          </cell>
          <cell r="C900" t="str">
            <v>4|2|500</v>
          </cell>
          <cell r="D900" t="str">
            <v>队伍战斗力达到65万</v>
          </cell>
          <cell r="E900" t="str">
            <v>4|2|500|1</v>
          </cell>
        </row>
        <row r="901">
          <cell r="A901">
            <v>31268</v>
          </cell>
          <cell r="B901">
            <v>0</v>
          </cell>
          <cell r="C901" t="str">
            <v>4|2|500</v>
          </cell>
          <cell r="D901" t="str">
            <v>队伍战斗力达到70万</v>
          </cell>
          <cell r="E901" t="str">
            <v>4|2|500|1</v>
          </cell>
        </row>
        <row r="902">
          <cell r="A902">
            <v>31269</v>
          </cell>
          <cell r="B902">
            <v>0</v>
          </cell>
          <cell r="C902" t="str">
            <v>4|2|550</v>
          </cell>
          <cell r="D902" t="str">
            <v>队伍战斗力达到75万</v>
          </cell>
          <cell r="E902" t="str">
            <v>4|2|550|1</v>
          </cell>
        </row>
        <row r="903">
          <cell r="A903">
            <v>31270</v>
          </cell>
          <cell r="B903">
            <v>0</v>
          </cell>
          <cell r="C903" t="str">
            <v>4|2|550</v>
          </cell>
          <cell r="D903" t="str">
            <v>队伍战斗力达到80万</v>
          </cell>
          <cell r="E903" t="str">
            <v>4|2|550|1</v>
          </cell>
        </row>
        <row r="904">
          <cell r="A904">
            <v>31271</v>
          </cell>
          <cell r="B904">
            <v>0</v>
          </cell>
          <cell r="C904" t="str">
            <v>4|2|600</v>
          </cell>
          <cell r="D904" t="str">
            <v>队伍战斗力达到85万</v>
          </cell>
          <cell r="E904" t="str">
            <v>4|2|600|1</v>
          </cell>
        </row>
        <row r="905">
          <cell r="A905">
            <v>31272</v>
          </cell>
          <cell r="B905">
            <v>0</v>
          </cell>
          <cell r="C905" t="str">
            <v>4|2|600</v>
          </cell>
          <cell r="D905" t="str">
            <v>队伍战斗力达到90万</v>
          </cell>
          <cell r="E905" t="str">
            <v>4|2|600|1</v>
          </cell>
        </row>
        <row r="906">
          <cell r="A906">
            <v>31273</v>
          </cell>
          <cell r="B906">
            <v>0</v>
          </cell>
          <cell r="C906" t="str">
            <v>4|2|650</v>
          </cell>
          <cell r="D906" t="str">
            <v>队伍战斗力达到95万</v>
          </cell>
          <cell r="E906" t="str">
            <v>4|2|650|1</v>
          </cell>
        </row>
        <row r="907">
          <cell r="A907">
            <v>31274</v>
          </cell>
          <cell r="B907">
            <v>0</v>
          </cell>
          <cell r="C907" t="str">
            <v>4|2|650</v>
          </cell>
          <cell r="D907" t="str">
            <v>队伍战斗力达到100万</v>
          </cell>
          <cell r="E907" t="str">
            <v>4|2|650|1</v>
          </cell>
        </row>
        <row r="908">
          <cell r="A908">
            <v>31275</v>
          </cell>
          <cell r="B908">
            <v>0</v>
          </cell>
          <cell r="C908" t="str">
            <v>4|2|700</v>
          </cell>
          <cell r="D908" t="str">
            <v>队伍战斗力达到110万</v>
          </cell>
          <cell r="E908" t="str">
            <v>4|2|700|1</v>
          </cell>
        </row>
        <row r="909">
          <cell r="A909">
            <v>31276</v>
          </cell>
          <cell r="B909">
            <v>0</v>
          </cell>
          <cell r="C909" t="str">
            <v>4|2|700</v>
          </cell>
          <cell r="D909" t="str">
            <v>队伍战斗力达到120万</v>
          </cell>
          <cell r="E909" t="str">
            <v>4|2|700|1</v>
          </cell>
        </row>
        <row r="910">
          <cell r="A910">
            <v>31277</v>
          </cell>
          <cell r="B910">
            <v>0</v>
          </cell>
          <cell r="C910" t="str">
            <v>4|2|750</v>
          </cell>
          <cell r="D910" t="str">
            <v>队伍战斗力达到130万</v>
          </cell>
          <cell r="E910" t="str">
            <v>4|2|750|1</v>
          </cell>
        </row>
        <row r="911">
          <cell r="A911">
            <v>31278</v>
          </cell>
          <cell r="B911">
            <v>0</v>
          </cell>
          <cell r="C911" t="str">
            <v>4|2|750</v>
          </cell>
          <cell r="D911" t="str">
            <v>队伍战斗力达到140万</v>
          </cell>
          <cell r="E911" t="str">
            <v>4|2|750|1</v>
          </cell>
        </row>
        <row r="912">
          <cell r="A912">
            <v>31279</v>
          </cell>
          <cell r="B912">
            <v>0</v>
          </cell>
          <cell r="C912" t="str">
            <v>4|2|800</v>
          </cell>
          <cell r="D912" t="str">
            <v>队伍战斗力达到150万</v>
          </cell>
          <cell r="E912" t="str">
            <v>4|2|800|1</v>
          </cell>
        </row>
        <row r="913">
          <cell r="A913">
            <v>31280</v>
          </cell>
          <cell r="B913">
            <v>0</v>
          </cell>
          <cell r="C913" t="str">
            <v>4|2|800</v>
          </cell>
          <cell r="D913" t="str">
            <v>队伍战斗力达到160万</v>
          </cell>
          <cell r="E913" t="str">
            <v>4|2|800|1</v>
          </cell>
        </row>
        <row r="914">
          <cell r="A914">
            <v>31281</v>
          </cell>
          <cell r="B914">
            <v>0</v>
          </cell>
          <cell r="C914" t="str">
            <v>4|2|850</v>
          </cell>
          <cell r="D914" t="str">
            <v>队伍战斗力达到170万</v>
          </cell>
          <cell r="E914" t="str">
            <v>4|2|850|1</v>
          </cell>
        </row>
        <row r="915">
          <cell r="A915">
            <v>31282</v>
          </cell>
          <cell r="B915">
            <v>0</v>
          </cell>
          <cell r="C915" t="str">
            <v>4|2|850</v>
          </cell>
          <cell r="D915" t="str">
            <v>队伍战斗力达到180万</v>
          </cell>
          <cell r="E915" t="str">
            <v>4|2|850|1</v>
          </cell>
        </row>
        <row r="916">
          <cell r="A916">
            <v>31283</v>
          </cell>
          <cell r="B916">
            <v>0</v>
          </cell>
          <cell r="C916" t="str">
            <v>4|2|900</v>
          </cell>
          <cell r="D916" t="str">
            <v>队伍战斗力达到190万</v>
          </cell>
          <cell r="E916" t="str">
            <v>4|2|900|1</v>
          </cell>
        </row>
        <row r="917">
          <cell r="A917">
            <v>31284</v>
          </cell>
          <cell r="B917">
            <v>0</v>
          </cell>
          <cell r="C917" t="str">
            <v>4|2|900</v>
          </cell>
          <cell r="D917" t="str">
            <v>队伍战斗力达到200万</v>
          </cell>
          <cell r="E917" t="str">
            <v>4|2|900|1</v>
          </cell>
        </row>
        <row r="918">
          <cell r="A918">
            <v>31285</v>
          </cell>
          <cell r="B918">
            <v>0</v>
          </cell>
          <cell r="C918" t="str">
            <v>4|2|950</v>
          </cell>
          <cell r="D918" t="str">
            <v>队伍战斗力达到210万</v>
          </cell>
          <cell r="E918" t="str">
            <v>4|2|950|1</v>
          </cell>
        </row>
        <row r="919">
          <cell r="A919">
            <v>31286</v>
          </cell>
          <cell r="B919">
            <v>0</v>
          </cell>
          <cell r="C919" t="str">
            <v>4|2|950</v>
          </cell>
          <cell r="D919" t="str">
            <v>队伍战斗力达到220万</v>
          </cell>
          <cell r="E919" t="str">
            <v>4|2|950|1</v>
          </cell>
        </row>
        <row r="920">
          <cell r="A920">
            <v>31287</v>
          </cell>
          <cell r="B920">
            <v>0</v>
          </cell>
          <cell r="C920" t="str">
            <v>4|2|1000</v>
          </cell>
          <cell r="D920" t="str">
            <v>队伍战斗力达到230万</v>
          </cell>
          <cell r="E920" t="str">
            <v>4|2|1000|1</v>
          </cell>
        </row>
        <row r="921">
          <cell r="A921">
            <v>31288</v>
          </cell>
          <cell r="B921">
            <v>0</v>
          </cell>
          <cell r="C921" t="str">
            <v>4|2|1000</v>
          </cell>
          <cell r="D921" t="str">
            <v>队伍战斗力达到240万</v>
          </cell>
          <cell r="E921" t="str">
            <v>4|2|1000|1</v>
          </cell>
        </row>
        <row r="922">
          <cell r="A922">
            <v>31289</v>
          </cell>
          <cell r="B922">
            <v>0</v>
          </cell>
          <cell r="C922" t="str">
            <v>4|2|1000</v>
          </cell>
          <cell r="D922" t="str">
            <v>队伍战斗力达到250万</v>
          </cell>
          <cell r="E922" t="str">
            <v>4|2|1000|1</v>
          </cell>
        </row>
        <row r="923">
          <cell r="A923">
            <v>31290</v>
          </cell>
          <cell r="B923">
            <v>0</v>
          </cell>
          <cell r="C923" t="str">
            <v>4|2|1000</v>
          </cell>
          <cell r="D923" t="str">
            <v>队伍战斗力达到260万</v>
          </cell>
          <cell r="E923" t="str">
            <v>4|2|1000|1</v>
          </cell>
        </row>
        <row r="924">
          <cell r="A924">
            <v>31291</v>
          </cell>
          <cell r="B924">
            <v>0</v>
          </cell>
          <cell r="C924" t="str">
            <v>4|2|1000</v>
          </cell>
          <cell r="D924" t="str">
            <v>队伍战斗力达到270万</v>
          </cell>
          <cell r="E924" t="str">
            <v>4|2|1000|1</v>
          </cell>
        </row>
        <row r="925">
          <cell r="A925">
            <v>31292</v>
          </cell>
          <cell r="B925">
            <v>0</v>
          </cell>
          <cell r="C925" t="str">
            <v>4|2|1000</v>
          </cell>
          <cell r="D925" t="str">
            <v>队伍战斗力达到280万</v>
          </cell>
          <cell r="E925" t="str">
            <v>4|2|1000|1</v>
          </cell>
        </row>
        <row r="926">
          <cell r="A926">
            <v>31293</v>
          </cell>
          <cell r="B926">
            <v>0</v>
          </cell>
          <cell r="C926" t="str">
            <v>4|2|1000</v>
          </cell>
          <cell r="D926" t="str">
            <v>队伍战斗力达到290万</v>
          </cell>
          <cell r="E926" t="str">
            <v>4|2|1000|1</v>
          </cell>
        </row>
        <row r="927">
          <cell r="A927">
            <v>31294</v>
          </cell>
          <cell r="B927">
            <v>0</v>
          </cell>
          <cell r="C927" t="str">
            <v>4|2|1000</v>
          </cell>
          <cell r="D927" t="str">
            <v>队伍战斗力达到300万</v>
          </cell>
          <cell r="E927" t="str">
            <v>4|2|1000|1</v>
          </cell>
        </row>
        <row r="928">
          <cell r="A928">
            <v>31301</v>
          </cell>
          <cell r="B928">
            <v>0</v>
          </cell>
          <cell r="C928" t="str">
            <v>4|2|10</v>
          </cell>
          <cell r="D928" t="str">
            <v>vip等级达到1级</v>
          </cell>
          <cell r="E928" t="str">
            <v>4|2|10|1</v>
          </cell>
        </row>
        <row r="929">
          <cell r="A929">
            <v>31302</v>
          </cell>
          <cell r="B929">
            <v>0</v>
          </cell>
          <cell r="C929" t="str">
            <v>4|2|30</v>
          </cell>
          <cell r="D929" t="str">
            <v>vip等级达到2级</v>
          </cell>
          <cell r="E929" t="str">
            <v>4|2|30|1</v>
          </cell>
        </row>
        <row r="930">
          <cell r="A930">
            <v>31303</v>
          </cell>
          <cell r="B930">
            <v>0</v>
          </cell>
          <cell r="C930" t="str">
            <v>4|2|100</v>
          </cell>
          <cell r="D930" t="str">
            <v>vip等级达到3级</v>
          </cell>
          <cell r="E930" t="str">
            <v>4|2|100|1</v>
          </cell>
        </row>
        <row r="931">
          <cell r="A931">
            <v>31304</v>
          </cell>
          <cell r="B931">
            <v>0</v>
          </cell>
          <cell r="C931" t="str">
            <v>4|2|200</v>
          </cell>
          <cell r="D931" t="str">
            <v>vip等级达到4级</v>
          </cell>
          <cell r="E931" t="str">
            <v>4|2|200|1</v>
          </cell>
        </row>
        <row r="932">
          <cell r="A932">
            <v>31305</v>
          </cell>
          <cell r="B932">
            <v>0</v>
          </cell>
          <cell r="C932" t="str">
            <v>4|2|500</v>
          </cell>
          <cell r="D932" t="str">
            <v>vip等级达到5级</v>
          </cell>
          <cell r="E932" t="str">
            <v>4|2|500|1</v>
          </cell>
        </row>
        <row r="933">
          <cell r="A933">
            <v>31306</v>
          </cell>
          <cell r="B933">
            <v>0</v>
          </cell>
          <cell r="C933" t="str">
            <v>4|2|800</v>
          </cell>
          <cell r="D933" t="str">
            <v>vip等级达到6级</v>
          </cell>
          <cell r="E933" t="str">
            <v>4|2|800|1</v>
          </cell>
        </row>
        <row r="934">
          <cell r="A934">
            <v>31307</v>
          </cell>
          <cell r="B934">
            <v>0</v>
          </cell>
          <cell r="C934" t="str">
            <v>4|2|1000</v>
          </cell>
          <cell r="D934" t="str">
            <v>vip等级达到7级</v>
          </cell>
          <cell r="E934" t="str">
            <v>4|2|1000|1</v>
          </cell>
        </row>
        <row r="935">
          <cell r="A935">
            <v>31308</v>
          </cell>
          <cell r="B935">
            <v>0</v>
          </cell>
          <cell r="C935" t="str">
            <v>4|2|2000</v>
          </cell>
          <cell r="D935" t="str">
            <v>vip等级达到8级</v>
          </cell>
          <cell r="E935" t="str">
            <v>4|2|2000|1</v>
          </cell>
        </row>
        <row r="936">
          <cell r="A936">
            <v>31309</v>
          </cell>
          <cell r="B936">
            <v>0</v>
          </cell>
          <cell r="C936" t="str">
            <v>4|2|3000</v>
          </cell>
          <cell r="D936" t="str">
            <v>vip等级达到9级</v>
          </cell>
          <cell r="E936" t="str">
            <v>4|2|3000|1</v>
          </cell>
        </row>
        <row r="937">
          <cell r="A937">
            <v>31310</v>
          </cell>
          <cell r="B937">
            <v>0</v>
          </cell>
          <cell r="C937" t="str">
            <v>4|2|5000</v>
          </cell>
          <cell r="D937" t="str">
            <v>vip等级达到10级</v>
          </cell>
          <cell r="E937" t="str">
            <v>4|2|5000|1</v>
          </cell>
        </row>
        <row r="938">
          <cell r="A938">
            <v>31311</v>
          </cell>
          <cell r="B938">
            <v>0</v>
          </cell>
          <cell r="C938" t="str">
            <v>4|2|8000</v>
          </cell>
          <cell r="D938" t="str">
            <v>vip等级达到11级</v>
          </cell>
          <cell r="E938" t="str">
            <v>4|2|8000|1</v>
          </cell>
        </row>
        <row r="939">
          <cell r="A939">
            <v>31312</v>
          </cell>
          <cell r="B939">
            <v>0</v>
          </cell>
          <cell r="C939" t="str">
            <v>4|2|10000</v>
          </cell>
          <cell r="D939" t="str">
            <v>vip等级达到12级</v>
          </cell>
          <cell r="E939" t="str">
            <v>4|2|10000|1</v>
          </cell>
        </row>
        <row r="940">
          <cell r="A940">
            <v>31330</v>
          </cell>
          <cell r="B940">
            <v>0</v>
          </cell>
          <cell r="C940" t="str">
            <v>1|16600|1</v>
          </cell>
          <cell r="D940" t="str">
            <v>每日礼包vip0</v>
          </cell>
          <cell r="E940" t="str">
            <v>1|16600|1|1</v>
          </cell>
        </row>
        <row r="941">
          <cell r="A941">
            <v>31331</v>
          </cell>
          <cell r="B941">
            <v>0</v>
          </cell>
          <cell r="C941" t="str">
            <v>1|16601|1</v>
          </cell>
          <cell r="D941" t="str">
            <v>每日礼包vip1</v>
          </cell>
          <cell r="E941" t="str">
            <v>1|16601|1|1</v>
          </cell>
        </row>
        <row r="942">
          <cell r="A942">
            <v>31332</v>
          </cell>
          <cell r="B942">
            <v>0</v>
          </cell>
          <cell r="C942" t="str">
            <v>1|16602|1</v>
          </cell>
          <cell r="D942" t="str">
            <v>每日礼包vip2</v>
          </cell>
          <cell r="E942" t="str">
            <v>1|16602|1|1</v>
          </cell>
        </row>
        <row r="943">
          <cell r="A943">
            <v>31333</v>
          </cell>
          <cell r="B943">
            <v>0</v>
          </cell>
          <cell r="C943" t="str">
            <v>1|16603|1</v>
          </cell>
          <cell r="D943" t="str">
            <v>每日礼包vip3</v>
          </cell>
          <cell r="E943" t="str">
            <v>1|16603|1|1</v>
          </cell>
        </row>
        <row r="944">
          <cell r="A944">
            <v>31334</v>
          </cell>
          <cell r="B944">
            <v>0</v>
          </cell>
          <cell r="C944" t="str">
            <v>1|16604|1</v>
          </cell>
          <cell r="D944" t="str">
            <v>每日礼包vip4</v>
          </cell>
          <cell r="E944" t="str">
            <v>1|16604|1|1</v>
          </cell>
        </row>
        <row r="945">
          <cell r="A945">
            <v>31335</v>
          </cell>
          <cell r="B945">
            <v>0</v>
          </cell>
          <cell r="C945" t="str">
            <v>1|16605|1</v>
          </cell>
          <cell r="D945" t="str">
            <v>每日礼包vip5</v>
          </cell>
          <cell r="E945" t="str">
            <v>1|16605|1|1</v>
          </cell>
        </row>
        <row r="946">
          <cell r="A946">
            <v>31336</v>
          </cell>
          <cell r="B946">
            <v>0</v>
          </cell>
          <cell r="C946" t="str">
            <v>1|16606|1</v>
          </cell>
          <cell r="D946" t="str">
            <v>每日礼包vip6</v>
          </cell>
          <cell r="E946" t="str">
            <v>1|16606|1|1</v>
          </cell>
        </row>
        <row r="947">
          <cell r="A947">
            <v>31337</v>
          </cell>
          <cell r="B947">
            <v>0</v>
          </cell>
          <cell r="C947" t="str">
            <v>1|16607|1</v>
          </cell>
          <cell r="D947" t="str">
            <v>每日礼包vip7</v>
          </cell>
          <cell r="E947" t="str">
            <v>1|16607|1|1</v>
          </cell>
        </row>
        <row r="948">
          <cell r="A948">
            <v>31338</v>
          </cell>
          <cell r="B948">
            <v>0</v>
          </cell>
          <cell r="C948" t="str">
            <v>1|16608|1</v>
          </cell>
          <cell r="D948" t="str">
            <v>每日礼包vip8</v>
          </cell>
          <cell r="E948" t="str">
            <v>1|16608|1|1</v>
          </cell>
        </row>
        <row r="949">
          <cell r="A949">
            <v>31339</v>
          </cell>
          <cell r="B949">
            <v>0</v>
          </cell>
          <cell r="C949" t="str">
            <v>1|16609|1</v>
          </cell>
          <cell r="D949" t="str">
            <v>每日礼包vip9</v>
          </cell>
          <cell r="E949" t="str">
            <v>1|16609|1|1</v>
          </cell>
        </row>
        <row r="950">
          <cell r="A950">
            <v>31340</v>
          </cell>
          <cell r="B950">
            <v>0</v>
          </cell>
          <cell r="C950" t="str">
            <v>1|16610|1</v>
          </cell>
          <cell r="D950" t="str">
            <v>每日礼包vip10</v>
          </cell>
          <cell r="E950" t="str">
            <v>1|16610|1|1</v>
          </cell>
        </row>
        <row r="951">
          <cell r="A951">
            <v>31341</v>
          </cell>
          <cell r="B951">
            <v>0</v>
          </cell>
          <cell r="C951" t="str">
            <v>1|16611|1</v>
          </cell>
          <cell r="D951" t="str">
            <v>每日礼包vip11</v>
          </cell>
          <cell r="E951" t="str">
            <v>1|16611|1|1</v>
          </cell>
        </row>
        <row r="952">
          <cell r="A952">
            <v>31342</v>
          </cell>
          <cell r="B952">
            <v>0</v>
          </cell>
          <cell r="C952" t="str">
            <v>1|16612|1</v>
          </cell>
          <cell r="D952" t="str">
            <v>每日礼包vip12</v>
          </cell>
          <cell r="E952" t="str">
            <v>1|16612|1|1</v>
          </cell>
        </row>
        <row r="953">
          <cell r="A953">
            <v>31343</v>
          </cell>
          <cell r="B953">
            <v>0</v>
          </cell>
          <cell r="C953" t="str">
            <v>1|16613|1</v>
          </cell>
          <cell r="D953" t="str">
            <v>每日礼包vip13</v>
          </cell>
          <cell r="E953" t="str">
            <v>1|16613|1|1</v>
          </cell>
        </row>
        <row r="954">
          <cell r="A954">
            <v>31344</v>
          </cell>
          <cell r="B954">
            <v>0</v>
          </cell>
          <cell r="C954" t="str">
            <v>1|16614|1</v>
          </cell>
          <cell r="D954" t="str">
            <v>每日礼包vip14</v>
          </cell>
          <cell r="E954" t="str">
            <v>1|16614|1|1</v>
          </cell>
        </row>
        <row r="955">
          <cell r="A955">
            <v>31345</v>
          </cell>
          <cell r="B955">
            <v>0</v>
          </cell>
          <cell r="C955" t="str">
            <v>1|16615|1</v>
          </cell>
          <cell r="D955" t="str">
            <v>每日礼包vip15</v>
          </cell>
          <cell r="E955" t="str">
            <v>1|16615|1|1</v>
          </cell>
        </row>
        <row r="956">
          <cell r="A956">
            <v>31351</v>
          </cell>
          <cell r="B956">
            <v>1</v>
          </cell>
          <cell r="C956" t="str">
            <v>4|2|1000</v>
          </cell>
          <cell r="D956" t="str">
            <v>累计登录30天</v>
          </cell>
          <cell r="E956" t="str">
            <v>4|2|1000|1</v>
          </cell>
        </row>
        <row r="957">
          <cell r="A957">
            <v>31380</v>
          </cell>
          <cell r="B957">
            <v>0</v>
          </cell>
          <cell r="C957" t="str">
            <v>4|1|20000</v>
          </cell>
          <cell r="D957" t="str">
            <v>每日礼包vip0</v>
          </cell>
          <cell r="E957" t="str">
            <v>4|1|20000|1</v>
          </cell>
        </row>
        <row r="958">
          <cell r="A958">
            <v>31381</v>
          </cell>
          <cell r="B958">
            <v>0</v>
          </cell>
          <cell r="C958" t="str">
            <v>4|1|40000</v>
          </cell>
          <cell r="D958" t="str">
            <v>每日礼包vip1</v>
          </cell>
          <cell r="E958" t="str">
            <v>4|1|40000|1</v>
          </cell>
        </row>
        <row r="959">
          <cell r="A959">
            <v>31382</v>
          </cell>
          <cell r="B959">
            <v>0</v>
          </cell>
          <cell r="C959" t="str">
            <v>4|1|60000</v>
          </cell>
          <cell r="D959" t="str">
            <v>每日礼包vip2</v>
          </cell>
          <cell r="E959" t="str">
            <v>4|1|60000|1</v>
          </cell>
        </row>
        <row r="960">
          <cell r="A960">
            <v>31383</v>
          </cell>
          <cell r="B960">
            <v>0</v>
          </cell>
          <cell r="C960" t="str">
            <v>4|1|80000,1|14106|20</v>
          </cell>
          <cell r="D960" t="str">
            <v>每日礼包vip3</v>
          </cell>
          <cell r="E960" t="str">
            <v>4|1|80000|1,1|14106|20|1</v>
          </cell>
        </row>
        <row r="961">
          <cell r="A961">
            <v>31384</v>
          </cell>
          <cell r="B961">
            <v>0</v>
          </cell>
          <cell r="C961" t="str">
            <v>4|1|100000,1|14106|25</v>
          </cell>
          <cell r="D961" t="str">
            <v>每日礼包vip4</v>
          </cell>
          <cell r="E961" t="str">
            <v>4|1|100000|1,1|14106|25|1</v>
          </cell>
        </row>
        <row r="962">
          <cell r="A962">
            <v>31385</v>
          </cell>
          <cell r="B962">
            <v>0</v>
          </cell>
          <cell r="C962" t="str">
            <v>4|1|120000,1|14106|30,1|16005|20</v>
          </cell>
          <cell r="D962" t="str">
            <v>每日礼包vip5</v>
          </cell>
          <cell r="E962" t="str">
            <v>4|1|120000|1,1|14106|30|1,1|16005|20|1</v>
          </cell>
        </row>
        <row r="963">
          <cell r="A963">
            <v>31386</v>
          </cell>
          <cell r="B963">
            <v>0</v>
          </cell>
          <cell r="C963" t="str">
            <v>4|1|140000,1|14106|35,1|16005|24,1|14201|20</v>
          </cell>
          <cell r="D963" t="str">
            <v>每日礼包vip6</v>
          </cell>
          <cell r="E963" t="str">
            <v>4|1|140000|1,1|14106|35|1,1|16005|24|1,1|14201|20|1</v>
          </cell>
        </row>
        <row r="964">
          <cell r="A964">
            <v>31387</v>
          </cell>
          <cell r="B964">
            <v>0</v>
          </cell>
          <cell r="C964" t="str">
            <v>4|1|160000,1|14106|40,1|16005|28,1|14201|26,1|17001|20</v>
          </cell>
          <cell r="D964" t="str">
            <v>每日礼包vip7</v>
          </cell>
          <cell r="E964" t="str">
            <v>4|1|160000|1,1|14106|40|1,1|16005|28|1,1|14201|26|1,1|17001|20|1</v>
          </cell>
        </row>
        <row r="965">
          <cell r="A965">
            <v>31388</v>
          </cell>
          <cell r="B965">
            <v>0</v>
          </cell>
          <cell r="C965" t="str">
            <v>4|1|180000,1|14106|45,1|16005|32,1|14201|32,1|17001|25</v>
          </cell>
          <cell r="D965" t="str">
            <v>每日礼包vip8</v>
          </cell>
          <cell r="E965" t="str">
            <v>4|1|180000|1,1|14106|45|1,1|16005|32|1,1|14201|32|1,1|17001|25|1</v>
          </cell>
        </row>
        <row r="966">
          <cell r="A966">
            <v>31389</v>
          </cell>
          <cell r="B966">
            <v>0</v>
          </cell>
          <cell r="C966" t="str">
            <v>4|1|200000,1|14106|50,1|16005|36,1|14201|38,1|17001|30</v>
          </cell>
          <cell r="D966" t="str">
            <v>每日礼包vip9</v>
          </cell>
          <cell r="E966" t="str">
            <v>4|1|200000|1,1|14106|50|1,1|16005|36|1,1|14201|38|1,1|17001|30|1</v>
          </cell>
        </row>
        <row r="967">
          <cell r="A967">
            <v>31390</v>
          </cell>
          <cell r="B967">
            <v>0</v>
          </cell>
          <cell r="C967" t="str">
            <v>4|1|220000,1|14106|55,1|16005|40,1|14201|44,1|17001|35</v>
          </cell>
          <cell r="D967" t="str">
            <v>每日礼包vip10</v>
          </cell>
          <cell r="E967" t="str">
            <v>4|1|220000|1,1|14106|55|1,1|16005|40|1,1|14201|44|1,1|17001|35|1</v>
          </cell>
        </row>
        <row r="968">
          <cell r="A968">
            <v>31391</v>
          </cell>
          <cell r="B968">
            <v>0</v>
          </cell>
          <cell r="C968" t="str">
            <v>4|1|240000,1|14106|60,1|16005|44,1|14201|50,1|17001|40</v>
          </cell>
          <cell r="D968" t="str">
            <v>每日礼包vip11</v>
          </cell>
          <cell r="E968" t="str">
            <v>4|1|240000|1,1|14106|60|1,1|16005|44|1,1|14201|50|1,1|17001|40|1</v>
          </cell>
        </row>
        <row r="969">
          <cell r="A969">
            <v>31392</v>
          </cell>
          <cell r="B969">
            <v>0</v>
          </cell>
          <cell r="C969" t="str">
            <v>4|1|260000,1|14106|65,1|16005|48,1|14201|56,1|17001|45</v>
          </cell>
          <cell r="D969" t="str">
            <v>每日礼包vip12</v>
          </cell>
          <cell r="E969" t="str">
            <v>4|1|260000|1,1|14106|65|1,1|16005|48|1,1|14201|56|1,1|17001|45|1</v>
          </cell>
        </row>
        <row r="970">
          <cell r="A970">
            <v>31393</v>
          </cell>
          <cell r="B970">
            <v>0</v>
          </cell>
          <cell r="C970" t="str">
            <v>4|1|280000,1|14106|70,1|16005|52,1|14201|62,1|17001|50</v>
          </cell>
          <cell r="D970" t="str">
            <v>每日礼包vip13</v>
          </cell>
          <cell r="E970" t="str">
            <v>4|1|280000|1,1|14106|70|1,1|16005|52|1,1|14201|62|1,1|17001|50|1</v>
          </cell>
        </row>
        <row r="971">
          <cell r="A971">
            <v>31394</v>
          </cell>
          <cell r="B971">
            <v>0</v>
          </cell>
          <cell r="C971" t="str">
            <v>4|1|300000,1|14106|75,1|16005|56,1|14201|68,1|17001|55</v>
          </cell>
          <cell r="D971" t="str">
            <v>每日礼包vip14</v>
          </cell>
          <cell r="E971" t="str">
            <v>4|1|300000|1,1|14106|75|1,1|16005|56|1,1|14201|68|1,1|17001|55|1</v>
          </cell>
        </row>
        <row r="972">
          <cell r="A972">
            <v>31395</v>
          </cell>
          <cell r="B972">
            <v>0</v>
          </cell>
          <cell r="C972" t="str">
            <v>4|1|320000,1|14106|80,1|16005|60,1|14201|74,1|17001|60</v>
          </cell>
          <cell r="D972" t="str">
            <v>每日礼包vip15</v>
          </cell>
          <cell r="E972" t="str">
            <v>4|1|320000|1,1|14106|80|1,1|16005|60|1,1|14201|74|1,1|17001|60|1</v>
          </cell>
        </row>
        <row r="973">
          <cell r="A973">
            <v>31396</v>
          </cell>
          <cell r="B973">
            <v>0</v>
          </cell>
          <cell r="C973" t="str">
            <v>4|1|340000,1|14106|85,1|16005|64,1|14201|80,1|17001|65</v>
          </cell>
          <cell r="D973" t="str">
            <v>每日礼包vip16</v>
          </cell>
          <cell r="E973" t="str">
            <v>4|1|340000|1,1|14106|85|1,1|16005|64|1,1|14201|80|1,1|17001|65|1</v>
          </cell>
        </row>
        <row r="974">
          <cell r="A974">
            <v>31401</v>
          </cell>
          <cell r="B974">
            <v>1</v>
          </cell>
          <cell r="C974" t="str">
            <v>1|14306|2</v>
          </cell>
          <cell r="D974" t="str">
            <v>抢夺法宝50次</v>
          </cell>
          <cell r="E974" t="str">
            <v>1|14306|2|1</v>
          </cell>
        </row>
        <row r="975">
          <cell r="A975">
            <v>31402</v>
          </cell>
          <cell r="B975">
            <v>1</v>
          </cell>
          <cell r="C975" t="str">
            <v>1|14306|2</v>
          </cell>
          <cell r="D975" t="str">
            <v>抢夺法宝100次</v>
          </cell>
          <cell r="E975" t="str">
            <v>1|14306|2|1</v>
          </cell>
        </row>
        <row r="976">
          <cell r="A976">
            <v>31403</v>
          </cell>
          <cell r="B976">
            <v>1</v>
          </cell>
          <cell r="C976" t="str">
            <v>1|14306|2</v>
          </cell>
          <cell r="D976" t="str">
            <v>抢夺法宝200次</v>
          </cell>
          <cell r="E976" t="str">
            <v>1|14306|2|1</v>
          </cell>
        </row>
        <row r="977">
          <cell r="A977">
            <v>31404</v>
          </cell>
          <cell r="B977">
            <v>1</v>
          </cell>
          <cell r="C977" t="str">
            <v>1|14306|2</v>
          </cell>
          <cell r="D977" t="str">
            <v>抢夺法宝350次</v>
          </cell>
          <cell r="E977" t="str">
            <v>1|14306|2|1</v>
          </cell>
        </row>
        <row r="978">
          <cell r="A978">
            <v>31405</v>
          </cell>
          <cell r="B978">
            <v>1</v>
          </cell>
          <cell r="C978" t="str">
            <v>1|14306|2</v>
          </cell>
          <cell r="D978" t="str">
            <v>抢夺法宝550次</v>
          </cell>
          <cell r="E978" t="str">
            <v>1|14306|2|1</v>
          </cell>
        </row>
        <row r="979">
          <cell r="A979">
            <v>31406</v>
          </cell>
          <cell r="B979">
            <v>1</v>
          </cell>
          <cell r="C979" t="str">
            <v>1|14306|2</v>
          </cell>
          <cell r="D979" t="str">
            <v>抢夺法宝750次</v>
          </cell>
          <cell r="E979" t="str">
            <v>1|14306|2|1</v>
          </cell>
        </row>
        <row r="980">
          <cell r="A980">
            <v>31407</v>
          </cell>
          <cell r="B980">
            <v>1</v>
          </cell>
          <cell r="C980" t="str">
            <v>1|14306|2</v>
          </cell>
          <cell r="D980" t="str">
            <v>抢夺法宝1000次</v>
          </cell>
          <cell r="E980" t="str">
            <v>1|14306|2|1</v>
          </cell>
        </row>
        <row r="981">
          <cell r="A981">
            <v>31408</v>
          </cell>
          <cell r="B981">
            <v>1</v>
          </cell>
          <cell r="C981" t="str">
            <v>1|14306|2</v>
          </cell>
          <cell r="D981" t="str">
            <v>抢夺法宝2000次</v>
          </cell>
          <cell r="E981" t="str">
            <v>1|14306|2|1</v>
          </cell>
        </row>
        <row r="982">
          <cell r="A982">
            <v>31409</v>
          </cell>
          <cell r="B982">
            <v>1</v>
          </cell>
          <cell r="C982" t="str">
            <v>1|14306|2</v>
          </cell>
          <cell r="D982" t="str">
            <v>抢夺法宝5000次</v>
          </cell>
          <cell r="E982" t="str">
            <v>1|14306|2|1</v>
          </cell>
        </row>
        <row r="983">
          <cell r="A983">
            <v>31410</v>
          </cell>
          <cell r="B983">
            <v>1</v>
          </cell>
          <cell r="C983" t="str">
            <v>1|14306|2</v>
          </cell>
          <cell r="D983" t="str">
            <v>抢夺法宝10000次</v>
          </cell>
          <cell r="E983" t="str">
            <v>1|14306|2|1</v>
          </cell>
        </row>
        <row r="984">
          <cell r="A984">
            <v>31451</v>
          </cell>
          <cell r="B984">
            <v>1</v>
          </cell>
          <cell r="C984" t="str">
            <v>4|2|10</v>
          </cell>
          <cell r="D984" t="str">
            <v>赠送好友体力20次</v>
          </cell>
          <cell r="E984" t="str">
            <v>4|2|10|1</v>
          </cell>
        </row>
        <row r="985">
          <cell r="A985">
            <v>31452</v>
          </cell>
          <cell r="B985">
            <v>1</v>
          </cell>
          <cell r="C985" t="str">
            <v>4|2|10</v>
          </cell>
          <cell r="D985" t="str">
            <v>赠送好友体力50次</v>
          </cell>
          <cell r="E985" t="str">
            <v>4|2|10|1</v>
          </cell>
        </row>
        <row r="986">
          <cell r="A986">
            <v>31453</v>
          </cell>
          <cell r="B986">
            <v>1</v>
          </cell>
          <cell r="C986" t="str">
            <v>4|2|15</v>
          </cell>
          <cell r="D986" t="str">
            <v>赠送好友体力100次</v>
          </cell>
          <cell r="E986" t="str">
            <v>4|2|15|1</v>
          </cell>
        </row>
        <row r="987">
          <cell r="A987">
            <v>31454</v>
          </cell>
          <cell r="B987">
            <v>1</v>
          </cell>
          <cell r="C987" t="str">
            <v>4|2|15</v>
          </cell>
          <cell r="D987" t="str">
            <v>赠送好友体力160次</v>
          </cell>
          <cell r="E987" t="str">
            <v>4|2|15|1</v>
          </cell>
        </row>
        <row r="988">
          <cell r="A988">
            <v>31455</v>
          </cell>
          <cell r="B988">
            <v>1</v>
          </cell>
          <cell r="C988" t="str">
            <v>4|2|20</v>
          </cell>
          <cell r="D988" t="str">
            <v>赠送好友体力250次</v>
          </cell>
          <cell r="E988" t="str">
            <v>4|2|20|1</v>
          </cell>
        </row>
        <row r="989">
          <cell r="A989">
            <v>31456</v>
          </cell>
          <cell r="B989">
            <v>1</v>
          </cell>
          <cell r="C989" t="str">
            <v>4|2|40</v>
          </cell>
          <cell r="D989" t="str">
            <v>赠送好友体力400次</v>
          </cell>
          <cell r="E989" t="str">
            <v>4|2|40|1</v>
          </cell>
        </row>
        <row r="990">
          <cell r="A990">
            <v>31457</v>
          </cell>
          <cell r="B990">
            <v>1</v>
          </cell>
          <cell r="C990" t="str">
            <v>4|2|60</v>
          </cell>
          <cell r="D990" t="str">
            <v>赠送好友体力600次</v>
          </cell>
          <cell r="E990" t="str">
            <v>4|2|60|1</v>
          </cell>
        </row>
        <row r="991">
          <cell r="A991">
            <v>31458</v>
          </cell>
          <cell r="B991">
            <v>1</v>
          </cell>
          <cell r="C991" t="str">
            <v>4|2|80</v>
          </cell>
          <cell r="D991" t="str">
            <v>赠送好友体力800次</v>
          </cell>
          <cell r="E991" t="str">
            <v>4|2|80|1</v>
          </cell>
        </row>
        <row r="992">
          <cell r="A992">
            <v>31459</v>
          </cell>
          <cell r="B992">
            <v>1</v>
          </cell>
          <cell r="C992" t="str">
            <v>4|2|100</v>
          </cell>
          <cell r="D992" t="str">
            <v>赠送好友体力1000次</v>
          </cell>
          <cell r="E992" t="str">
            <v>4|2|100|1</v>
          </cell>
        </row>
        <row r="993">
          <cell r="A993">
            <v>31460</v>
          </cell>
          <cell r="B993">
            <v>1</v>
          </cell>
          <cell r="C993" t="str">
            <v>4|2|130</v>
          </cell>
          <cell r="D993" t="str">
            <v>赠送好友体力1300次</v>
          </cell>
          <cell r="E993" t="str">
            <v>4|2|130|1</v>
          </cell>
        </row>
        <row r="994">
          <cell r="A994">
            <v>31461</v>
          </cell>
          <cell r="B994">
            <v>1</v>
          </cell>
          <cell r="C994" t="str">
            <v>4|2|160</v>
          </cell>
          <cell r="D994" t="str">
            <v>赠送好友体力1600次</v>
          </cell>
          <cell r="E994" t="str">
            <v>4|2|160|1</v>
          </cell>
        </row>
        <row r="995">
          <cell r="A995">
            <v>31462</v>
          </cell>
          <cell r="B995">
            <v>1</v>
          </cell>
          <cell r="C995" t="str">
            <v>4|2|200</v>
          </cell>
          <cell r="D995" t="str">
            <v>赠送好友体力2000次</v>
          </cell>
          <cell r="E995" t="str">
            <v>4|2|200|1</v>
          </cell>
        </row>
        <row r="996">
          <cell r="A996">
            <v>31501</v>
          </cell>
          <cell r="B996">
            <v>1</v>
          </cell>
          <cell r="C996" t="str">
            <v>1|14104|50</v>
          </cell>
          <cell r="D996" t="str">
            <v>升级技能10次</v>
          </cell>
          <cell r="E996" t="str">
            <v>1|14104|50|1</v>
          </cell>
        </row>
        <row r="997">
          <cell r="A997">
            <v>31502</v>
          </cell>
          <cell r="B997">
            <v>1</v>
          </cell>
          <cell r="C997" t="str">
            <v>1|14104|125</v>
          </cell>
          <cell r="D997" t="str">
            <v>升级技能25次</v>
          </cell>
          <cell r="E997" t="str">
            <v>1|14104|125|1</v>
          </cell>
        </row>
        <row r="998">
          <cell r="A998">
            <v>31503</v>
          </cell>
          <cell r="B998">
            <v>1</v>
          </cell>
          <cell r="C998" t="str">
            <v>1|14104|250</v>
          </cell>
          <cell r="D998" t="str">
            <v>升级技能50次</v>
          </cell>
          <cell r="E998" t="str">
            <v>1|14104|250|1</v>
          </cell>
        </row>
        <row r="999">
          <cell r="A999">
            <v>31504</v>
          </cell>
          <cell r="B999">
            <v>1</v>
          </cell>
          <cell r="C999" t="str">
            <v>1|14104|375</v>
          </cell>
          <cell r="D999" t="str">
            <v>升级技能75次</v>
          </cell>
          <cell r="E999" t="str">
            <v>1|14104|375|1</v>
          </cell>
        </row>
        <row r="1000">
          <cell r="A1000">
            <v>31505</v>
          </cell>
          <cell r="B1000">
            <v>1</v>
          </cell>
          <cell r="C1000" t="str">
            <v>1|14104|500</v>
          </cell>
          <cell r="D1000" t="str">
            <v>升级技能100次</v>
          </cell>
          <cell r="E1000" t="str">
            <v>1|14104|500|1</v>
          </cell>
        </row>
        <row r="1001">
          <cell r="A1001">
            <v>31506</v>
          </cell>
          <cell r="B1001">
            <v>1</v>
          </cell>
          <cell r="C1001" t="str">
            <v>1|14104|625</v>
          </cell>
          <cell r="D1001" t="str">
            <v>升级技能125次</v>
          </cell>
          <cell r="E1001" t="str">
            <v>1|14104|625|1</v>
          </cell>
        </row>
        <row r="1002">
          <cell r="A1002">
            <v>31507</v>
          </cell>
          <cell r="B1002">
            <v>1</v>
          </cell>
          <cell r="C1002" t="str">
            <v>1|14104|750</v>
          </cell>
          <cell r="D1002" t="str">
            <v>升级技能150次</v>
          </cell>
          <cell r="E1002" t="str">
            <v>1|14104|750|1</v>
          </cell>
        </row>
        <row r="1003">
          <cell r="A1003">
            <v>31551</v>
          </cell>
          <cell r="B1003">
            <v>1</v>
          </cell>
          <cell r="C1003" t="str">
            <v>1|14004|1</v>
          </cell>
          <cell r="D1003" t="str">
            <v>强化四名出战角色到10级</v>
          </cell>
          <cell r="E1003" t="str">
            <v>1|14004|1|1</v>
          </cell>
        </row>
        <row r="1004">
          <cell r="A1004">
            <v>31552</v>
          </cell>
          <cell r="B1004">
            <v>1</v>
          </cell>
          <cell r="C1004" t="str">
            <v>1|14004|3</v>
          </cell>
          <cell r="D1004" t="str">
            <v>强化四名出战角色到15级</v>
          </cell>
          <cell r="E1004" t="str">
            <v>1|14004|3|1</v>
          </cell>
        </row>
        <row r="1005">
          <cell r="A1005">
            <v>31553</v>
          </cell>
          <cell r="B1005">
            <v>1</v>
          </cell>
          <cell r="C1005" t="str">
            <v>1|14004|3</v>
          </cell>
          <cell r="D1005" t="str">
            <v>强化四名出战角色到20级</v>
          </cell>
          <cell r="E1005" t="str">
            <v>1|14004|3|1</v>
          </cell>
        </row>
        <row r="1006">
          <cell r="A1006">
            <v>31554</v>
          </cell>
          <cell r="B1006">
            <v>1</v>
          </cell>
          <cell r="C1006" t="str">
            <v>1|14004|3</v>
          </cell>
          <cell r="D1006" t="str">
            <v>强化四名出战角色到25级</v>
          </cell>
          <cell r="E1006" t="str">
            <v>1|14004|3|1</v>
          </cell>
        </row>
        <row r="1007">
          <cell r="A1007">
            <v>31555</v>
          </cell>
          <cell r="B1007">
            <v>1</v>
          </cell>
          <cell r="C1007" t="str">
            <v>1|14004|5</v>
          </cell>
          <cell r="D1007" t="str">
            <v>强化四名出战角色到30级</v>
          </cell>
          <cell r="E1007" t="str">
            <v>1|14004|5|1</v>
          </cell>
        </row>
        <row r="1008">
          <cell r="A1008">
            <v>31556</v>
          </cell>
          <cell r="B1008">
            <v>1</v>
          </cell>
          <cell r="C1008" t="str">
            <v>1|14004|5</v>
          </cell>
          <cell r="D1008" t="str">
            <v>强化四名出战角色到35级</v>
          </cell>
          <cell r="E1008" t="str">
            <v>1|14004|5|1</v>
          </cell>
        </row>
        <row r="1009">
          <cell r="A1009">
            <v>31557</v>
          </cell>
          <cell r="B1009">
            <v>1</v>
          </cell>
          <cell r="C1009" t="str">
            <v>1|14004|5</v>
          </cell>
          <cell r="D1009" t="str">
            <v>强化四名出战角色到40级</v>
          </cell>
          <cell r="E1009" t="str">
            <v>1|14004|5|1</v>
          </cell>
        </row>
        <row r="1010">
          <cell r="A1010">
            <v>31558</v>
          </cell>
          <cell r="B1010">
            <v>1</v>
          </cell>
          <cell r="C1010" t="str">
            <v>1|14004|5</v>
          </cell>
          <cell r="D1010" t="str">
            <v>强化四名出战角色到45级</v>
          </cell>
          <cell r="E1010" t="str">
            <v>1|14004|5|1</v>
          </cell>
        </row>
        <row r="1011">
          <cell r="A1011">
            <v>31559</v>
          </cell>
          <cell r="B1011">
            <v>1</v>
          </cell>
          <cell r="C1011" t="str">
            <v>1|14004|5</v>
          </cell>
          <cell r="D1011" t="str">
            <v>强化四名出战角色到50级</v>
          </cell>
          <cell r="E1011" t="str">
            <v>1|14004|5|1</v>
          </cell>
        </row>
        <row r="1012">
          <cell r="A1012">
            <v>31560</v>
          </cell>
          <cell r="B1012">
            <v>1</v>
          </cell>
          <cell r="C1012" t="str">
            <v>1|14004|5</v>
          </cell>
          <cell r="D1012" t="str">
            <v>强化四名出战角色到55级</v>
          </cell>
          <cell r="E1012" t="str">
            <v>1|14004|5|1</v>
          </cell>
        </row>
        <row r="1013">
          <cell r="A1013">
            <v>31561</v>
          </cell>
          <cell r="B1013">
            <v>1</v>
          </cell>
          <cell r="C1013" t="str">
            <v>1|14004|5</v>
          </cell>
          <cell r="D1013" t="str">
            <v>强化四名出战角色到60级</v>
          </cell>
          <cell r="E1013" t="str">
            <v>1|14004|5|1</v>
          </cell>
        </row>
        <row r="1014">
          <cell r="A1014">
            <v>31562</v>
          </cell>
          <cell r="B1014">
            <v>1</v>
          </cell>
          <cell r="C1014" t="str">
            <v>1|14004|5</v>
          </cell>
          <cell r="D1014" t="str">
            <v>强化四名出战角色到65级</v>
          </cell>
          <cell r="E1014" t="str">
            <v>1|14004|5|1</v>
          </cell>
        </row>
        <row r="1015">
          <cell r="A1015">
            <v>31563</v>
          </cell>
          <cell r="B1015">
            <v>1</v>
          </cell>
          <cell r="C1015" t="str">
            <v>1|14004|5</v>
          </cell>
          <cell r="D1015" t="str">
            <v>强化四名出战角色到70级</v>
          </cell>
          <cell r="E1015" t="str">
            <v>1|14004|5|1</v>
          </cell>
        </row>
        <row r="1016">
          <cell r="A1016">
            <v>31564</v>
          </cell>
          <cell r="B1016">
            <v>1</v>
          </cell>
          <cell r="C1016" t="str">
            <v>1|14004|5</v>
          </cell>
          <cell r="D1016" t="str">
            <v>强化四名出战角色到75级</v>
          </cell>
          <cell r="E1016" t="str">
            <v>1|14004|5|1</v>
          </cell>
        </row>
        <row r="1017">
          <cell r="A1017">
            <v>31565</v>
          </cell>
          <cell r="B1017">
            <v>1</v>
          </cell>
          <cell r="C1017" t="str">
            <v>1|14004|5</v>
          </cell>
          <cell r="D1017" t="str">
            <v>强化四名出战角色到80级</v>
          </cell>
          <cell r="E1017" t="str">
            <v>1|14004|5|1</v>
          </cell>
        </row>
        <row r="1018">
          <cell r="A1018">
            <v>31566</v>
          </cell>
          <cell r="B1018">
            <v>1</v>
          </cell>
          <cell r="C1018" t="str">
            <v>1|14004|5</v>
          </cell>
          <cell r="D1018" t="str">
            <v>强化四名出战角色到85级</v>
          </cell>
          <cell r="E1018" t="str">
            <v>1|14004|5|1</v>
          </cell>
        </row>
        <row r="1019">
          <cell r="A1019">
            <v>31567</v>
          </cell>
          <cell r="B1019">
            <v>1</v>
          </cell>
          <cell r="C1019" t="str">
            <v>1|14004|5</v>
          </cell>
          <cell r="D1019" t="str">
            <v>强化四名出战角色到90级</v>
          </cell>
          <cell r="E1019" t="str">
            <v>1|14004|5|1</v>
          </cell>
        </row>
        <row r="1020">
          <cell r="A1020">
            <v>31568</v>
          </cell>
          <cell r="B1020">
            <v>1</v>
          </cell>
          <cell r="C1020" t="str">
            <v>1|14004|5</v>
          </cell>
          <cell r="D1020" t="str">
            <v>强化四名出战角色到95级</v>
          </cell>
          <cell r="E1020" t="str">
            <v>1|14004|5|1</v>
          </cell>
        </row>
        <row r="1021">
          <cell r="A1021">
            <v>31569</v>
          </cell>
          <cell r="B1021">
            <v>1</v>
          </cell>
          <cell r="C1021" t="str">
            <v>1|14004|5</v>
          </cell>
          <cell r="D1021" t="str">
            <v>强化四名出战角色到100级</v>
          </cell>
          <cell r="E1021" t="str">
            <v>1|14004|5|1</v>
          </cell>
        </row>
        <row r="1022">
          <cell r="A1022">
            <v>31570</v>
          </cell>
          <cell r="B1022">
            <v>1</v>
          </cell>
          <cell r="C1022" t="str">
            <v>4|2|1000</v>
          </cell>
          <cell r="D1022" t="str">
            <v>强化四名出战角色到105级</v>
          </cell>
          <cell r="E1022" t="str">
            <v>4|2|1000|1</v>
          </cell>
        </row>
        <row r="1023">
          <cell r="A1023">
            <v>31571</v>
          </cell>
          <cell r="B1023">
            <v>1</v>
          </cell>
          <cell r="C1023" t="str">
            <v>4|2|1000</v>
          </cell>
          <cell r="D1023" t="str">
            <v>强化四名出战角色到110级</v>
          </cell>
          <cell r="E1023" t="str">
            <v>4|2|1000|1</v>
          </cell>
        </row>
        <row r="1024">
          <cell r="A1024">
            <v>31572</v>
          </cell>
          <cell r="B1024">
            <v>1</v>
          </cell>
          <cell r="C1024" t="str">
            <v>4|2|1000</v>
          </cell>
          <cell r="D1024" t="str">
            <v>强化四名出战角色到115级</v>
          </cell>
          <cell r="E1024" t="str">
            <v>4|2|1000|1</v>
          </cell>
        </row>
        <row r="1025">
          <cell r="A1025">
            <v>31573</v>
          </cell>
          <cell r="B1025">
            <v>1</v>
          </cell>
          <cell r="C1025" t="str">
            <v>4|2|1000</v>
          </cell>
          <cell r="D1025" t="str">
            <v>强化四名出战角色到120级</v>
          </cell>
          <cell r="E1025" t="str">
            <v>4|2|1000|1</v>
          </cell>
        </row>
        <row r="1026">
          <cell r="A1026">
            <v>31601</v>
          </cell>
          <cell r="B1026">
            <v>1</v>
          </cell>
          <cell r="C1026" t="str">
            <v>4|2|50</v>
          </cell>
          <cell r="D1026" t="str">
            <v>灵台斗法达到2000名</v>
          </cell>
          <cell r="E1026" t="str">
            <v>4|2|50|1</v>
          </cell>
        </row>
        <row r="1027">
          <cell r="A1027">
            <v>31602</v>
          </cell>
          <cell r="B1027">
            <v>1</v>
          </cell>
          <cell r="C1027" t="str">
            <v>4|2|50</v>
          </cell>
          <cell r="D1027" t="str">
            <v>灵台斗法达到1950名</v>
          </cell>
          <cell r="E1027" t="str">
            <v>4|2|50|1</v>
          </cell>
        </row>
        <row r="1028">
          <cell r="A1028">
            <v>31603</v>
          </cell>
          <cell r="B1028">
            <v>1</v>
          </cell>
          <cell r="C1028" t="str">
            <v>4|2|50</v>
          </cell>
          <cell r="D1028" t="str">
            <v>灵台斗法达到1900名</v>
          </cell>
          <cell r="E1028" t="str">
            <v>4|2|50|1</v>
          </cell>
        </row>
        <row r="1029">
          <cell r="A1029">
            <v>31604</v>
          </cell>
          <cell r="B1029">
            <v>1</v>
          </cell>
          <cell r="C1029" t="str">
            <v>4|2|50</v>
          </cell>
          <cell r="D1029" t="str">
            <v>灵台斗法达到1850名</v>
          </cell>
          <cell r="E1029" t="str">
            <v>4|2|50|1</v>
          </cell>
        </row>
        <row r="1030">
          <cell r="A1030">
            <v>31605</v>
          </cell>
          <cell r="B1030">
            <v>1</v>
          </cell>
          <cell r="C1030" t="str">
            <v>4|2|50</v>
          </cell>
          <cell r="D1030" t="str">
            <v>灵台斗法达到1800名</v>
          </cell>
          <cell r="E1030" t="str">
            <v>4|2|50|1</v>
          </cell>
        </row>
        <row r="1031">
          <cell r="A1031">
            <v>31606</v>
          </cell>
          <cell r="B1031">
            <v>1</v>
          </cell>
          <cell r="C1031" t="str">
            <v>4|2|50</v>
          </cell>
          <cell r="D1031" t="str">
            <v>灵台斗法达到1750名</v>
          </cell>
          <cell r="E1031" t="str">
            <v>4|2|50|1</v>
          </cell>
        </row>
        <row r="1032">
          <cell r="A1032">
            <v>31607</v>
          </cell>
          <cell r="B1032">
            <v>1</v>
          </cell>
          <cell r="C1032" t="str">
            <v>4|2|50</v>
          </cell>
          <cell r="D1032" t="str">
            <v>灵台斗法达到1700名</v>
          </cell>
          <cell r="E1032" t="str">
            <v>4|2|50|1</v>
          </cell>
        </row>
        <row r="1033">
          <cell r="A1033">
            <v>31608</v>
          </cell>
          <cell r="B1033">
            <v>1</v>
          </cell>
          <cell r="C1033" t="str">
            <v>4|2|50</v>
          </cell>
          <cell r="D1033" t="str">
            <v>灵台斗法达到1650名</v>
          </cell>
          <cell r="E1033" t="str">
            <v>4|2|50|1</v>
          </cell>
        </row>
        <row r="1034">
          <cell r="A1034">
            <v>31609</v>
          </cell>
          <cell r="B1034">
            <v>1</v>
          </cell>
          <cell r="C1034" t="str">
            <v>4|2|50</v>
          </cell>
          <cell r="D1034" t="str">
            <v>灵台斗法达到1600名</v>
          </cell>
          <cell r="E1034" t="str">
            <v>4|2|50|1</v>
          </cell>
        </row>
        <row r="1035">
          <cell r="A1035">
            <v>31610</v>
          </cell>
          <cell r="B1035">
            <v>1</v>
          </cell>
          <cell r="C1035" t="str">
            <v>4|2|50</v>
          </cell>
          <cell r="D1035" t="str">
            <v>灵台斗法达到1550名</v>
          </cell>
          <cell r="E1035" t="str">
            <v>4|2|50|1</v>
          </cell>
        </row>
        <row r="1036">
          <cell r="A1036">
            <v>31611</v>
          </cell>
          <cell r="B1036">
            <v>1</v>
          </cell>
          <cell r="C1036" t="str">
            <v>4|2|100</v>
          </cell>
          <cell r="D1036" t="str">
            <v>灵台斗法达到1500名</v>
          </cell>
          <cell r="E1036" t="str">
            <v>4|2|100|1</v>
          </cell>
        </row>
        <row r="1037">
          <cell r="A1037">
            <v>31612</v>
          </cell>
          <cell r="B1037">
            <v>1</v>
          </cell>
          <cell r="C1037" t="str">
            <v>4|2|100</v>
          </cell>
          <cell r="D1037" t="str">
            <v>灵台斗法达到1450名</v>
          </cell>
          <cell r="E1037" t="str">
            <v>4|2|100|1</v>
          </cell>
        </row>
        <row r="1038">
          <cell r="A1038">
            <v>31613</v>
          </cell>
          <cell r="B1038">
            <v>1</v>
          </cell>
          <cell r="C1038" t="str">
            <v>4|2|100</v>
          </cell>
          <cell r="D1038" t="str">
            <v>灵台斗法达到1400名</v>
          </cell>
          <cell r="E1038" t="str">
            <v>4|2|100|1</v>
          </cell>
        </row>
        <row r="1039">
          <cell r="A1039">
            <v>31614</v>
          </cell>
          <cell r="B1039">
            <v>1</v>
          </cell>
          <cell r="C1039" t="str">
            <v>4|2|100</v>
          </cell>
          <cell r="D1039" t="str">
            <v>灵台斗法达到1350名</v>
          </cell>
          <cell r="E1039" t="str">
            <v>4|2|100|1</v>
          </cell>
        </row>
        <row r="1040">
          <cell r="A1040">
            <v>31615</v>
          </cell>
          <cell r="B1040">
            <v>1</v>
          </cell>
          <cell r="C1040" t="str">
            <v>4|2|100</v>
          </cell>
          <cell r="D1040" t="str">
            <v>灵台斗法达到1300名</v>
          </cell>
          <cell r="E1040" t="str">
            <v>4|2|100|1</v>
          </cell>
        </row>
        <row r="1041">
          <cell r="A1041">
            <v>31616</v>
          </cell>
          <cell r="B1041">
            <v>1</v>
          </cell>
          <cell r="C1041" t="str">
            <v>4|2|100</v>
          </cell>
          <cell r="D1041" t="str">
            <v>灵台斗法达到1250名</v>
          </cell>
          <cell r="E1041" t="str">
            <v>4|2|100|1</v>
          </cell>
        </row>
        <row r="1042">
          <cell r="A1042">
            <v>31617</v>
          </cell>
          <cell r="B1042">
            <v>1</v>
          </cell>
          <cell r="C1042" t="str">
            <v>4|2|100</v>
          </cell>
          <cell r="D1042" t="str">
            <v>灵台斗法达到1200名</v>
          </cell>
          <cell r="E1042" t="str">
            <v>4|2|100|1</v>
          </cell>
        </row>
        <row r="1043">
          <cell r="A1043">
            <v>31618</v>
          </cell>
          <cell r="B1043">
            <v>1</v>
          </cell>
          <cell r="C1043" t="str">
            <v>4|2|100</v>
          </cell>
          <cell r="D1043" t="str">
            <v>灵台斗法达到1150名</v>
          </cell>
          <cell r="E1043" t="str">
            <v>4|2|100|1</v>
          </cell>
        </row>
        <row r="1044">
          <cell r="A1044">
            <v>31619</v>
          </cell>
          <cell r="B1044">
            <v>1</v>
          </cell>
          <cell r="C1044" t="str">
            <v>4|2|100</v>
          </cell>
          <cell r="D1044" t="str">
            <v>灵台斗法达到1100名</v>
          </cell>
          <cell r="E1044" t="str">
            <v>4|2|100|1</v>
          </cell>
        </row>
        <row r="1045">
          <cell r="A1045">
            <v>31620</v>
          </cell>
          <cell r="B1045">
            <v>1</v>
          </cell>
          <cell r="C1045" t="str">
            <v>4|2|100</v>
          </cell>
          <cell r="D1045" t="str">
            <v>灵台斗法达到1050名</v>
          </cell>
          <cell r="E1045" t="str">
            <v>4|2|100|1</v>
          </cell>
        </row>
        <row r="1046">
          <cell r="A1046">
            <v>31621</v>
          </cell>
          <cell r="B1046">
            <v>1</v>
          </cell>
          <cell r="C1046" t="str">
            <v>4|2|150</v>
          </cell>
          <cell r="D1046" t="str">
            <v>灵台斗法达到1000名</v>
          </cell>
          <cell r="E1046" t="str">
            <v>4|2|150|1</v>
          </cell>
        </row>
        <row r="1047">
          <cell r="A1047">
            <v>31622</v>
          </cell>
          <cell r="B1047">
            <v>1</v>
          </cell>
          <cell r="C1047" t="str">
            <v>4|2|150</v>
          </cell>
          <cell r="D1047" t="str">
            <v>灵台斗法达到950名</v>
          </cell>
          <cell r="E1047" t="str">
            <v>4|2|150|1</v>
          </cell>
        </row>
        <row r="1048">
          <cell r="A1048">
            <v>31623</v>
          </cell>
          <cell r="B1048">
            <v>1</v>
          </cell>
          <cell r="C1048" t="str">
            <v>4|2|150</v>
          </cell>
          <cell r="D1048" t="str">
            <v>灵台斗法达到900名</v>
          </cell>
          <cell r="E1048" t="str">
            <v>4|2|150|1</v>
          </cell>
        </row>
        <row r="1049">
          <cell r="A1049">
            <v>31624</v>
          </cell>
          <cell r="B1049">
            <v>1</v>
          </cell>
          <cell r="C1049" t="str">
            <v>4|2|150</v>
          </cell>
          <cell r="D1049" t="str">
            <v>灵台斗法达到850名</v>
          </cell>
          <cell r="E1049" t="str">
            <v>4|2|150|1</v>
          </cell>
        </row>
        <row r="1050">
          <cell r="A1050">
            <v>31625</v>
          </cell>
          <cell r="B1050">
            <v>1</v>
          </cell>
          <cell r="C1050" t="str">
            <v>4|2|150</v>
          </cell>
          <cell r="D1050" t="str">
            <v>灵台斗法达到800名</v>
          </cell>
          <cell r="E1050" t="str">
            <v>4|2|150|1</v>
          </cell>
        </row>
        <row r="1051">
          <cell r="A1051">
            <v>31626</v>
          </cell>
          <cell r="B1051">
            <v>1</v>
          </cell>
          <cell r="C1051" t="str">
            <v>4|2|150</v>
          </cell>
          <cell r="D1051" t="str">
            <v>灵台斗法达到750名</v>
          </cell>
          <cell r="E1051" t="str">
            <v>4|2|150|1</v>
          </cell>
        </row>
        <row r="1052">
          <cell r="A1052">
            <v>31627</v>
          </cell>
          <cell r="B1052">
            <v>1</v>
          </cell>
          <cell r="C1052" t="str">
            <v>4|2|150</v>
          </cell>
          <cell r="D1052" t="str">
            <v>灵台斗法达到700名</v>
          </cell>
          <cell r="E1052" t="str">
            <v>4|2|150|1</v>
          </cell>
        </row>
        <row r="1053">
          <cell r="A1053">
            <v>31628</v>
          </cell>
          <cell r="B1053">
            <v>1</v>
          </cell>
          <cell r="C1053" t="str">
            <v>4|2|150</v>
          </cell>
          <cell r="D1053" t="str">
            <v>灵台斗法达到650名</v>
          </cell>
          <cell r="E1053" t="str">
            <v>4|2|150|1</v>
          </cell>
        </row>
        <row r="1054">
          <cell r="A1054">
            <v>31629</v>
          </cell>
          <cell r="B1054">
            <v>1</v>
          </cell>
          <cell r="C1054" t="str">
            <v>4|2|150</v>
          </cell>
          <cell r="D1054" t="str">
            <v>灵台斗法达到600名</v>
          </cell>
          <cell r="E1054" t="str">
            <v>4|2|150|1</v>
          </cell>
        </row>
        <row r="1055">
          <cell r="A1055">
            <v>31630</v>
          </cell>
          <cell r="B1055">
            <v>1</v>
          </cell>
          <cell r="C1055" t="str">
            <v>4|2|150</v>
          </cell>
          <cell r="D1055" t="str">
            <v>灵台斗法达到550名</v>
          </cell>
          <cell r="E1055" t="str">
            <v>4|2|150|1</v>
          </cell>
        </row>
        <row r="1056">
          <cell r="A1056">
            <v>31631</v>
          </cell>
          <cell r="B1056">
            <v>1</v>
          </cell>
          <cell r="C1056" t="str">
            <v>4|2|200</v>
          </cell>
          <cell r="D1056" t="str">
            <v>灵台斗法达到500名</v>
          </cell>
          <cell r="E1056" t="str">
            <v>4|2|200|1</v>
          </cell>
        </row>
        <row r="1057">
          <cell r="A1057">
            <v>31632</v>
          </cell>
          <cell r="B1057">
            <v>1</v>
          </cell>
          <cell r="C1057" t="str">
            <v>4|2|200</v>
          </cell>
          <cell r="D1057" t="str">
            <v>灵台斗法达到450名</v>
          </cell>
          <cell r="E1057" t="str">
            <v>4|2|200|1</v>
          </cell>
        </row>
        <row r="1058">
          <cell r="A1058">
            <v>31633</v>
          </cell>
          <cell r="B1058">
            <v>1</v>
          </cell>
          <cell r="C1058" t="str">
            <v>4|2|200</v>
          </cell>
          <cell r="D1058" t="str">
            <v>灵台斗法达到400名</v>
          </cell>
          <cell r="E1058" t="str">
            <v>4|2|200|1</v>
          </cell>
        </row>
        <row r="1059">
          <cell r="A1059">
            <v>31634</v>
          </cell>
          <cell r="B1059">
            <v>1</v>
          </cell>
          <cell r="C1059" t="str">
            <v>4|2|200</v>
          </cell>
          <cell r="D1059" t="str">
            <v>灵台斗法达到350名</v>
          </cell>
          <cell r="E1059" t="str">
            <v>4|2|200|1</v>
          </cell>
        </row>
        <row r="1060">
          <cell r="A1060">
            <v>31635</v>
          </cell>
          <cell r="B1060">
            <v>1</v>
          </cell>
          <cell r="C1060" t="str">
            <v>4|2|200</v>
          </cell>
          <cell r="D1060" t="str">
            <v>灵台斗法达到300名</v>
          </cell>
          <cell r="E1060" t="str">
            <v>4|2|200|1</v>
          </cell>
        </row>
        <row r="1061">
          <cell r="A1061">
            <v>31636</v>
          </cell>
          <cell r="B1061">
            <v>1</v>
          </cell>
          <cell r="C1061" t="str">
            <v>4|2|200</v>
          </cell>
          <cell r="D1061" t="str">
            <v>灵台斗法达到250名</v>
          </cell>
          <cell r="E1061" t="str">
            <v>4|2|200|1</v>
          </cell>
        </row>
        <row r="1062">
          <cell r="A1062">
            <v>31637</v>
          </cell>
          <cell r="B1062">
            <v>1</v>
          </cell>
          <cell r="C1062" t="str">
            <v>4|2|200</v>
          </cell>
          <cell r="D1062" t="str">
            <v>灵台斗法达到200名</v>
          </cell>
          <cell r="E1062" t="str">
            <v>4|2|200|1</v>
          </cell>
        </row>
        <row r="1063">
          <cell r="A1063">
            <v>31638</v>
          </cell>
          <cell r="B1063">
            <v>1</v>
          </cell>
          <cell r="C1063" t="str">
            <v>4|2|200</v>
          </cell>
          <cell r="D1063" t="str">
            <v>灵台斗法达到150名</v>
          </cell>
          <cell r="E1063" t="str">
            <v>4|2|200|1</v>
          </cell>
        </row>
        <row r="1064">
          <cell r="A1064">
            <v>31639</v>
          </cell>
          <cell r="B1064">
            <v>1</v>
          </cell>
          <cell r="C1064" t="str">
            <v>4|2|300</v>
          </cell>
          <cell r="D1064" t="str">
            <v>灵台斗法达到100名</v>
          </cell>
          <cell r="E1064" t="str">
            <v>4|2|300|1</v>
          </cell>
        </row>
        <row r="1065">
          <cell r="A1065">
            <v>31640</v>
          </cell>
          <cell r="B1065">
            <v>1</v>
          </cell>
          <cell r="C1065" t="str">
            <v>4|2|400</v>
          </cell>
          <cell r="D1065" t="str">
            <v>灵台斗法达到50名</v>
          </cell>
          <cell r="E1065" t="str">
            <v>4|2|400|1</v>
          </cell>
        </row>
        <row r="1066">
          <cell r="A1066">
            <v>31641</v>
          </cell>
          <cell r="B1066">
            <v>1</v>
          </cell>
          <cell r="C1066" t="str">
            <v>4|2|500</v>
          </cell>
          <cell r="D1066" t="str">
            <v>灵台斗法达到20名</v>
          </cell>
          <cell r="E1066" t="str">
            <v>4|2|500|1</v>
          </cell>
        </row>
        <row r="1067">
          <cell r="A1067">
            <v>31642</v>
          </cell>
          <cell r="B1067">
            <v>1</v>
          </cell>
          <cell r="C1067" t="str">
            <v>4|2|600</v>
          </cell>
          <cell r="D1067" t="str">
            <v>灵台斗法达到10名</v>
          </cell>
          <cell r="E1067" t="str">
            <v>4|2|600|1</v>
          </cell>
        </row>
        <row r="1068">
          <cell r="A1068">
            <v>31643</v>
          </cell>
          <cell r="B1068">
            <v>1</v>
          </cell>
          <cell r="C1068" t="str">
            <v>4|2|800</v>
          </cell>
          <cell r="D1068" t="str">
            <v>灵台斗法达到5名</v>
          </cell>
          <cell r="E1068" t="str">
            <v>4|2|800|1</v>
          </cell>
        </row>
        <row r="1069">
          <cell r="A1069">
            <v>32001</v>
          </cell>
          <cell r="B1069">
            <v>1</v>
          </cell>
          <cell r="C1069" t="str">
            <v>1|14104|10</v>
          </cell>
          <cell r="D1069" t="str">
            <v>升级技能1次 技能书50</v>
          </cell>
          <cell r="E1069" t="str">
            <v>1|14104|10|1</v>
          </cell>
        </row>
        <row r="1070">
          <cell r="A1070">
            <v>32002</v>
          </cell>
          <cell r="B1070">
            <v>1</v>
          </cell>
          <cell r="C1070" t="str">
            <v>1|14104|15</v>
          </cell>
          <cell r="D1070" t="str">
            <v>升级技能3次</v>
          </cell>
          <cell r="E1070" t="str">
            <v>1|14104|15|1</v>
          </cell>
        </row>
        <row r="1071">
          <cell r="A1071">
            <v>32003</v>
          </cell>
          <cell r="B1071">
            <v>1</v>
          </cell>
          <cell r="C1071" t="str">
            <v>1|14104|20</v>
          </cell>
          <cell r="D1071" t="str">
            <v>升级技能5次</v>
          </cell>
          <cell r="E1071" t="str">
            <v>1|14104|20|1</v>
          </cell>
        </row>
        <row r="1072">
          <cell r="A1072">
            <v>32004</v>
          </cell>
          <cell r="B1072">
            <v>1</v>
          </cell>
          <cell r="C1072" t="str">
            <v>1|14104|50</v>
          </cell>
          <cell r="D1072" t="str">
            <v>升级技能10次</v>
          </cell>
          <cell r="E1072" t="str">
            <v>1|14104|50|1</v>
          </cell>
        </row>
        <row r="1073">
          <cell r="A1073">
            <v>32005</v>
          </cell>
          <cell r="B1073">
            <v>1</v>
          </cell>
          <cell r="C1073" t="str">
            <v>1|14104|100</v>
          </cell>
          <cell r="D1073" t="str">
            <v>升级技能15次</v>
          </cell>
          <cell r="E1073" t="str">
            <v>1|14104|100|1</v>
          </cell>
        </row>
        <row r="1074">
          <cell r="A1074">
            <v>32006</v>
          </cell>
          <cell r="B1074">
            <v>1</v>
          </cell>
          <cell r="C1074" t="str">
            <v>1|14104|150</v>
          </cell>
          <cell r="D1074" t="str">
            <v>升级技能20次</v>
          </cell>
          <cell r="E1074" t="str">
            <v>1|14104|150|1</v>
          </cell>
        </row>
        <row r="1075">
          <cell r="A1075">
            <v>32007</v>
          </cell>
          <cell r="B1075">
            <v>1</v>
          </cell>
          <cell r="C1075" t="str">
            <v>1|14101|5</v>
          </cell>
          <cell r="D1075" t="str">
            <v>体力丹5</v>
          </cell>
          <cell r="E1075" t="str">
            <v>1|14101|5|1</v>
          </cell>
        </row>
        <row r="1076">
          <cell r="A1076">
            <v>32008</v>
          </cell>
          <cell r="B1076">
            <v>1</v>
          </cell>
          <cell r="C1076" t="str">
            <v>1|14101|10</v>
          </cell>
          <cell r="D1076" t="str">
            <v>体力丹10</v>
          </cell>
          <cell r="E1076" t="str">
            <v>1|14101|10|1</v>
          </cell>
        </row>
        <row r="1077">
          <cell r="A1077">
            <v>32009</v>
          </cell>
          <cell r="B1077">
            <v>1</v>
          </cell>
          <cell r="C1077" t="str">
            <v>1|14101|15</v>
          </cell>
          <cell r="D1077" t="str">
            <v>体力丹15</v>
          </cell>
          <cell r="E1077" t="str">
            <v>1|14101|15|1</v>
          </cell>
        </row>
        <row r="1078">
          <cell r="A1078">
            <v>32010</v>
          </cell>
          <cell r="B1078">
            <v>1</v>
          </cell>
          <cell r="C1078" t="str">
            <v>1|14101|20</v>
          </cell>
          <cell r="D1078" t="str">
            <v>体力丹20</v>
          </cell>
          <cell r="E1078" t="str">
            <v>1|14101|20|1</v>
          </cell>
        </row>
        <row r="1079">
          <cell r="A1079">
            <v>32011</v>
          </cell>
          <cell r="B1079">
            <v>1</v>
          </cell>
          <cell r="C1079" t="str">
            <v>1|14101|25</v>
          </cell>
          <cell r="D1079" t="str">
            <v>体力丹25</v>
          </cell>
          <cell r="E1079" t="str">
            <v>1|14101|25|1</v>
          </cell>
        </row>
        <row r="1080">
          <cell r="A1080">
            <v>32012</v>
          </cell>
          <cell r="B1080">
            <v>1</v>
          </cell>
          <cell r="C1080" t="str">
            <v>1|14101|30</v>
          </cell>
          <cell r="D1080" t="str">
            <v>体力丹30</v>
          </cell>
          <cell r="E1080" t="str">
            <v>1|14101|30|1</v>
          </cell>
        </row>
        <row r="1081">
          <cell r="A1081">
            <v>32013</v>
          </cell>
          <cell r="B1081">
            <v>1</v>
          </cell>
          <cell r="C1081" t="str">
            <v>1|14005|3</v>
          </cell>
          <cell r="D1081" t="str">
            <v>普通寻仙3</v>
          </cell>
          <cell r="E1081" t="str">
            <v>1|14005|3|1</v>
          </cell>
        </row>
        <row r="1082">
          <cell r="A1082">
            <v>32014</v>
          </cell>
          <cell r="B1082">
            <v>1</v>
          </cell>
          <cell r="C1082" t="str">
            <v>1|14005|5</v>
          </cell>
          <cell r="D1082" t="str">
            <v>普通寻仙5</v>
          </cell>
          <cell r="E1082" t="str">
            <v>1|14005|5|1</v>
          </cell>
        </row>
        <row r="1083">
          <cell r="A1083">
            <v>32015</v>
          </cell>
          <cell r="B1083">
            <v>1</v>
          </cell>
          <cell r="C1083" t="str">
            <v>1|14005|10</v>
          </cell>
          <cell r="D1083" t="str">
            <v>普通寻仙10</v>
          </cell>
          <cell r="E1083" t="str">
            <v>1|14005|10|1</v>
          </cell>
        </row>
        <row r="1084">
          <cell r="A1084">
            <v>32016</v>
          </cell>
          <cell r="B1084">
            <v>1</v>
          </cell>
          <cell r="C1084" t="str">
            <v>1|14006|3</v>
          </cell>
          <cell r="D1084" t="str">
            <v>高级聚仙1</v>
          </cell>
          <cell r="E1084" t="str">
            <v>1|14006|3|1</v>
          </cell>
        </row>
        <row r="1085">
          <cell r="A1085">
            <v>32017</v>
          </cell>
          <cell r="B1085">
            <v>1</v>
          </cell>
          <cell r="C1085" t="str">
            <v>1|14006|5</v>
          </cell>
          <cell r="D1085" t="str">
            <v>高级聚仙1</v>
          </cell>
          <cell r="E1085" t="str">
            <v>1|14006|5|1</v>
          </cell>
        </row>
        <row r="1086">
          <cell r="A1086">
            <v>32018</v>
          </cell>
          <cell r="B1086">
            <v>1</v>
          </cell>
          <cell r="C1086" t="str">
            <v>1|14006|10</v>
          </cell>
          <cell r="D1086" t="str">
            <v>高级聚仙1</v>
          </cell>
          <cell r="E1086" t="str">
            <v>1|14006|10|1</v>
          </cell>
        </row>
        <row r="1087">
          <cell r="A1087">
            <v>32019</v>
          </cell>
          <cell r="B1087">
            <v>1</v>
          </cell>
          <cell r="C1087" t="str">
            <v>1|14108|2</v>
          </cell>
          <cell r="D1087" t="str">
            <v>法宝抢夺</v>
          </cell>
          <cell r="E1087" t="str">
            <v>1|14108|2|1</v>
          </cell>
        </row>
        <row r="1088">
          <cell r="A1088">
            <v>32020</v>
          </cell>
          <cell r="B1088">
            <v>1</v>
          </cell>
          <cell r="C1088" t="str">
            <v>1|14108|4</v>
          </cell>
          <cell r="D1088" t="str">
            <v>法宝抢夺</v>
          </cell>
          <cell r="E1088" t="str">
            <v>1|14108|4|1</v>
          </cell>
        </row>
        <row r="1089">
          <cell r="A1089">
            <v>32021</v>
          </cell>
          <cell r="B1089">
            <v>1</v>
          </cell>
          <cell r="C1089" t="str">
            <v>1|14108|6</v>
          </cell>
          <cell r="D1089" t="str">
            <v>法宝抢夺</v>
          </cell>
          <cell r="E1089" t="str">
            <v>1|14108|6|1</v>
          </cell>
        </row>
        <row r="1090">
          <cell r="A1090">
            <v>32022</v>
          </cell>
          <cell r="B1090">
            <v>1</v>
          </cell>
          <cell r="C1090" t="str">
            <v>1|14108|8</v>
          </cell>
          <cell r="D1090" t="str">
            <v>法宝抢夺</v>
          </cell>
          <cell r="E1090" t="str">
            <v>1|14108|8|1</v>
          </cell>
        </row>
        <row r="1091">
          <cell r="A1091">
            <v>32023</v>
          </cell>
          <cell r="B1091">
            <v>1</v>
          </cell>
          <cell r="C1091" t="str">
            <v>1|14108|10</v>
          </cell>
          <cell r="D1091" t="str">
            <v>法宝抢夺</v>
          </cell>
          <cell r="E1091" t="str">
            <v>1|14108|10|1</v>
          </cell>
        </row>
        <row r="1092">
          <cell r="A1092">
            <v>32024</v>
          </cell>
          <cell r="B1092">
            <v>1</v>
          </cell>
          <cell r="C1092" t="str">
            <v>1|14108|20</v>
          </cell>
          <cell r="D1092" t="str">
            <v>法宝抢夺</v>
          </cell>
          <cell r="E1092" t="str">
            <v>1|14108|20|1</v>
          </cell>
        </row>
        <row r="1093">
          <cell r="A1093">
            <v>32025</v>
          </cell>
          <cell r="B1093">
            <v>1</v>
          </cell>
          <cell r="C1093" t="str">
            <v>4|2|50</v>
          </cell>
          <cell r="D1093" t="str">
            <v>战斗力钻石</v>
          </cell>
          <cell r="E1093" t="str">
            <v>4|2|50|1</v>
          </cell>
        </row>
        <row r="1094">
          <cell r="A1094">
            <v>32026</v>
          </cell>
          <cell r="B1094">
            <v>1</v>
          </cell>
          <cell r="C1094" t="str">
            <v>4|2|50</v>
          </cell>
          <cell r="D1094" t="str">
            <v>战斗力钻石</v>
          </cell>
          <cell r="E1094" t="str">
            <v>4|2|50|1</v>
          </cell>
        </row>
        <row r="1095">
          <cell r="A1095">
            <v>32027</v>
          </cell>
          <cell r="B1095">
            <v>1</v>
          </cell>
          <cell r="C1095" t="str">
            <v>4|2|100</v>
          </cell>
          <cell r="D1095" t="str">
            <v>战斗力钻石</v>
          </cell>
          <cell r="E1095" t="str">
            <v>4|2|100|1</v>
          </cell>
        </row>
        <row r="1096">
          <cell r="A1096">
            <v>32028</v>
          </cell>
          <cell r="B1096">
            <v>1</v>
          </cell>
          <cell r="C1096" t="str">
            <v>4|2|100</v>
          </cell>
          <cell r="D1096" t="str">
            <v>战斗力钻石</v>
          </cell>
          <cell r="E1096" t="str">
            <v>4|2|100|1</v>
          </cell>
        </row>
        <row r="1097">
          <cell r="A1097">
            <v>32029</v>
          </cell>
          <cell r="B1097">
            <v>1</v>
          </cell>
          <cell r="C1097" t="str">
            <v>4|2|150</v>
          </cell>
          <cell r="D1097" t="str">
            <v>战斗力钻石</v>
          </cell>
          <cell r="E1097" t="str">
            <v>4|2|150|1</v>
          </cell>
        </row>
        <row r="1098">
          <cell r="A1098">
            <v>32030</v>
          </cell>
          <cell r="B1098">
            <v>1</v>
          </cell>
          <cell r="C1098" t="str">
            <v>4|2|200</v>
          </cell>
          <cell r="D1098" t="str">
            <v>战斗力钻石</v>
          </cell>
          <cell r="E1098" t="str">
            <v>4|2|200|1</v>
          </cell>
        </row>
        <row r="1099">
          <cell r="A1099">
            <v>32031</v>
          </cell>
          <cell r="B1099">
            <v>1</v>
          </cell>
          <cell r="C1099" t="str">
            <v>4|1|50000</v>
          </cell>
          <cell r="D1099" t="str">
            <v>副本星金币</v>
          </cell>
          <cell r="E1099" t="str">
            <v>4|1|50000|1</v>
          </cell>
        </row>
        <row r="1100">
          <cell r="A1100">
            <v>32032</v>
          </cell>
          <cell r="B1100">
            <v>1</v>
          </cell>
          <cell r="C1100" t="str">
            <v>4|1|100000</v>
          </cell>
          <cell r="D1100" t="str">
            <v>副本星金币</v>
          </cell>
          <cell r="E1100" t="str">
            <v>4|1|100000|1</v>
          </cell>
        </row>
        <row r="1101">
          <cell r="A1101">
            <v>32033</v>
          </cell>
          <cell r="B1101">
            <v>1</v>
          </cell>
          <cell r="C1101" t="str">
            <v>4|1|150000</v>
          </cell>
          <cell r="D1101" t="str">
            <v>副本星金币</v>
          </cell>
          <cell r="E1101" t="str">
            <v>4|1|150000|1</v>
          </cell>
        </row>
        <row r="1102">
          <cell r="A1102">
            <v>32034</v>
          </cell>
          <cell r="B1102">
            <v>1</v>
          </cell>
          <cell r="C1102" t="str">
            <v>4|1|200000</v>
          </cell>
          <cell r="D1102" t="str">
            <v>副本星金币</v>
          </cell>
          <cell r="E1102" t="str">
            <v>4|1|200000|1</v>
          </cell>
        </row>
        <row r="1103">
          <cell r="A1103">
            <v>32035</v>
          </cell>
          <cell r="B1103">
            <v>1</v>
          </cell>
          <cell r="C1103" t="str">
            <v>4|1|250000</v>
          </cell>
          <cell r="D1103" t="str">
            <v>副本星金币</v>
          </cell>
          <cell r="E1103" t="str">
            <v>4|1|250000|1</v>
          </cell>
        </row>
        <row r="1104">
          <cell r="A1104">
            <v>32036</v>
          </cell>
          <cell r="B1104">
            <v>1</v>
          </cell>
          <cell r="C1104" t="str">
            <v>4|1|300000</v>
          </cell>
          <cell r="D1104" t="str">
            <v>副本星金币</v>
          </cell>
          <cell r="E1104" t="str">
            <v>4|1|300000|1</v>
          </cell>
        </row>
        <row r="1105">
          <cell r="A1105">
            <v>32037</v>
          </cell>
          <cell r="B1105">
            <v>1</v>
          </cell>
          <cell r="C1105" t="str">
            <v>4|2|250</v>
          </cell>
          <cell r="D1105" t="str">
            <v>战斗力钻石</v>
          </cell>
          <cell r="E1105" t="str">
            <v>4|2|250|1</v>
          </cell>
        </row>
        <row r="1106">
          <cell r="A1106">
            <v>32038</v>
          </cell>
          <cell r="B1106">
            <v>1</v>
          </cell>
          <cell r="C1106" t="str">
            <v>4|2|300</v>
          </cell>
          <cell r="D1106" t="str">
            <v>战斗力钻石</v>
          </cell>
          <cell r="E1106" t="str">
            <v>4|2|300|1</v>
          </cell>
        </row>
        <row r="1107">
          <cell r="A1107">
            <v>32039</v>
          </cell>
          <cell r="B1107">
            <v>1</v>
          </cell>
          <cell r="C1107" t="str">
            <v>4|2|100</v>
          </cell>
          <cell r="D1107" t="str">
            <v>战斗力钻石</v>
          </cell>
          <cell r="E1107" t="str">
            <v>4|2|100|1</v>
          </cell>
        </row>
        <row r="1108">
          <cell r="A1108">
            <v>32040</v>
          </cell>
          <cell r="B1108">
            <v>1</v>
          </cell>
          <cell r="C1108" t="str">
            <v>4|2|100</v>
          </cell>
          <cell r="D1108" t="str">
            <v>战斗力钻石</v>
          </cell>
          <cell r="E1108" t="str">
            <v>4|2|100|1</v>
          </cell>
        </row>
        <row r="1109">
          <cell r="A1109">
            <v>32041</v>
          </cell>
          <cell r="B1109">
            <v>1</v>
          </cell>
          <cell r="C1109" t="str">
            <v>4|2|150</v>
          </cell>
          <cell r="D1109" t="str">
            <v>战斗力钻石</v>
          </cell>
          <cell r="E1109" t="str">
            <v>4|2|150|1</v>
          </cell>
        </row>
        <row r="1110">
          <cell r="A1110">
            <v>32042</v>
          </cell>
          <cell r="B1110">
            <v>1</v>
          </cell>
          <cell r="C1110" t="str">
            <v>4|2|200</v>
          </cell>
          <cell r="D1110" t="str">
            <v>战斗力钻石</v>
          </cell>
          <cell r="E1110" t="str">
            <v>4|2|200|1</v>
          </cell>
        </row>
        <row r="1111">
          <cell r="A1111">
            <v>32043</v>
          </cell>
          <cell r="B1111">
            <v>1</v>
          </cell>
          <cell r="C1111" t="str">
            <v>1|14004|25</v>
          </cell>
          <cell r="D1111" t="str">
            <v>超级药水</v>
          </cell>
          <cell r="E1111" t="str">
            <v>1|14004|25|1</v>
          </cell>
        </row>
        <row r="1112">
          <cell r="A1112">
            <v>32044</v>
          </cell>
          <cell r="B1112">
            <v>1</v>
          </cell>
          <cell r="C1112" t="str">
            <v>1|14004|50</v>
          </cell>
          <cell r="D1112" t="str">
            <v>超级药水</v>
          </cell>
          <cell r="E1112" t="str">
            <v>1|14004|50|1</v>
          </cell>
        </row>
        <row r="1113">
          <cell r="A1113">
            <v>32045</v>
          </cell>
          <cell r="B1113">
            <v>1</v>
          </cell>
          <cell r="C1113" t="str">
            <v>1|14004|75</v>
          </cell>
          <cell r="D1113" t="str">
            <v>超级药水</v>
          </cell>
          <cell r="E1113" t="str">
            <v>1|14004|75|1</v>
          </cell>
        </row>
        <row r="1114">
          <cell r="A1114">
            <v>32046</v>
          </cell>
          <cell r="B1114">
            <v>1</v>
          </cell>
          <cell r="C1114" t="str">
            <v>1|14004|100</v>
          </cell>
          <cell r="D1114" t="str">
            <v>超级药水</v>
          </cell>
          <cell r="E1114" t="str">
            <v>1|14004|100|1</v>
          </cell>
        </row>
        <row r="1115">
          <cell r="A1115">
            <v>32047</v>
          </cell>
          <cell r="B1115">
            <v>1</v>
          </cell>
          <cell r="C1115" t="str">
            <v>1|14004|125</v>
          </cell>
          <cell r="D1115" t="str">
            <v>超级药水</v>
          </cell>
          <cell r="E1115" t="str">
            <v>1|14004|125|1</v>
          </cell>
        </row>
        <row r="1116">
          <cell r="A1116">
            <v>32048</v>
          </cell>
          <cell r="B1116">
            <v>1</v>
          </cell>
          <cell r="C1116" t="str">
            <v>1|14201|5</v>
          </cell>
          <cell r="D1116" t="str">
            <v>法宝精炼石</v>
          </cell>
          <cell r="E1116" t="str">
            <v>1|14201|5|1</v>
          </cell>
        </row>
        <row r="1117">
          <cell r="A1117">
            <v>32049</v>
          </cell>
          <cell r="B1117">
            <v>1</v>
          </cell>
          <cell r="C1117" t="str">
            <v>1|14201|10</v>
          </cell>
          <cell r="D1117" t="str">
            <v>法宝精炼石</v>
          </cell>
          <cell r="E1117" t="str">
            <v>1|14201|10|1</v>
          </cell>
        </row>
        <row r="1118">
          <cell r="A1118">
            <v>32050</v>
          </cell>
          <cell r="B1118">
            <v>1</v>
          </cell>
          <cell r="C1118" t="str">
            <v>1|14201|20</v>
          </cell>
          <cell r="D1118" t="str">
            <v>法宝精炼石</v>
          </cell>
          <cell r="E1118" t="str">
            <v>1|14201|20|1</v>
          </cell>
        </row>
        <row r="1119">
          <cell r="A1119">
            <v>32051</v>
          </cell>
          <cell r="B1119">
            <v>1</v>
          </cell>
          <cell r="C1119" t="str">
            <v>1|14201|30</v>
          </cell>
          <cell r="D1119" t="str">
            <v>法宝精炼石</v>
          </cell>
          <cell r="E1119" t="str">
            <v>1|14201|30|1</v>
          </cell>
        </row>
        <row r="1120">
          <cell r="A1120">
            <v>32052</v>
          </cell>
          <cell r="B1120">
            <v>1</v>
          </cell>
          <cell r="C1120" t="str">
            <v>1|14201|40</v>
          </cell>
          <cell r="D1120" t="str">
            <v>法宝精炼石</v>
          </cell>
          <cell r="E1120" t="str">
            <v>1|14201|40|1</v>
          </cell>
        </row>
        <row r="1121">
          <cell r="A1121">
            <v>32053</v>
          </cell>
          <cell r="B1121">
            <v>1</v>
          </cell>
          <cell r="C1121" t="str">
            <v>1|14201|80</v>
          </cell>
          <cell r="D1121" t="str">
            <v>法宝精炼石</v>
          </cell>
          <cell r="E1121" t="str">
            <v>1|14201|80|1</v>
          </cell>
        </row>
        <row r="1122">
          <cell r="A1122">
            <v>32054</v>
          </cell>
          <cell r="B1122">
            <v>1</v>
          </cell>
          <cell r="C1122" t="str">
            <v>1|14205|5</v>
          </cell>
          <cell r="D1122" t="str">
            <v>装备精炼石1</v>
          </cell>
          <cell r="E1122" t="str">
            <v>1|14205|5|1</v>
          </cell>
        </row>
        <row r="1123">
          <cell r="A1123">
            <v>32055</v>
          </cell>
          <cell r="B1123">
            <v>1</v>
          </cell>
          <cell r="C1123" t="str">
            <v>1|14205|10</v>
          </cell>
          <cell r="D1123" t="str">
            <v>装备精炼石2</v>
          </cell>
          <cell r="E1123" t="str">
            <v>1|14205|10|1</v>
          </cell>
        </row>
        <row r="1124">
          <cell r="A1124">
            <v>32056</v>
          </cell>
          <cell r="B1124">
            <v>1</v>
          </cell>
          <cell r="C1124" t="str">
            <v>1|14205|15</v>
          </cell>
          <cell r="D1124" t="str">
            <v>装备精炼石3</v>
          </cell>
          <cell r="E1124" t="str">
            <v>1|14205|15|1</v>
          </cell>
        </row>
        <row r="1125">
          <cell r="A1125">
            <v>32057</v>
          </cell>
          <cell r="B1125">
            <v>1</v>
          </cell>
          <cell r="C1125" t="str">
            <v>1|14205|20</v>
          </cell>
          <cell r="D1125" t="str">
            <v>装备精炼石4</v>
          </cell>
          <cell r="E1125" t="str">
            <v>1|14205|20|1</v>
          </cell>
        </row>
        <row r="1126">
          <cell r="A1126">
            <v>32058</v>
          </cell>
          <cell r="B1126">
            <v>1</v>
          </cell>
          <cell r="C1126" t="str">
            <v>1|14205|25</v>
          </cell>
          <cell r="D1126" t="str">
            <v>装备精炼石5</v>
          </cell>
          <cell r="E1126" t="str">
            <v>1|14205|25|1</v>
          </cell>
        </row>
        <row r="1127">
          <cell r="A1127">
            <v>32059</v>
          </cell>
          <cell r="B1127">
            <v>1</v>
          </cell>
          <cell r="C1127" t="str">
            <v>1|14205|30</v>
          </cell>
          <cell r="D1127" t="str">
            <v>装备精炼石6</v>
          </cell>
          <cell r="E1127" t="str">
            <v>1|14205|30|1</v>
          </cell>
        </row>
        <row r="1128">
          <cell r="A1128">
            <v>32060</v>
          </cell>
          <cell r="B1128">
            <v>1</v>
          </cell>
          <cell r="C1128" t="str">
            <v>4|2|100</v>
          </cell>
          <cell r="D1128" t="str">
            <v>累计充值1</v>
          </cell>
          <cell r="E1128" t="str">
            <v>4|2|100|1</v>
          </cell>
        </row>
        <row r="1129">
          <cell r="A1129">
            <v>32061</v>
          </cell>
          <cell r="B1129">
            <v>1</v>
          </cell>
          <cell r="C1129" t="str">
            <v>4|2|200</v>
          </cell>
          <cell r="D1129" t="str">
            <v>累计充值2</v>
          </cell>
          <cell r="E1129" t="str">
            <v>4|2|200|1</v>
          </cell>
        </row>
        <row r="1130">
          <cell r="A1130">
            <v>32062</v>
          </cell>
          <cell r="B1130">
            <v>1</v>
          </cell>
          <cell r="C1130" t="str">
            <v>4|2|300</v>
          </cell>
          <cell r="D1130" t="str">
            <v>累计充值3</v>
          </cell>
          <cell r="E1130" t="str">
            <v>4|2|300|1</v>
          </cell>
        </row>
        <row r="1131">
          <cell r="A1131">
            <v>32063</v>
          </cell>
          <cell r="B1131">
            <v>1</v>
          </cell>
          <cell r="C1131" t="str">
            <v>4|2|500</v>
          </cell>
          <cell r="D1131" t="str">
            <v>累计充值4</v>
          </cell>
          <cell r="E1131" t="str">
            <v>4|2|500|1</v>
          </cell>
        </row>
        <row r="1132">
          <cell r="A1132">
            <v>32064</v>
          </cell>
          <cell r="B1132">
            <v>1</v>
          </cell>
          <cell r="C1132" t="str">
            <v>4|2|1000</v>
          </cell>
          <cell r="D1132" t="str">
            <v>累计充值5</v>
          </cell>
          <cell r="E1132" t="str">
            <v>4|2|1000|1</v>
          </cell>
        </row>
        <row r="1133">
          <cell r="A1133">
            <v>32065</v>
          </cell>
          <cell r="B1133">
            <v>1</v>
          </cell>
          <cell r="C1133" t="str">
            <v>4|2|2000</v>
          </cell>
          <cell r="D1133" t="str">
            <v>累计充值6</v>
          </cell>
          <cell r="E1133" t="str">
            <v>4|2|2000|1</v>
          </cell>
        </row>
        <row r="1134">
          <cell r="A1134">
            <v>32066</v>
          </cell>
          <cell r="B1134">
            <v>1</v>
          </cell>
          <cell r="C1134" t="str">
            <v>4|2|5000</v>
          </cell>
          <cell r="D1134" t="str">
            <v>累计充值7</v>
          </cell>
          <cell r="E1134" t="str">
            <v>4|2|5000|1</v>
          </cell>
        </row>
        <row r="1135">
          <cell r="A1135">
            <v>33001</v>
          </cell>
          <cell r="B1135">
            <v>0</v>
          </cell>
          <cell r="C1135" t="str">
            <v>3|34101|1</v>
          </cell>
          <cell r="D1135" t="str">
            <v>主线任务10001</v>
          </cell>
          <cell r="E1135" t="str">
            <v>3|34101|1|1</v>
          </cell>
        </row>
        <row r="1136">
          <cell r="A1136">
            <v>33002</v>
          </cell>
          <cell r="B1136">
            <v>0</v>
          </cell>
          <cell r="C1136" t="str">
            <v>3|34101|1</v>
          </cell>
          <cell r="D1136" t="str">
            <v>主线任务10002</v>
          </cell>
          <cell r="E1136" t="str">
            <v>3|34101|1|1</v>
          </cell>
        </row>
        <row r="1137">
          <cell r="A1137">
            <v>33003</v>
          </cell>
          <cell r="B1137">
            <v>0</v>
          </cell>
          <cell r="C1137" t="str">
            <v>3|34101|1</v>
          </cell>
          <cell r="D1137" t="str">
            <v>主线任务10003</v>
          </cell>
          <cell r="E1137" t="str">
            <v>3|34101|1|1</v>
          </cell>
        </row>
        <row r="1138">
          <cell r="A1138">
            <v>33004</v>
          </cell>
          <cell r="B1138">
            <v>0</v>
          </cell>
          <cell r="C1138" t="str">
            <v>3|34101|1</v>
          </cell>
          <cell r="D1138" t="str">
            <v>主线任务10004</v>
          </cell>
          <cell r="E1138" t="str">
            <v>3|34101|1|1</v>
          </cell>
        </row>
        <row r="1139">
          <cell r="A1139">
            <v>33005</v>
          </cell>
          <cell r="B1139">
            <v>0</v>
          </cell>
          <cell r="C1139" t="str">
            <v>3|34102|1</v>
          </cell>
          <cell r="D1139" t="str">
            <v>主线任务10005</v>
          </cell>
          <cell r="E1139" t="str">
            <v>3|34102|1|1</v>
          </cell>
        </row>
        <row r="1140">
          <cell r="A1140">
            <v>33006</v>
          </cell>
          <cell r="B1140">
            <v>0</v>
          </cell>
          <cell r="C1140" t="str">
            <v>3|34102|1</v>
          </cell>
          <cell r="D1140" t="str">
            <v>主线任务10006</v>
          </cell>
          <cell r="E1140" t="str">
            <v>3|34102|1|1</v>
          </cell>
        </row>
        <row r="1141">
          <cell r="A1141">
            <v>33007</v>
          </cell>
          <cell r="B1141">
            <v>0</v>
          </cell>
          <cell r="C1141" t="str">
            <v>3|34102|1</v>
          </cell>
          <cell r="D1141" t="str">
            <v>主线任务10007</v>
          </cell>
          <cell r="E1141" t="str">
            <v>3|34102|1|1</v>
          </cell>
        </row>
        <row r="1142">
          <cell r="A1142">
            <v>33008</v>
          </cell>
          <cell r="B1142">
            <v>0</v>
          </cell>
          <cell r="C1142" t="str">
            <v>3|34102|1</v>
          </cell>
          <cell r="D1142" t="str">
            <v>主线任务10008</v>
          </cell>
          <cell r="E1142" t="str">
            <v>3|34102|1|1</v>
          </cell>
        </row>
        <row r="1143">
          <cell r="A1143">
            <v>33009</v>
          </cell>
          <cell r="B1143">
            <v>0</v>
          </cell>
          <cell r="C1143" t="str">
            <v>3|34103|1</v>
          </cell>
          <cell r="D1143" t="str">
            <v>主线任务10009</v>
          </cell>
          <cell r="E1143" t="str">
            <v>3|34103|1|1</v>
          </cell>
        </row>
        <row r="1144">
          <cell r="A1144">
            <v>33010</v>
          </cell>
          <cell r="B1144">
            <v>0</v>
          </cell>
          <cell r="C1144" t="str">
            <v>3|34103|1</v>
          </cell>
          <cell r="D1144" t="str">
            <v>主线任务10010</v>
          </cell>
          <cell r="E1144" t="str">
            <v>3|34103|1|1</v>
          </cell>
        </row>
        <row r="1145">
          <cell r="A1145">
            <v>33011</v>
          </cell>
          <cell r="B1145">
            <v>0</v>
          </cell>
          <cell r="C1145" t="str">
            <v>3|34103|1</v>
          </cell>
          <cell r="D1145" t="str">
            <v>主线任务10011</v>
          </cell>
          <cell r="E1145" t="str">
            <v>3|34103|1|1</v>
          </cell>
        </row>
        <row r="1146">
          <cell r="A1146">
            <v>33012</v>
          </cell>
          <cell r="B1146">
            <v>0</v>
          </cell>
          <cell r="C1146" t="str">
            <v>3|34103|1</v>
          </cell>
          <cell r="D1146" t="str">
            <v>主线任务10012</v>
          </cell>
          <cell r="E1146" t="str">
            <v>3|34103|1|1</v>
          </cell>
        </row>
        <row r="1147">
          <cell r="A1147">
            <v>33013</v>
          </cell>
          <cell r="B1147">
            <v>0</v>
          </cell>
          <cell r="C1147" t="str">
            <v>3|34104|1</v>
          </cell>
          <cell r="D1147" t="str">
            <v>主线任务10013</v>
          </cell>
          <cell r="E1147" t="str">
            <v>3|34104|1|1</v>
          </cell>
        </row>
        <row r="1148">
          <cell r="A1148">
            <v>33014</v>
          </cell>
          <cell r="B1148">
            <v>0</v>
          </cell>
          <cell r="C1148" t="str">
            <v>3|34104|1</v>
          </cell>
          <cell r="D1148" t="str">
            <v>主线任务10014</v>
          </cell>
          <cell r="E1148" t="str">
            <v>3|34104|1|1</v>
          </cell>
        </row>
        <row r="1149">
          <cell r="A1149">
            <v>33015</v>
          </cell>
          <cell r="B1149">
            <v>0</v>
          </cell>
          <cell r="C1149" t="str">
            <v>3|34104|1</v>
          </cell>
          <cell r="D1149" t="str">
            <v>主线任务10015</v>
          </cell>
          <cell r="E1149" t="str">
            <v>3|34104|1|1</v>
          </cell>
        </row>
        <row r="1150">
          <cell r="A1150">
            <v>33016</v>
          </cell>
          <cell r="B1150">
            <v>0</v>
          </cell>
          <cell r="C1150" t="str">
            <v>3|34104|1</v>
          </cell>
          <cell r="D1150" t="str">
            <v>主线任务10016</v>
          </cell>
          <cell r="E1150" t="str">
            <v>3|34104|1|1</v>
          </cell>
        </row>
        <row r="1151">
          <cell r="A1151">
            <v>33017</v>
          </cell>
          <cell r="B1151">
            <v>0</v>
          </cell>
          <cell r="C1151" t="str">
            <v>3|34105|1</v>
          </cell>
          <cell r="D1151" t="str">
            <v>主线任务10017</v>
          </cell>
          <cell r="E1151" t="str">
            <v>3|34105|1|1</v>
          </cell>
        </row>
        <row r="1152">
          <cell r="A1152">
            <v>33018</v>
          </cell>
          <cell r="B1152">
            <v>0</v>
          </cell>
          <cell r="C1152" t="str">
            <v>3|34105|1</v>
          </cell>
          <cell r="D1152" t="str">
            <v>主线任务10018</v>
          </cell>
          <cell r="E1152" t="str">
            <v>3|34105|1|1</v>
          </cell>
        </row>
        <row r="1153">
          <cell r="A1153">
            <v>33019</v>
          </cell>
          <cell r="B1153">
            <v>0</v>
          </cell>
          <cell r="C1153" t="str">
            <v>3|34105|1</v>
          </cell>
          <cell r="D1153" t="str">
            <v>主线任务10019</v>
          </cell>
          <cell r="E1153" t="str">
            <v>3|34105|1|1</v>
          </cell>
        </row>
        <row r="1154">
          <cell r="A1154">
            <v>33020</v>
          </cell>
          <cell r="B1154">
            <v>0</v>
          </cell>
          <cell r="C1154" t="str">
            <v>3|34105|1</v>
          </cell>
          <cell r="D1154" t="str">
            <v>主线任务10020</v>
          </cell>
          <cell r="E1154" t="str">
            <v>3|34105|1|1</v>
          </cell>
        </row>
        <row r="1155">
          <cell r="A1155">
            <v>33021</v>
          </cell>
          <cell r="B1155">
            <v>0</v>
          </cell>
          <cell r="C1155" t="str">
            <v>3|34106|1</v>
          </cell>
          <cell r="D1155" t="str">
            <v>主线任务10021</v>
          </cell>
          <cell r="E1155" t="str">
            <v>3|34106|1|1</v>
          </cell>
        </row>
        <row r="1156">
          <cell r="A1156">
            <v>33022</v>
          </cell>
          <cell r="B1156">
            <v>0</v>
          </cell>
          <cell r="C1156" t="str">
            <v>3|34106|1</v>
          </cell>
          <cell r="D1156" t="str">
            <v>主线任务10022</v>
          </cell>
          <cell r="E1156" t="str">
            <v>3|34106|1|1</v>
          </cell>
        </row>
        <row r="1157">
          <cell r="A1157">
            <v>33023</v>
          </cell>
          <cell r="B1157">
            <v>0</v>
          </cell>
          <cell r="C1157" t="str">
            <v>3|34106|1</v>
          </cell>
          <cell r="D1157" t="str">
            <v>主线任务10023</v>
          </cell>
          <cell r="E1157" t="str">
            <v>3|34106|1|1</v>
          </cell>
        </row>
        <row r="1158">
          <cell r="A1158">
            <v>33024</v>
          </cell>
          <cell r="B1158">
            <v>0</v>
          </cell>
          <cell r="C1158" t="str">
            <v>3|34106|1</v>
          </cell>
          <cell r="D1158" t="str">
            <v>主线任务10024</v>
          </cell>
          <cell r="E1158" t="str">
            <v>3|34106|1|1</v>
          </cell>
        </row>
        <row r="1159">
          <cell r="A1159">
            <v>33025</v>
          </cell>
          <cell r="B1159">
            <v>0</v>
          </cell>
          <cell r="C1159" t="str">
            <v>3|34107|1</v>
          </cell>
          <cell r="D1159" t="str">
            <v>主线任务10025</v>
          </cell>
          <cell r="E1159" t="str">
            <v>3|34107|1|1</v>
          </cell>
        </row>
        <row r="1160">
          <cell r="A1160">
            <v>33026</v>
          </cell>
          <cell r="B1160">
            <v>0</v>
          </cell>
          <cell r="C1160" t="str">
            <v>3|34107|1</v>
          </cell>
          <cell r="D1160" t="str">
            <v>主线任务10026</v>
          </cell>
          <cell r="E1160" t="str">
            <v>3|34107|1|1</v>
          </cell>
        </row>
        <row r="1161">
          <cell r="A1161">
            <v>33027</v>
          </cell>
          <cell r="B1161">
            <v>0</v>
          </cell>
          <cell r="C1161" t="str">
            <v>3|34107|1</v>
          </cell>
          <cell r="D1161" t="str">
            <v>主线任务10027</v>
          </cell>
          <cell r="E1161" t="str">
            <v>3|34107|1|1</v>
          </cell>
        </row>
        <row r="1162">
          <cell r="A1162">
            <v>33028</v>
          </cell>
          <cell r="B1162">
            <v>0</v>
          </cell>
          <cell r="C1162" t="str">
            <v>3|34107|1</v>
          </cell>
          <cell r="D1162" t="str">
            <v>主线任务10028</v>
          </cell>
          <cell r="E1162" t="str">
            <v>3|34107|1|1</v>
          </cell>
        </row>
        <row r="1163">
          <cell r="A1163">
            <v>33029</v>
          </cell>
          <cell r="B1163">
            <v>0</v>
          </cell>
          <cell r="C1163" t="str">
            <v>3|34108|1</v>
          </cell>
          <cell r="D1163" t="str">
            <v>主线任务10029</v>
          </cell>
          <cell r="E1163" t="str">
            <v>3|34108|1|1</v>
          </cell>
        </row>
        <row r="1164">
          <cell r="A1164">
            <v>33030</v>
          </cell>
          <cell r="B1164">
            <v>0</v>
          </cell>
          <cell r="C1164" t="str">
            <v>3|34108|1</v>
          </cell>
          <cell r="D1164" t="str">
            <v>主线任务10030</v>
          </cell>
          <cell r="E1164" t="str">
            <v>3|34108|1|1</v>
          </cell>
        </row>
        <row r="1165">
          <cell r="A1165">
            <v>33031</v>
          </cell>
          <cell r="B1165">
            <v>0</v>
          </cell>
          <cell r="C1165" t="str">
            <v>3|34108|1</v>
          </cell>
          <cell r="D1165" t="str">
            <v>主线任务10031</v>
          </cell>
          <cell r="E1165" t="str">
            <v>3|34108|1|1</v>
          </cell>
        </row>
        <row r="1166">
          <cell r="A1166">
            <v>33032</v>
          </cell>
          <cell r="B1166">
            <v>0</v>
          </cell>
          <cell r="C1166" t="str">
            <v>3|34108|1</v>
          </cell>
          <cell r="D1166" t="str">
            <v>主线任务10032</v>
          </cell>
          <cell r="E1166" t="str">
            <v>3|34108|1|1</v>
          </cell>
        </row>
        <row r="1167">
          <cell r="A1167">
            <v>33033</v>
          </cell>
          <cell r="B1167">
            <v>0</v>
          </cell>
          <cell r="C1167" t="str">
            <v>3|34109|1</v>
          </cell>
          <cell r="D1167" t="str">
            <v>主线任务10033</v>
          </cell>
          <cell r="E1167" t="str">
            <v>3|34109|1|1</v>
          </cell>
        </row>
        <row r="1168">
          <cell r="A1168">
            <v>33034</v>
          </cell>
          <cell r="B1168">
            <v>0</v>
          </cell>
          <cell r="C1168" t="str">
            <v>3|34109|1</v>
          </cell>
          <cell r="D1168" t="str">
            <v>主线任务10034</v>
          </cell>
          <cell r="E1168" t="str">
            <v>3|34109|1|1</v>
          </cell>
        </row>
        <row r="1169">
          <cell r="A1169">
            <v>33035</v>
          </cell>
          <cell r="B1169">
            <v>0</v>
          </cell>
          <cell r="C1169" t="str">
            <v>3|34109|1</v>
          </cell>
          <cell r="D1169" t="str">
            <v>主线任务11001</v>
          </cell>
          <cell r="E1169" t="str">
            <v>3|34109|1|1</v>
          </cell>
        </row>
        <row r="1170">
          <cell r="A1170">
            <v>33036</v>
          </cell>
          <cell r="B1170">
            <v>0</v>
          </cell>
          <cell r="C1170" t="str">
            <v>3|34109|1</v>
          </cell>
          <cell r="D1170" t="str">
            <v>主线任务11002</v>
          </cell>
          <cell r="E1170" t="str">
            <v>3|34109|1|1</v>
          </cell>
        </row>
        <row r="1171">
          <cell r="A1171">
            <v>33037</v>
          </cell>
          <cell r="B1171">
            <v>0</v>
          </cell>
          <cell r="C1171" t="str">
            <v>3|34110|1</v>
          </cell>
          <cell r="D1171" t="str">
            <v>主线任务11003</v>
          </cell>
          <cell r="E1171" t="str">
            <v>3|34110|1|1</v>
          </cell>
        </row>
        <row r="1172">
          <cell r="A1172">
            <v>33038</v>
          </cell>
          <cell r="B1172">
            <v>0</v>
          </cell>
          <cell r="C1172" t="str">
            <v>3|34110|1</v>
          </cell>
          <cell r="D1172" t="str">
            <v>主线任务11004</v>
          </cell>
          <cell r="E1172" t="str">
            <v>3|34110|1|1</v>
          </cell>
        </row>
        <row r="1173">
          <cell r="A1173">
            <v>33039</v>
          </cell>
          <cell r="B1173">
            <v>0</v>
          </cell>
          <cell r="C1173" t="str">
            <v>3|34110|1</v>
          </cell>
          <cell r="D1173" t="str">
            <v>主线任务11005</v>
          </cell>
          <cell r="E1173" t="str">
            <v>3|34110|1|1</v>
          </cell>
        </row>
        <row r="1174">
          <cell r="A1174">
            <v>33040</v>
          </cell>
          <cell r="B1174">
            <v>0</v>
          </cell>
          <cell r="C1174" t="str">
            <v>3|34110|1</v>
          </cell>
          <cell r="D1174" t="str">
            <v>主线任务11006</v>
          </cell>
          <cell r="E1174" t="str">
            <v>3|34110|1|1</v>
          </cell>
        </row>
        <row r="1175">
          <cell r="A1175">
            <v>33041</v>
          </cell>
          <cell r="B1175">
            <v>0</v>
          </cell>
          <cell r="C1175" t="str">
            <v>3|34111|1</v>
          </cell>
          <cell r="D1175" t="str">
            <v>主线任务11007</v>
          </cell>
          <cell r="E1175" t="str">
            <v>3|34111|1|1</v>
          </cell>
        </row>
        <row r="1176">
          <cell r="A1176">
            <v>33042</v>
          </cell>
          <cell r="B1176">
            <v>0</v>
          </cell>
          <cell r="C1176" t="str">
            <v>3|34111|1</v>
          </cell>
          <cell r="D1176" t="str">
            <v>主线任务11008</v>
          </cell>
          <cell r="E1176" t="str">
            <v>3|34111|1|1</v>
          </cell>
        </row>
        <row r="1177">
          <cell r="A1177">
            <v>33043</v>
          </cell>
          <cell r="B1177">
            <v>0</v>
          </cell>
          <cell r="C1177" t="str">
            <v>3|34111|1</v>
          </cell>
          <cell r="D1177" t="str">
            <v>主线任务11009</v>
          </cell>
          <cell r="E1177" t="str">
            <v>3|34111|1|1</v>
          </cell>
        </row>
        <row r="1178">
          <cell r="A1178">
            <v>33044</v>
          </cell>
          <cell r="B1178">
            <v>0</v>
          </cell>
          <cell r="C1178" t="str">
            <v>3|34111|1</v>
          </cell>
          <cell r="D1178" t="str">
            <v>主线任务11010</v>
          </cell>
          <cell r="E1178" t="str">
            <v>3|34111|1|1</v>
          </cell>
        </row>
        <row r="1179">
          <cell r="A1179">
            <v>33045</v>
          </cell>
          <cell r="B1179">
            <v>0</v>
          </cell>
          <cell r="C1179" t="str">
            <v>3|34112|1</v>
          </cell>
          <cell r="D1179" t="str">
            <v>主线任务11011</v>
          </cell>
          <cell r="E1179" t="str">
            <v>3|34112|1|1</v>
          </cell>
        </row>
        <row r="1180">
          <cell r="A1180">
            <v>33046</v>
          </cell>
          <cell r="B1180">
            <v>0</v>
          </cell>
          <cell r="C1180" t="str">
            <v>3|34112|1</v>
          </cell>
          <cell r="D1180" t="str">
            <v>主线任务11012</v>
          </cell>
          <cell r="E1180" t="str">
            <v>3|34112|1|1</v>
          </cell>
        </row>
        <row r="1181">
          <cell r="A1181">
            <v>33047</v>
          </cell>
          <cell r="B1181">
            <v>0</v>
          </cell>
          <cell r="C1181" t="str">
            <v>3|34112|1</v>
          </cell>
          <cell r="D1181" t="str">
            <v>主线任务11013</v>
          </cell>
          <cell r="E1181" t="str">
            <v>3|34112|1|1</v>
          </cell>
        </row>
        <row r="1182">
          <cell r="A1182">
            <v>33048</v>
          </cell>
          <cell r="B1182">
            <v>0</v>
          </cell>
          <cell r="C1182" t="str">
            <v>3|34112|1</v>
          </cell>
          <cell r="D1182" t="str">
            <v>主线任务11014</v>
          </cell>
          <cell r="E1182" t="str">
            <v>3|34112|1|1</v>
          </cell>
        </row>
        <row r="1183">
          <cell r="A1183">
            <v>33049</v>
          </cell>
          <cell r="B1183">
            <v>0</v>
          </cell>
          <cell r="C1183" t="str">
            <v>3|34113|1</v>
          </cell>
          <cell r="D1183" t="str">
            <v>主线任务11015</v>
          </cell>
          <cell r="E1183" t="str">
            <v>3|34113|1|1</v>
          </cell>
        </row>
        <row r="1184">
          <cell r="A1184">
            <v>33050</v>
          </cell>
          <cell r="B1184">
            <v>0</v>
          </cell>
          <cell r="C1184" t="str">
            <v>3|34113|1</v>
          </cell>
          <cell r="D1184" t="str">
            <v>主线任务11016</v>
          </cell>
          <cell r="E1184" t="str">
            <v>3|34113|1|1</v>
          </cell>
        </row>
        <row r="1185">
          <cell r="A1185">
            <v>33051</v>
          </cell>
          <cell r="B1185">
            <v>0</v>
          </cell>
          <cell r="C1185" t="str">
            <v>3|34113|1</v>
          </cell>
          <cell r="D1185" t="str">
            <v>主线任务11017</v>
          </cell>
          <cell r="E1185" t="str">
            <v>3|34113|1|1</v>
          </cell>
        </row>
        <row r="1186">
          <cell r="A1186">
            <v>33052</v>
          </cell>
          <cell r="B1186">
            <v>0</v>
          </cell>
          <cell r="C1186" t="str">
            <v>3|34113|1</v>
          </cell>
          <cell r="D1186" t="str">
            <v>主线任务11018</v>
          </cell>
          <cell r="E1186" t="str">
            <v>3|34113|1|1</v>
          </cell>
        </row>
        <row r="1187">
          <cell r="A1187">
            <v>33053</v>
          </cell>
          <cell r="B1187">
            <v>0</v>
          </cell>
          <cell r="C1187" t="str">
            <v>3|34114|1</v>
          </cell>
          <cell r="D1187" t="str">
            <v>主线任务11019</v>
          </cell>
          <cell r="E1187" t="str">
            <v>3|34114|1|1</v>
          </cell>
        </row>
        <row r="1188">
          <cell r="A1188">
            <v>33054</v>
          </cell>
          <cell r="B1188">
            <v>0</v>
          </cell>
          <cell r="C1188" t="str">
            <v>3|34114|1</v>
          </cell>
          <cell r="D1188" t="str">
            <v>主线任务11020</v>
          </cell>
          <cell r="E1188" t="str">
            <v>3|34114|1|1</v>
          </cell>
        </row>
        <row r="1189">
          <cell r="A1189">
            <v>33055</v>
          </cell>
          <cell r="B1189">
            <v>0</v>
          </cell>
          <cell r="C1189" t="str">
            <v>3|34114|1</v>
          </cell>
          <cell r="D1189" t="str">
            <v>主线任务11021</v>
          </cell>
          <cell r="E1189" t="str">
            <v>3|34114|1|1</v>
          </cell>
        </row>
        <row r="1190">
          <cell r="A1190">
            <v>33056</v>
          </cell>
          <cell r="B1190">
            <v>0</v>
          </cell>
          <cell r="C1190" t="str">
            <v>3|34114|1</v>
          </cell>
          <cell r="D1190" t="str">
            <v>主线任务11022</v>
          </cell>
          <cell r="E1190" t="str">
            <v>3|34114|1|1</v>
          </cell>
        </row>
        <row r="1191">
          <cell r="A1191">
            <v>33057</v>
          </cell>
          <cell r="B1191">
            <v>0</v>
          </cell>
          <cell r="C1191" t="str">
            <v>3|34115|1</v>
          </cell>
          <cell r="D1191" t="str">
            <v>主线任务11023</v>
          </cell>
          <cell r="E1191" t="str">
            <v>3|34115|1|1</v>
          </cell>
        </row>
        <row r="1192">
          <cell r="A1192">
            <v>33058</v>
          </cell>
          <cell r="B1192">
            <v>0</v>
          </cell>
          <cell r="C1192" t="str">
            <v>3|34115|1</v>
          </cell>
          <cell r="D1192" t="str">
            <v>主线任务11024</v>
          </cell>
          <cell r="E1192" t="str">
            <v>3|34115|1|1</v>
          </cell>
        </row>
        <row r="1193">
          <cell r="A1193">
            <v>33059</v>
          </cell>
          <cell r="B1193">
            <v>0</v>
          </cell>
          <cell r="C1193" t="str">
            <v>3|34115|1</v>
          </cell>
          <cell r="D1193" t="str">
            <v>主线任务11025</v>
          </cell>
          <cell r="E1193" t="str">
            <v>3|34115|1|1</v>
          </cell>
        </row>
        <row r="1194">
          <cell r="A1194">
            <v>33060</v>
          </cell>
          <cell r="B1194">
            <v>0</v>
          </cell>
          <cell r="C1194" t="str">
            <v>3|34115|1</v>
          </cell>
          <cell r="D1194" t="str">
            <v>主线任务11026</v>
          </cell>
          <cell r="E1194" t="str">
            <v>3|34115|1|1</v>
          </cell>
        </row>
        <row r="1195">
          <cell r="A1195">
            <v>33061</v>
          </cell>
          <cell r="B1195">
            <v>0</v>
          </cell>
          <cell r="C1195" t="str">
            <v>3|34116|1</v>
          </cell>
          <cell r="D1195" t="str">
            <v>主线任务11027</v>
          </cell>
          <cell r="E1195" t="str">
            <v>3|34116|1|1</v>
          </cell>
        </row>
        <row r="1196">
          <cell r="A1196">
            <v>33062</v>
          </cell>
          <cell r="B1196">
            <v>0</v>
          </cell>
          <cell r="C1196" t="str">
            <v>3|34116|1</v>
          </cell>
          <cell r="D1196" t="str">
            <v>主线任务11011</v>
          </cell>
          <cell r="E1196" t="str">
            <v>3|34116|1|1</v>
          </cell>
        </row>
        <row r="1197">
          <cell r="A1197">
            <v>33063</v>
          </cell>
          <cell r="B1197">
            <v>0</v>
          </cell>
          <cell r="C1197" t="str">
            <v>3|34116|1</v>
          </cell>
          <cell r="D1197" t="str">
            <v>主线任务11012</v>
          </cell>
          <cell r="E1197" t="str">
            <v>3|34116|1|1</v>
          </cell>
        </row>
        <row r="1198">
          <cell r="A1198">
            <v>33064</v>
          </cell>
          <cell r="B1198">
            <v>0</v>
          </cell>
          <cell r="C1198" t="str">
            <v>3|34116|1</v>
          </cell>
          <cell r="D1198" t="str">
            <v>主线任务11013</v>
          </cell>
          <cell r="E1198" t="str">
            <v>3|34116|1|1</v>
          </cell>
        </row>
        <row r="1199">
          <cell r="A1199">
            <v>33065</v>
          </cell>
          <cell r="B1199">
            <v>0</v>
          </cell>
          <cell r="C1199" t="str">
            <v>3|34117|1</v>
          </cell>
          <cell r="D1199" t="str">
            <v>主线任务11014</v>
          </cell>
          <cell r="E1199" t="str">
            <v>3|34117|1|1</v>
          </cell>
        </row>
        <row r="1200">
          <cell r="A1200">
            <v>33066</v>
          </cell>
          <cell r="B1200">
            <v>0</v>
          </cell>
          <cell r="C1200" t="str">
            <v>3|34117|1</v>
          </cell>
          <cell r="D1200" t="str">
            <v>主线任务11015</v>
          </cell>
          <cell r="E1200" t="str">
            <v>3|34117|1|1</v>
          </cell>
        </row>
        <row r="1201">
          <cell r="A1201">
            <v>33067</v>
          </cell>
          <cell r="B1201">
            <v>0</v>
          </cell>
          <cell r="C1201" t="str">
            <v>3|34117|1</v>
          </cell>
          <cell r="D1201" t="str">
            <v>主线任务11016</v>
          </cell>
          <cell r="E1201" t="str">
            <v>3|34117|1|1</v>
          </cell>
        </row>
        <row r="1202">
          <cell r="A1202">
            <v>33068</v>
          </cell>
          <cell r="B1202">
            <v>0</v>
          </cell>
          <cell r="C1202" t="str">
            <v>3|34117|1</v>
          </cell>
          <cell r="D1202" t="str">
            <v>主线任务11017</v>
          </cell>
          <cell r="E1202" t="str">
            <v>3|34117|1|1</v>
          </cell>
        </row>
        <row r="1203">
          <cell r="A1203">
            <v>33069</v>
          </cell>
          <cell r="B1203">
            <v>0</v>
          </cell>
          <cell r="C1203" t="str">
            <v>3|34118|1</v>
          </cell>
          <cell r="D1203" t="str">
            <v>主线任务11018</v>
          </cell>
          <cell r="E1203" t="str">
            <v>3|34118|1|1</v>
          </cell>
        </row>
        <row r="1204">
          <cell r="A1204">
            <v>33070</v>
          </cell>
          <cell r="B1204">
            <v>0</v>
          </cell>
          <cell r="C1204" t="str">
            <v>3|34118|1</v>
          </cell>
          <cell r="D1204" t="str">
            <v>主线任务11019</v>
          </cell>
          <cell r="E1204" t="str">
            <v>3|34118|1|1</v>
          </cell>
        </row>
        <row r="1205">
          <cell r="A1205">
            <v>33071</v>
          </cell>
          <cell r="B1205">
            <v>0</v>
          </cell>
          <cell r="C1205" t="str">
            <v>3|34118|1</v>
          </cell>
          <cell r="D1205" t="str">
            <v>主线任务11020</v>
          </cell>
          <cell r="E1205" t="str">
            <v>3|34118|1|1</v>
          </cell>
        </row>
        <row r="1206">
          <cell r="A1206">
            <v>33072</v>
          </cell>
          <cell r="B1206">
            <v>0</v>
          </cell>
          <cell r="C1206" t="str">
            <v>3|34118|1</v>
          </cell>
          <cell r="D1206" t="str">
            <v>主线任务11021</v>
          </cell>
          <cell r="E1206" t="str">
            <v>3|34118|1|1</v>
          </cell>
        </row>
        <row r="1207">
          <cell r="A1207">
            <v>33073</v>
          </cell>
          <cell r="B1207">
            <v>0</v>
          </cell>
          <cell r="C1207" t="str">
            <v>3|34119|1</v>
          </cell>
          <cell r="D1207" t="str">
            <v>主线任务11022</v>
          </cell>
          <cell r="E1207" t="str">
            <v>3|34119|1|1</v>
          </cell>
        </row>
        <row r="1208">
          <cell r="A1208">
            <v>33074</v>
          </cell>
          <cell r="B1208">
            <v>0</v>
          </cell>
          <cell r="C1208" t="str">
            <v>3|34119|1</v>
          </cell>
          <cell r="D1208" t="str">
            <v>主线任务11023</v>
          </cell>
          <cell r="E1208" t="str">
            <v>3|34119|1|1</v>
          </cell>
        </row>
        <row r="1209">
          <cell r="A1209">
            <v>33075</v>
          </cell>
          <cell r="B1209">
            <v>0</v>
          </cell>
          <cell r="C1209" t="str">
            <v>3|34119|1</v>
          </cell>
          <cell r="D1209" t="str">
            <v>主线任务11024</v>
          </cell>
          <cell r="E1209" t="str">
            <v>3|34119|1|1</v>
          </cell>
        </row>
        <row r="1210">
          <cell r="A1210">
            <v>34001</v>
          </cell>
          <cell r="B1210">
            <v>0</v>
          </cell>
          <cell r="C1210" t="str">
            <v>1|14307|1</v>
          </cell>
          <cell r="D1210" t="str">
            <v>主线任务奖励-蓝色伙伴碎片宝箱</v>
          </cell>
          <cell r="E1210" t="str">
            <v>1|14307|1|1</v>
          </cell>
        </row>
        <row r="1211">
          <cell r="A1211">
            <v>34002</v>
          </cell>
          <cell r="B1211">
            <v>0</v>
          </cell>
          <cell r="C1211" t="str">
            <v>1|14308|1</v>
          </cell>
          <cell r="D1211" t="str">
            <v>主线任务奖励-紫色伙伴碎片宝箱</v>
          </cell>
          <cell r="E1211" t="str">
            <v>1|14308|1|1</v>
          </cell>
        </row>
        <row r="1212">
          <cell r="A1212">
            <v>34003</v>
          </cell>
          <cell r="B1212">
            <v>0</v>
          </cell>
          <cell r="C1212" t="str">
            <v>1|14309|1</v>
          </cell>
          <cell r="D1212" t="str">
            <v>主线任务奖励-橙色伙伴碎片宝箱</v>
          </cell>
          <cell r="E1212" t="str">
            <v>1|14309|1|1</v>
          </cell>
        </row>
        <row r="1213">
          <cell r="A1213">
            <v>34004</v>
          </cell>
          <cell r="B1213">
            <v>0</v>
          </cell>
          <cell r="C1213" t="str">
            <v>1|14310|1</v>
          </cell>
          <cell r="D1213" t="str">
            <v>主线任务奖励-极品橙将碎片宝箱</v>
          </cell>
          <cell r="E1213" t="str">
            <v>1|14310|1|1</v>
          </cell>
        </row>
        <row r="1214">
          <cell r="A1214">
            <v>34005</v>
          </cell>
          <cell r="B1214">
            <v>0</v>
          </cell>
          <cell r="C1214" t="str">
            <v>1|14301|1</v>
          </cell>
          <cell r="D1214" t="str">
            <v>主线任务奖励-蓝色装备碎片宝箱</v>
          </cell>
          <cell r="E1214" t="str">
            <v>1|14301|1|1</v>
          </cell>
        </row>
        <row r="1215">
          <cell r="A1215">
            <v>34006</v>
          </cell>
          <cell r="B1215">
            <v>0</v>
          </cell>
          <cell r="C1215" t="str">
            <v>1|14302|1</v>
          </cell>
          <cell r="D1215" t="str">
            <v>主线任务奖励-紫色装备碎片宝箱</v>
          </cell>
          <cell r="E1215" t="str">
            <v>1|14302|1|1</v>
          </cell>
        </row>
        <row r="1216">
          <cell r="A1216">
            <v>34007</v>
          </cell>
          <cell r="B1216">
            <v>0</v>
          </cell>
          <cell r="C1216" t="str">
            <v>1|14303|1</v>
          </cell>
          <cell r="D1216" t="str">
            <v>主线任务奖励-橙色装备碎片宝箱</v>
          </cell>
          <cell r="E1216" t="str">
            <v>1|14303|1|1</v>
          </cell>
        </row>
        <row r="1217">
          <cell r="A1217">
            <v>34100</v>
          </cell>
          <cell r="B1217">
            <v>0</v>
          </cell>
          <cell r="C1217" t="str">
            <v>1|16503|20</v>
          </cell>
          <cell r="D1217" t="str">
            <v>主线任务奖励-主角进阶丹</v>
          </cell>
          <cell r="E1217" t="str">
            <v>1|16503|20|1</v>
          </cell>
        </row>
        <row r="1218">
          <cell r="A1218">
            <v>34101</v>
          </cell>
          <cell r="B1218">
            <v>0</v>
          </cell>
          <cell r="C1218" t="str">
            <v>4|1|5000</v>
          </cell>
          <cell r="D1218" t="str">
            <v>主线任务奖励-金币-第1章</v>
          </cell>
          <cell r="E1218" t="str">
            <v>4|1|5000|1</v>
          </cell>
        </row>
        <row r="1219">
          <cell r="A1219">
            <v>34102</v>
          </cell>
          <cell r="B1219">
            <v>0</v>
          </cell>
          <cell r="C1219" t="str">
            <v>4|1|10000</v>
          </cell>
          <cell r="D1219" t="str">
            <v>主线任务奖励-金币-第2章</v>
          </cell>
          <cell r="E1219" t="str">
            <v>4|1|10000|1</v>
          </cell>
        </row>
        <row r="1220">
          <cell r="A1220">
            <v>34103</v>
          </cell>
          <cell r="B1220">
            <v>0</v>
          </cell>
          <cell r="C1220" t="str">
            <v>4|1|15000</v>
          </cell>
          <cell r="D1220" t="str">
            <v>主线任务奖励-金币-第3章</v>
          </cell>
          <cell r="E1220" t="str">
            <v>4|1|15000|1</v>
          </cell>
        </row>
        <row r="1221">
          <cell r="A1221">
            <v>34104</v>
          </cell>
          <cell r="B1221">
            <v>0</v>
          </cell>
          <cell r="C1221" t="str">
            <v>4|1|20000</v>
          </cell>
          <cell r="D1221" t="str">
            <v>主线任务奖励-金币-第4章</v>
          </cell>
          <cell r="E1221" t="str">
            <v>4|1|20000|1</v>
          </cell>
        </row>
        <row r="1222">
          <cell r="A1222">
            <v>34105</v>
          </cell>
          <cell r="B1222">
            <v>0</v>
          </cell>
          <cell r="C1222" t="str">
            <v>4|1|25000</v>
          </cell>
          <cell r="D1222" t="str">
            <v>主线任务奖励-金币-第5章</v>
          </cell>
          <cell r="E1222" t="str">
            <v>4|1|25000|1</v>
          </cell>
        </row>
        <row r="1223">
          <cell r="A1223">
            <v>34106</v>
          </cell>
          <cell r="B1223">
            <v>0</v>
          </cell>
          <cell r="C1223" t="str">
            <v>4|1|30000</v>
          </cell>
          <cell r="D1223" t="str">
            <v>主线任务奖励-金币-第6章</v>
          </cell>
          <cell r="E1223" t="str">
            <v>4|1|30000|1</v>
          </cell>
        </row>
        <row r="1224">
          <cell r="A1224">
            <v>34107</v>
          </cell>
          <cell r="B1224">
            <v>0</v>
          </cell>
          <cell r="C1224" t="str">
            <v>4|1|35000</v>
          </cell>
          <cell r="D1224" t="str">
            <v>主线任务奖励-金币-第7章</v>
          </cell>
          <cell r="E1224" t="str">
            <v>4|1|35000|1</v>
          </cell>
        </row>
        <row r="1225">
          <cell r="A1225">
            <v>34108</v>
          </cell>
          <cell r="B1225">
            <v>0</v>
          </cell>
          <cell r="C1225" t="str">
            <v>4|1|40000</v>
          </cell>
          <cell r="D1225" t="str">
            <v>主线任务奖励-金币-第8章</v>
          </cell>
          <cell r="E1225" t="str">
            <v>4|1|40000|1</v>
          </cell>
        </row>
        <row r="1226">
          <cell r="A1226">
            <v>34109</v>
          </cell>
          <cell r="B1226">
            <v>0</v>
          </cell>
          <cell r="C1226" t="str">
            <v>4|1|45000</v>
          </cell>
          <cell r="D1226" t="str">
            <v>主线任务奖励-金币-第9章</v>
          </cell>
          <cell r="E1226" t="str">
            <v>4|1|45000|1</v>
          </cell>
        </row>
        <row r="1227">
          <cell r="A1227">
            <v>34110</v>
          </cell>
          <cell r="B1227">
            <v>0</v>
          </cell>
          <cell r="C1227" t="str">
            <v>4|1|50000</v>
          </cell>
          <cell r="D1227" t="str">
            <v>主线任务奖励-金币-第10章</v>
          </cell>
          <cell r="E1227" t="str">
            <v>4|1|50000|1</v>
          </cell>
        </row>
        <row r="1228">
          <cell r="A1228">
            <v>34111</v>
          </cell>
          <cell r="B1228">
            <v>0</v>
          </cell>
          <cell r="C1228" t="str">
            <v>4|1|55000</v>
          </cell>
          <cell r="D1228" t="str">
            <v>主线任务奖励-金币-第11章</v>
          </cell>
          <cell r="E1228" t="str">
            <v>4|1|55000|1</v>
          </cell>
        </row>
        <row r="1229">
          <cell r="A1229">
            <v>34112</v>
          </cell>
          <cell r="B1229">
            <v>0</v>
          </cell>
          <cell r="C1229" t="str">
            <v>4|1|60000</v>
          </cell>
          <cell r="D1229" t="str">
            <v>主线任务奖励-金币-第12章</v>
          </cell>
          <cell r="E1229" t="str">
            <v>4|1|60000|1</v>
          </cell>
        </row>
        <row r="1230">
          <cell r="A1230">
            <v>34113</v>
          </cell>
          <cell r="B1230">
            <v>0</v>
          </cell>
          <cell r="C1230" t="str">
            <v>4|1|65000</v>
          </cell>
          <cell r="D1230" t="str">
            <v>主线任务奖励-金币-第13章</v>
          </cell>
          <cell r="E1230" t="str">
            <v>4|1|65000|1</v>
          </cell>
        </row>
        <row r="1231">
          <cell r="A1231">
            <v>34114</v>
          </cell>
          <cell r="B1231">
            <v>0</v>
          </cell>
          <cell r="C1231" t="str">
            <v>4|1|70000</v>
          </cell>
          <cell r="D1231" t="str">
            <v>主线任务奖励-金币-第14章</v>
          </cell>
          <cell r="E1231" t="str">
            <v>4|1|70000|1</v>
          </cell>
        </row>
        <row r="1232">
          <cell r="A1232">
            <v>34115</v>
          </cell>
          <cell r="B1232">
            <v>0</v>
          </cell>
          <cell r="C1232" t="str">
            <v>4|1|75000</v>
          </cell>
          <cell r="D1232" t="str">
            <v>主线任务奖励-金币-第15章</v>
          </cell>
          <cell r="E1232" t="str">
            <v>4|1|75000|1</v>
          </cell>
        </row>
        <row r="1233">
          <cell r="A1233">
            <v>34116</v>
          </cell>
          <cell r="B1233">
            <v>0</v>
          </cell>
          <cell r="C1233" t="str">
            <v>4|1|80000</v>
          </cell>
          <cell r="D1233" t="str">
            <v>主线任务奖励-金币-第16章</v>
          </cell>
          <cell r="E1233" t="str">
            <v>4|1|80000|1</v>
          </cell>
        </row>
        <row r="1234">
          <cell r="A1234">
            <v>34117</v>
          </cell>
          <cell r="B1234">
            <v>0</v>
          </cell>
          <cell r="C1234" t="str">
            <v>4|1|85000</v>
          </cell>
          <cell r="D1234" t="str">
            <v>主线任务奖励-金币-第17章</v>
          </cell>
          <cell r="E1234" t="str">
            <v>4|1|85000|1</v>
          </cell>
        </row>
        <row r="1235">
          <cell r="A1235">
            <v>34118</v>
          </cell>
          <cell r="B1235">
            <v>0</v>
          </cell>
          <cell r="C1235" t="str">
            <v>4|1|90000</v>
          </cell>
          <cell r="D1235" t="str">
            <v>主线任务奖励-金币-第18章</v>
          </cell>
          <cell r="E1235" t="str">
            <v>4|1|90000|1</v>
          </cell>
        </row>
        <row r="1236">
          <cell r="A1236">
            <v>34119</v>
          </cell>
          <cell r="B1236">
            <v>0</v>
          </cell>
          <cell r="C1236" t="str">
            <v>4|1|95000</v>
          </cell>
          <cell r="D1236" t="str">
            <v>主线任务奖励-金币-第19章</v>
          </cell>
          <cell r="E1236" t="str">
            <v>4|1|95000|1</v>
          </cell>
        </row>
        <row r="1237">
          <cell r="A1237">
            <v>34120</v>
          </cell>
          <cell r="B1237">
            <v>0</v>
          </cell>
          <cell r="C1237" t="str">
            <v>4|1|100000</v>
          </cell>
          <cell r="D1237" t="str">
            <v>主线任务奖励-金币-第20章</v>
          </cell>
          <cell r="E1237" t="str">
            <v>4|1|100000|1</v>
          </cell>
        </row>
        <row r="1238">
          <cell r="A1238">
            <v>34121</v>
          </cell>
          <cell r="B1238">
            <v>0</v>
          </cell>
          <cell r="C1238" t="str">
            <v>4|1|105000</v>
          </cell>
          <cell r="D1238" t="str">
            <v>主线任务奖励-金币-第21章</v>
          </cell>
          <cell r="E1238" t="str">
            <v>4|1|105000|1</v>
          </cell>
        </row>
        <row r="1239">
          <cell r="A1239">
            <v>34122</v>
          </cell>
          <cell r="B1239">
            <v>0</v>
          </cell>
          <cell r="C1239" t="str">
            <v>4|1|110000</v>
          </cell>
          <cell r="D1239" t="str">
            <v>主线任务奖励-金币-第22章</v>
          </cell>
          <cell r="E1239" t="str">
            <v>4|1|110000|1</v>
          </cell>
        </row>
        <row r="1240">
          <cell r="A1240">
            <v>34123</v>
          </cell>
          <cell r="B1240">
            <v>0</v>
          </cell>
          <cell r="C1240" t="str">
            <v>4|1|115000</v>
          </cell>
          <cell r="D1240" t="str">
            <v>主线任务奖励-金币-第23章</v>
          </cell>
          <cell r="E1240" t="str">
            <v>4|1|115000|1</v>
          </cell>
        </row>
        <row r="1241">
          <cell r="A1241">
            <v>34124</v>
          </cell>
          <cell r="B1241">
            <v>0</v>
          </cell>
          <cell r="C1241" t="str">
            <v>4|1|120000</v>
          </cell>
          <cell r="D1241" t="str">
            <v>主线任务奖励-金币-第24章</v>
          </cell>
          <cell r="E1241" t="str">
            <v>4|1|120000|1</v>
          </cell>
        </row>
        <row r="1242">
          <cell r="A1242">
            <v>34125</v>
          </cell>
          <cell r="B1242">
            <v>0</v>
          </cell>
          <cell r="C1242" t="str">
            <v>4|1|125000</v>
          </cell>
          <cell r="D1242" t="str">
            <v>主线任务奖励-金币-第25章</v>
          </cell>
          <cell r="E1242" t="str">
            <v>4|1|125000|1</v>
          </cell>
        </row>
        <row r="1243">
          <cell r="A1243">
            <v>34126</v>
          </cell>
          <cell r="B1243">
            <v>0</v>
          </cell>
          <cell r="C1243" t="str">
            <v>4|1|130000</v>
          </cell>
          <cell r="D1243" t="str">
            <v>主线任务奖励-金币-第26章</v>
          </cell>
          <cell r="E1243" t="str">
            <v>4|1|130000|1</v>
          </cell>
        </row>
        <row r="1244">
          <cell r="A1244">
            <v>34127</v>
          </cell>
          <cell r="B1244">
            <v>0</v>
          </cell>
          <cell r="C1244" t="str">
            <v>4|1|135000</v>
          </cell>
          <cell r="D1244" t="str">
            <v>主线任务奖励-金币-第27章</v>
          </cell>
          <cell r="E1244" t="str">
            <v>4|1|135000|1</v>
          </cell>
        </row>
        <row r="1245">
          <cell r="A1245">
            <v>34128</v>
          </cell>
          <cell r="B1245">
            <v>0</v>
          </cell>
          <cell r="C1245" t="str">
            <v>4|1|140000</v>
          </cell>
          <cell r="D1245" t="str">
            <v>主线任务奖励-金币-第28章</v>
          </cell>
          <cell r="E1245" t="str">
            <v>4|1|140000|1</v>
          </cell>
        </row>
        <row r="1246">
          <cell r="A1246">
            <v>34129</v>
          </cell>
          <cell r="B1246">
            <v>0</v>
          </cell>
          <cell r="C1246" t="str">
            <v>4|1|145000</v>
          </cell>
          <cell r="D1246" t="str">
            <v>主线任务奖励-金币-第29章</v>
          </cell>
          <cell r="E1246" t="str">
            <v>4|1|145000|1</v>
          </cell>
        </row>
        <row r="1247">
          <cell r="A1247">
            <v>34130</v>
          </cell>
          <cell r="B1247">
            <v>0</v>
          </cell>
          <cell r="C1247" t="str">
            <v>4|1|150000</v>
          </cell>
          <cell r="D1247" t="str">
            <v>主线任务奖励-金币-第30章</v>
          </cell>
          <cell r="E1247" t="str">
            <v>4|1|150000|1</v>
          </cell>
        </row>
        <row r="1248">
          <cell r="A1248">
            <v>34131</v>
          </cell>
          <cell r="B1248">
            <v>0</v>
          </cell>
          <cell r="C1248" t="str">
            <v>4|1|155000</v>
          </cell>
          <cell r="D1248" t="str">
            <v>主线任务奖励-金币-第31章</v>
          </cell>
          <cell r="E1248" t="str">
            <v>4|1|155000|1</v>
          </cell>
        </row>
        <row r="1249">
          <cell r="A1249">
            <v>34132</v>
          </cell>
          <cell r="B1249">
            <v>0</v>
          </cell>
          <cell r="C1249" t="str">
            <v>4|1|160000</v>
          </cell>
          <cell r="D1249" t="str">
            <v>主线任务奖励-金币-第32章</v>
          </cell>
          <cell r="E1249" t="str">
            <v>4|1|160000|1</v>
          </cell>
        </row>
        <row r="1250">
          <cell r="A1250">
            <v>34133</v>
          </cell>
          <cell r="B1250">
            <v>0</v>
          </cell>
          <cell r="C1250" t="str">
            <v>4|1|165000</v>
          </cell>
          <cell r="D1250" t="str">
            <v>主线任务奖励-金币-第33章</v>
          </cell>
          <cell r="E1250" t="str">
            <v>4|1|165000|1</v>
          </cell>
        </row>
        <row r="1251">
          <cell r="A1251">
            <v>34134</v>
          </cell>
          <cell r="B1251">
            <v>0</v>
          </cell>
          <cell r="C1251" t="str">
            <v>4|1|170000</v>
          </cell>
          <cell r="D1251" t="str">
            <v>主线任务奖励-金币-第34章</v>
          </cell>
          <cell r="E1251" t="str">
            <v>4|1|170000|1</v>
          </cell>
        </row>
        <row r="1252">
          <cell r="A1252">
            <v>34135</v>
          </cell>
          <cell r="B1252">
            <v>0</v>
          </cell>
          <cell r="C1252" t="str">
            <v>4|1|175000</v>
          </cell>
          <cell r="D1252" t="str">
            <v>主线任务奖励-金币-第35章</v>
          </cell>
          <cell r="E1252" t="str">
            <v>4|1|175000|1</v>
          </cell>
        </row>
        <row r="1253">
          <cell r="A1253">
            <v>34136</v>
          </cell>
          <cell r="B1253">
            <v>0</v>
          </cell>
          <cell r="C1253" t="str">
            <v>4|1|180000</v>
          </cell>
          <cell r="D1253" t="str">
            <v>主线任务奖励-金币-第36章</v>
          </cell>
          <cell r="E1253" t="str">
            <v>4|1|180000|1</v>
          </cell>
        </row>
        <row r="1254">
          <cell r="A1254">
            <v>34137</v>
          </cell>
          <cell r="B1254">
            <v>0</v>
          </cell>
          <cell r="C1254" t="str">
            <v>4|1|185000</v>
          </cell>
          <cell r="D1254" t="str">
            <v>主线任务奖励-金币-第37章</v>
          </cell>
          <cell r="E1254" t="str">
            <v>4|1|185000|1</v>
          </cell>
        </row>
        <row r="1255">
          <cell r="A1255">
            <v>34138</v>
          </cell>
          <cell r="B1255">
            <v>0</v>
          </cell>
          <cell r="C1255" t="str">
            <v>4|1|190000</v>
          </cell>
          <cell r="D1255" t="str">
            <v>主线任务奖励-金币-第38章</v>
          </cell>
          <cell r="E1255" t="str">
            <v>4|1|190000|1</v>
          </cell>
        </row>
        <row r="1256">
          <cell r="A1256">
            <v>34139</v>
          </cell>
          <cell r="B1256">
            <v>0</v>
          </cell>
          <cell r="C1256" t="str">
            <v>4|1|195000</v>
          </cell>
          <cell r="D1256" t="str">
            <v>主线任务奖励-金币-第39章</v>
          </cell>
          <cell r="E1256" t="str">
            <v>4|1|195000|1</v>
          </cell>
        </row>
        <row r="1257">
          <cell r="A1257">
            <v>34140</v>
          </cell>
          <cell r="B1257">
            <v>0</v>
          </cell>
          <cell r="C1257" t="str">
            <v>4|1|200000</v>
          </cell>
          <cell r="D1257" t="str">
            <v>主线任务奖励-金币-第40章</v>
          </cell>
          <cell r="E1257" t="str">
            <v>4|1|200000|1</v>
          </cell>
        </row>
        <row r="1258">
          <cell r="A1258">
            <v>34141</v>
          </cell>
          <cell r="B1258">
            <v>0</v>
          </cell>
          <cell r="C1258" t="str">
            <v>4|1|205000</v>
          </cell>
          <cell r="D1258" t="str">
            <v>主线任务奖励-金币-第41章</v>
          </cell>
          <cell r="E1258" t="str">
            <v>4|1|205000|1</v>
          </cell>
        </row>
        <row r="1259">
          <cell r="A1259">
            <v>34142</v>
          </cell>
          <cell r="B1259">
            <v>0</v>
          </cell>
          <cell r="C1259" t="str">
            <v>4|1|210000</v>
          </cell>
          <cell r="D1259" t="str">
            <v>主线任务奖励-金币-第42章</v>
          </cell>
          <cell r="E1259" t="str">
            <v>4|1|210000|1</v>
          </cell>
        </row>
        <row r="1260">
          <cell r="A1260">
            <v>34143</v>
          </cell>
          <cell r="B1260">
            <v>0</v>
          </cell>
          <cell r="C1260" t="str">
            <v>4|1|215000</v>
          </cell>
          <cell r="D1260" t="str">
            <v>主线任务奖励-金币-第43章</v>
          </cell>
          <cell r="E1260" t="str">
            <v>4|1|215000|1</v>
          </cell>
        </row>
        <row r="1261">
          <cell r="A1261">
            <v>34144</v>
          </cell>
          <cell r="B1261">
            <v>0</v>
          </cell>
          <cell r="C1261" t="str">
            <v>4|1|220000</v>
          </cell>
          <cell r="D1261" t="str">
            <v>主线任务奖励-金币-第44章</v>
          </cell>
          <cell r="E1261" t="str">
            <v>4|1|220000|1</v>
          </cell>
        </row>
        <row r="1262">
          <cell r="A1262">
            <v>34145</v>
          </cell>
          <cell r="B1262">
            <v>0</v>
          </cell>
          <cell r="C1262" t="str">
            <v>4|1|225000</v>
          </cell>
          <cell r="D1262" t="str">
            <v>主线任务奖励-金币-第45章</v>
          </cell>
          <cell r="E1262" t="str">
            <v>4|1|225000|1</v>
          </cell>
        </row>
        <row r="1263">
          <cell r="A1263">
            <v>34146</v>
          </cell>
          <cell r="B1263">
            <v>0</v>
          </cell>
          <cell r="C1263" t="str">
            <v>4|1|230000</v>
          </cell>
          <cell r="D1263" t="str">
            <v>主线任务奖励-金币-第46章</v>
          </cell>
          <cell r="E1263" t="str">
            <v>4|1|230000|1</v>
          </cell>
        </row>
        <row r="1264">
          <cell r="A1264">
            <v>34147</v>
          </cell>
          <cell r="B1264">
            <v>0</v>
          </cell>
          <cell r="C1264" t="str">
            <v>4|1|235000</v>
          </cell>
          <cell r="D1264" t="str">
            <v>主线任务奖励-金币-第47章</v>
          </cell>
          <cell r="E1264" t="str">
            <v>4|1|235000|1</v>
          </cell>
        </row>
        <row r="1265">
          <cell r="A1265">
            <v>34148</v>
          </cell>
          <cell r="B1265">
            <v>0</v>
          </cell>
          <cell r="C1265" t="str">
            <v>4|1|240000</v>
          </cell>
          <cell r="D1265" t="str">
            <v>主线任务奖励-金币-第48章</v>
          </cell>
          <cell r="E1265" t="str">
            <v>4|1|240000|1</v>
          </cell>
        </row>
        <row r="1266">
          <cell r="A1266">
            <v>34149</v>
          </cell>
          <cell r="B1266">
            <v>0</v>
          </cell>
          <cell r="C1266" t="str">
            <v>4|1|245000</v>
          </cell>
          <cell r="D1266" t="str">
            <v>主线任务奖励-金币-第49章</v>
          </cell>
          <cell r="E1266" t="str">
            <v>4|1|245000|1</v>
          </cell>
        </row>
        <row r="1267">
          <cell r="A1267">
            <v>34150</v>
          </cell>
          <cell r="B1267">
            <v>0</v>
          </cell>
          <cell r="C1267" t="str">
            <v>4|1|250000</v>
          </cell>
          <cell r="D1267" t="str">
            <v>主线任务奖励-金币-第50章</v>
          </cell>
          <cell r="E1267" t="str">
            <v>4|1|250000|1</v>
          </cell>
        </row>
        <row r="1268">
          <cell r="A1268">
            <v>35001</v>
          </cell>
          <cell r="B1268">
            <v>0</v>
          </cell>
          <cell r="C1268" t="str">
            <v>1|14311|1,4|2|50,1|14003|1,1|14108|2</v>
          </cell>
          <cell r="D1268" t="str">
            <v>日常任务90积分奖励</v>
          </cell>
          <cell r="E1268" t="str">
            <v>1|14311|1|1,4|2|50|1,1|14003|1|1,1|14108|2|1</v>
          </cell>
        </row>
        <row r="1269">
          <cell r="A1269">
            <v>35002</v>
          </cell>
          <cell r="B1269">
            <v>0</v>
          </cell>
          <cell r="C1269" t="str">
            <v>1|14311|1,4|2|100,1|14102|5,1|14101|2</v>
          </cell>
          <cell r="D1269" t="str">
            <v>日常任务120积分奖励</v>
          </cell>
          <cell r="E1269" t="str">
            <v>1|14311|1|1,4|2|100|1,1|14102|5|1,1|14101|2|1</v>
          </cell>
        </row>
        <row r="1270">
          <cell r="A1270">
            <v>35011</v>
          </cell>
          <cell r="B1270">
            <v>0</v>
          </cell>
          <cell r="C1270" t="str">
            <v>4|1|12000,4|2|20,1|14101|1</v>
          </cell>
          <cell r="D1270" t="str">
            <v>日常任务30积分奖励-29级</v>
          </cell>
          <cell r="E1270" t="str">
            <v>4|1|12000|1,4|2|20|1,1|14101|1|1</v>
          </cell>
        </row>
        <row r="1271">
          <cell r="A1271">
            <v>35012</v>
          </cell>
          <cell r="B1271">
            <v>0</v>
          </cell>
          <cell r="C1271" t="str">
            <v>4|1|16000,4|2|20,1|14101|1</v>
          </cell>
          <cell r="D1271" t="str">
            <v>日常任务30积分奖励-39级</v>
          </cell>
          <cell r="E1271" t="str">
            <v>4|1|16000|1,4|2|20|1,1|14101|1|1</v>
          </cell>
        </row>
        <row r="1272">
          <cell r="A1272">
            <v>35013</v>
          </cell>
          <cell r="B1272">
            <v>0</v>
          </cell>
          <cell r="C1272" t="str">
            <v>4|1|20000,4|2|20,1|14101|1</v>
          </cell>
          <cell r="D1272" t="str">
            <v>日常任务30积分奖励-49级</v>
          </cell>
          <cell r="E1272" t="str">
            <v>4|1|20000|1,4|2|20|1,1|14101|1|1</v>
          </cell>
        </row>
        <row r="1273">
          <cell r="A1273">
            <v>35014</v>
          </cell>
          <cell r="B1273">
            <v>0</v>
          </cell>
          <cell r="C1273" t="str">
            <v>4|1|24000,4|2|20,1|14101|1</v>
          </cell>
          <cell r="D1273" t="str">
            <v>日常任务30积分奖励-59级</v>
          </cell>
          <cell r="E1273" t="str">
            <v>4|1|24000|1,4|2|20|1,1|14101|1|1</v>
          </cell>
        </row>
        <row r="1274">
          <cell r="A1274">
            <v>35015</v>
          </cell>
          <cell r="B1274">
            <v>0</v>
          </cell>
          <cell r="C1274" t="str">
            <v>4|1|28000,4|2|20,1|14101|1</v>
          </cell>
          <cell r="D1274" t="str">
            <v>日常任务30积分奖励-69级</v>
          </cell>
          <cell r="E1274" t="str">
            <v>4|1|28000|1,4|2|20|1,1|14101|1|1</v>
          </cell>
        </row>
        <row r="1275">
          <cell r="A1275">
            <v>35016</v>
          </cell>
          <cell r="B1275">
            <v>0</v>
          </cell>
          <cell r="C1275" t="str">
            <v>4|1|32000,4|2|20,1|14101|1</v>
          </cell>
          <cell r="D1275" t="str">
            <v>日常任务30积分奖励-79级</v>
          </cell>
          <cell r="E1275" t="str">
            <v>4|1|32000|1,4|2|20|1,1|14101|1|1</v>
          </cell>
        </row>
        <row r="1276">
          <cell r="A1276">
            <v>35017</v>
          </cell>
          <cell r="B1276">
            <v>0</v>
          </cell>
          <cell r="C1276" t="str">
            <v>4|1|36000,4|2|20,1|14101|1</v>
          </cell>
          <cell r="D1276" t="str">
            <v>日常任务30积分奖励-89级</v>
          </cell>
          <cell r="E1276" t="str">
            <v>4|1|36000|1,4|2|20|1,1|14101|1|1</v>
          </cell>
        </row>
        <row r="1277">
          <cell r="A1277">
            <v>35018</v>
          </cell>
          <cell r="B1277">
            <v>0</v>
          </cell>
          <cell r="C1277" t="str">
            <v>4|1|40000,4|2|20,1|14101|1</v>
          </cell>
          <cell r="D1277" t="str">
            <v>日常任务30积分奖励-99级</v>
          </cell>
          <cell r="E1277" t="str">
            <v>4|1|40000|1,4|2|20|1,1|14101|1|1</v>
          </cell>
        </row>
        <row r="1278">
          <cell r="A1278">
            <v>35019</v>
          </cell>
          <cell r="B1278">
            <v>0</v>
          </cell>
          <cell r="C1278" t="str">
            <v>4|1|44000,4|2|20,1|14101|1</v>
          </cell>
          <cell r="D1278" t="str">
            <v>日常任务30积分奖励-109级</v>
          </cell>
          <cell r="E1278" t="str">
            <v>4|1|44000|1,4|2|20|1,1|14101|1|1</v>
          </cell>
        </row>
        <row r="1279">
          <cell r="A1279">
            <v>35020</v>
          </cell>
          <cell r="B1279">
            <v>0</v>
          </cell>
          <cell r="C1279" t="str">
            <v>4|1|48000,4|2|20,1|14101|1</v>
          </cell>
          <cell r="D1279" t="str">
            <v>日常任务30积分奖励-119级</v>
          </cell>
          <cell r="E1279" t="str">
            <v>4|1|48000|1,4|2|20|1,1|14101|1|1</v>
          </cell>
        </row>
        <row r="1280">
          <cell r="A1280">
            <v>35021</v>
          </cell>
          <cell r="B1280">
            <v>0</v>
          </cell>
          <cell r="C1280" t="str">
            <v>4|1|52000,4|2|20,1|14101|1</v>
          </cell>
          <cell r="D1280" t="str">
            <v>日常任务30积分奖励-129级</v>
          </cell>
          <cell r="E1280" t="str">
            <v>4|1|52000|1,4|2|20|1,1|14101|1|1</v>
          </cell>
        </row>
        <row r="1281">
          <cell r="A1281">
            <v>35022</v>
          </cell>
          <cell r="B1281">
            <v>0</v>
          </cell>
          <cell r="C1281" t="str">
            <v>4|1|56000,4|2|20,1|14101|1</v>
          </cell>
          <cell r="D1281" t="str">
            <v>日常任务30积分奖励-139级</v>
          </cell>
          <cell r="E1281" t="str">
            <v>4|1|56000|1,4|2|20|1,1|14101|1|1</v>
          </cell>
        </row>
        <row r="1282">
          <cell r="A1282">
            <v>35023</v>
          </cell>
          <cell r="B1282">
            <v>0</v>
          </cell>
          <cell r="C1282" t="str">
            <v>4|1|60000,4|2|20,1|14101|1</v>
          </cell>
          <cell r="D1282" t="str">
            <v>日常任务30积分奖励-149级</v>
          </cell>
          <cell r="E1282" t="str">
            <v>4|1|60000|1,4|2|20|1,1|14101|1|1</v>
          </cell>
        </row>
        <row r="1283">
          <cell r="A1283">
            <v>35024</v>
          </cell>
          <cell r="B1283">
            <v>0</v>
          </cell>
          <cell r="C1283" t="str">
            <v>4|1|64000,4|2|20,1|14101|1</v>
          </cell>
          <cell r="D1283" t="str">
            <v>日常任务30积分奖励-159级</v>
          </cell>
          <cell r="E1283" t="str">
            <v>4|1|64000|1,4|2|20|1,1|14101|1|1</v>
          </cell>
        </row>
        <row r="1284">
          <cell r="A1284">
            <v>35051</v>
          </cell>
          <cell r="B1284">
            <v>0</v>
          </cell>
          <cell r="C1284" t="str">
            <v>4|1|18000,4|2|30,1|14003|1,1|14101|1</v>
          </cell>
          <cell r="D1284" t="str">
            <v>日常任务60积分奖励-29级</v>
          </cell>
          <cell r="E1284" t="str">
            <v>4|1|18000|1,4|2|30|1,1|14003|1|1,1|14101|1|1</v>
          </cell>
        </row>
        <row r="1285">
          <cell r="A1285">
            <v>35052</v>
          </cell>
          <cell r="B1285">
            <v>0</v>
          </cell>
          <cell r="C1285" t="str">
            <v>4|1|24000,4|2|30,1|14003|1,1|14101|1</v>
          </cell>
          <cell r="D1285" t="str">
            <v>日常任务60积分奖励-39级</v>
          </cell>
          <cell r="E1285" t="str">
            <v>4|1|24000|1,4|2|30|1,1|14003|1|1,1|14101|1|1</v>
          </cell>
        </row>
        <row r="1286">
          <cell r="A1286">
            <v>35053</v>
          </cell>
          <cell r="B1286">
            <v>0</v>
          </cell>
          <cell r="C1286" t="str">
            <v>4|1|30000,4|2|30,1|14003|1,1|14101|1</v>
          </cell>
          <cell r="D1286" t="str">
            <v>日常任务60积分奖励-49级</v>
          </cell>
          <cell r="E1286" t="str">
            <v>4|1|30000|1,4|2|30|1,1|14003|1|1,1|14101|1|1</v>
          </cell>
        </row>
        <row r="1287">
          <cell r="A1287">
            <v>35054</v>
          </cell>
          <cell r="B1287">
            <v>0</v>
          </cell>
          <cell r="C1287" t="str">
            <v>4|1|36000,4|2|30,1|14003|1,1|14101|1</v>
          </cell>
          <cell r="D1287" t="str">
            <v>日常任务60积分奖励-59级</v>
          </cell>
          <cell r="E1287" t="str">
            <v>4|1|36000|1,4|2|30|1,1|14003|1|1,1|14101|1|1</v>
          </cell>
        </row>
        <row r="1288">
          <cell r="A1288">
            <v>35055</v>
          </cell>
          <cell r="B1288">
            <v>0</v>
          </cell>
          <cell r="C1288" t="str">
            <v>4|1|42000,4|2|30,1|14003|1,1|14101|1</v>
          </cell>
          <cell r="D1288" t="str">
            <v>日常任务60积分奖励-69级</v>
          </cell>
          <cell r="E1288" t="str">
            <v>4|1|42000|1,4|2|30|1,1|14003|1|1,1|14101|1|1</v>
          </cell>
        </row>
        <row r="1289">
          <cell r="A1289">
            <v>35056</v>
          </cell>
          <cell r="B1289">
            <v>0</v>
          </cell>
          <cell r="C1289" t="str">
            <v>4|1|48000,4|2|30,1|14003|1,1|14101|1</v>
          </cell>
          <cell r="D1289" t="str">
            <v>日常任务60积分奖励-79级</v>
          </cell>
          <cell r="E1289" t="str">
            <v>4|1|48000|1,4|2|30|1,1|14003|1|1,1|14101|1|1</v>
          </cell>
        </row>
        <row r="1290">
          <cell r="A1290">
            <v>35057</v>
          </cell>
          <cell r="B1290">
            <v>0</v>
          </cell>
          <cell r="C1290" t="str">
            <v>4|1|54000,4|2|30,1|14003|1,1|14101|1</v>
          </cell>
          <cell r="D1290" t="str">
            <v>日常任务60积分奖励-89级</v>
          </cell>
          <cell r="E1290" t="str">
            <v>4|1|54000|1,4|2|30|1,1|14003|1|1,1|14101|1|1</v>
          </cell>
        </row>
        <row r="1291">
          <cell r="A1291">
            <v>35058</v>
          </cell>
          <cell r="B1291">
            <v>0</v>
          </cell>
          <cell r="C1291" t="str">
            <v>4|1|60000,4|2|30,1|14003|1,1|14101|1</v>
          </cell>
          <cell r="D1291" t="str">
            <v>日常任务60积分奖励-99级</v>
          </cell>
          <cell r="E1291" t="str">
            <v>4|1|60000|1,4|2|30|1,1|14003|1|1,1|14101|1|1</v>
          </cell>
        </row>
        <row r="1292">
          <cell r="A1292">
            <v>35059</v>
          </cell>
          <cell r="B1292">
            <v>0</v>
          </cell>
          <cell r="C1292" t="str">
            <v>4|1|66000,4|2|30,1|14003|1,1|14101|1</v>
          </cell>
          <cell r="D1292" t="str">
            <v>日常任务60积分奖励-109级</v>
          </cell>
          <cell r="E1292" t="str">
            <v>4|1|66000|1,4|2|30|1,1|14003|1|1,1|14101|1|1</v>
          </cell>
        </row>
        <row r="1293">
          <cell r="A1293">
            <v>35060</v>
          </cell>
          <cell r="B1293">
            <v>0</v>
          </cell>
          <cell r="C1293" t="str">
            <v>4|1|72000,4|2|30,1|14003|1,1|14101|1</v>
          </cell>
          <cell r="D1293" t="str">
            <v>日常任务60积分奖励-119级</v>
          </cell>
          <cell r="E1293" t="str">
            <v>4|1|72000|1,4|2|30|1,1|14003|1|1,1|14101|1|1</v>
          </cell>
        </row>
        <row r="1294">
          <cell r="A1294">
            <v>35061</v>
          </cell>
          <cell r="B1294">
            <v>0</v>
          </cell>
          <cell r="C1294" t="str">
            <v>4|1|78000,4|2|30,1|14003|1,1|14101|1</v>
          </cell>
          <cell r="D1294" t="str">
            <v>日常任务60积分奖励-129级</v>
          </cell>
          <cell r="E1294" t="str">
            <v>4|1|78000|1,4|2|30|1,1|14003|1|1,1|14101|1|1</v>
          </cell>
        </row>
        <row r="1295">
          <cell r="A1295">
            <v>35062</v>
          </cell>
          <cell r="B1295">
            <v>0</v>
          </cell>
          <cell r="C1295" t="str">
            <v>4|1|84000,4|2|30,1|14003|1,1|14101|1</v>
          </cell>
          <cell r="D1295" t="str">
            <v>日常任务60积分奖励-139级</v>
          </cell>
          <cell r="E1295" t="str">
            <v>4|1|84000|1,4|2|30|1,1|14003|1|1,1|14101|1|1</v>
          </cell>
        </row>
        <row r="1296">
          <cell r="A1296">
            <v>35063</v>
          </cell>
          <cell r="B1296">
            <v>0</v>
          </cell>
          <cell r="C1296" t="str">
            <v>4|1|90000,4|2|30,1|14003|1,1|14101|1</v>
          </cell>
          <cell r="D1296" t="str">
            <v>日常任务60积分奖励-149级</v>
          </cell>
          <cell r="E1296" t="str">
            <v>4|1|90000|1,4|2|30|1,1|14003|1|1,1|14101|1|1</v>
          </cell>
        </row>
        <row r="1297">
          <cell r="A1297">
            <v>35064</v>
          </cell>
          <cell r="B1297">
            <v>0</v>
          </cell>
          <cell r="C1297" t="str">
            <v>4|1|96000,4|2|20,1|14003|1,1|14101|1</v>
          </cell>
          <cell r="D1297" t="str">
            <v>日常任务60积分奖励-159级</v>
          </cell>
          <cell r="E1297" t="str">
            <v>4|1|96000|1,4|2|20|1,1|14003|1|1,1|14101|1|1</v>
          </cell>
        </row>
        <row r="1298">
          <cell r="A1298">
            <v>40001</v>
          </cell>
          <cell r="B1298">
            <v>1</v>
          </cell>
          <cell r="C1298" t="str">
            <v>1|14107|1</v>
          </cell>
          <cell r="D1298" t="str">
            <v>元灵晶石*1</v>
          </cell>
          <cell r="E1298" t="str">
            <v>1|14107|1|30,1|14107|2|40,1|14107|3|30,1|14107|0|100</v>
          </cell>
        </row>
        <row r="1299">
          <cell r="A1299">
            <v>40002</v>
          </cell>
          <cell r="B1299">
            <v>1</v>
          </cell>
          <cell r="C1299" t="str">
            <v>1|14107|2</v>
          </cell>
          <cell r="D1299" t="str">
            <v>元灵晶石*2</v>
          </cell>
          <cell r="E1299" t="str">
            <v>1|14107|2|64,1|14107|4|22,1|14107|6|14,1|14107|0|50</v>
          </cell>
        </row>
        <row r="1300">
          <cell r="A1300">
            <v>40003</v>
          </cell>
          <cell r="B1300">
            <v>1</v>
          </cell>
          <cell r="C1300" t="str">
            <v>1|14107|3</v>
          </cell>
          <cell r="D1300" t="str">
            <v>元灵晶石*3</v>
          </cell>
          <cell r="E1300" t="str">
            <v>1|14107|3|8,1|14107|0|2</v>
          </cell>
        </row>
        <row r="1301">
          <cell r="A1301">
            <v>40004</v>
          </cell>
          <cell r="B1301">
            <v>1</v>
          </cell>
          <cell r="C1301" t="str">
            <v>1|14107|4</v>
          </cell>
          <cell r="D1301" t="str">
            <v>元灵晶石*4</v>
          </cell>
          <cell r="E1301" t="str">
            <v>1|14107|4|8,1|14107|0|2</v>
          </cell>
        </row>
        <row r="1302">
          <cell r="A1302">
            <v>40051</v>
          </cell>
          <cell r="B1302">
            <v>1</v>
          </cell>
          <cell r="C1302" t="str">
            <v>1|14202|1</v>
          </cell>
          <cell r="D1302" t="str">
            <v>低级装备精炼石*1</v>
          </cell>
          <cell r="E1302" t="str">
            <v>1|14202|1|8,1|14202|0|2</v>
          </cell>
        </row>
        <row r="1303">
          <cell r="A1303">
            <v>40052</v>
          </cell>
          <cell r="B1303">
            <v>1</v>
          </cell>
          <cell r="C1303" t="str">
            <v>1|14202|2</v>
          </cell>
          <cell r="D1303" t="str">
            <v>低级装备精炼石*2</v>
          </cell>
          <cell r="E1303" t="str">
            <v>1|14202|2|8,1|14202|0|2</v>
          </cell>
        </row>
        <row r="1304">
          <cell r="A1304">
            <v>40053</v>
          </cell>
          <cell r="B1304">
            <v>1</v>
          </cell>
          <cell r="C1304" t="str">
            <v>1|14203|1</v>
          </cell>
          <cell r="D1304" t="str">
            <v>中级装备精炼石*1</v>
          </cell>
          <cell r="E1304" t="str">
            <v>1|14203|1|8,1|14203|0|2</v>
          </cell>
        </row>
        <row r="1305">
          <cell r="A1305">
            <v>40054</v>
          </cell>
          <cell r="B1305">
            <v>1</v>
          </cell>
          <cell r="C1305" t="str">
            <v>1|14203|2</v>
          </cell>
          <cell r="D1305" t="str">
            <v>中级装备精炼石*2</v>
          </cell>
          <cell r="E1305" t="str">
            <v>1|14203|2|8,1|14203|0|2</v>
          </cell>
        </row>
        <row r="1306">
          <cell r="A1306">
            <v>40055</v>
          </cell>
          <cell r="B1306">
            <v>1</v>
          </cell>
          <cell r="C1306" t="str">
            <v>1|14204|1</v>
          </cell>
          <cell r="D1306" t="str">
            <v>高级装备精炼石*1</v>
          </cell>
          <cell r="E1306" t="str">
            <v>1|14204|1|8,1|14204|0|2</v>
          </cell>
        </row>
        <row r="1307">
          <cell r="A1307">
            <v>40056</v>
          </cell>
          <cell r="B1307">
            <v>1</v>
          </cell>
          <cell r="C1307" t="str">
            <v>1|14204|2</v>
          </cell>
          <cell r="D1307" t="str">
            <v>高级装备精炼石*2</v>
          </cell>
          <cell r="E1307" t="str">
            <v>1|14204|2|8,1|14204|0|2</v>
          </cell>
        </row>
        <row r="1308">
          <cell r="A1308">
            <v>40101</v>
          </cell>
          <cell r="B1308">
            <v>1</v>
          </cell>
          <cell r="C1308" t="str">
            <v>1|14001|1</v>
          </cell>
          <cell r="D1308" t="str">
            <v>初级经验药水</v>
          </cell>
          <cell r="E1308" t="str">
            <v>1|14001|1|50,1|14001|2|50</v>
          </cell>
        </row>
        <row r="1309">
          <cell r="A1309">
            <v>40102</v>
          </cell>
          <cell r="B1309">
            <v>1</v>
          </cell>
          <cell r="C1309" t="str">
            <v>1|14001|4</v>
          </cell>
          <cell r="D1309" t="str">
            <v>初级经验药水</v>
          </cell>
          <cell r="E1309" t="str">
            <v>1|14001|4|20,1|14001|6|40,1|14001|8|40</v>
          </cell>
        </row>
        <row r="1310">
          <cell r="A1310">
            <v>40103</v>
          </cell>
          <cell r="B1310">
            <v>1</v>
          </cell>
          <cell r="C1310" t="str">
            <v>1|14001|8</v>
          </cell>
          <cell r="D1310" t="str">
            <v>初级经验药水</v>
          </cell>
          <cell r="E1310" t="str">
            <v>1|14001|8|1</v>
          </cell>
        </row>
        <row r="1311">
          <cell r="A1311">
            <v>40104</v>
          </cell>
          <cell r="B1311">
            <v>1</v>
          </cell>
          <cell r="C1311" t="str">
            <v>1|14001|3</v>
          </cell>
          <cell r="D1311" t="str">
            <v>初级经验药水</v>
          </cell>
          <cell r="E1311" t="str">
            <v>1|14001|3|2,1|14001|4|6,1|14001|5|2</v>
          </cell>
        </row>
        <row r="1312">
          <cell r="A1312">
            <v>40105</v>
          </cell>
          <cell r="B1312">
            <v>1</v>
          </cell>
          <cell r="C1312" t="str">
            <v>1|14001|4</v>
          </cell>
          <cell r="D1312" t="str">
            <v>初级经验药水</v>
          </cell>
          <cell r="E1312" t="str">
            <v>1|14001|4|2,1|14001|5|6,1|14001|6|2</v>
          </cell>
        </row>
        <row r="1313">
          <cell r="A1313">
            <v>40106</v>
          </cell>
          <cell r="B1313">
            <v>1</v>
          </cell>
          <cell r="C1313" t="str">
            <v>1|14001|5</v>
          </cell>
          <cell r="D1313" t="str">
            <v>初级经验药水</v>
          </cell>
          <cell r="E1313" t="str">
            <v>1|14001|5|2,1|14001|6|6,1|14001|7|2</v>
          </cell>
        </row>
        <row r="1314">
          <cell r="A1314">
            <v>40107</v>
          </cell>
          <cell r="B1314">
            <v>1</v>
          </cell>
          <cell r="C1314" t="str">
            <v>1|14001|6</v>
          </cell>
          <cell r="D1314" t="str">
            <v>初级经验药水</v>
          </cell>
          <cell r="E1314" t="str">
            <v>1|14001|6|2,1|14001|7|6,1|14001|8|2</v>
          </cell>
        </row>
        <row r="1315">
          <cell r="A1315">
            <v>40151</v>
          </cell>
          <cell r="B1315">
            <v>1</v>
          </cell>
          <cell r="C1315" t="str">
            <v>1|14002|1</v>
          </cell>
          <cell r="D1315" t="str">
            <v>中级经验药水</v>
          </cell>
          <cell r="E1315" t="str">
            <v>1|14002|1|40,1|14002|2|40,1|14002|3|20</v>
          </cell>
        </row>
        <row r="1316">
          <cell r="A1316">
            <v>40152</v>
          </cell>
          <cell r="B1316">
            <v>1</v>
          </cell>
          <cell r="C1316" t="str">
            <v>1|14002|1</v>
          </cell>
          <cell r="D1316" t="str">
            <v>中级经验药水</v>
          </cell>
          <cell r="E1316" t="str">
            <v>1|14002|1|25,1|14002|2|65,1|14002|3|10</v>
          </cell>
        </row>
        <row r="1317">
          <cell r="A1317">
            <v>40153</v>
          </cell>
          <cell r="B1317">
            <v>1</v>
          </cell>
          <cell r="C1317" t="str">
            <v>1|14002|1</v>
          </cell>
          <cell r="D1317" t="str">
            <v>中级经验药水</v>
          </cell>
          <cell r="E1317" t="str">
            <v>1|14002|1|30,1|14002|2|50,1|14002|3|20</v>
          </cell>
        </row>
        <row r="1318">
          <cell r="A1318">
            <v>40154</v>
          </cell>
          <cell r="B1318">
            <v>1</v>
          </cell>
          <cell r="C1318" t="str">
            <v>1|14002|2</v>
          </cell>
          <cell r="D1318" t="str">
            <v>中级经验药水</v>
          </cell>
          <cell r="E1318" t="str">
            <v>1|14002|2|40,1|14002|4|40,1|14002|6|20</v>
          </cell>
        </row>
        <row r="1319">
          <cell r="A1319">
            <v>40155</v>
          </cell>
          <cell r="B1319">
            <v>1</v>
          </cell>
          <cell r="C1319" t="str">
            <v>1|14002|2</v>
          </cell>
          <cell r="D1319" t="str">
            <v>中级经验药水</v>
          </cell>
          <cell r="E1319" t="str">
            <v>1|14002|2|25,1|14002|4|65,1|14002|6|10</v>
          </cell>
        </row>
        <row r="1320">
          <cell r="A1320">
            <v>40156</v>
          </cell>
          <cell r="B1320">
            <v>1</v>
          </cell>
          <cell r="C1320" t="str">
            <v>1|14002|2</v>
          </cell>
          <cell r="D1320" t="str">
            <v>中级经验药水</v>
          </cell>
          <cell r="E1320" t="str">
            <v>1|14002|2|30,1|14002|4|50,1|14002|6|20</v>
          </cell>
        </row>
        <row r="1321">
          <cell r="A1321">
            <v>40157</v>
          </cell>
          <cell r="B1321">
            <v>1</v>
          </cell>
          <cell r="C1321" t="str">
            <v>1|14002|3</v>
          </cell>
          <cell r="D1321" t="str">
            <v>中级经验药水</v>
          </cell>
          <cell r="E1321" t="str">
            <v>1|14002|3|6,1|14002|4|3,1|14002|5|1</v>
          </cell>
        </row>
        <row r="1322">
          <cell r="A1322">
            <v>40201</v>
          </cell>
          <cell r="B1322">
            <v>1</v>
          </cell>
          <cell r="C1322" t="str">
            <v>1|14003|1</v>
          </cell>
          <cell r="D1322" t="str">
            <v>高级经验药水</v>
          </cell>
          <cell r="E1322" t="str">
            <v>1|14003|1|90,1|14003|2|10</v>
          </cell>
        </row>
        <row r="1323">
          <cell r="A1323">
            <v>40202</v>
          </cell>
          <cell r="B1323">
            <v>1</v>
          </cell>
          <cell r="C1323" t="str">
            <v>1|14003|2</v>
          </cell>
          <cell r="D1323" t="str">
            <v>高级经验药水</v>
          </cell>
          <cell r="E1323" t="str">
            <v>1|14003|2|90,1|14003|4|10</v>
          </cell>
        </row>
        <row r="1324">
          <cell r="A1324">
            <v>40203</v>
          </cell>
          <cell r="B1324">
            <v>1</v>
          </cell>
          <cell r="C1324" t="str">
            <v>1|14003|1</v>
          </cell>
          <cell r="D1324" t="str">
            <v>高级经验药水</v>
          </cell>
          <cell r="E1324" t="str">
            <v>1|14003|1|3,1|14003|2|7</v>
          </cell>
        </row>
        <row r="1325">
          <cell r="A1325">
            <v>40204</v>
          </cell>
          <cell r="B1325">
            <v>1</v>
          </cell>
          <cell r="C1325" t="str">
            <v>1|14003|1</v>
          </cell>
          <cell r="D1325" t="str">
            <v>高级经验药水</v>
          </cell>
          <cell r="E1325" t="str">
            <v>1|14003|1|3,1|14003|2|6,1|14003|3|1</v>
          </cell>
        </row>
        <row r="1326">
          <cell r="A1326">
            <v>40205</v>
          </cell>
          <cell r="B1326">
            <v>1</v>
          </cell>
          <cell r="C1326" t="str">
            <v>1|14003|1</v>
          </cell>
          <cell r="D1326" t="str">
            <v>高级经验药水</v>
          </cell>
          <cell r="E1326" t="str">
            <v>1|14003|1|3,1|14003|2|5,1|14003|3|2</v>
          </cell>
        </row>
        <row r="1327">
          <cell r="A1327">
            <v>40206</v>
          </cell>
          <cell r="B1327">
            <v>1</v>
          </cell>
          <cell r="C1327" t="str">
            <v>1|14003|1</v>
          </cell>
          <cell r="D1327" t="str">
            <v>高级经验药水</v>
          </cell>
          <cell r="E1327" t="str">
            <v>1|14003|1|2,1|14003|2|6,1|14003|3|2</v>
          </cell>
        </row>
        <row r="1328">
          <cell r="A1328">
            <v>40207</v>
          </cell>
          <cell r="B1328">
            <v>1</v>
          </cell>
          <cell r="C1328" t="str">
            <v>1|14003|1</v>
          </cell>
          <cell r="D1328" t="str">
            <v>高级经验药水</v>
          </cell>
          <cell r="E1328" t="str">
            <v>1|14003|1|1,1|14003|2|7,1|14003|3|2</v>
          </cell>
        </row>
        <row r="1329">
          <cell r="A1329">
            <v>40208</v>
          </cell>
          <cell r="B1329">
            <v>1</v>
          </cell>
          <cell r="C1329" t="str">
            <v>1|14003|1</v>
          </cell>
          <cell r="D1329" t="str">
            <v>高级经验药水</v>
          </cell>
          <cell r="E1329" t="str">
            <v>1|14003|1|1,1|14003|2|6,1|14003|3|3</v>
          </cell>
        </row>
        <row r="1330">
          <cell r="A1330">
            <v>40209</v>
          </cell>
          <cell r="B1330">
            <v>1</v>
          </cell>
          <cell r="C1330" t="str">
            <v>1|14003|2</v>
          </cell>
          <cell r="D1330" t="str">
            <v>高级经验药水</v>
          </cell>
          <cell r="E1330" t="str">
            <v>1|14003|2|7,1|14003|3|3</v>
          </cell>
        </row>
        <row r="1331">
          <cell r="A1331">
            <v>40210</v>
          </cell>
          <cell r="B1331">
            <v>1</v>
          </cell>
          <cell r="C1331" t="str">
            <v>1|14003|2</v>
          </cell>
          <cell r="D1331" t="str">
            <v>高级经验药水</v>
          </cell>
          <cell r="E1331" t="str">
            <v>1|14003|2|6,1|14003|3|4</v>
          </cell>
        </row>
        <row r="1332">
          <cell r="A1332">
            <v>40211</v>
          </cell>
          <cell r="B1332">
            <v>1</v>
          </cell>
          <cell r="C1332" t="str">
            <v>1|14003|2</v>
          </cell>
          <cell r="D1332" t="str">
            <v>高级经验药水</v>
          </cell>
          <cell r="E1332" t="str">
            <v>1|14003|2|5,1|14003|3|5</v>
          </cell>
        </row>
        <row r="1333">
          <cell r="A1333">
            <v>40212</v>
          </cell>
          <cell r="B1333">
            <v>1</v>
          </cell>
          <cell r="C1333" t="str">
            <v>1|14003|2</v>
          </cell>
          <cell r="D1333" t="str">
            <v>高级经验药水</v>
          </cell>
          <cell r="E1333" t="str">
            <v>1|14003|2|6,1|14003|3|2,1|14003|4|2</v>
          </cell>
        </row>
        <row r="1334">
          <cell r="A1334">
            <v>40213</v>
          </cell>
          <cell r="B1334">
            <v>1</v>
          </cell>
          <cell r="C1334" t="str">
            <v>1|14003|2</v>
          </cell>
          <cell r="D1334" t="str">
            <v>高级经验药水</v>
          </cell>
          <cell r="E1334" t="str">
            <v>1|14003|2|5,1|14003|3|3,1|14003|4|2</v>
          </cell>
        </row>
        <row r="1335">
          <cell r="A1335">
            <v>40214</v>
          </cell>
          <cell r="B1335">
            <v>1</v>
          </cell>
          <cell r="C1335" t="str">
            <v>1|14003|2</v>
          </cell>
          <cell r="D1335" t="str">
            <v>高级经验药水</v>
          </cell>
          <cell r="E1335" t="str">
            <v>1|14003|2|4,1|14003|3|4,1|14003|4|2</v>
          </cell>
        </row>
        <row r="1336">
          <cell r="A1336">
            <v>40215</v>
          </cell>
          <cell r="B1336">
            <v>1</v>
          </cell>
          <cell r="C1336" t="str">
            <v>1|14003|2</v>
          </cell>
          <cell r="D1336" t="str">
            <v>高级经验药水</v>
          </cell>
          <cell r="E1336" t="str">
            <v>1|14003|2|3,1|14003|3|5,1|14003|4|2</v>
          </cell>
        </row>
        <row r="1337">
          <cell r="A1337">
            <v>40216</v>
          </cell>
          <cell r="B1337">
            <v>1</v>
          </cell>
          <cell r="C1337" t="str">
            <v>1|14003|2</v>
          </cell>
          <cell r="D1337" t="str">
            <v>高级经验药水</v>
          </cell>
          <cell r="E1337" t="str">
            <v>1|14003|2|2,1|14003|3|6,1|14003|4|2</v>
          </cell>
        </row>
        <row r="1338">
          <cell r="A1338">
            <v>40900</v>
          </cell>
          <cell r="B1338">
            <v>1</v>
          </cell>
          <cell r="C1338" t="str">
            <v>5|1165|1</v>
          </cell>
          <cell r="D1338" t="str">
            <v>第一章2(绿色伙伴)</v>
          </cell>
          <cell r="E1338" t="str">
            <v>5|1165|1|1</v>
          </cell>
        </row>
        <row r="1339">
          <cell r="A1339">
            <v>40901</v>
          </cell>
          <cell r="B1339">
            <v>1</v>
          </cell>
          <cell r="C1339" t="str">
            <v>5|1193|1</v>
          </cell>
          <cell r="D1339" t="str">
            <v>第一章第二关（绿色伙伴）</v>
          </cell>
          <cell r="E1339" t="str">
            <v>5|1193|1|1</v>
          </cell>
        </row>
        <row r="1340">
          <cell r="A1340">
            <v>40902</v>
          </cell>
          <cell r="B1340">
            <v>1</v>
          </cell>
          <cell r="C1340" t="str">
            <v>5|1188|1</v>
          </cell>
          <cell r="D1340" t="str">
            <v>第一章第三关（绿色伙伴）</v>
          </cell>
          <cell r="E1340" t="str">
            <v>5|1188|1|1</v>
          </cell>
        </row>
        <row r="1341">
          <cell r="A1341">
            <v>40903</v>
          </cell>
          <cell r="B1341">
            <v>1</v>
          </cell>
          <cell r="C1341" t="str">
            <v>5|1182|1</v>
          </cell>
          <cell r="D1341" t="str">
            <v>第一章第四关（绿色伙伴）</v>
          </cell>
          <cell r="E1341" t="str">
            <v>5|1182|1|1</v>
          </cell>
        </row>
        <row r="1342">
          <cell r="A1342">
            <v>40904</v>
          </cell>
          <cell r="B1342">
            <v>1</v>
          </cell>
          <cell r="C1342" t="str">
            <v>5|1169|1</v>
          </cell>
          <cell r="D1342" t="str">
            <v>第一章第五关（绿色伙伴）</v>
          </cell>
          <cell r="E1342" t="str">
            <v>5|1169|1|1</v>
          </cell>
        </row>
        <row r="1343">
          <cell r="A1343">
            <v>40905</v>
          </cell>
          <cell r="B1343">
            <v>1</v>
          </cell>
          <cell r="C1343" t="str">
            <v>1|14104|10</v>
          </cell>
          <cell r="D1343" t="str">
            <v>第一章第七关（技能卷轴）</v>
          </cell>
          <cell r="E1343" t="str">
            <v>1|14104|10|1</v>
          </cell>
        </row>
        <row r="1344">
          <cell r="A1344">
            <v>40906</v>
          </cell>
          <cell r="B1344">
            <v>1</v>
          </cell>
          <cell r="C1344" t="str">
            <v>1|10034|40</v>
          </cell>
          <cell r="D1344" t="str">
            <v>第一章第九关（泾河龙王）</v>
          </cell>
          <cell r="E1344" t="str">
            <v>1|10034|40|1</v>
          </cell>
        </row>
        <row r="1345">
          <cell r="A1345">
            <v>40907</v>
          </cell>
          <cell r="B1345">
            <v>1</v>
          </cell>
          <cell r="C1345" t="str">
            <v>1|14107|50</v>
          </cell>
          <cell r="D1345" t="str">
            <v>第一章第九关（主角进阶石头）</v>
          </cell>
          <cell r="E1345" t="str">
            <v>1|14107|50|1</v>
          </cell>
        </row>
        <row r="1346">
          <cell r="A1346">
            <v>40908</v>
          </cell>
          <cell r="B1346">
            <v>1</v>
          </cell>
          <cell r="C1346" t="str">
            <v>1|14201|30</v>
          </cell>
          <cell r="D1346" t="str">
            <v>精炼石头法宝</v>
          </cell>
          <cell r="E1346" t="str">
            <v>1|14201|30|1</v>
          </cell>
        </row>
        <row r="1347">
          <cell r="A1347">
            <v>40911</v>
          </cell>
          <cell r="B1347">
            <v>1</v>
          </cell>
          <cell r="C1347" t="str">
            <v>1|14002|5</v>
          </cell>
          <cell r="D1347" t="str">
            <v>进度宝箱（第一二章）奖励中级经验药水</v>
          </cell>
          <cell r="E1347" t="str">
            <v>1|14002|5|1</v>
          </cell>
        </row>
        <row r="1348">
          <cell r="A1348">
            <v>40912</v>
          </cell>
          <cell r="B1348">
            <v>1</v>
          </cell>
          <cell r="C1348" t="str">
            <v>1|14002|1</v>
          </cell>
          <cell r="D1348" t="str">
            <v>进度宝箱（其他章节）奖励中级经验药水</v>
          </cell>
          <cell r="E1348" t="str">
            <v>1|14002|1|1</v>
          </cell>
        </row>
        <row r="1349">
          <cell r="A1349">
            <v>40920</v>
          </cell>
          <cell r="B1349">
            <v>1</v>
          </cell>
          <cell r="C1349" t="str">
            <v>1|16005|8</v>
          </cell>
          <cell r="D1349" t="str">
            <v>装备精炼通用石头</v>
          </cell>
          <cell r="E1349" t="str">
            <v>1|16005|8|1</v>
          </cell>
        </row>
        <row r="1350">
          <cell r="A1350">
            <v>40921</v>
          </cell>
          <cell r="B1350">
            <v>1</v>
          </cell>
          <cell r="C1350" t="str">
            <v>1|16001|2</v>
          </cell>
          <cell r="D1350" t="str">
            <v>装备精炼武器石头</v>
          </cell>
          <cell r="E1350" t="str">
            <v>1|16001|2|1</v>
          </cell>
        </row>
        <row r="1351">
          <cell r="A1351">
            <v>40922</v>
          </cell>
          <cell r="B1351">
            <v>1</v>
          </cell>
          <cell r="C1351" t="str">
            <v>1|16002|2</v>
          </cell>
          <cell r="D1351" t="str">
            <v>装备精炼衣服石头</v>
          </cell>
          <cell r="E1351" t="str">
            <v>1|16002|2|1</v>
          </cell>
        </row>
        <row r="1352">
          <cell r="A1352">
            <v>40923</v>
          </cell>
          <cell r="B1352">
            <v>1</v>
          </cell>
          <cell r="C1352" t="str">
            <v>1|16003|2</v>
          </cell>
          <cell r="D1352" t="str">
            <v>装备精炼头盔石头</v>
          </cell>
          <cell r="E1352" t="str">
            <v>1|16003|2|1</v>
          </cell>
        </row>
        <row r="1353">
          <cell r="A1353">
            <v>40924</v>
          </cell>
          <cell r="B1353">
            <v>1</v>
          </cell>
          <cell r="C1353" t="str">
            <v>1|16004|2</v>
          </cell>
          <cell r="D1353" t="str">
            <v>装备精炼腰带石头</v>
          </cell>
          <cell r="E1353" t="str">
            <v>1|16004|2|1</v>
          </cell>
        </row>
        <row r="1354">
          <cell r="A1354">
            <v>41001</v>
          </cell>
          <cell r="B1354">
            <v>1</v>
          </cell>
          <cell r="C1354" t="str">
            <v>1|10404|1</v>
          </cell>
          <cell r="D1354" t="str">
            <v>主线关卡BOSS掉落-蟹将碎片</v>
          </cell>
          <cell r="E1354" t="str">
            <v>1|10404|0|750,1|10404|1|250</v>
          </cell>
        </row>
        <row r="1355">
          <cell r="A1355">
            <v>41002</v>
          </cell>
          <cell r="B1355">
            <v>1</v>
          </cell>
          <cell r="C1355" t="str">
            <v>1|10126|1</v>
          </cell>
          <cell r="D1355" t="str">
            <v>主线关卡BOSS掉落-扇子精碎片</v>
          </cell>
          <cell r="E1355" t="str">
            <v>1|10126|0|750,1|10126|1|250</v>
          </cell>
        </row>
        <row r="1356">
          <cell r="A1356">
            <v>41003</v>
          </cell>
          <cell r="B1356">
            <v>1</v>
          </cell>
          <cell r="C1356" t="str">
            <v>1|10106|1</v>
          </cell>
          <cell r="D1356" t="str">
            <v>主线关卡BOSS掉落-牛头碎片</v>
          </cell>
          <cell r="E1356" t="str">
            <v>1|10106|0|750,1|10106|1|250</v>
          </cell>
        </row>
        <row r="1357">
          <cell r="A1357">
            <v>41004</v>
          </cell>
          <cell r="B1357">
            <v>1</v>
          </cell>
          <cell r="C1357" t="str">
            <v>1|10105|1</v>
          </cell>
          <cell r="D1357" t="str">
            <v>主线关卡BOSS掉落-马面碎片</v>
          </cell>
          <cell r="E1357" t="str">
            <v>1|10105|0|750,1|10105|1|250</v>
          </cell>
        </row>
        <row r="1358">
          <cell r="A1358">
            <v>41005</v>
          </cell>
          <cell r="B1358">
            <v>1</v>
          </cell>
          <cell r="C1358" t="str">
            <v>1|10104|1</v>
          </cell>
          <cell r="D1358" t="str">
            <v>主线关卡BOSS掉落-鬼使白碎片</v>
          </cell>
          <cell r="E1358" t="str">
            <v>1|10104|0|750,1|10104|1|250</v>
          </cell>
        </row>
        <row r="1359">
          <cell r="A1359">
            <v>41006</v>
          </cell>
          <cell r="B1359">
            <v>1</v>
          </cell>
          <cell r="C1359" t="str">
            <v>1|10103|1</v>
          </cell>
          <cell r="D1359" t="str">
            <v>主线关卡BOSS掉落-鬼使黑碎片</v>
          </cell>
          <cell r="E1359" t="str">
            <v>1|10103|0|750,1|10103|1|250</v>
          </cell>
        </row>
        <row r="1360">
          <cell r="A1360">
            <v>41007</v>
          </cell>
          <cell r="B1360">
            <v>1</v>
          </cell>
          <cell r="C1360" t="str">
            <v>1|10092|1</v>
          </cell>
          <cell r="D1360" t="str">
            <v>主线关卡BOSS掉落-琴仙碎片</v>
          </cell>
          <cell r="E1360" t="str">
            <v>1|10092|0|750,1|10092|1|250</v>
          </cell>
        </row>
        <row r="1361">
          <cell r="A1361">
            <v>41008</v>
          </cell>
          <cell r="B1361">
            <v>1</v>
          </cell>
          <cell r="C1361" t="str">
            <v>1|10052|1</v>
          </cell>
          <cell r="D1361" t="str">
            <v>主线关卡BOSS掉落-黑熊精碎片</v>
          </cell>
          <cell r="E1361" t="str">
            <v>1|10052|0|750,1|10052|1|250</v>
          </cell>
        </row>
        <row r="1362">
          <cell r="A1362">
            <v>41009</v>
          </cell>
          <cell r="B1362">
            <v>1</v>
          </cell>
          <cell r="C1362" t="str">
            <v>1|10041|1</v>
          </cell>
          <cell r="D1362" t="str">
            <v>主线关卡BOSS掉落-玉兔碎片</v>
          </cell>
          <cell r="E1362" t="str">
            <v>1|10041|0|750,1|10041|1|250</v>
          </cell>
        </row>
        <row r="1363">
          <cell r="A1363">
            <v>41010</v>
          </cell>
          <cell r="B1363">
            <v>1</v>
          </cell>
          <cell r="C1363" t="str">
            <v>1|10040|1</v>
          </cell>
          <cell r="D1363" t="str">
            <v>主线关卡BOSS掉落-墨鱼精碎片</v>
          </cell>
          <cell r="E1363" t="str">
            <v>1|10040|0|750,1|10040|1|250</v>
          </cell>
        </row>
        <row r="1364">
          <cell r="A1364">
            <v>41011</v>
          </cell>
          <cell r="B1364">
            <v>1</v>
          </cell>
          <cell r="C1364" t="str">
            <v>1|10039|1</v>
          </cell>
          <cell r="D1364" t="str">
            <v>主线关卡BOSS掉落-金钱豹王碎片</v>
          </cell>
          <cell r="E1364" t="str">
            <v>1|10039|0|750,1|10039|1|250</v>
          </cell>
        </row>
        <row r="1365">
          <cell r="A1365">
            <v>41012</v>
          </cell>
          <cell r="B1365">
            <v>1</v>
          </cell>
          <cell r="C1365" t="str">
            <v>1|10038|1</v>
          </cell>
          <cell r="D1365" t="str">
            <v>主线关卡BOSS掉落-玉面夫人碎片</v>
          </cell>
          <cell r="E1365" t="str">
            <v>1|10038|0|750,1|10038|1|250</v>
          </cell>
        </row>
        <row r="1366">
          <cell r="A1366">
            <v>41013</v>
          </cell>
          <cell r="B1366">
            <v>1</v>
          </cell>
          <cell r="C1366" t="str">
            <v>1|10036|1</v>
          </cell>
          <cell r="D1366" t="str">
            <v>主线关卡BOSS掉落-白龙公主碎片</v>
          </cell>
          <cell r="E1366" t="str">
            <v>1|10036|0|750,1|10036|1|250</v>
          </cell>
        </row>
        <row r="1367">
          <cell r="A1367">
            <v>41014</v>
          </cell>
          <cell r="B1367">
            <v>1</v>
          </cell>
          <cell r="C1367" t="str">
            <v>1|10034|1</v>
          </cell>
          <cell r="D1367" t="str">
            <v>主线关卡BOSS掉落-泾河龙王碎片</v>
          </cell>
          <cell r="E1367" t="str">
            <v>1|10034|0|750,1|10034|1|250</v>
          </cell>
        </row>
        <row r="1368">
          <cell r="A1368">
            <v>41015</v>
          </cell>
          <cell r="B1368">
            <v>1</v>
          </cell>
          <cell r="C1368" t="str">
            <v>1|10033|1</v>
          </cell>
          <cell r="D1368" t="str">
            <v>主线关卡BOSS掉落-雷公碎片</v>
          </cell>
          <cell r="E1368" t="str">
            <v>1|10033|0|750,1|10033|1|250</v>
          </cell>
        </row>
        <row r="1369">
          <cell r="A1369">
            <v>41016</v>
          </cell>
          <cell r="B1369">
            <v>1</v>
          </cell>
          <cell r="C1369" t="str">
            <v>1|10030|1</v>
          </cell>
          <cell r="D1369" t="str">
            <v>主线关卡BOSS掉落-地藏王碎片</v>
          </cell>
          <cell r="E1369" t="str">
            <v>1|10030|0|750,1|10030|1|250</v>
          </cell>
        </row>
        <row r="1370">
          <cell r="A1370">
            <v>41017</v>
          </cell>
          <cell r="B1370">
            <v>1</v>
          </cell>
          <cell r="C1370" t="str">
            <v>1|10028|1</v>
          </cell>
          <cell r="D1370" t="str">
            <v>主线关卡BOSS掉落-赛太岁碎片</v>
          </cell>
          <cell r="E1370" t="str">
            <v>1|10028|0|750,1|10028|1|250</v>
          </cell>
        </row>
        <row r="1371">
          <cell r="A1371">
            <v>41018</v>
          </cell>
          <cell r="B1371">
            <v>1</v>
          </cell>
          <cell r="C1371" t="str">
            <v>1|10018|1</v>
          </cell>
          <cell r="D1371" t="str">
            <v>主线关卡BOSS掉落-混沌碎片</v>
          </cell>
          <cell r="E1371" t="str">
            <v>1|10018|0|750,1|10018|1|250</v>
          </cell>
        </row>
        <row r="1372">
          <cell r="A1372">
            <v>41019</v>
          </cell>
          <cell r="B1372">
            <v>1</v>
          </cell>
          <cell r="C1372" t="str">
            <v>1|10116|1</v>
          </cell>
          <cell r="D1372" t="str">
            <v>主线关卡BOSS掉落-女儿国国王碎片</v>
          </cell>
          <cell r="E1372" t="str">
            <v>1|10116|0|850,1|10116|1|150</v>
          </cell>
        </row>
        <row r="1373">
          <cell r="A1373">
            <v>41020</v>
          </cell>
          <cell r="B1373">
            <v>1</v>
          </cell>
          <cell r="C1373" t="str">
            <v>1|10108|1</v>
          </cell>
          <cell r="D1373" t="str">
            <v>主线关卡BOSS掉落-彩蝶仙童碎片</v>
          </cell>
          <cell r="E1373" t="str">
            <v>1|10108|0|850,1|10108|1|150</v>
          </cell>
        </row>
        <row r="1374">
          <cell r="A1374">
            <v>41021</v>
          </cell>
          <cell r="B1374">
            <v>1</v>
          </cell>
          <cell r="C1374" t="str">
            <v>1|10107|1</v>
          </cell>
          <cell r="D1374" t="str">
            <v>主线关卡BOSS掉落-引魂仙子碎片</v>
          </cell>
          <cell r="E1374" t="str">
            <v>1|10107|0|850,1|10107|1|150</v>
          </cell>
        </row>
        <row r="1375">
          <cell r="A1375">
            <v>41022</v>
          </cell>
          <cell r="B1375">
            <v>1</v>
          </cell>
          <cell r="C1375" t="str">
            <v>1|10102|1</v>
          </cell>
          <cell r="D1375" t="str">
            <v>主线关卡BOSS掉落-人参娃碎片</v>
          </cell>
          <cell r="E1375" t="str">
            <v>1|10102|0|850,1|10102|1|150</v>
          </cell>
        </row>
        <row r="1376">
          <cell r="A1376">
            <v>41023</v>
          </cell>
          <cell r="B1376">
            <v>1</v>
          </cell>
          <cell r="C1376" t="str">
            <v>1|10101|1</v>
          </cell>
          <cell r="D1376" t="str">
            <v>主线关卡BOSS掉落-阎罗王碎片</v>
          </cell>
          <cell r="E1376" t="str">
            <v>1|10101|0|850,1|10101|1|150</v>
          </cell>
        </row>
        <row r="1377">
          <cell r="A1377">
            <v>41024</v>
          </cell>
          <cell r="B1377">
            <v>1</v>
          </cell>
          <cell r="C1377" t="str">
            <v>1|10037|1</v>
          </cell>
          <cell r="D1377" t="str">
            <v>主线关卡BOSS掉落-蜘蛛精碎片</v>
          </cell>
          <cell r="E1377" t="str">
            <v>1|10037|0|850,1|10037|1|150</v>
          </cell>
        </row>
        <row r="1378">
          <cell r="A1378">
            <v>41025</v>
          </cell>
          <cell r="B1378">
            <v>1</v>
          </cell>
          <cell r="C1378" t="str">
            <v>1|10035|1</v>
          </cell>
          <cell r="D1378" t="str">
            <v>主线关卡BOSS掉落-东海龙王碎片</v>
          </cell>
          <cell r="E1378" t="str">
            <v>1|10035|0|850,1|10035|1|150</v>
          </cell>
        </row>
        <row r="1379">
          <cell r="A1379">
            <v>41026</v>
          </cell>
          <cell r="B1379">
            <v>1</v>
          </cell>
          <cell r="C1379" t="str">
            <v>1|10032|1</v>
          </cell>
          <cell r="D1379" t="str">
            <v>主线关卡BOSS掉落-混世魔王碎片</v>
          </cell>
          <cell r="E1379" t="str">
            <v>1|10032|0|850,1|10032|1|150</v>
          </cell>
        </row>
        <row r="1380">
          <cell r="A1380">
            <v>41027</v>
          </cell>
          <cell r="B1380">
            <v>1</v>
          </cell>
          <cell r="C1380" t="str">
            <v>1|10031|1</v>
          </cell>
          <cell r="D1380" t="str">
            <v>主线关卡BOSS掉落-蝎子精碎片</v>
          </cell>
          <cell r="E1380" t="str">
            <v>1|10031|0|850,1|10031|1|150</v>
          </cell>
        </row>
        <row r="1381">
          <cell r="A1381">
            <v>41028</v>
          </cell>
          <cell r="B1381">
            <v>1</v>
          </cell>
          <cell r="C1381" t="str">
            <v>1|10026|1</v>
          </cell>
          <cell r="D1381" t="str">
            <v>主线关卡BOSS掉落-文殊菩萨碎片</v>
          </cell>
          <cell r="E1381" t="str">
            <v>1|10026|0|850,1|10026|1|150</v>
          </cell>
        </row>
        <row r="1382">
          <cell r="A1382">
            <v>41029</v>
          </cell>
          <cell r="B1382">
            <v>1</v>
          </cell>
          <cell r="C1382" t="str">
            <v>1|10025|1</v>
          </cell>
          <cell r="D1382" t="str">
            <v>主线关卡BOSS掉落-迦叶碎片</v>
          </cell>
          <cell r="E1382" t="str">
            <v>1|10025|0|850,1|10025|1|150</v>
          </cell>
        </row>
        <row r="1383">
          <cell r="A1383">
            <v>41030</v>
          </cell>
          <cell r="B1383">
            <v>1</v>
          </cell>
          <cell r="C1383" t="str">
            <v>1|10023|1</v>
          </cell>
          <cell r="D1383" t="str">
            <v>主线关卡BOSS掉落-小白龙碎片</v>
          </cell>
          <cell r="E1383" t="str">
            <v>1|10023|0|850,1|10023|1|150</v>
          </cell>
        </row>
        <row r="1384">
          <cell r="A1384">
            <v>41031</v>
          </cell>
          <cell r="B1384">
            <v>1</v>
          </cell>
          <cell r="C1384" t="str">
            <v>1|10022|1</v>
          </cell>
          <cell r="D1384" t="str">
            <v>主线关卡BOSS掉落-唐三藏碎片</v>
          </cell>
          <cell r="E1384" t="str">
            <v>1|10022|0|850,1|10022|1|150</v>
          </cell>
        </row>
        <row r="1385">
          <cell r="A1385">
            <v>41032</v>
          </cell>
          <cell r="B1385">
            <v>1</v>
          </cell>
          <cell r="C1385" t="str">
            <v>1|10017|1</v>
          </cell>
          <cell r="D1385" t="str">
            <v>主线关卡BOSS掉落-六耳猕猴碎片</v>
          </cell>
          <cell r="E1385" t="str">
            <v>1|10017|0|850,1|10017|1|150</v>
          </cell>
        </row>
        <row r="1386">
          <cell r="A1386">
            <v>41033</v>
          </cell>
          <cell r="B1386">
            <v>1</v>
          </cell>
          <cell r="C1386" t="str">
            <v>1|10016|1</v>
          </cell>
          <cell r="D1386" t="str">
            <v>主线关卡BOSS掉落-白骨夫人碎片</v>
          </cell>
          <cell r="E1386" t="str">
            <v>1|10016|0|850,1|10016|1|150</v>
          </cell>
        </row>
        <row r="1387">
          <cell r="A1387">
            <v>41034</v>
          </cell>
          <cell r="B1387">
            <v>1</v>
          </cell>
          <cell r="C1387" t="str">
            <v>1|10014|1</v>
          </cell>
          <cell r="D1387" t="str">
            <v>主线关卡BOSS掉落-鹿力大仙碎片</v>
          </cell>
          <cell r="E1387" t="str">
            <v>1|10014|0|850,1|10014|1|150</v>
          </cell>
        </row>
        <row r="1388">
          <cell r="A1388">
            <v>41035</v>
          </cell>
          <cell r="B1388">
            <v>1</v>
          </cell>
          <cell r="C1388" t="str">
            <v>1|10010|1</v>
          </cell>
          <cell r="D1388" t="str">
            <v>主线关卡BOSS掉落-红孩儿碎片</v>
          </cell>
          <cell r="E1388" t="str">
            <v>1|10010|0|850,1|10010|1|150</v>
          </cell>
        </row>
        <row r="1389">
          <cell r="A1389">
            <v>41036</v>
          </cell>
          <cell r="B1389">
            <v>1</v>
          </cell>
          <cell r="C1389" t="str">
            <v>1|10009|1</v>
          </cell>
          <cell r="D1389" t="str">
            <v>主线关卡BOSS掉落-九天玄女碎片</v>
          </cell>
          <cell r="E1389" t="str">
            <v>1|10009|0|850,1|10009|1|150</v>
          </cell>
        </row>
        <row r="1390">
          <cell r="A1390">
            <v>41037</v>
          </cell>
          <cell r="B1390">
            <v>1</v>
          </cell>
          <cell r="C1390" t="str">
            <v>1|10007|1</v>
          </cell>
          <cell r="D1390" t="str">
            <v>主线关卡BOSS掉落-赤脚大仙碎片</v>
          </cell>
          <cell r="E1390" t="str">
            <v>1|10007|0|850,1|10007|1|150</v>
          </cell>
        </row>
        <row r="1391">
          <cell r="A1391">
            <v>41038</v>
          </cell>
          <cell r="B1391">
            <v>1</v>
          </cell>
          <cell r="C1391" t="str">
            <v>1|10006|1</v>
          </cell>
          <cell r="D1391" t="str">
            <v>主线关卡BOSS掉落-太白金星碎片</v>
          </cell>
          <cell r="E1391" t="str">
            <v>1|10006|0|850,1|10006|1|150</v>
          </cell>
        </row>
        <row r="1392">
          <cell r="A1392">
            <v>41039</v>
          </cell>
          <cell r="B1392">
            <v>1</v>
          </cell>
          <cell r="C1392" t="str">
            <v>1|10004|1</v>
          </cell>
          <cell r="D1392" t="str">
            <v>主线关卡BOSS掉落-玉皇大帝碎片</v>
          </cell>
          <cell r="E1392" t="str">
            <v>1|10004|0|850,1|10004|1|150</v>
          </cell>
        </row>
        <row r="1393">
          <cell r="A1393">
            <v>41040</v>
          </cell>
          <cell r="B1393">
            <v>1</v>
          </cell>
          <cell r="C1393" t="str">
            <v>1|10003|1</v>
          </cell>
          <cell r="D1393" t="str">
            <v>主线关卡BOSS掉落-嫦娥碎片</v>
          </cell>
          <cell r="E1393" t="str">
            <v>1|10003|0|875,1|10003|1|125</v>
          </cell>
        </row>
        <row r="1394">
          <cell r="A1394">
            <v>41041</v>
          </cell>
          <cell r="B1394">
            <v>1</v>
          </cell>
          <cell r="C1394" t="str">
            <v>1|10119|1</v>
          </cell>
          <cell r="D1394" t="str">
            <v>主线关卡BOSS掉落-黑无常碎片</v>
          </cell>
          <cell r="E1394" t="str">
            <v>1|10119|0|875,1|10119|1|125</v>
          </cell>
        </row>
        <row r="1395">
          <cell r="A1395">
            <v>41042</v>
          </cell>
          <cell r="B1395">
            <v>1</v>
          </cell>
          <cell r="C1395" t="str">
            <v>1|10015|1</v>
          </cell>
          <cell r="D1395" t="str">
            <v>主线关卡BOSS掉落-羊力大仙碎片</v>
          </cell>
          <cell r="E1395" t="str">
            <v>1|10015|0|875,1|10015|1|125</v>
          </cell>
        </row>
        <row r="1396">
          <cell r="A1396">
            <v>41043</v>
          </cell>
          <cell r="B1396">
            <v>1</v>
          </cell>
          <cell r="C1396" t="str">
            <v>1|10115|1</v>
          </cell>
          <cell r="D1396" t="str">
            <v>主线关卡BOSS掉落-观世音碎片</v>
          </cell>
          <cell r="E1396" t="str">
            <v>1|10115|0|875,1|10115|1|125</v>
          </cell>
        </row>
        <row r="1397">
          <cell r="A1397">
            <v>41044</v>
          </cell>
          <cell r="B1397">
            <v>1</v>
          </cell>
          <cell r="C1397" t="str">
            <v>1|10012|1</v>
          </cell>
          <cell r="D1397" t="str">
            <v>主线关卡BOSS掉落-牛魔王碎片</v>
          </cell>
          <cell r="E1397" t="str">
            <v>1|10012|0|875,1|10012|1|125</v>
          </cell>
        </row>
        <row r="1398">
          <cell r="A1398">
            <v>41045</v>
          </cell>
          <cell r="B1398">
            <v>1</v>
          </cell>
          <cell r="C1398" t="str">
            <v>1|10113|1</v>
          </cell>
          <cell r="D1398" t="str">
            <v>主线关卡BOSS掉落-龙帝碎片</v>
          </cell>
          <cell r="E1398" t="str">
            <v>1|10113|0|875,1|10113|1|125</v>
          </cell>
        </row>
        <row r="1399">
          <cell r="A1399">
            <v>41046</v>
          </cell>
          <cell r="B1399">
            <v>1</v>
          </cell>
          <cell r="C1399" t="str">
            <v>1|10020|1</v>
          </cell>
          <cell r="D1399" t="str">
            <v>主线关卡BOSS掉落-猪八戒碎片</v>
          </cell>
          <cell r="E1399" t="str">
            <v>1|10020|0|875,1|10020|1|125</v>
          </cell>
        </row>
        <row r="1400">
          <cell r="A1400">
            <v>41047</v>
          </cell>
          <cell r="B1400">
            <v>1</v>
          </cell>
          <cell r="C1400" t="str">
            <v>1|10013|1</v>
          </cell>
          <cell r="D1400" t="str">
            <v>主线关卡BOSS掉落-虎力大仙碎片</v>
          </cell>
          <cell r="E1400" t="str">
            <v>1|10013|0|875,1|10013|1|125</v>
          </cell>
        </row>
        <row r="1401">
          <cell r="A1401">
            <v>41048</v>
          </cell>
          <cell r="B1401">
            <v>1</v>
          </cell>
          <cell r="C1401" t="str">
            <v>1|10008|1</v>
          </cell>
          <cell r="D1401" t="str">
            <v>主线关卡BOSS掉落-托塔天王碎片</v>
          </cell>
          <cell r="E1401" t="str">
            <v>1|10008|0|875,1|10008|1|125</v>
          </cell>
        </row>
        <row r="1402">
          <cell r="A1402">
            <v>41049</v>
          </cell>
          <cell r="B1402">
            <v>1</v>
          </cell>
          <cell r="C1402" t="str">
            <v>1|10027|1</v>
          </cell>
          <cell r="D1402" t="str">
            <v>主线关卡BOSS掉落-弥勒佛碎片</v>
          </cell>
          <cell r="E1402" t="str">
            <v>1|10027|0|875,1|10027|1|125</v>
          </cell>
        </row>
        <row r="1403">
          <cell r="A1403">
            <v>41050</v>
          </cell>
          <cell r="B1403">
            <v>1</v>
          </cell>
          <cell r="C1403" t="str">
            <v>1|10118|1</v>
          </cell>
          <cell r="D1403" t="str">
            <v>主线关卡BOSS掉落-白无常碎片</v>
          </cell>
          <cell r="E1403" t="str">
            <v>1|10118|0|875,1|10118|1|125</v>
          </cell>
        </row>
        <row r="1404">
          <cell r="A1404">
            <v>41051</v>
          </cell>
          <cell r="B1404">
            <v>1</v>
          </cell>
          <cell r="C1404" t="str">
            <v>1|10002|1</v>
          </cell>
          <cell r="D1404" t="str">
            <v>主线关卡BOSS掉落-哪吒碎片</v>
          </cell>
          <cell r="E1404" t="str">
            <v>1|10002|0|875,1|10002|1|125</v>
          </cell>
        </row>
        <row r="1405">
          <cell r="A1405">
            <v>41052</v>
          </cell>
          <cell r="B1405">
            <v>1</v>
          </cell>
          <cell r="C1405" t="str">
            <v>1|10112|1</v>
          </cell>
          <cell r="D1405" t="str">
            <v>主线关卡BOSS掉落-金蝉子碎片</v>
          </cell>
          <cell r="E1405" t="str">
            <v>1|10112|0|875,1|10112|1|125</v>
          </cell>
        </row>
        <row r="1406">
          <cell r="A1406">
            <v>41053</v>
          </cell>
          <cell r="B1406">
            <v>1</v>
          </cell>
          <cell r="C1406" t="str">
            <v>1|10114|1</v>
          </cell>
          <cell r="D1406" t="str">
            <v>主线关卡BOSS掉落-八部天龙碎片</v>
          </cell>
          <cell r="E1406" t="str">
            <v>1|10114|0|875,1|10114|1|125</v>
          </cell>
        </row>
        <row r="1407">
          <cell r="A1407">
            <v>41054</v>
          </cell>
          <cell r="B1407">
            <v>1</v>
          </cell>
          <cell r="C1407" t="str">
            <v>1|10011|1</v>
          </cell>
          <cell r="D1407" t="str">
            <v>主线关卡BOSS掉落-铁扇公主碎片</v>
          </cell>
          <cell r="E1407" t="str">
            <v>1|10011|0|875,1|10011|1|125</v>
          </cell>
        </row>
        <row r="1408">
          <cell r="A1408">
            <v>41060</v>
          </cell>
          <cell r="B1408">
            <v>1</v>
          </cell>
          <cell r="C1408" t="str">
            <v>2|2001|1</v>
          </cell>
          <cell r="D1408" t="str">
            <v>主线关卡BOSS掉落-行者战甲</v>
          </cell>
          <cell r="E1408" t="str">
            <v>2|2001|0|750,2|2001|1|250</v>
          </cell>
        </row>
        <row r="1409">
          <cell r="A1409">
            <v>41061</v>
          </cell>
          <cell r="B1409">
            <v>1</v>
          </cell>
          <cell r="C1409" t="str">
            <v>2|2002|1</v>
          </cell>
          <cell r="D1409" t="str">
            <v>主线关卡BOSS掉落-精铁长剑</v>
          </cell>
          <cell r="E1409" t="str">
            <v>2|2002|0|750,2|2002|1|250</v>
          </cell>
        </row>
        <row r="1410">
          <cell r="A1410">
            <v>41062</v>
          </cell>
          <cell r="B1410">
            <v>1</v>
          </cell>
          <cell r="C1410" t="str">
            <v>2|2003|1</v>
          </cell>
          <cell r="D1410" t="str">
            <v>主线关卡BOSS掉落-虹影头盔</v>
          </cell>
          <cell r="E1410" t="str">
            <v>2|2003|0|750,2|2003|1|250</v>
          </cell>
        </row>
        <row r="1411">
          <cell r="A1411">
            <v>41063</v>
          </cell>
          <cell r="B1411">
            <v>1</v>
          </cell>
          <cell r="C1411" t="str">
            <v>2|2004|1</v>
          </cell>
          <cell r="D1411" t="str">
            <v>主线关卡BOSS掉落-千里战靴</v>
          </cell>
          <cell r="E1411" t="str">
            <v>2|2004|0|750,2|2004|1|250</v>
          </cell>
        </row>
        <row r="1412">
          <cell r="A1412">
            <v>41064</v>
          </cell>
          <cell r="B1412">
            <v>1</v>
          </cell>
          <cell r="C1412" t="str">
            <v>1|11001|1</v>
          </cell>
          <cell r="D1412" t="str">
            <v>主线关卡BOSS掉落-赤血战甲碎片</v>
          </cell>
          <cell r="E1412" t="str">
            <v>1|11001|0|500,1|11001|1|500</v>
          </cell>
        </row>
        <row r="1413">
          <cell r="A1413">
            <v>41065</v>
          </cell>
          <cell r="B1413">
            <v>1</v>
          </cell>
          <cell r="C1413" t="str">
            <v>1|11002|1</v>
          </cell>
          <cell r="D1413" t="str">
            <v>主线关卡BOSS掉落-青锋长剑碎片</v>
          </cell>
          <cell r="E1413" t="str">
            <v>1|11002|0|500,1|11002|1|500</v>
          </cell>
        </row>
        <row r="1414">
          <cell r="A1414">
            <v>41066</v>
          </cell>
          <cell r="B1414">
            <v>1</v>
          </cell>
          <cell r="C1414" t="str">
            <v>1|11003|1</v>
          </cell>
          <cell r="D1414" t="str">
            <v>主线关卡BOSS掉落-雁虞头盔碎片</v>
          </cell>
          <cell r="E1414" t="str">
            <v>1|11003|0|500,1|11003|1|500</v>
          </cell>
        </row>
        <row r="1415">
          <cell r="A1415">
            <v>41067</v>
          </cell>
          <cell r="B1415">
            <v>1</v>
          </cell>
          <cell r="C1415" t="str">
            <v>1|11004|1</v>
          </cell>
          <cell r="D1415" t="str">
            <v>主线关卡BOSS掉落-无影战靴碎片</v>
          </cell>
          <cell r="E1415" t="str">
            <v>1|11004|0|500,1|11004|1|500</v>
          </cell>
        </row>
        <row r="1416">
          <cell r="A1416">
            <v>41068</v>
          </cell>
          <cell r="B1416">
            <v>1</v>
          </cell>
          <cell r="C1416" t="str">
            <v>1|11005|1</v>
          </cell>
          <cell r="D1416" t="str">
            <v>主线关卡BOSS掉落-破魔战甲碎片</v>
          </cell>
          <cell r="E1416" t="str">
            <v>1|11005|0|667,1|11005|1|333</v>
          </cell>
        </row>
        <row r="1417">
          <cell r="A1417">
            <v>41069</v>
          </cell>
          <cell r="B1417">
            <v>1</v>
          </cell>
          <cell r="C1417" t="str">
            <v>1|11006|1</v>
          </cell>
          <cell r="D1417" t="str">
            <v>主线关卡BOSS掉落-破魔长剑碎片</v>
          </cell>
          <cell r="E1417" t="str">
            <v>1|11006|0|667,1|11006|1|333</v>
          </cell>
        </row>
        <row r="1418">
          <cell r="A1418">
            <v>41070</v>
          </cell>
          <cell r="B1418">
            <v>1</v>
          </cell>
          <cell r="C1418" t="str">
            <v>1|11007|1</v>
          </cell>
          <cell r="D1418" t="str">
            <v>主线关卡BOSS掉落-破魔头盔碎片</v>
          </cell>
          <cell r="E1418" t="str">
            <v>1|11007|0|667,1|11007|1|333</v>
          </cell>
        </row>
        <row r="1419">
          <cell r="A1419">
            <v>41071</v>
          </cell>
          <cell r="B1419">
            <v>1</v>
          </cell>
          <cell r="C1419" t="str">
            <v>1|11008|1</v>
          </cell>
          <cell r="D1419" t="str">
            <v>主线关卡BOSS掉落-破魔战靴碎片</v>
          </cell>
          <cell r="E1419" t="str">
            <v>1|11008|0|667,1|11008|1|333</v>
          </cell>
        </row>
        <row r="1420">
          <cell r="A1420">
            <v>41072</v>
          </cell>
          <cell r="B1420">
            <v>1</v>
          </cell>
          <cell r="C1420" t="str">
            <v>1|11009|1</v>
          </cell>
          <cell r="D1420" t="str">
            <v>主线关卡BOSS掉落-护卫战甲碎片</v>
          </cell>
          <cell r="E1420" t="str">
            <v>1|11009|0|667,1|11009|1|333</v>
          </cell>
        </row>
        <row r="1421">
          <cell r="A1421">
            <v>41073</v>
          </cell>
          <cell r="B1421">
            <v>1</v>
          </cell>
          <cell r="C1421" t="str">
            <v>1|11010|1</v>
          </cell>
          <cell r="D1421" t="str">
            <v>主线关卡BOSS掉落-护卫长剑碎片</v>
          </cell>
          <cell r="E1421" t="str">
            <v>1|11010|0|667,1|11010|1|333</v>
          </cell>
        </row>
        <row r="1422">
          <cell r="A1422">
            <v>41074</v>
          </cell>
          <cell r="B1422">
            <v>1</v>
          </cell>
          <cell r="C1422" t="str">
            <v>1|11011|1</v>
          </cell>
          <cell r="D1422" t="str">
            <v>主线关卡BOSS掉落-护卫头盔碎片</v>
          </cell>
          <cell r="E1422" t="str">
            <v>1|11011|0|667,1|11011|1|333</v>
          </cell>
        </row>
        <row r="1423">
          <cell r="A1423">
            <v>41075</v>
          </cell>
          <cell r="B1423">
            <v>1</v>
          </cell>
          <cell r="C1423" t="str">
            <v>1|11012|1</v>
          </cell>
          <cell r="D1423" t="str">
            <v>主线关卡BOSS掉落-护卫战靴碎片</v>
          </cell>
          <cell r="E1423" t="str">
            <v>1|11012|0|667,1|11012|1|333</v>
          </cell>
        </row>
        <row r="1424">
          <cell r="A1424">
            <v>41076</v>
          </cell>
          <cell r="B1424">
            <v>1</v>
          </cell>
          <cell r="C1424" t="str">
            <v>1|11013|1</v>
          </cell>
          <cell r="D1424" t="str">
            <v>主线关卡BOSS掉落-连云战甲碎片</v>
          </cell>
          <cell r="E1424" t="str">
            <v>1|11013|0|875,1|11013|1|125</v>
          </cell>
        </row>
        <row r="1425">
          <cell r="A1425">
            <v>41077</v>
          </cell>
          <cell r="B1425">
            <v>1</v>
          </cell>
          <cell r="C1425" t="str">
            <v>1|11014|1</v>
          </cell>
          <cell r="D1425" t="str">
            <v>主线关卡BOSS掉落-紫阳长剑碎片</v>
          </cell>
          <cell r="E1425" t="str">
            <v>1|11014|0|875,1|11014|1|125</v>
          </cell>
        </row>
        <row r="1426">
          <cell r="A1426">
            <v>41078</v>
          </cell>
          <cell r="B1426">
            <v>1</v>
          </cell>
          <cell r="C1426" t="str">
            <v>1|11015|1</v>
          </cell>
          <cell r="D1426" t="str">
            <v>主线关卡BOSS掉落-耀日头盔碎片</v>
          </cell>
          <cell r="E1426" t="str">
            <v>1|11015|0|875,1|11015|1|125</v>
          </cell>
        </row>
        <row r="1427">
          <cell r="A1427">
            <v>41079</v>
          </cell>
          <cell r="B1427">
            <v>1</v>
          </cell>
          <cell r="C1427" t="str">
            <v>1|11016|1</v>
          </cell>
          <cell r="D1427" t="str">
            <v>主线关卡BOSS掉落-雷霆战靴碎片</v>
          </cell>
          <cell r="E1427" t="str">
            <v>1|11016|0|875,1|11016|1|125</v>
          </cell>
        </row>
        <row r="1428">
          <cell r="A1428">
            <v>41080</v>
          </cell>
          <cell r="B1428">
            <v>1</v>
          </cell>
          <cell r="C1428" t="str">
            <v>1|11017|1</v>
          </cell>
          <cell r="D1428" t="str">
            <v>主线关卡BOSS掉落-封魔战甲碎片</v>
          </cell>
          <cell r="E1428" t="str">
            <v>1|11017|0|917,1|11017|1|83</v>
          </cell>
        </row>
        <row r="1429">
          <cell r="A1429">
            <v>41081</v>
          </cell>
          <cell r="B1429">
            <v>1</v>
          </cell>
          <cell r="C1429" t="str">
            <v>1|11018|1</v>
          </cell>
          <cell r="D1429" t="str">
            <v>主线关卡BOSS掉落-封魔长剑碎片</v>
          </cell>
          <cell r="E1429" t="str">
            <v>1|11018|0|917,1|11018|1|83</v>
          </cell>
        </row>
        <row r="1430">
          <cell r="A1430">
            <v>41082</v>
          </cell>
          <cell r="B1430">
            <v>1</v>
          </cell>
          <cell r="C1430" t="str">
            <v>1|11019|1</v>
          </cell>
          <cell r="D1430" t="str">
            <v>主线关卡BOSS掉落-封魔头盔碎片</v>
          </cell>
          <cell r="E1430" t="str">
            <v>1|11019|0|917,1|11019|1|83</v>
          </cell>
        </row>
        <row r="1431">
          <cell r="A1431">
            <v>41083</v>
          </cell>
          <cell r="B1431">
            <v>1</v>
          </cell>
          <cell r="C1431" t="str">
            <v>1|11020|1</v>
          </cell>
          <cell r="D1431" t="str">
            <v>主线关卡BOSS掉落-封魔战靴碎片</v>
          </cell>
          <cell r="E1431" t="str">
            <v>1|11020|0|917,1|11020|1|83</v>
          </cell>
        </row>
        <row r="1432">
          <cell r="A1432">
            <v>41084</v>
          </cell>
          <cell r="B1432">
            <v>1</v>
          </cell>
          <cell r="C1432" t="str">
            <v>1|11021|1</v>
          </cell>
          <cell r="D1432" t="str">
            <v>主线关卡BOSS掉落-磐石战甲碎片</v>
          </cell>
          <cell r="E1432" t="str">
            <v>1|11021|0|917,1|11021|1|83</v>
          </cell>
        </row>
        <row r="1433">
          <cell r="A1433">
            <v>41085</v>
          </cell>
          <cell r="B1433">
            <v>1</v>
          </cell>
          <cell r="C1433" t="str">
            <v>1|11022|1</v>
          </cell>
          <cell r="D1433" t="str">
            <v>主线关卡BOSS掉落-磐石长剑碎片</v>
          </cell>
          <cell r="E1433" t="str">
            <v>1|11022|0|917,1|11022|1|83</v>
          </cell>
        </row>
        <row r="1434">
          <cell r="A1434">
            <v>41086</v>
          </cell>
          <cell r="B1434">
            <v>1</v>
          </cell>
          <cell r="C1434" t="str">
            <v>1|11023|1</v>
          </cell>
          <cell r="D1434" t="str">
            <v>主线关卡BOSS掉落-磐石头盔碎片</v>
          </cell>
          <cell r="E1434" t="str">
            <v>1|11023|0|917,1|11023|1|83</v>
          </cell>
        </row>
        <row r="1435">
          <cell r="A1435">
            <v>41087</v>
          </cell>
          <cell r="B1435">
            <v>1</v>
          </cell>
          <cell r="C1435" t="str">
            <v>1|11024|1</v>
          </cell>
          <cell r="D1435" t="str">
            <v>主线关卡BOSS掉落-磐石战靴碎片</v>
          </cell>
          <cell r="E1435" t="str">
            <v>1|11024|0|917,1|11024|1|83</v>
          </cell>
        </row>
        <row r="1436">
          <cell r="A1436">
            <v>41088</v>
          </cell>
          <cell r="B1436">
            <v>1</v>
          </cell>
          <cell r="C1436" t="str">
            <v>1|11025|1</v>
          </cell>
          <cell r="D1436" t="str">
            <v>主线关卡BOSS掉落-血魔战甲碎片</v>
          </cell>
          <cell r="E1436" t="str">
            <v>1|11025|0|950,1|11025|1|50</v>
          </cell>
        </row>
        <row r="1437">
          <cell r="A1437">
            <v>41089</v>
          </cell>
          <cell r="B1437">
            <v>1</v>
          </cell>
          <cell r="C1437" t="str">
            <v>1|11026|1</v>
          </cell>
          <cell r="D1437" t="str">
            <v>主线关卡BOSS掉落-赤霄长剑碎片</v>
          </cell>
          <cell r="E1437" t="str">
            <v>1|11026|0|950,1|11026|1|50</v>
          </cell>
        </row>
        <row r="1438">
          <cell r="A1438">
            <v>41090</v>
          </cell>
          <cell r="B1438">
            <v>1</v>
          </cell>
          <cell r="C1438" t="str">
            <v>1|11027|1</v>
          </cell>
          <cell r="D1438" t="str">
            <v>主线关卡BOSS掉落-麒麟头盔碎片</v>
          </cell>
          <cell r="E1438" t="str">
            <v>1|11027|0|950,1|11027|1|50</v>
          </cell>
        </row>
        <row r="1439">
          <cell r="A1439">
            <v>41091</v>
          </cell>
          <cell r="B1439">
            <v>1</v>
          </cell>
          <cell r="C1439" t="str">
            <v>1|11028|1</v>
          </cell>
          <cell r="D1439" t="str">
            <v>主线关卡BOSS掉落-兽魂战靴碎片</v>
          </cell>
          <cell r="E1439" t="str">
            <v>1|11028|0|950,1|11028|1|50</v>
          </cell>
        </row>
        <row r="1440">
          <cell r="A1440">
            <v>41092</v>
          </cell>
          <cell r="B1440">
            <v>1</v>
          </cell>
          <cell r="C1440" t="str">
            <v>1|11029|1</v>
          </cell>
          <cell r="D1440" t="str">
            <v>主线关卡BOSS掉落-降魔战甲碎片</v>
          </cell>
          <cell r="E1440" t="str">
            <v>1|11029|0|967,1|11029|1|33</v>
          </cell>
        </row>
        <row r="1441">
          <cell r="A1441">
            <v>41093</v>
          </cell>
          <cell r="B1441">
            <v>1</v>
          </cell>
          <cell r="C1441" t="str">
            <v>1|11030|1</v>
          </cell>
          <cell r="D1441" t="str">
            <v>主线关卡BOSS掉落-降魔长剑碎片</v>
          </cell>
          <cell r="E1441" t="str">
            <v>1|11030|0|967,1|11030|1|33</v>
          </cell>
        </row>
        <row r="1442">
          <cell r="A1442">
            <v>41094</v>
          </cell>
          <cell r="B1442">
            <v>1</v>
          </cell>
          <cell r="C1442" t="str">
            <v>1|11031|1</v>
          </cell>
          <cell r="D1442" t="str">
            <v>主线关卡BOSS掉落-降魔头盔碎片</v>
          </cell>
          <cell r="E1442" t="str">
            <v>1|11031|0|967,1|11031|1|33</v>
          </cell>
        </row>
        <row r="1443">
          <cell r="A1443">
            <v>41095</v>
          </cell>
          <cell r="B1443">
            <v>1</v>
          </cell>
          <cell r="C1443" t="str">
            <v>1|11032|1</v>
          </cell>
          <cell r="D1443" t="str">
            <v>主线关卡BOSS掉落-降魔战靴碎片</v>
          </cell>
          <cell r="E1443" t="str">
            <v>1|11032|0|967,1|11032|1|33</v>
          </cell>
        </row>
        <row r="1444">
          <cell r="A1444">
            <v>41096</v>
          </cell>
          <cell r="B1444">
            <v>1</v>
          </cell>
          <cell r="C1444" t="str">
            <v>1|11033|1</v>
          </cell>
          <cell r="D1444" t="str">
            <v>主线关卡BOSS掉落-天罡战甲碎片</v>
          </cell>
          <cell r="E1444" t="str">
            <v>1|11033|0|967,1|11033|1|33</v>
          </cell>
        </row>
        <row r="1445">
          <cell r="A1445">
            <v>41097</v>
          </cell>
          <cell r="B1445">
            <v>1</v>
          </cell>
          <cell r="C1445" t="str">
            <v>1|11034|1</v>
          </cell>
          <cell r="D1445" t="str">
            <v>主线关卡BOSS掉落-天罡长剑碎片</v>
          </cell>
          <cell r="E1445" t="str">
            <v>1|11034|0|967,1|11034|1|33</v>
          </cell>
        </row>
        <row r="1446">
          <cell r="A1446">
            <v>41098</v>
          </cell>
          <cell r="B1446">
            <v>1</v>
          </cell>
          <cell r="C1446" t="str">
            <v>1|11035|1</v>
          </cell>
          <cell r="D1446" t="str">
            <v>主线关卡BOSS掉落-天罡头盔碎片</v>
          </cell>
          <cell r="E1446" t="str">
            <v>1|11035|0|967,1|11035|1|33</v>
          </cell>
        </row>
        <row r="1447">
          <cell r="A1447">
            <v>41099</v>
          </cell>
          <cell r="B1447">
            <v>1</v>
          </cell>
          <cell r="C1447" t="str">
            <v>1|11036|1</v>
          </cell>
          <cell r="D1447" t="str">
            <v>主线关卡BOSS掉落-天罡战靴碎片</v>
          </cell>
          <cell r="E1447" t="str">
            <v>1|11036|0|967,1|11036|1|33</v>
          </cell>
        </row>
        <row r="1448">
          <cell r="A1448">
            <v>41501</v>
          </cell>
          <cell r="B1448">
            <v>1</v>
          </cell>
          <cell r="C1448" t="str">
            <v>1|10404|1</v>
          </cell>
          <cell r="D1448" t="str">
            <v>精英关卡BOSS掉落-蟹将碎片</v>
          </cell>
          <cell r="E1448" t="str">
            <v>1|10404|0|500,1|10404|1|500</v>
          </cell>
        </row>
        <row r="1449">
          <cell r="A1449">
            <v>41502</v>
          </cell>
          <cell r="B1449">
            <v>1</v>
          </cell>
          <cell r="C1449" t="str">
            <v>1|10126|1</v>
          </cell>
          <cell r="D1449" t="str">
            <v>精英关卡BOSS掉落-扇子精碎片</v>
          </cell>
          <cell r="E1449" t="str">
            <v>1|10126|0|500,1|10126|1|500</v>
          </cell>
        </row>
        <row r="1450">
          <cell r="A1450">
            <v>41503</v>
          </cell>
          <cell r="B1450">
            <v>1</v>
          </cell>
          <cell r="C1450" t="str">
            <v>1|10106|1</v>
          </cell>
          <cell r="D1450" t="str">
            <v>精英关卡BOSS掉落-牛头碎片</v>
          </cell>
          <cell r="E1450" t="str">
            <v>1|10106|0|500,1|10106|1|500</v>
          </cell>
        </row>
        <row r="1451">
          <cell r="A1451">
            <v>41504</v>
          </cell>
          <cell r="B1451">
            <v>1</v>
          </cell>
          <cell r="C1451" t="str">
            <v>1|10105|1</v>
          </cell>
          <cell r="D1451" t="str">
            <v>精英关卡BOSS掉落-马面碎片</v>
          </cell>
          <cell r="E1451" t="str">
            <v>1|10105|0|500,1|10105|1|500</v>
          </cell>
        </row>
        <row r="1452">
          <cell r="A1452">
            <v>41505</v>
          </cell>
          <cell r="B1452">
            <v>1</v>
          </cell>
          <cell r="C1452" t="str">
            <v>1|10104|1</v>
          </cell>
          <cell r="D1452" t="str">
            <v>精英关卡BOSS掉落-鬼使白碎片</v>
          </cell>
          <cell r="E1452" t="str">
            <v>1|10104|0|500,1|10104|1|500</v>
          </cell>
        </row>
        <row r="1453">
          <cell r="A1453">
            <v>41506</v>
          </cell>
          <cell r="B1453">
            <v>1</v>
          </cell>
          <cell r="C1453" t="str">
            <v>1|10103|1</v>
          </cell>
          <cell r="D1453" t="str">
            <v>精英关卡BOSS掉落-鬼使黑碎片</v>
          </cell>
          <cell r="E1453" t="str">
            <v>1|10103|0|500,1|10103|1|500</v>
          </cell>
        </row>
        <row r="1454">
          <cell r="A1454">
            <v>41507</v>
          </cell>
          <cell r="B1454">
            <v>1</v>
          </cell>
          <cell r="C1454" t="str">
            <v>1|10092|1</v>
          </cell>
          <cell r="D1454" t="str">
            <v>精英关卡BOSS掉落-琴仙碎片</v>
          </cell>
          <cell r="E1454" t="str">
            <v>1|10092|0|500,1|10092|1|500</v>
          </cell>
        </row>
        <row r="1455">
          <cell r="A1455">
            <v>41508</v>
          </cell>
          <cell r="B1455">
            <v>1</v>
          </cell>
          <cell r="C1455" t="str">
            <v>1|10052|1</v>
          </cell>
          <cell r="D1455" t="str">
            <v>精英关卡BOSS掉落-黑熊精碎片</v>
          </cell>
          <cell r="E1455" t="str">
            <v>1|10052|0|500,1|10052|1|500</v>
          </cell>
        </row>
        <row r="1456">
          <cell r="A1456">
            <v>41509</v>
          </cell>
          <cell r="B1456">
            <v>1</v>
          </cell>
          <cell r="C1456" t="str">
            <v>1|10041|1</v>
          </cell>
          <cell r="D1456" t="str">
            <v>精英关卡BOSS掉落-玉兔碎片</v>
          </cell>
          <cell r="E1456" t="str">
            <v>1|10041|0|500,1|10041|1|500</v>
          </cell>
        </row>
        <row r="1457">
          <cell r="A1457">
            <v>41510</v>
          </cell>
          <cell r="B1457">
            <v>1</v>
          </cell>
          <cell r="C1457" t="str">
            <v>1|10040|1</v>
          </cell>
          <cell r="D1457" t="str">
            <v>精英关卡BOSS掉落-墨鱼精碎片</v>
          </cell>
          <cell r="E1457" t="str">
            <v>1|10040|0|500,1|10040|1|500</v>
          </cell>
        </row>
        <row r="1458">
          <cell r="A1458">
            <v>41511</v>
          </cell>
          <cell r="B1458">
            <v>1</v>
          </cell>
          <cell r="C1458" t="str">
            <v>1|10039|1</v>
          </cell>
          <cell r="D1458" t="str">
            <v>精英关卡BOSS掉落-金钱豹王碎片</v>
          </cell>
          <cell r="E1458" t="str">
            <v>1|10039|0|500,1|10039|1|500</v>
          </cell>
        </row>
        <row r="1459">
          <cell r="A1459">
            <v>41512</v>
          </cell>
          <cell r="B1459">
            <v>1</v>
          </cell>
          <cell r="C1459" t="str">
            <v>1|10038|1</v>
          </cell>
          <cell r="D1459" t="str">
            <v>精英关卡BOSS掉落-玉面夫人碎片</v>
          </cell>
          <cell r="E1459" t="str">
            <v>1|10038|0|500,1|10038|1|500</v>
          </cell>
        </row>
        <row r="1460">
          <cell r="A1460">
            <v>41513</v>
          </cell>
          <cell r="B1460">
            <v>1</v>
          </cell>
          <cell r="C1460" t="str">
            <v>1|10036|1</v>
          </cell>
          <cell r="D1460" t="str">
            <v>精英关卡BOSS掉落-白龙公主碎片</v>
          </cell>
          <cell r="E1460" t="str">
            <v>1|10036|0|500,1|10036|1|500</v>
          </cell>
        </row>
        <row r="1461">
          <cell r="A1461">
            <v>41514</v>
          </cell>
          <cell r="B1461">
            <v>1</v>
          </cell>
          <cell r="C1461" t="str">
            <v>1|10034|1</v>
          </cell>
          <cell r="D1461" t="str">
            <v>精英关卡BOSS掉落-泾河龙王碎片</v>
          </cell>
          <cell r="E1461" t="str">
            <v>1|10034|0|500,1|10034|1|500</v>
          </cell>
        </row>
        <row r="1462">
          <cell r="A1462">
            <v>41515</v>
          </cell>
          <cell r="B1462">
            <v>1</v>
          </cell>
          <cell r="C1462" t="str">
            <v>1|10033|1</v>
          </cell>
          <cell r="D1462" t="str">
            <v>精英关卡BOSS掉落-雷公碎片</v>
          </cell>
          <cell r="E1462" t="str">
            <v>1|10033|0|500,1|10033|1|500</v>
          </cell>
        </row>
        <row r="1463">
          <cell r="A1463">
            <v>41516</v>
          </cell>
          <cell r="B1463">
            <v>1</v>
          </cell>
          <cell r="C1463" t="str">
            <v>1|10030|1</v>
          </cell>
          <cell r="D1463" t="str">
            <v>精英关卡BOSS掉落-地藏王碎片</v>
          </cell>
          <cell r="E1463" t="str">
            <v>1|10030|0|500,1|10030|1|500</v>
          </cell>
        </row>
        <row r="1464">
          <cell r="A1464">
            <v>41517</v>
          </cell>
          <cell r="B1464">
            <v>1</v>
          </cell>
          <cell r="C1464" t="str">
            <v>1|10028|1</v>
          </cell>
          <cell r="D1464" t="str">
            <v>精英关卡BOSS掉落-赛太岁碎片</v>
          </cell>
          <cell r="E1464" t="str">
            <v>1|10028|0|500,1|10028|1|500</v>
          </cell>
        </row>
        <row r="1465">
          <cell r="A1465">
            <v>41518</v>
          </cell>
          <cell r="B1465">
            <v>1</v>
          </cell>
          <cell r="C1465" t="str">
            <v>1|10018|1</v>
          </cell>
          <cell r="D1465" t="str">
            <v>精英关卡BOSS掉落-混沌碎片</v>
          </cell>
          <cell r="E1465" t="str">
            <v>1|10018|0|500,1|10018|1|500</v>
          </cell>
        </row>
        <row r="1466">
          <cell r="A1466">
            <v>41519</v>
          </cell>
          <cell r="B1466">
            <v>1</v>
          </cell>
          <cell r="C1466" t="str">
            <v>1|10116|1</v>
          </cell>
          <cell r="D1466" t="str">
            <v>精英关卡BOSS掉落-女儿国国王碎片</v>
          </cell>
          <cell r="E1466" t="str">
            <v>1|10116|0|700,1|10116|1|300</v>
          </cell>
        </row>
        <row r="1467">
          <cell r="A1467">
            <v>41520</v>
          </cell>
          <cell r="B1467">
            <v>1</v>
          </cell>
          <cell r="C1467" t="str">
            <v>1|10108|1</v>
          </cell>
          <cell r="D1467" t="str">
            <v>精英关卡BOSS掉落-彩蝶仙童碎片</v>
          </cell>
          <cell r="E1467" t="str">
            <v>1|10108|0|700,1|10108|1|300</v>
          </cell>
        </row>
        <row r="1468">
          <cell r="A1468">
            <v>41521</v>
          </cell>
          <cell r="B1468">
            <v>1</v>
          </cell>
          <cell r="C1468" t="str">
            <v>1|10107|1</v>
          </cell>
          <cell r="D1468" t="str">
            <v>精英关卡BOSS掉落-引魂仙子碎片</v>
          </cell>
          <cell r="E1468" t="str">
            <v>1|10107|0|700,1|10107|1|300</v>
          </cell>
        </row>
        <row r="1469">
          <cell r="A1469">
            <v>41522</v>
          </cell>
          <cell r="B1469">
            <v>1</v>
          </cell>
          <cell r="C1469" t="str">
            <v>1|10102|1</v>
          </cell>
          <cell r="D1469" t="str">
            <v>精英关卡BOSS掉落-人参娃碎片</v>
          </cell>
          <cell r="E1469" t="str">
            <v>1|10102|0|700,1|10102|1|300</v>
          </cell>
        </row>
        <row r="1470">
          <cell r="A1470">
            <v>41523</v>
          </cell>
          <cell r="B1470">
            <v>1</v>
          </cell>
          <cell r="C1470" t="str">
            <v>1|10101|1</v>
          </cell>
          <cell r="D1470" t="str">
            <v>精英关卡BOSS掉落-阎罗王碎片</v>
          </cell>
          <cell r="E1470" t="str">
            <v>1|10101|0|700,1|10101|1|300</v>
          </cell>
        </row>
        <row r="1471">
          <cell r="A1471">
            <v>41524</v>
          </cell>
          <cell r="B1471">
            <v>1</v>
          </cell>
          <cell r="C1471" t="str">
            <v>1|10037|1</v>
          </cell>
          <cell r="D1471" t="str">
            <v>精英关卡BOSS掉落-蜘蛛精碎片</v>
          </cell>
          <cell r="E1471" t="str">
            <v>1|10037|0|700,1|10037|1|300</v>
          </cell>
        </row>
        <row r="1472">
          <cell r="A1472">
            <v>41525</v>
          </cell>
          <cell r="B1472">
            <v>1</v>
          </cell>
          <cell r="C1472" t="str">
            <v>1|10035|1</v>
          </cell>
          <cell r="D1472" t="str">
            <v>精英关卡BOSS掉落-东海龙王碎片</v>
          </cell>
          <cell r="E1472" t="str">
            <v>1|10035|0|700,1|10035|1|300</v>
          </cell>
        </row>
        <row r="1473">
          <cell r="A1473">
            <v>41526</v>
          </cell>
          <cell r="B1473">
            <v>1</v>
          </cell>
          <cell r="C1473" t="str">
            <v>1|10032|1</v>
          </cell>
          <cell r="D1473" t="str">
            <v>精英关卡BOSS掉落-混世魔王碎片</v>
          </cell>
          <cell r="E1473" t="str">
            <v>1|10032|0|700,1|10032|1|300</v>
          </cell>
        </row>
        <row r="1474">
          <cell r="A1474">
            <v>41527</v>
          </cell>
          <cell r="B1474">
            <v>1</v>
          </cell>
          <cell r="C1474" t="str">
            <v>1|10031|1</v>
          </cell>
          <cell r="D1474" t="str">
            <v>精英关卡BOSS掉落-蝎子精碎片</v>
          </cell>
          <cell r="E1474" t="str">
            <v>1|10031|0|700,1|10031|1|300</v>
          </cell>
        </row>
        <row r="1475">
          <cell r="A1475">
            <v>41528</v>
          </cell>
          <cell r="B1475">
            <v>1</v>
          </cell>
          <cell r="C1475" t="str">
            <v>1|10026|1</v>
          </cell>
          <cell r="D1475" t="str">
            <v>精英关卡BOSS掉落-文殊菩萨碎片</v>
          </cell>
          <cell r="E1475" t="str">
            <v>1|10026|0|700,1|10026|1|300</v>
          </cell>
        </row>
        <row r="1476">
          <cell r="A1476">
            <v>41529</v>
          </cell>
          <cell r="B1476">
            <v>1</v>
          </cell>
          <cell r="C1476" t="str">
            <v>1|10025|1</v>
          </cell>
          <cell r="D1476" t="str">
            <v>精英关卡BOSS掉落-迦叶碎片</v>
          </cell>
          <cell r="E1476" t="str">
            <v>1|10025|0|700,1|10025|1|300</v>
          </cell>
        </row>
        <row r="1477">
          <cell r="A1477">
            <v>41530</v>
          </cell>
          <cell r="B1477">
            <v>1</v>
          </cell>
          <cell r="C1477" t="str">
            <v>1|10023|1</v>
          </cell>
          <cell r="D1477" t="str">
            <v>精英关卡BOSS掉落-小白龙碎片</v>
          </cell>
          <cell r="E1477" t="str">
            <v>1|10023|0|700,1|10023|1|300</v>
          </cell>
        </row>
        <row r="1478">
          <cell r="A1478">
            <v>41531</v>
          </cell>
          <cell r="B1478">
            <v>1</v>
          </cell>
          <cell r="C1478" t="str">
            <v>1|10022|1</v>
          </cell>
          <cell r="D1478" t="str">
            <v>精英关卡BOSS掉落-唐三藏碎片</v>
          </cell>
          <cell r="E1478" t="str">
            <v>1|10022|0|700,1|10022|1|300</v>
          </cell>
        </row>
        <row r="1479">
          <cell r="A1479">
            <v>41532</v>
          </cell>
          <cell r="B1479">
            <v>1</v>
          </cell>
          <cell r="C1479" t="str">
            <v>1|10017|1</v>
          </cell>
          <cell r="D1479" t="str">
            <v>精英关卡BOSS掉落-六耳猕猴碎片</v>
          </cell>
          <cell r="E1479" t="str">
            <v>1|10017|0|700,1|10017|1|300</v>
          </cell>
        </row>
        <row r="1480">
          <cell r="A1480">
            <v>41533</v>
          </cell>
          <cell r="B1480">
            <v>1</v>
          </cell>
          <cell r="C1480" t="str">
            <v>1|10016|1</v>
          </cell>
          <cell r="D1480" t="str">
            <v>精英关卡BOSS掉落-白骨夫人碎片</v>
          </cell>
          <cell r="E1480" t="str">
            <v>1|10016|0|700,1|10016|1|300</v>
          </cell>
        </row>
        <row r="1481">
          <cell r="A1481">
            <v>41534</v>
          </cell>
          <cell r="B1481">
            <v>1</v>
          </cell>
          <cell r="C1481" t="str">
            <v>1|10014|1</v>
          </cell>
          <cell r="D1481" t="str">
            <v>精英关卡BOSS掉落-鹿力大仙碎片</v>
          </cell>
          <cell r="E1481" t="str">
            <v>1|10014|0|700,1|10014|1|300</v>
          </cell>
        </row>
        <row r="1482">
          <cell r="A1482">
            <v>41535</v>
          </cell>
          <cell r="B1482">
            <v>1</v>
          </cell>
          <cell r="C1482" t="str">
            <v>1|10010|1</v>
          </cell>
          <cell r="D1482" t="str">
            <v>精英关卡BOSS掉落-红孩儿碎片</v>
          </cell>
          <cell r="E1482" t="str">
            <v>1|10010|0|700,1|10010|1|300</v>
          </cell>
        </row>
        <row r="1483">
          <cell r="A1483">
            <v>41536</v>
          </cell>
          <cell r="B1483">
            <v>1</v>
          </cell>
          <cell r="C1483" t="str">
            <v>1|10009|1</v>
          </cell>
          <cell r="D1483" t="str">
            <v>精英关卡BOSS掉落-九天玄女碎片</v>
          </cell>
          <cell r="E1483" t="str">
            <v>1|10009|0|700,1|10009|1|300</v>
          </cell>
        </row>
        <row r="1484">
          <cell r="A1484">
            <v>41537</v>
          </cell>
          <cell r="B1484">
            <v>1</v>
          </cell>
          <cell r="C1484" t="str">
            <v>1|10007|1</v>
          </cell>
          <cell r="D1484" t="str">
            <v>精英关卡BOSS掉落-赤脚大仙碎片</v>
          </cell>
          <cell r="E1484" t="str">
            <v>1|10007|0|700,1|10007|1|300</v>
          </cell>
        </row>
        <row r="1485">
          <cell r="A1485">
            <v>41538</v>
          </cell>
          <cell r="B1485">
            <v>1</v>
          </cell>
          <cell r="C1485" t="str">
            <v>1|10006|1</v>
          </cell>
          <cell r="D1485" t="str">
            <v>精英关卡BOSS掉落-太白金星碎片</v>
          </cell>
          <cell r="E1485" t="str">
            <v>1|10006|0|700,1|10006|1|300</v>
          </cell>
        </row>
        <row r="1486">
          <cell r="A1486">
            <v>41539</v>
          </cell>
          <cell r="B1486">
            <v>1</v>
          </cell>
          <cell r="C1486" t="str">
            <v>1|10004|1</v>
          </cell>
          <cell r="D1486" t="str">
            <v>精英关卡BOSS掉落-玉皇大帝碎片</v>
          </cell>
          <cell r="E1486" t="str">
            <v>1|10004|0|700,1|10004|1|300</v>
          </cell>
        </row>
        <row r="1487">
          <cell r="A1487">
            <v>41540</v>
          </cell>
          <cell r="B1487">
            <v>1</v>
          </cell>
          <cell r="C1487" t="str">
            <v>1|10003|1</v>
          </cell>
          <cell r="D1487" t="str">
            <v>精英关卡BOSS掉落-嫦娥碎片</v>
          </cell>
          <cell r="E1487" t="str">
            <v>1|10003|0|750,1|10003|1|250</v>
          </cell>
        </row>
        <row r="1488">
          <cell r="A1488">
            <v>41541</v>
          </cell>
          <cell r="B1488">
            <v>1</v>
          </cell>
          <cell r="C1488" t="str">
            <v>1|10119|1</v>
          </cell>
          <cell r="D1488" t="str">
            <v>精英关卡BOSS掉落-黑无常碎片</v>
          </cell>
          <cell r="E1488" t="str">
            <v>1|10119|0|750,1|10119|1|250</v>
          </cell>
        </row>
        <row r="1489">
          <cell r="A1489">
            <v>41542</v>
          </cell>
          <cell r="B1489">
            <v>1</v>
          </cell>
          <cell r="C1489" t="str">
            <v>1|10015|1</v>
          </cell>
          <cell r="D1489" t="str">
            <v>精英关卡BOSS掉落-羊力大仙碎片</v>
          </cell>
          <cell r="E1489" t="str">
            <v>1|10015|0|750,1|10015|1|250</v>
          </cell>
        </row>
        <row r="1490">
          <cell r="A1490">
            <v>41543</v>
          </cell>
          <cell r="B1490">
            <v>1</v>
          </cell>
          <cell r="C1490" t="str">
            <v>1|10115|1</v>
          </cell>
          <cell r="D1490" t="str">
            <v>精英关卡BOSS掉落-观世音碎片</v>
          </cell>
          <cell r="E1490" t="str">
            <v>1|10115|0|750,1|10115|1|250</v>
          </cell>
        </row>
        <row r="1491">
          <cell r="A1491">
            <v>41544</v>
          </cell>
          <cell r="B1491">
            <v>1</v>
          </cell>
          <cell r="C1491" t="str">
            <v>1|10012|1</v>
          </cell>
          <cell r="D1491" t="str">
            <v>精英关卡BOSS掉落-牛魔王碎片</v>
          </cell>
          <cell r="E1491" t="str">
            <v>1|10012|0|750,1|10012|1|250</v>
          </cell>
        </row>
        <row r="1492">
          <cell r="A1492">
            <v>41545</v>
          </cell>
          <cell r="B1492">
            <v>1</v>
          </cell>
          <cell r="C1492" t="str">
            <v>1|10113|1</v>
          </cell>
          <cell r="D1492" t="str">
            <v>精英关卡BOSS掉落-龙帝碎片</v>
          </cell>
          <cell r="E1492" t="str">
            <v>1|10113|0|750,1|10113|1|250</v>
          </cell>
        </row>
        <row r="1493">
          <cell r="A1493">
            <v>41546</v>
          </cell>
          <cell r="B1493">
            <v>1</v>
          </cell>
          <cell r="C1493" t="str">
            <v>1|10020|1</v>
          </cell>
          <cell r="D1493" t="str">
            <v>精英关卡BOSS掉落-猪八戒碎片</v>
          </cell>
          <cell r="E1493" t="str">
            <v>1|10020|0|750,1|10020|1|250</v>
          </cell>
        </row>
        <row r="1494">
          <cell r="A1494">
            <v>41547</v>
          </cell>
          <cell r="B1494">
            <v>1</v>
          </cell>
          <cell r="C1494" t="str">
            <v>1|10013|1</v>
          </cell>
          <cell r="D1494" t="str">
            <v>精英关卡BOSS掉落-虎力大仙碎片</v>
          </cell>
          <cell r="E1494" t="str">
            <v>1|10013|0|750,1|10013|1|250</v>
          </cell>
        </row>
        <row r="1495">
          <cell r="A1495">
            <v>41548</v>
          </cell>
          <cell r="B1495">
            <v>1</v>
          </cell>
          <cell r="C1495" t="str">
            <v>1|10008|1</v>
          </cell>
          <cell r="D1495" t="str">
            <v>精英关卡BOSS掉落-托塔天王碎片</v>
          </cell>
          <cell r="E1495" t="str">
            <v>1|10008|0|750,1|10008|1|250</v>
          </cell>
        </row>
        <row r="1496">
          <cell r="A1496">
            <v>41549</v>
          </cell>
          <cell r="B1496">
            <v>1</v>
          </cell>
          <cell r="C1496" t="str">
            <v>1|10027|1</v>
          </cell>
          <cell r="D1496" t="str">
            <v>精英关卡BOSS掉落-弥勒佛碎片</v>
          </cell>
          <cell r="E1496" t="str">
            <v>1|10027|0|750,1|10027|1|250</v>
          </cell>
        </row>
        <row r="1497">
          <cell r="A1497">
            <v>41550</v>
          </cell>
          <cell r="B1497">
            <v>1</v>
          </cell>
          <cell r="C1497" t="str">
            <v>1|10118|1</v>
          </cell>
          <cell r="D1497" t="str">
            <v>精英关卡BOSS掉落-白无常碎片</v>
          </cell>
          <cell r="E1497" t="str">
            <v>1|10118|0|750,1|10118|1|250</v>
          </cell>
        </row>
        <row r="1498">
          <cell r="A1498">
            <v>41551</v>
          </cell>
          <cell r="B1498">
            <v>1</v>
          </cell>
          <cell r="C1498" t="str">
            <v>1|10002|1</v>
          </cell>
          <cell r="D1498" t="str">
            <v>精英关卡BOSS掉落-哪吒碎片</v>
          </cell>
          <cell r="E1498" t="str">
            <v>1|10002|0|750,1|10002|1|250</v>
          </cell>
        </row>
        <row r="1499">
          <cell r="A1499">
            <v>41552</v>
          </cell>
          <cell r="B1499">
            <v>1</v>
          </cell>
          <cell r="C1499" t="str">
            <v>1|10112|1</v>
          </cell>
          <cell r="D1499" t="str">
            <v>精英关卡BOSS掉落-金蝉子碎片</v>
          </cell>
          <cell r="E1499" t="str">
            <v>1|10112|0|750,1|10112|1|250</v>
          </cell>
        </row>
        <row r="1500">
          <cell r="A1500">
            <v>41553</v>
          </cell>
          <cell r="B1500">
            <v>1</v>
          </cell>
          <cell r="C1500" t="str">
            <v>1|10114|1</v>
          </cell>
          <cell r="D1500" t="str">
            <v>精英关卡BOSS掉落-八部天龙碎片</v>
          </cell>
          <cell r="E1500" t="str">
            <v>1|10114|0|750,1|10114|1|250</v>
          </cell>
        </row>
        <row r="1501">
          <cell r="A1501">
            <v>41554</v>
          </cell>
          <cell r="B1501">
            <v>1</v>
          </cell>
          <cell r="C1501" t="str">
            <v>1|10011|1</v>
          </cell>
          <cell r="D1501" t="str">
            <v>精英关卡BOSS掉落-铁扇公主碎片</v>
          </cell>
          <cell r="E1501" t="str">
            <v>1|10011|0|750,1|10011|1|250</v>
          </cell>
        </row>
        <row r="1502">
          <cell r="A1502">
            <v>41560</v>
          </cell>
          <cell r="B1502">
            <v>1</v>
          </cell>
          <cell r="C1502" t="str">
            <v>2|2001|1</v>
          </cell>
          <cell r="D1502" t="str">
            <v>精英关卡BOSS掉落-行者战甲</v>
          </cell>
          <cell r="E1502" t="str">
            <v>2|2001|0|500,2|2001|1|500</v>
          </cell>
        </row>
        <row r="1503">
          <cell r="A1503">
            <v>41561</v>
          </cell>
          <cell r="B1503">
            <v>1</v>
          </cell>
          <cell r="C1503" t="str">
            <v>2|2002|1</v>
          </cell>
          <cell r="D1503" t="str">
            <v>精英关卡BOSS掉落-精铁长剑</v>
          </cell>
          <cell r="E1503" t="str">
            <v>2|2002|0|500,2|2002|1|500</v>
          </cell>
        </row>
        <row r="1504">
          <cell r="A1504">
            <v>41562</v>
          </cell>
          <cell r="B1504">
            <v>1</v>
          </cell>
          <cell r="C1504" t="str">
            <v>2|2003|1</v>
          </cell>
          <cell r="D1504" t="str">
            <v>精英关卡BOSS掉落-虹影头盔</v>
          </cell>
          <cell r="E1504" t="str">
            <v>2|2003|0|500,2|2003|1|500</v>
          </cell>
        </row>
        <row r="1505">
          <cell r="A1505">
            <v>41563</v>
          </cell>
          <cell r="B1505">
            <v>1</v>
          </cell>
          <cell r="C1505" t="str">
            <v>2|2004|1</v>
          </cell>
          <cell r="D1505" t="str">
            <v>精英关卡BOSS掉落-千里战靴</v>
          </cell>
          <cell r="E1505" t="str">
            <v>2|2004|0|500,2|2004|1|500</v>
          </cell>
        </row>
        <row r="1506">
          <cell r="A1506">
            <v>41564</v>
          </cell>
          <cell r="B1506">
            <v>1</v>
          </cell>
          <cell r="C1506" t="str">
            <v>1|11001|1</v>
          </cell>
          <cell r="D1506" t="str">
            <v>精英关卡BOSS掉落-赤血战甲碎片</v>
          </cell>
          <cell r="E1506" t="str">
            <v>1|11001|0|0,1|11001|1|1000</v>
          </cell>
        </row>
        <row r="1507">
          <cell r="A1507">
            <v>41565</v>
          </cell>
          <cell r="B1507">
            <v>1</v>
          </cell>
          <cell r="C1507" t="str">
            <v>1|11002|1</v>
          </cell>
          <cell r="D1507" t="str">
            <v>精英关卡BOSS掉落-青锋长剑碎片</v>
          </cell>
          <cell r="E1507" t="str">
            <v>1|11002|0|0,1|11002|1|1000</v>
          </cell>
        </row>
        <row r="1508">
          <cell r="A1508">
            <v>41566</v>
          </cell>
          <cell r="B1508">
            <v>1</v>
          </cell>
          <cell r="C1508" t="str">
            <v>1|11003|1</v>
          </cell>
          <cell r="D1508" t="str">
            <v>精英关卡BOSS掉落-雁虞头盔碎片</v>
          </cell>
          <cell r="E1508" t="str">
            <v>1|11003|0|0,1|11003|1|1000</v>
          </cell>
        </row>
        <row r="1509">
          <cell r="A1509">
            <v>41567</v>
          </cell>
          <cell r="B1509">
            <v>1</v>
          </cell>
          <cell r="C1509" t="str">
            <v>1|11004|1</v>
          </cell>
          <cell r="D1509" t="str">
            <v>精英关卡BOSS掉落-无影战靴碎片</v>
          </cell>
          <cell r="E1509" t="str">
            <v>1|11004|0|0,1|11004|1|1000</v>
          </cell>
        </row>
        <row r="1510">
          <cell r="A1510">
            <v>41568</v>
          </cell>
          <cell r="B1510">
            <v>1</v>
          </cell>
          <cell r="C1510" t="str">
            <v>1|11005|1</v>
          </cell>
          <cell r="D1510" t="str">
            <v>精英关卡BOSS掉落-破魔战甲碎片</v>
          </cell>
          <cell r="E1510" t="str">
            <v>1|11005|0|334,1|11005|1|666</v>
          </cell>
        </row>
        <row r="1511">
          <cell r="A1511">
            <v>41569</v>
          </cell>
          <cell r="B1511">
            <v>1</v>
          </cell>
          <cell r="C1511" t="str">
            <v>1|11006|1</v>
          </cell>
          <cell r="D1511" t="str">
            <v>精英关卡BOSS掉落-破魔长剑碎片</v>
          </cell>
          <cell r="E1511" t="str">
            <v>1|11006|0|334,1|11006|1|666</v>
          </cell>
        </row>
        <row r="1512">
          <cell r="A1512">
            <v>41570</v>
          </cell>
          <cell r="B1512">
            <v>1</v>
          </cell>
          <cell r="C1512" t="str">
            <v>1|11007|1</v>
          </cell>
          <cell r="D1512" t="str">
            <v>精英关卡BOSS掉落-破魔头盔碎片</v>
          </cell>
          <cell r="E1512" t="str">
            <v>1|11007|0|334,1|11007|1|666</v>
          </cell>
        </row>
        <row r="1513">
          <cell r="A1513">
            <v>41571</v>
          </cell>
          <cell r="B1513">
            <v>1</v>
          </cell>
          <cell r="C1513" t="str">
            <v>1|11008|1</v>
          </cell>
          <cell r="D1513" t="str">
            <v>精英关卡BOSS掉落-破魔战靴碎片</v>
          </cell>
          <cell r="E1513" t="str">
            <v>1|11008|0|334,1|11008|1|666</v>
          </cell>
        </row>
        <row r="1514">
          <cell r="A1514">
            <v>41572</v>
          </cell>
          <cell r="B1514">
            <v>1</v>
          </cell>
          <cell r="C1514" t="str">
            <v>1|11009|1</v>
          </cell>
          <cell r="D1514" t="str">
            <v>精英关卡BOSS掉落-护卫战甲碎片</v>
          </cell>
          <cell r="E1514" t="str">
            <v>1|11009|0|334,1|11009|1|666</v>
          </cell>
        </row>
        <row r="1515">
          <cell r="A1515">
            <v>41573</v>
          </cell>
          <cell r="B1515">
            <v>1</v>
          </cell>
          <cell r="C1515" t="str">
            <v>1|11010|1</v>
          </cell>
          <cell r="D1515" t="str">
            <v>精英关卡BOSS掉落-护卫长剑碎片</v>
          </cell>
          <cell r="E1515" t="str">
            <v>1|11010|0|334,1|11010|1|666</v>
          </cell>
        </row>
        <row r="1516">
          <cell r="A1516">
            <v>41574</v>
          </cell>
          <cell r="B1516">
            <v>1</v>
          </cell>
          <cell r="C1516" t="str">
            <v>1|11011|1</v>
          </cell>
          <cell r="D1516" t="str">
            <v>精英关卡BOSS掉落-护卫头盔碎片</v>
          </cell>
          <cell r="E1516" t="str">
            <v>1|11011|0|334,1|11011|1|666</v>
          </cell>
        </row>
        <row r="1517">
          <cell r="A1517">
            <v>41575</v>
          </cell>
          <cell r="B1517">
            <v>1</v>
          </cell>
          <cell r="C1517" t="str">
            <v>1|11012|1</v>
          </cell>
          <cell r="D1517" t="str">
            <v>精英关卡BOSS掉落-护卫战靴碎片</v>
          </cell>
          <cell r="E1517" t="str">
            <v>1|11012|0|334,1|11012|1|666</v>
          </cell>
        </row>
        <row r="1518">
          <cell r="A1518">
            <v>41576</v>
          </cell>
          <cell r="B1518">
            <v>1</v>
          </cell>
          <cell r="C1518" t="str">
            <v>1|11013|1</v>
          </cell>
          <cell r="D1518" t="str">
            <v>精英关卡BOSS掉落-连云战甲碎片</v>
          </cell>
          <cell r="E1518" t="str">
            <v>1|11013|0|750,1|11013|1|250</v>
          </cell>
        </row>
        <row r="1519">
          <cell r="A1519">
            <v>41577</v>
          </cell>
          <cell r="B1519">
            <v>1</v>
          </cell>
          <cell r="C1519" t="str">
            <v>1|11014|1</v>
          </cell>
          <cell r="D1519" t="str">
            <v>精英关卡BOSS掉落-紫阳长剑碎片</v>
          </cell>
          <cell r="E1519" t="str">
            <v>1|11014|0|750,1|11014|1|250</v>
          </cell>
        </row>
        <row r="1520">
          <cell r="A1520">
            <v>41578</v>
          </cell>
          <cell r="B1520">
            <v>1</v>
          </cell>
          <cell r="C1520" t="str">
            <v>1|11015|1</v>
          </cell>
          <cell r="D1520" t="str">
            <v>精英关卡BOSS掉落-耀日头盔碎片</v>
          </cell>
          <cell r="E1520" t="str">
            <v>1|11015|0|750,1|11015|1|250</v>
          </cell>
        </row>
        <row r="1521">
          <cell r="A1521">
            <v>41579</v>
          </cell>
          <cell r="B1521">
            <v>1</v>
          </cell>
          <cell r="C1521" t="str">
            <v>1|11016|1</v>
          </cell>
          <cell r="D1521" t="str">
            <v>精英关卡BOSS掉落-雷霆战靴碎片</v>
          </cell>
          <cell r="E1521" t="str">
            <v>1|11016|0|750,1|11016|1|250</v>
          </cell>
        </row>
        <row r="1522">
          <cell r="A1522">
            <v>41580</v>
          </cell>
          <cell r="B1522">
            <v>1</v>
          </cell>
          <cell r="C1522" t="str">
            <v>1|11017|1</v>
          </cell>
          <cell r="D1522" t="str">
            <v>精英关卡BOSS掉落-封魔战甲碎片</v>
          </cell>
          <cell r="E1522" t="str">
            <v>1|11017|0|834,1|11017|1|166</v>
          </cell>
        </row>
        <row r="1523">
          <cell r="A1523">
            <v>41581</v>
          </cell>
          <cell r="B1523">
            <v>1</v>
          </cell>
          <cell r="C1523" t="str">
            <v>1|11018|1</v>
          </cell>
          <cell r="D1523" t="str">
            <v>精英关卡BOSS掉落-封魔长剑碎片</v>
          </cell>
          <cell r="E1523" t="str">
            <v>1|11018|0|834,1|11018|1|166</v>
          </cell>
        </row>
        <row r="1524">
          <cell r="A1524">
            <v>41582</v>
          </cell>
          <cell r="B1524">
            <v>1</v>
          </cell>
          <cell r="C1524" t="str">
            <v>1|11019|1</v>
          </cell>
          <cell r="D1524" t="str">
            <v>精英关卡BOSS掉落-封魔头盔碎片</v>
          </cell>
          <cell r="E1524" t="str">
            <v>1|11019|0|834,1|11019|1|166</v>
          </cell>
        </row>
        <row r="1525">
          <cell r="A1525">
            <v>41583</v>
          </cell>
          <cell r="B1525">
            <v>1</v>
          </cell>
          <cell r="C1525" t="str">
            <v>1|11020|1</v>
          </cell>
          <cell r="D1525" t="str">
            <v>精英关卡BOSS掉落-封魔战靴碎片</v>
          </cell>
          <cell r="E1525" t="str">
            <v>1|11020|0|834,1|11020|1|166</v>
          </cell>
        </row>
        <row r="1526">
          <cell r="A1526">
            <v>41584</v>
          </cell>
          <cell r="B1526">
            <v>1</v>
          </cell>
          <cell r="C1526" t="str">
            <v>1|11021|1</v>
          </cell>
          <cell r="D1526" t="str">
            <v>精英关卡BOSS掉落-磐石战甲碎片</v>
          </cell>
          <cell r="E1526" t="str">
            <v>1|11021|0|834,1|11021|1|166</v>
          </cell>
        </row>
        <row r="1527">
          <cell r="A1527">
            <v>41585</v>
          </cell>
          <cell r="B1527">
            <v>1</v>
          </cell>
          <cell r="C1527" t="str">
            <v>1|11022|1</v>
          </cell>
          <cell r="D1527" t="str">
            <v>精英关卡BOSS掉落-磐石长剑碎片</v>
          </cell>
          <cell r="E1527" t="str">
            <v>1|11022|0|834,1|11022|1|166</v>
          </cell>
        </row>
        <row r="1528">
          <cell r="A1528">
            <v>41586</v>
          </cell>
          <cell r="B1528">
            <v>1</v>
          </cell>
          <cell r="C1528" t="str">
            <v>1|11023|1</v>
          </cell>
          <cell r="D1528" t="str">
            <v>精英关卡BOSS掉落-磐石头盔碎片</v>
          </cell>
          <cell r="E1528" t="str">
            <v>1|11023|0|834,1|11023|1|166</v>
          </cell>
        </row>
        <row r="1529">
          <cell r="A1529">
            <v>41587</v>
          </cell>
          <cell r="B1529">
            <v>1</v>
          </cell>
          <cell r="C1529" t="str">
            <v>1|11024|1</v>
          </cell>
          <cell r="D1529" t="str">
            <v>精英关卡BOSS掉落-磐石战靴碎片</v>
          </cell>
          <cell r="E1529" t="str">
            <v>1|11024|0|834,1|11024|1|166</v>
          </cell>
        </row>
        <row r="1530">
          <cell r="A1530">
            <v>41588</v>
          </cell>
          <cell r="B1530">
            <v>1</v>
          </cell>
          <cell r="C1530" t="str">
            <v>1|11025|1</v>
          </cell>
          <cell r="D1530" t="str">
            <v>精英关卡BOSS掉落-血魔战甲碎片</v>
          </cell>
          <cell r="E1530" t="str">
            <v>1|11025|0|900,1|11025|1|100</v>
          </cell>
        </row>
        <row r="1531">
          <cell r="A1531">
            <v>41589</v>
          </cell>
          <cell r="B1531">
            <v>1</v>
          </cell>
          <cell r="C1531" t="str">
            <v>1|11026|1</v>
          </cell>
          <cell r="D1531" t="str">
            <v>精英关卡BOSS掉落-赤霄长剑碎片</v>
          </cell>
          <cell r="E1531" t="str">
            <v>1|11026|0|900,1|11026|1|100</v>
          </cell>
        </row>
        <row r="1532">
          <cell r="A1532">
            <v>41590</v>
          </cell>
          <cell r="B1532">
            <v>1</v>
          </cell>
          <cell r="C1532" t="str">
            <v>1|11027|1</v>
          </cell>
          <cell r="D1532" t="str">
            <v>精英关卡BOSS掉落-麒麟头盔碎片</v>
          </cell>
          <cell r="E1532" t="str">
            <v>1|11027|0|900,1|11027|1|100</v>
          </cell>
        </row>
        <row r="1533">
          <cell r="A1533">
            <v>41591</v>
          </cell>
          <cell r="B1533">
            <v>1</v>
          </cell>
          <cell r="C1533" t="str">
            <v>1|11028|1</v>
          </cell>
          <cell r="D1533" t="str">
            <v>精英关卡BOSS掉落-兽魂战靴碎片</v>
          </cell>
          <cell r="E1533" t="str">
            <v>1|11028|0|900,1|11028|1|100</v>
          </cell>
        </row>
        <row r="1534">
          <cell r="A1534">
            <v>41592</v>
          </cell>
          <cell r="B1534">
            <v>1</v>
          </cell>
          <cell r="C1534" t="str">
            <v>1|11029|1</v>
          </cell>
          <cell r="D1534" t="str">
            <v>精英关卡BOSS掉落-降魔战甲碎片</v>
          </cell>
          <cell r="E1534" t="str">
            <v>1|11029|0|934,1|11029|1|66</v>
          </cell>
        </row>
        <row r="1535">
          <cell r="A1535">
            <v>41593</v>
          </cell>
          <cell r="B1535">
            <v>1</v>
          </cell>
          <cell r="C1535" t="str">
            <v>1|11030|1</v>
          </cell>
          <cell r="D1535" t="str">
            <v>精英关卡BOSS掉落-降魔长剑碎片</v>
          </cell>
          <cell r="E1535" t="str">
            <v>1|11030|0|934,1|11030|1|66</v>
          </cell>
        </row>
        <row r="1536">
          <cell r="A1536">
            <v>41594</v>
          </cell>
          <cell r="B1536">
            <v>1</v>
          </cell>
          <cell r="C1536" t="str">
            <v>1|11031|1</v>
          </cell>
          <cell r="D1536" t="str">
            <v>精英关卡BOSS掉落-降魔头盔碎片</v>
          </cell>
          <cell r="E1536" t="str">
            <v>1|11031|0|934,1|11031|1|66</v>
          </cell>
        </row>
        <row r="1537">
          <cell r="A1537">
            <v>41595</v>
          </cell>
          <cell r="B1537">
            <v>1</v>
          </cell>
          <cell r="C1537" t="str">
            <v>1|11032|1</v>
          </cell>
          <cell r="D1537" t="str">
            <v>精英关卡BOSS掉落-降魔战靴碎片</v>
          </cell>
          <cell r="E1537" t="str">
            <v>1|11032|0|934,1|11032|1|66</v>
          </cell>
        </row>
        <row r="1538">
          <cell r="A1538">
            <v>41596</v>
          </cell>
          <cell r="B1538">
            <v>1</v>
          </cell>
          <cell r="C1538" t="str">
            <v>1|11033|1</v>
          </cell>
          <cell r="D1538" t="str">
            <v>精英关卡BOSS掉落-天罡战甲碎片</v>
          </cell>
          <cell r="E1538" t="str">
            <v>1|11033|0|934,1|11033|1|66</v>
          </cell>
        </row>
        <row r="1539">
          <cell r="A1539">
            <v>41597</v>
          </cell>
          <cell r="B1539">
            <v>1</v>
          </cell>
          <cell r="C1539" t="str">
            <v>1|11034|1</v>
          </cell>
          <cell r="D1539" t="str">
            <v>精英关卡BOSS掉落-天罡长剑碎片</v>
          </cell>
          <cell r="E1539" t="str">
            <v>1|11034|0|934,1|11034|1|66</v>
          </cell>
        </row>
        <row r="1540">
          <cell r="A1540">
            <v>41598</v>
          </cell>
          <cell r="B1540">
            <v>1</v>
          </cell>
          <cell r="C1540" t="str">
            <v>1|11035|1</v>
          </cell>
          <cell r="D1540" t="str">
            <v>精英关卡BOSS掉落-天罡头盔碎片</v>
          </cell>
          <cell r="E1540" t="str">
            <v>1|11035|0|934,1|11035|1|66</v>
          </cell>
        </row>
        <row r="1541">
          <cell r="A1541">
            <v>41599</v>
          </cell>
          <cell r="B1541">
            <v>1</v>
          </cell>
          <cell r="C1541" t="str">
            <v>1|11036|1</v>
          </cell>
          <cell r="D1541" t="str">
            <v>精英关卡BOSS掉落-天罡战靴碎片</v>
          </cell>
          <cell r="E1541" t="str">
            <v>1|11036|0|934,1|11036|1|66</v>
          </cell>
        </row>
        <row r="1542">
          <cell r="A1542">
            <v>42001</v>
          </cell>
          <cell r="B1542">
            <v>0</v>
          </cell>
          <cell r="C1542" t="str">
            <v>4|10|10,4|1|40</v>
          </cell>
          <cell r="D1542" t="str">
            <v>主角1级主线副本经验和金币奖励</v>
          </cell>
          <cell r="E1542" t="str">
            <v>4|10|10|1,4|1|40|1</v>
          </cell>
        </row>
        <row r="1543">
          <cell r="A1543">
            <v>42002</v>
          </cell>
          <cell r="B1543">
            <v>0</v>
          </cell>
          <cell r="C1543" t="str">
            <v>4|10|20,4|1|80</v>
          </cell>
          <cell r="D1543" t="str">
            <v>主角2级主线副本经验和金币奖励</v>
          </cell>
          <cell r="E1543" t="str">
            <v>4|10|20|1,4|1|80|1</v>
          </cell>
        </row>
        <row r="1544">
          <cell r="A1544">
            <v>42003</v>
          </cell>
          <cell r="B1544">
            <v>0</v>
          </cell>
          <cell r="C1544" t="str">
            <v>4|10|30,4|1|120</v>
          </cell>
          <cell r="D1544" t="str">
            <v>主角3级主线副本经验和金币奖励</v>
          </cell>
          <cell r="E1544" t="str">
            <v>4|10|30|1,4|1|120|1</v>
          </cell>
        </row>
        <row r="1545">
          <cell r="A1545">
            <v>42004</v>
          </cell>
          <cell r="B1545">
            <v>0</v>
          </cell>
          <cell r="C1545" t="str">
            <v>4|10|40,4|1|160</v>
          </cell>
          <cell r="D1545" t="str">
            <v>主角4级主线副本经验和金币奖励</v>
          </cell>
          <cell r="E1545" t="str">
            <v>4|10|40|1,4|1|160|1</v>
          </cell>
        </row>
        <row r="1546">
          <cell r="A1546">
            <v>42005</v>
          </cell>
          <cell r="B1546">
            <v>0</v>
          </cell>
          <cell r="C1546" t="str">
            <v>4|10|50,4|1|200</v>
          </cell>
          <cell r="D1546" t="str">
            <v>主角5级主线副本经验和金币奖励</v>
          </cell>
          <cell r="E1546" t="str">
            <v>4|10|50|1,4|1|200|1</v>
          </cell>
        </row>
        <row r="1547">
          <cell r="A1547">
            <v>42006</v>
          </cell>
          <cell r="B1547">
            <v>0</v>
          </cell>
          <cell r="C1547" t="str">
            <v>4|10|60,4|1|240</v>
          </cell>
          <cell r="D1547" t="str">
            <v>主角6级主线副本经验和金币奖励</v>
          </cell>
          <cell r="E1547" t="str">
            <v>4|10|60|1,4|1|240|1</v>
          </cell>
        </row>
        <row r="1548">
          <cell r="A1548">
            <v>42007</v>
          </cell>
          <cell r="B1548">
            <v>0</v>
          </cell>
          <cell r="C1548" t="str">
            <v>4|10|70,4|1|280</v>
          </cell>
          <cell r="D1548" t="str">
            <v>主角7级主线副本经验和金币奖励</v>
          </cell>
          <cell r="E1548" t="str">
            <v>4|10|70|1,4|1|280|1</v>
          </cell>
        </row>
        <row r="1549">
          <cell r="A1549">
            <v>42008</v>
          </cell>
          <cell r="B1549">
            <v>0</v>
          </cell>
          <cell r="C1549" t="str">
            <v>4|10|80,4|1|320</v>
          </cell>
          <cell r="D1549" t="str">
            <v>主角8级主线副本经验和金币奖励</v>
          </cell>
          <cell r="E1549" t="str">
            <v>4|10|80|1,4|1|320|1</v>
          </cell>
        </row>
        <row r="1550">
          <cell r="A1550">
            <v>42009</v>
          </cell>
          <cell r="B1550">
            <v>0</v>
          </cell>
          <cell r="C1550" t="str">
            <v>4|10|90,4|1|360</v>
          </cell>
          <cell r="D1550" t="str">
            <v>主角9级主线副本经验和金币奖励</v>
          </cell>
          <cell r="E1550" t="str">
            <v>4|10|90|1,4|1|360|1</v>
          </cell>
        </row>
        <row r="1551">
          <cell r="A1551">
            <v>42010</v>
          </cell>
          <cell r="B1551">
            <v>0</v>
          </cell>
          <cell r="C1551" t="str">
            <v>4|10|100,4|1|400</v>
          </cell>
          <cell r="D1551" t="str">
            <v>主角10级主线副本经验和金币奖励</v>
          </cell>
          <cell r="E1551" t="str">
            <v>4|10|100|1,4|1|400|1</v>
          </cell>
        </row>
        <row r="1552">
          <cell r="A1552">
            <v>42011</v>
          </cell>
          <cell r="B1552">
            <v>0</v>
          </cell>
          <cell r="C1552" t="str">
            <v>4|10|110,4|1|440</v>
          </cell>
          <cell r="D1552" t="str">
            <v>主角11级主线副本经验和金币奖励</v>
          </cell>
          <cell r="E1552" t="str">
            <v>4|10|110|1,4|1|440|1</v>
          </cell>
        </row>
        <row r="1553">
          <cell r="A1553">
            <v>42012</v>
          </cell>
          <cell r="B1553">
            <v>0</v>
          </cell>
          <cell r="C1553" t="str">
            <v>4|10|120,4|1|480</v>
          </cell>
          <cell r="D1553" t="str">
            <v>主角12级主线副本经验和金币奖励</v>
          </cell>
          <cell r="E1553" t="str">
            <v>4|10|120|1,4|1|480|1</v>
          </cell>
        </row>
        <row r="1554">
          <cell r="A1554">
            <v>42013</v>
          </cell>
          <cell r="B1554">
            <v>0</v>
          </cell>
          <cell r="C1554" t="str">
            <v>4|10|130,4|1|520</v>
          </cell>
          <cell r="D1554" t="str">
            <v>主角13级主线副本经验和金币奖励</v>
          </cell>
          <cell r="E1554" t="str">
            <v>4|10|130|1,4|1|520|1</v>
          </cell>
        </row>
        <row r="1555">
          <cell r="A1555">
            <v>42014</v>
          </cell>
          <cell r="B1555">
            <v>0</v>
          </cell>
          <cell r="C1555" t="str">
            <v>4|10|140,4|1|560</v>
          </cell>
          <cell r="D1555" t="str">
            <v>主角14级主线副本经验和金币奖励</v>
          </cell>
          <cell r="E1555" t="str">
            <v>4|10|140|1,4|1|560|1</v>
          </cell>
        </row>
        <row r="1556">
          <cell r="A1556">
            <v>42015</v>
          </cell>
          <cell r="B1556">
            <v>0</v>
          </cell>
          <cell r="C1556" t="str">
            <v>4|10|150,4|1|600</v>
          </cell>
          <cell r="D1556" t="str">
            <v>主角15级主线副本经验和金币奖励</v>
          </cell>
          <cell r="E1556" t="str">
            <v>4|10|150|1,4|1|600|1</v>
          </cell>
        </row>
        <row r="1557">
          <cell r="A1557">
            <v>42016</v>
          </cell>
          <cell r="B1557">
            <v>0</v>
          </cell>
          <cell r="C1557" t="str">
            <v>4|10|160,4|1|640</v>
          </cell>
          <cell r="D1557" t="str">
            <v>主角16级主线副本经验和金币奖励</v>
          </cell>
          <cell r="E1557" t="str">
            <v>4|10|160|1,4|1|640|1</v>
          </cell>
        </row>
        <row r="1558">
          <cell r="A1558">
            <v>42017</v>
          </cell>
          <cell r="B1558">
            <v>0</v>
          </cell>
          <cell r="C1558" t="str">
            <v>4|10|170,4|1|680</v>
          </cell>
          <cell r="D1558" t="str">
            <v>主角17级主线副本经验和金币奖励</v>
          </cell>
          <cell r="E1558" t="str">
            <v>4|10|170|1,4|1|680|1</v>
          </cell>
        </row>
        <row r="1559">
          <cell r="A1559">
            <v>42018</v>
          </cell>
          <cell r="B1559">
            <v>0</v>
          </cell>
          <cell r="C1559" t="str">
            <v>4|10|180,4|1|720</v>
          </cell>
          <cell r="D1559" t="str">
            <v>主角18级主线副本经验和金币奖励</v>
          </cell>
          <cell r="E1559" t="str">
            <v>4|10|180|1,4|1|720|1</v>
          </cell>
        </row>
        <row r="1560">
          <cell r="A1560">
            <v>42019</v>
          </cell>
          <cell r="B1560">
            <v>0</v>
          </cell>
          <cell r="C1560" t="str">
            <v>4|10|190,4|1|760</v>
          </cell>
          <cell r="D1560" t="str">
            <v>主角19级主线副本经验和金币奖励</v>
          </cell>
          <cell r="E1560" t="str">
            <v>4|10|190|1,4|1|760|1</v>
          </cell>
        </row>
        <row r="1561">
          <cell r="A1561">
            <v>42020</v>
          </cell>
          <cell r="B1561">
            <v>0</v>
          </cell>
          <cell r="C1561" t="str">
            <v>4|10|200,4|1|800</v>
          </cell>
          <cell r="D1561" t="str">
            <v>主角20级主线副本经验和金币奖励</v>
          </cell>
          <cell r="E1561" t="str">
            <v>4|10|200|1,4|1|800|1</v>
          </cell>
        </row>
        <row r="1562">
          <cell r="A1562">
            <v>42021</v>
          </cell>
          <cell r="B1562">
            <v>0</v>
          </cell>
          <cell r="C1562" t="str">
            <v>4|10|210,4|1|840</v>
          </cell>
          <cell r="D1562" t="str">
            <v>主角21级主线副本经验和金币奖励</v>
          </cell>
          <cell r="E1562" t="str">
            <v>4|10|210|1,4|1|840|1</v>
          </cell>
        </row>
        <row r="1563">
          <cell r="A1563">
            <v>42022</v>
          </cell>
          <cell r="B1563">
            <v>0</v>
          </cell>
          <cell r="C1563" t="str">
            <v>4|10|220,4|1|880</v>
          </cell>
          <cell r="D1563" t="str">
            <v>主角22级主线副本经验和金币奖励</v>
          </cell>
          <cell r="E1563" t="str">
            <v>4|10|220|1,4|1|880|1</v>
          </cell>
        </row>
        <row r="1564">
          <cell r="A1564">
            <v>42023</v>
          </cell>
          <cell r="B1564">
            <v>0</v>
          </cell>
          <cell r="C1564" t="str">
            <v>4|10|230,4|1|920</v>
          </cell>
          <cell r="D1564" t="str">
            <v>主角23级主线副本经验和金币奖励</v>
          </cell>
          <cell r="E1564" t="str">
            <v>4|10|230|1,4|1|920|1</v>
          </cell>
        </row>
        <row r="1565">
          <cell r="A1565">
            <v>42024</v>
          </cell>
          <cell r="B1565">
            <v>0</v>
          </cell>
          <cell r="C1565" t="str">
            <v>4|10|240,4|1|960</v>
          </cell>
          <cell r="D1565" t="str">
            <v>主角24级主线副本经验和金币奖励</v>
          </cell>
          <cell r="E1565" t="str">
            <v>4|10|240|1,4|1|960|1</v>
          </cell>
        </row>
        <row r="1566">
          <cell r="A1566">
            <v>42025</v>
          </cell>
          <cell r="B1566">
            <v>0</v>
          </cell>
          <cell r="C1566" t="str">
            <v>4|10|250,4|1|1000</v>
          </cell>
          <cell r="D1566" t="str">
            <v>主角25级主线副本经验和金币奖励</v>
          </cell>
          <cell r="E1566" t="str">
            <v>4|10|250|1,4|1|1000|1</v>
          </cell>
        </row>
        <row r="1567">
          <cell r="A1567">
            <v>42026</v>
          </cell>
          <cell r="B1567">
            <v>0</v>
          </cell>
          <cell r="C1567" t="str">
            <v>4|10|260,4|1|1040</v>
          </cell>
          <cell r="D1567" t="str">
            <v>主角26级主线副本经验和金币奖励</v>
          </cell>
          <cell r="E1567" t="str">
            <v>4|10|260|1,4|1|1040|1</v>
          </cell>
        </row>
        <row r="1568">
          <cell r="A1568">
            <v>42027</v>
          </cell>
          <cell r="B1568">
            <v>0</v>
          </cell>
          <cell r="C1568" t="str">
            <v>4|10|270,4|1|1080</v>
          </cell>
          <cell r="D1568" t="str">
            <v>主角27级主线副本经验和金币奖励</v>
          </cell>
          <cell r="E1568" t="str">
            <v>4|10|270|1,4|1|1080|1</v>
          </cell>
        </row>
        <row r="1569">
          <cell r="A1569">
            <v>42028</v>
          </cell>
          <cell r="B1569">
            <v>0</v>
          </cell>
          <cell r="C1569" t="str">
            <v>4|10|280,4|1|1120</v>
          </cell>
          <cell r="D1569" t="str">
            <v>主角28级主线副本经验和金币奖励</v>
          </cell>
          <cell r="E1569" t="str">
            <v>4|10|280|1,4|1|1120|1</v>
          </cell>
        </row>
        <row r="1570">
          <cell r="A1570">
            <v>42029</v>
          </cell>
          <cell r="B1570">
            <v>0</v>
          </cell>
          <cell r="C1570" t="str">
            <v>4|10|290,4|1|1160</v>
          </cell>
          <cell r="D1570" t="str">
            <v>主角29级主线副本经验和金币奖励</v>
          </cell>
          <cell r="E1570" t="str">
            <v>4|10|290|1,4|1|1160|1</v>
          </cell>
        </row>
        <row r="1571">
          <cell r="A1571">
            <v>42030</v>
          </cell>
          <cell r="B1571">
            <v>0</v>
          </cell>
          <cell r="C1571" t="str">
            <v>4|10|300,4|1|1200</v>
          </cell>
          <cell r="D1571" t="str">
            <v>主角30级主线副本经验和金币奖励</v>
          </cell>
          <cell r="E1571" t="str">
            <v>4|10|300|1,4|1|1200|1</v>
          </cell>
        </row>
        <row r="1572">
          <cell r="A1572">
            <v>42031</v>
          </cell>
          <cell r="B1572">
            <v>0</v>
          </cell>
          <cell r="C1572" t="str">
            <v>4|10|310,4|1|1240</v>
          </cell>
          <cell r="D1572" t="str">
            <v>主角31级主线副本经验和金币奖励</v>
          </cell>
          <cell r="E1572" t="str">
            <v>4|10|310|1,4|1|1240|1</v>
          </cell>
        </row>
        <row r="1573">
          <cell r="A1573">
            <v>42032</v>
          </cell>
          <cell r="B1573">
            <v>0</v>
          </cell>
          <cell r="C1573" t="str">
            <v>4|10|320,4|1|1280</v>
          </cell>
          <cell r="D1573" t="str">
            <v>主角32级主线副本经验和金币奖励</v>
          </cell>
          <cell r="E1573" t="str">
            <v>4|10|320|1,4|1|1280|1</v>
          </cell>
        </row>
        <row r="1574">
          <cell r="A1574">
            <v>42033</v>
          </cell>
          <cell r="B1574">
            <v>0</v>
          </cell>
          <cell r="C1574" t="str">
            <v>4|10|330,4|1|1320</v>
          </cell>
          <cell r="D1574" t="str">
            <v>主角33级主线副本经验和金币奖励</v>
          </cell>
          <cell r="E1574" t="str">
            <v>4|10|330|1,4|1|1320|1</v>
          </cell>
        </row>
        <row r="1575">
          <cell r="A1575">
            <v>42034</v>
          </cell>
          <cell r="B1575">
            <v>0</v>
          </cell>
          <cell r="C1575" t="str">
            <v>4|10|340,4|1|1360</v>
          </cell>
          <cell r="D1575" t="str">
            <v>主角34级主线副本经验和金币奖励</v>
          </cell>
          <cell r="E1575" t="str">
            <v>4|10|340|1,4|1|1360|1</v>
          </cell>
        </row>
        <row r="1576">
          <cell r="A1576">
            <v>42035</v>
          </cell>
          <cell r="B1576">
            <v>0</v>
          </cell>
          <cell r="C1576" t="str">
            <v>4|10|350,4|1|1400</v>
          </cell>
          <cell r="D1576" t="str">
            <v>主角35级主线副本经验和金币奖励</v>
          </cell>
          <cell r="E1576" t="str">
            <v>4|10|350|1,4|1|1400|1</v>
          </cell>
        </row>
        <row r="1577">
          <cell r="A1577">
            <v>42036</v>
          </cell>
          <cell r="B1577">
            <v>0</v>
          </cell>
          <cell r="C1577" t="str">
            <v>4|10|360,4|1|1440</v>
          </cell>
          <cell r="D1577" t="str">
            <v>主角36级主线副本经验和金币奖励</v>
          </cell>
          <cell r="E1577" t="str">
            <v>4|10|360|1,4|1|1440|1</v>
          </cell>
        </row>
        <row r="1578">
          <cell r="A1578">
            <v>42037</v>
          </cell>
          <cell r="B1578">
            <v>0</v>
          </cell>
          <cell r="C1578" t="str">
            <v>4|10|370,4|1|1480</v>
          </cell>
          <cell r="D1578" t="str">
            <v>主角37级主线副本经验和金币奖励</v>
          </cell>
          <cell r="E1578" t="str">
            <v>4|10|370|1,4|1|1480|1</v>
          </cell>
        </row>
        <row r="1579">
          <cell r="A1579">
            <v>42038</v>
          </cell>
          <cell r="B1579">
            <v>0</v>
          </cell>
          <cell r="C1579" t="str">
            <v>4|10|380,4|1|1520</v>
          </cell>
          <cell r="D1579" t="str">
            <v>主角38级主线副本经验和金币奖励</v>
          </cell>
          <cell r="E1579" t="str">
            <v>4|10|380|1,4|1|1520|1</v>
          </cell>
        </row>
        <row r="1580">
          <cell r="A1580">
            <v>42039</v>
          </cell>
          <cell r="B1580">
            <v>0</v>
          </cell>
          <cell r="C1580" t="str">
            <v>4|10|390,4|1|1560</v>
          </cell>
          <cell r="D1580" t="str">
            <v>主角39级主线副本经验和金币奖励</v>
          </cell>
          <cell r="E1580" t="str">
            <v>4|10|390|1,4|1|1560|1</v>
          </cell>
        </row>
        <row r="1581">
          <cell r="A1581">
            <v>42040</v>
          </cell>
          <cell r="B1581">
            <v>0</v>
          </cell>
          <cell r="C1581" t="str">
            <v>4|10|400,4|1|1600</v>
          </cell>
          <cell r="D1581" t="str">
            <v>主角40级主线副本经验和金币奖励</v>
          </cell>
          <cell r="E1581" t="str">
            <v>4|10|400|1,4|1|1600|1</v>
          </cell>
        </row>
        <row r="1582">
          <cell r="A1582">
            <v>42041</v>
          </cell>
          <cell r="B1582">
            <v>0</v>
          </cell>
          <cell r="C1582" t="str">
            <v>4|10|410,4|1|1640</v>
          </cell>
          <cell r="D1582" t="str">
            <v>主角41级主线副本经验和金币奖励</v>
          </cell>
          <cell r="E1582" t="str">
            <v>4|10|410|1,4|1|1640|1</v>
          </cell>
        </row>
        <row r="1583">
          <cell r="A1583">
            <v>42042</v>
          </cell>
          <cell r="B1583">
            <v>0</v>
          </cell>
          <cell r="C1583" t="str">
            <v>4|10|420,4|1|1680</v>
          </cell>
          <cell r="D1583" t="str">
            <v>主角42级主线副本经验和金币奖励</v>
          </cell>
          <cell r="E1583" t="str">
            <v>4|10|420|1,4|1|1680|1</v>
          </cell>
        </row>
        <row r="1584">
          <cell r="A1584">
            <v>42043</v>
          </cell>
          <cell r="B1584">
            <v>0</v>
          </cell>
          <cell r="C1584" t="str">
            <v>4|10|430,4|1|1720</v>
          </cell>
          <cell r="D1584" t="str">
            <v>主角43级主线副本经验和金币奖励</v>
          </cell>
          <cell r="E1584" t="str">
            <v>4|10|430|1,4|1|1720|1</v>
          </cell>
        </row>
        <row r="1585">
          <cell r="A1585">
            <v>42044</v>
          </cell>
          <cell r="B1585">
            <v>0</v>
          </cell>
          <cell r="C1585" t="str">
            <v>4|10|440,4|1|1760</v>
          </cell>
          <cell r="D1585" t="str">
            <v>主角44级主线副本经验和金币奖励</v>
          </cell>
          <cell r="E1585" t="str">
            <v>4|10|440|1,4|1|1760|1</v>
          </cell>
        </row>
        <row r="1586">
          <cell r="A1586">
            <v>42045</v>
          </cell>
          <cell r="B1586">
            <v>0</v>
          </cell>
          <cell r="C1586" t="str">
            <v>4|10|450,4|1|1800</v>
          </cell>
          <cell r="D1586" t="str">
            <v>主角45级主线副本经验和金币奖励</v>
          </cell>
          <cell r="E1586" t="str">
            <v>4|10|450|1,4|1|1800|1</v>
          </cell>
        </row>
        <row r="1587">
          <cell r="A1587">
            <v>42046</v>
          </cell>
          <cell r="B1587">
            <v>0</v>
          </cell>
          <cell r="C1587" t="str">
            <v>4|10|460,4|1|1840</v>
          </cell>
          <cell r="D1587" t="str">
            <v>主角46级主线副本经验和金币奖励</v>
          </cell>
          <cell r="E1587" t="str">
            <v>4|10|460|1,4|1|1840|1</v>
          </cell>
        </row>
        <row r="1588">
          <cell r="A1588">
            <v>42047</v>
          </cell>
          <cell r="B1588">
            <v>0</v>
          </cell>
          <cell r="C1588" t="str">
            <v>4|10|470,4|1|1880</v>
          </cell>
          <cell r="D1588" t="str">
            <v>主角47级主线副本经验和金币奖励</v>
          </cell>
          <cell r="E1588" t="str">
            <v>4|10|470|1,4|1|1880|1</v>
          </cell>
        </row>
        <row r="1589">
          <cell r="A1589">
            <v>42048</v>
          </cell>
          <cell r="B1589">
            <v>0</v>
          </cell>
          <cell r="C1589" t="str">
            <v>4|10|480,4|1|1920</v>
          </cell>
          <cell r="D1589" t="str">
            <v>主角48级主线副本经验和金币奖励</v>
          </cell>
          <cell r="E1589" t="str">
            <v>4|10|480|1,4|1|1920|1</v>
          </cell>
        </row>
        <row r="1590">
          <cell r="A1590">
            <v>42049</v>
          </cell>
          <cell r="B1590">
            <v>0</v>
          </cell>
          <cell r="C1590" t="str">
            <v>4|10|490,4|1|1960</v>
          </cell>
          <cell r="D1590" t="str">
            <v>主角49级主线副本经验和金币奖励</v>
          </cell>
          <cell r="E1590" t="str">
            <v>4|10|490|1,4|1|1960|1</v>
          </cell>
        </row>
        <row r="1591">
          <cell r="A1591">
            <v>42050</v>
          </cell>
          <cell r="B1591">
            <v>0</v>
          </cell>
          <cell r="C1591" t="str">
            <v>4|10|500,4|1|2000</v>
          </cell>
          <cell r="D1591" t="str">
            <v>主角50级主线副本经验和金币奖励</v>
          </cell>
          <cell r="E1591" t="str">
            <v>4|10|500|1,4|1|2000|1</v>
          </cell>
        </row>
        <row r="1592">
          <cell r="A1592">
            <v>42051</v>
          </cell>
          <cell r="B1592">
            <v>0</v>
          </cell>
          <cell r="C1592" t="str">
            <v>4|10|510,4|1|2040</v>
          </cell>
          <cell r="D1592" t="str">
            <v>主角51级主线副本经验和金币奖励</v>
          </cell>
          <cell r="E1592" t="str">
            <v>4|10|510|1,4|1|2040|1</v>
          </cell>
        </row>
        <row r="1593">
          <cell r="A1593">
            <v>42052</v>
          </cell>
          <cell r="B1593">
            <v>0</v>
          </cell>
          <cell r="C1593" t="str">
            <v>4|10|520,4|1|2080</v>
          </cell>
          <cell r="D1593" t="str">
            <v>主角52级主线副本经验和金币奖励</v>
          </cell>
          <cell r="E1593" t="str">
            <v>4|10|520|1,4|1|2080|1</v>
          </cell>
        </row>
        <row r="1594">
          <cell r="A1594">
            <v>42053</v>
          </cell>
          <cell r="B1594">
            <v>0</v>
          </cell>
          <cell r="C1594" t="str">
            <v>4|10|530,4|1|2120</v>
          </cell>
          <cell r="D1594" t="str">
            <v>主角53级主线副本经验和金币奖励</v>
          </cell>
          <cell r="E1594" t="str">
            <v>4|10|530|1,4|1|2120|1</v>
          </cell>
        </row>
        <row r="1595">
          <cell r="A1595">
            <v>42054</v>
          </cell>
          <cell r="B1595">
            <v>0</v>
          </cell>
          <cell r="C1595" t="str">
            <v>4|10|540,4|1|2160</v>
          </cell>
          <cell r="D1595" t="str">
            <v>主角54级主线副本经验和金币奖励</v>
          </cell>
          <cell r="E1595" t="str">
            <v>4|10|540|1,4|1|2160|1</v>
          </cell>
        </row>
        <row r="1596">
          <cell r="A1596">
            <v>42055</v>
          </cell>
          <cell r="B1596">
            <v>0</v>
          </cell>
          <cell r="C1596" t="str">
            <v>4|10|550,4|1|2200</v>
          </cell>
          <cell r="D1596" t="str">
            <v>主角55级主线副本经验和金币奖励</v>
          </cell>
          <cell r="E1596" t="str">
            <v>4|10|550|1,4|1|2200|1</v>
          </cell>
        </row>
        <row r="1597">
          <cell r="A1597">
            <v>42056</v>
          </cell>
          <cell r="B1597">
            <v>0</v>
          </cell>
          <cell r="C1597" t="str">
            <v>4|10|560,4|1|2240</v>
          </cell>
          <cell r="D1597" t="str">
            <v>主角56级主线副本经验和金币奖励</v>
          </cell>
          <cell r="E1597" t="str">
            <v>4|10|560|1,4|1|2240|1</v>
          </cell>
        </row>
        <row r="1598">
          <cell r="A1598">
            <v>42057</v>
          </cell>
          <cell r="B1598">
            <v>0</v>
          </cell>
          <cell r="C1598" t="str">
            <v>4|10|570,4|1|2280</v>
          </cell>
          <cell r="D1598" t="str">
            <v>主角57级主线副本经验和金币奖励</v>
          </cell>
          <cell r="E1598" t="str">
            <v>4|10|570|1,4|1|2280|1</v>
          </cell>
        </row>
        <row r="1599">
          <cell r="A1599">
            <v>42058</v>
          </cell>
          <cell r="B1599">
            <v>0</v>
          </cell>
          <cell r="C1599" t="str">
            <v>4|10|580,4|1|2320</v>
          </cell>
          <cell r="D1599" t="str">
            <v>主角58级主线副本经验和金币奖励</v>
          </cell>
          <cell r="E1599" t="str">
            <v>4|10|580|1,4|1|2320|1</v>
          </cell>
        </row>
        <row r="1600">
          <cell r="A1600">
            <v>42059</v>
          </cell>
          <cell r="B1600">
            <v>0</v>
          </cell>
          <cell r="C1600" t="str">
            <v>4|10|590,4|1|2360</v>
          </cell>
          <cell r="D1600" t="str">
            <v>主角59级主线副本经验和金币奖励</v>
          </cell>
          <cell r="E1600" t="str">
            <v>4|10|590|1,4|1|2360|1</v>
          </cell>
        </row>
        <row r="1601">
          <cell r="A1601">
            <v>42060</v>
          </cell>
          <cell r="B1601">
            <v>0</v>
          </cell>
          <cell r="C1601" t="str">
            <v>4|10|600,4|1|2400</v>
          </cell>
          <cell r="D1601" t="str">
            <v>主角60级主线副本经验和金币奖励</v>
          </cell>
          <cell r="E1601" t="str">
            <v>4|10|600|1,4|1|2400|1</v>
          </cell>
        </row>
        <row r="1602">
          <cell r="A1602">
            <v>42061</v>
          </cell>
          <cell r="B1602">
            <v>0</v>
          </cell>
          <cell r="C1602" t="str">
            <v>4|10|610,4|1|2440</v>
          </cell>
          <cell r="D1602" t="str">
            <v>主角61级主线副本经验和金币奖励</v>
          </cell>
          <cell r="E1602" t="str">
            <v>4|10|610|1,4|1|2440|1</v>
          </cell>
        </row>
        <row r="1603">
          <cell r="A1603">
            <v>42062</v>
          </cell>
          <cell r="B1603">
            <v>0</v>
          </cell>
          <cell r="C1603" t="str">
            <v>4|10|620,4|1|2480</v>
          </cell>
          <cell r="D1603" t="str">
            <v>主角62级主线副本经验和金币奖励</v>
          </cell>
          <cell r="E1603" t="str">
            <v>4|10|620|1,4|1|2480|1</v>
          </cell>
        </row>
        <row r="1604">
          <cell r="A1604">
            <v>42063</v>
          </cell>
          <cell r="B1604">
            <v>0</v>
          </cell>
          <cell r="C1604" t="str">
            <v>4|10|630,4|1|2520</v>
          </cell>
          <cell r="D1604" t="str">
            <v>主角63级主线副本经验和金币奖励</v>
          </cell>
          <cell r="E1604" t="str">
            <v>4|10|630|1,4|1|2520|1</v>
          </cell>
        </row>
        <row r="1605">
          <cell r="A1605">
            <v>42064</v>
          </cell>
          <cell r="B1605">
            <v>0</v>
          </cell>
          <cell r="C1605" t="str">
            <v>4|10|640,4|1|2560</v>
          </cell>
          <cell r="D1605" t="str">
            <v>主角64级主线副本经验和金币奖励</v>
          </cell>
          <cell r="E1605" t="str">
            <v>4|10|640|1,4|1|2560|1</v>
          </cell>
        </row>
        <row r="1606">
          <cell r="A1606">
            <v>42065</v>
          </cell>
          <cell r="B1606">
            <v>0</v>
          </cell>
          <cell r="C1606" t="str">
            <v>4|10|650,4|1|2600</v>
          </cell>
          <cell r="D1606" t="str">
            <v>主角65级主线副本经验和金币奖励</v>
          </cell>
          <cell r="E1606" t="str">
            <v>4|10|650|1,4|1|2600|1</v>
          </cell>
        </row>
        <row r="1607">
          <cell r="A1607">
            <v>42066</v>
          </cell>
          <cell r="B1607">
            <v>0</v>
          </cell>
          <cell r="C1607" t="str">
            <v>4|10|660,4|1|2640</v>
          </cell>
          <cell r="D1607" t="str">
            <v>主角66级主线副本经验和金币奖励</v>
          </cell>
          <cell r="E1607" t="str">
            <v>4|10|660|1,4|1|2640|1</v>
          </cell>
        </row>
        <row r="1608">
          <cell r="A1608">
            <v>42067</v>
          </cell>
          <cell r="B1608">
            <v>0</v>
          </cell>
          <cell r="C1608" t="str">
            <v>4|10|670,4|1|2680</v>
          </cell>
          <cell r="D1608" t="str">
            <v>主角67级主线副本经验和金币奖励</v>
          </cell>
          <cell r="E1608" t="str">
            <v>4|10|670|1,4|1|2680|1</v>
          </cell>
        </row>
        <row r="1609">
          <cell r="A1609">
            <v>42068</v>
          </cell>
          <cell r="B1609">
            <v>0</v>
          </cell>
          <cell r="C1609" t="str">
            <v>4|10|680,4|1|2720</v>
          </cell>
          <cell r="D1609" t="str">
            <v>主角68级主线副本经验和金币奖励</v>
          </cell>
          <cell r="E1609" t="str">
            <v>4|10|680|1,4|1|2720|1</v>
          </cell>
        </row>
        <row r="1610">
          <cell r="A1610">
            <v>42069</v>
          </cell>
          <cell r="B1610">
            <v>0</v>
          </cell>
          <cell r="C1610" t="str">
            <v>4|10|690,4|1|2760</v>
          </cell>
          <cell r="D1610" t="str">
            <v>主角69级主线副本经验和金币奖励</v>
          </cell>
          <cell r="E1610" t="str">
            <v>4|10|690|1,4|1|2760|1</v>
          </cell>
        </row>
        <row r="1611">
          <cell r="A1611">
            <v>42070</v>
          </cell>
          <cell r="B1611">
            <v>0</v>
          </cell>
          <cell r="C1611" t="str">
            <v>4|10|700,4|1|2800</v>
          </cell>
          <cell r="D1611" t="str">
            <v>主角70级主线副本经验和金币奖励</v>
          </cell>
          <cell r="E1611" t="str">
            <v>4|10|700|1,4|1|2800|1</v>
          </cell>
        </row>
        <row r="1612">
          <cell r="A1612">
            <v>42071</v>
          </cell>
          <cell r="B1612">
            <v>0</v>
          </cell>
          <cell r="C1612" t="str">
            <v>4|10|710,4|1|2840</v>
          </cell>
          <cell r="D1612" t="str">
            <v>主角71级主线副本经验和金币奖励</v>
          </cell>
          <cell r="E1612" t="str">
            <v>4|10|710|1,4|1|2840|1</v>
          </cell>
        </row>
        <row r="1613">
          <cell r="A1613">
            <v>42072</v>
          </cell>
          <cell r="B1613">
            <v>0</v>
          </cell>
          <cell r="C1613" t="str">
            <v>4|10|720,4|1|2880</v>
          </cell>
          <cell r="D1613" t="str">
            <v>主角72级主线副本经验和金币奖励</v>
          </cell>
          <cell r="E1613" t="str">
            <v>4|10|720|1,4|1|2880|1</v>
          </cell>
        </row>
        <row r="1614">
          <cell r="A1614">
            <v>42073</v>
          </cell>
          <cell r="B1614">
            <v>0</v>
          </cell>
          <cell r="C1614" t="str">
            <v>4|10|730,4|1|2920</v>
          </cell>
          <cell r="D1614" t="str">
            <v>主角73级主线副本经验和金币奖励</v>
          </cell>
          <cell r="E1614" t="str">
            <v>4|10|730|1,4|1|2920|1</v>
          </cell>
        </row>
        <row r="1615">
          <cell r="A1615">
            <v>42074</v>
          </cell>
          <cell r="B1615">
            <v>0</v>
          </cell>
          <cell r="C1615" t="str">
            <v>4|10|740,4|1|2960</v>
          </cell>
          <cell r="D1615" t="str">
            <v>主角74级主线副本经验和金币奖励</v>
          </cell>
          <cell r="E1615" t="str">
            <v>4|10|740|1,4|1|2960|1</v>
          </cell>
        </row>
        <row r="1616">
          <cell r="A1616">
            <v>42075</v>
          </cell>
          <cell r="B1616">
            <v>0</v>
          </cell>
          <cell r="C1616" t="str">
            <v>4|10|750,4|1|3000</v>
          </cell>
          <cell r="D1616" t="str">
            <v>主角75级主线副本经验和金币奖励</v>
          </cell>
          <cell r="E1616" t="str">
            <v>4|10|750|1,4|1|3000|1</v>
          </cell>
        </row>
        <row r="1617">
          <cell r="A1617">
            <v>42076</v>
          </cell>
          <cell r="B1617">
            <v>0</v>
          </cell>
          <cell r="C1617" t="str">
            <v>4|10|760,4|1|3040</v>
          </cell>
          <cell r="D1617" t="str">
            <v>主角76级主线副本经验和金币奖励</v>
          </cell>
          <cell r="E1617" t="str">
            <v>4|10|760|1,4|1|3040|1</v>
          </cell>
        </row>
        <row r="1618">
          <cell r="A1618">
            <v>42077</v>
          </cell>
          <cell r="B1618">
            <v>0</v>
          </cell>
          <cell r="C1618" t="str">
            <v>4|10|770,4|1|3080</v>
          </cell>
          <cell r="D1618" t="str">
            <v>主角77级主线副本经验和金币奖励</v>
          </cell>
          <cell r="E1618" t="str">
            <v>4|10|770|1,4|1|3080|1</v>
          </cell>
        </row>
        <row r="1619">
          <cell r="A1619">
            <v>42078</v>
          </cell>
          <cell r="B1619">
            <v>0</v>
          </cell>
          <cell r="C1619" t="str">
            <v>4|10|780,4|1|3120</v>
          </cell>
          <cell r="D1619" t="str">
            <v>主角78级主线副本经验和金币奖励</v>
          </cell>
          <cell r="E1619" t="str">
            <v>4|10|780|1,4|1|3120|1</v>
          </cell>
        </row>
        <row r="1620">
          <cell r="A1620">
            <v>42079</v>
          </cell>
          <cell r="B1620">
            <v>0</v>
          </cell>
          <cell r="C1620" t="str">
            <v>4|10|790,4|1|3160</v>
          </cell>
          <cell r="D1620" t="str">
            <v>主角79级主线副本经验和金币奖励</v>
          </cell>
          <cell r="E1620" t="str">
            <v>4|10|790|1,4|1|3160|1</v>
          </cell>
        </row>
        <row r="1621">
          <cell r="A1621">
            <v>42080</v>
          </cell>
          <cell r="B1621">
            <v>0</v>
          </cell>
          <cell r="C1621" t="str">
            <v>4|10|800,4|1|3200</v>
          </cell>
          <cell r="D1621" t="str">
            <v>主角80级主线副本经验和金币奖励</v>
          </cell>
          <cell r="E1621" t="str">
            <v>4|10|800|1,4|1|3200|1</v>
          </cell>
        </row>
        <row r="1622">
          <cell r="A1622">
            <v>42081</v>
          </cell>
          <cell r="B1622">
            <v>0</v>
          </cell>
          <cell r="C1622" t="str">
            <v>4|10|810,4|1|3240</v>
          </cell>
          <cell r="D1622" t="str">
            <v>主角81级主线副本经验和金币奖励</v>
          </cell>
          <cell r="E1622" t="str">
            <v>4|10|810|1,4|1|3240|1</v>
          </cell>
        </row>
        <row r="1623">
          <cell r="A1623">
            <v>42082</v>
          </cell>
          <cell r="B1623">
            <v>0</v>
          </cell>
          <cell r="C1623" t="str">
            <v>4|10|820,4|1|3280</v>
          </cell>
          <cell r="D1623" t="str">
            <v>主角82级主线副本经验和金币奖励</v>
          </cell>
          <cell r="E1623" t="str">
            <v>4|10|820|1,4|1|3280|1</v>
          </cell>
        </row>
        <row r="1624">
          <cell r="A1624">
            <v>42083</v>
          </cell>
          <cell r="B1624">
            <v>0</v>
          </cell>
          <cell r="C1624" t="str">
            <v>4|10|830,4|1|3320</v>
          </cell>
          <cell r="D1624" t="str">
            <v>主角83级主线副本经验和金币奖励</v>
          </cell>
          <cell r="E1624" t="str">
            <v>4|10|830|1,4|1|3320|1</v>
          </cell>
        </row>
        <row r="1625">
          <cell r="A1625">
            <v>42084</v>
          </cell>
          <cell r="B1625">
            <v>0</v>
          </cell>
          <cell r="C1625" t="str">
            <v>4|10|840,4|1|3360</v>
          </cell>
          <cell r="D1625" t="str">
            <v>主角84级主线副本经验和金币奖励</v>
          </cell>
          <cell r="E1625" t="str">
            <v>4|10|840|1,4|1|3360|1</v>
          </cell>
        </row>
        <row r="1626">
          <cell r="A1626">
            <v>42085</v>
          </cell>
          <cell r="B1626">
            <v>0</v>
          </cell>
          <cell r="C1626" t="str">
            <v>4|10|850,4|1|3400</v>
          </cell>
          <cell r="D1626" t="str">
            <v>主角85级主线副本经验和金币奖励</v>
          </cell>
          <cell r="E1626" t="str">
            <v>4|10|850|1,4|1|3400|1</v>
          </cell>
        </row>
        <row r="1627">
          <cell r="A1627">
            <v>42086</v>
          </cell>
          <cell r="B1627">
            <v>0</v>
          </cell>
          <cell r="C1627" t="str">
            <v>4|10|860,4|1|3440</v>
          </cell>
          <cell r="D1627" t="str">
            <v>主角86级主线副本经验和金币奖励</v>
          </cell>
          <cell r="E1627" t="str">
            <v>4|10|860|1,4|1|3440|1</v>
          </cell>
        </row>
        <row r="1628">
          <cell r="A1628">
            <v>42087</v>
          </cell>
          <cell r="B1628">
            <v>0</v>
          </cell>
          <cell r="C1628" t="str">
            <v>4|10|870,4|1|3480</v>
          </cell>
          <cell r="D1628" t="str">
            <v>主角87级主线副本经验和金币奖励</v>
          </cell>
          <cell r="E1628" t="str">
            <v>4|10|870|1,4|1|3480|1</v>
          </cell>
        </row>
        <row r="1629">
          <cell r="A1629">
            <v>42088</v>
          </cell>
          <cell r="B1629">
            <v>0</v>
          </cell>
          <cell r="C1629" t="str">
            <v>4|10|880,4|1|3520</v>
          </cell>
          <cell r="D1629" t="str">
            <v>主角88级主线副本经验和金币奖励</v>
          </cell>
          <cell r="E1629" t="str">
            <v>4|10|880|1,4|1|3520|1</v>
          </cell>
        </row>
        <row r="1630">
          <cell r="A1630">
            <v>42089</v>
          </cell>
          <cell r="B1630">
            <v>0</v>
          </cell>
          <cell r="C1630" t="str">
            <v>4|10|890,4|1|3560</v>
          </cell>
          <cell r="D1630" t="str">
            <v>主角89级主线副本经验和金币奖励</v>
          </cell>
          <cell r="E1630" t="str">
            <v>4|10|890|1,4|1|3560|1</v>
          </cell>
        </row>
        <row r="1631">
          <cell r="A1631">
            <v>42090</v>
          </cell>
          <cell r="B1631">
            <v>0</v>
          </cell>
          <cell r="C1631" t="str">
            <v>4|10|900,4|1|3600</v>
          </cell>
          <cell r="D1631" t="str">
            <v>主角90级主线副本经验和金币奖励</v>
          </cell>
          <cell r="E1631" t="str">
            <v>4|10|900|1,4|1|3600|1</v>
          </cell>
        </row>
        <row r="1632">
          <cell r="A1632">
            <v>42091</v>
          </cell>
          <cell r="B1632">
            <v>0</v>
          </cell>
          <cell r="C1632" t="str">
            <v>4|10|910,4|1|3640</v>
          </cell>
          <cell r="D1632" t="str">
            <v>主角91级主线副本经验和金币奖励</v>
          </cell>
          <cell r="E1632" t="str">
            <v>4|10|910|1,4|1|3640|1</v>
          </cell>
        </row>
        <row r="1633">
          <cell r="A1633">
            <v>42092</v>
          </cell>
          <cell r="B1633">
            <v>0</v>
          </cell>
          <cell r="C1633" t="str">
            <v>4|10|920,4|1|3680</v>
          </cell>
          <cell r="D1633" t="str">
            <v>主角92级主线副本经验和金币奖励</v>
          </cell>
          <cell r="E1633" t="str">
            <v>4|10|920|1,4|1|3680|1</v>
          </cell>
        </row>
        <row r="1634">
          <cell r="A1634">
            <v>42093</v>
          </cell>
          <cell r="B1634">
            <v>0</v>
          </cell>
          <cell r="C1634" t="str">
            <v>4|10|930,4|1|3720</v>
          </cell>
          <cell r="D1634" t="str">
            <v>主角93级主线副本经验和金币奖励</v>
          </cell>
          <cell r="E1634" t="str">
            <v>4|10|930|1,4|1|3720|1</v>
          </cell>
        </row>
        <row r="1635">
          <cell r="A1635">
            <v>42094</v>
          </cell>
          <cell r="B1635">
            <v>0</v>
          </cell>
          <cell r="C1635" t="str">
            <v>4|10|940,4|1|3760</v>
          </cell>
          <cell r="D1635" t="str">
            <v>主角94级主线副本经验和金币奖励</v>
          </cell>
          <cell r="E1635" t="str">
            <v>4|10|940|1,4|1|3760|1</v>
          </cell>
        </row>
        <row r="1636">
          <cell r="A1636">
            <v>42095</v>
          </cell>
          <cell r="B1636">
            <v>0</v>
          </cell>
          <cell r="C1636" t="str">
            <v>4|10|950,4|1|3800</v>
          </cell>
          <cell r="D1636" t="str">
            <v>主角95级主线副本经验和金币奖励</v>
          </cell>
          <cell r="E1636" t="str">
            <v>4|10|950|1,4|1|3800|1</v>
          </cell>
        </row>
        <row r="1637">
          <cell r="A1637">
            <v>42096</v>
          </cell>
          <cell r="B1637">
            <v>0</v>
          </cell>
          <cell r="C1637" t="str">
            <v>4|10|960,4|1|3840</v>
          </cell>
          <cell r="D1637" t="str">
            <v>主角96级主线副本经验和金币奖励</v>
          </cell>
          <cell r="E1637" t="str">
            <v>4|10|960|1,4|1|3840|1</v>
          </cell>
        </row>
        <row r="1638">
          <cell r="A1638">
            <v>42097</v>
          </cell>
          <cell r="B1638">
            <v>0</v>
          </cell>
          <cell r="C1638" t="str">
            <v>4|10|970,4|1|3880</v>
          </cell>
          <cell r="D1638" t="str">
            <v>主角97级主线副本经验和金币奖励</v>
          </cell>
          <cell r="E1638" t="str">
            <v>4|10|970|1,4|1|3880|1</v>
          </cell>
        </row>
        <row r="1639">
          <cell r="A1639">
            <v>42098</v>
          </cell>
          <cell r="B1639">
            <v>0</v>
          </cell>
          <cell r="C1639" t="str">
            <v>4|10|980,4|1|3920</v>
          </cell>
          <cell r="D1639" t="str">
            <v>主角98级主线副本经验和金币奖励</v>
          </cell>
          <cell r="E1639" t="str">
            <v>4|10|980|1,4|1|3920|1</v>
          </cell>
        </row>
        <row r="1640">
          <cell r="A1640">
            <v>42099</v>
          </cell>
          <cell r="B1640">
            <v>0</v>
          </cell>
          <cell r="C1640" t="str">
            <v>4|10|990,4|1|3960</v>
          </cell>
          <cell r="D1640" t="str">
            <v>主角99级主线副本经验和金币奖励</v>
          </cell>
          <cell r="E1640" t="str">
            <v>4|10|990|1,4|1|3960|1</v>
          </cell>
        </row>
        <row r="1641">
          <cell r="A1641">
            <v>42100</v>
          </cell>
          <cell r="B1641">
            <v>0</v>
          </cell>
          <cell r="C1641" t="str">
            <v>4|10|1000,4|1|4000</v>
          </cell>
          <cell r="D1641" t="str">
            <v>主角100级主线副本经验和金币奖励</v>
          </cell>
          <cell r="E1641" t="str">
            <v>4|10|1000|1,4|1|4000|1</v>
          </cell>
        </row>
        <row r="1642">
          <cell r="A1642">
            <v>42101</v>
          </cell>
          <cell r="B1642">
            <v>0</v>
          </cell>
          <cell r="C1642" t="str">
            <v>4|10|1010,4|1|4040</v>
          </cell>
          <cell r="D1642" t="str">
            <v>主角101级主线副本经验和金币奖励</v>
          </cell>
          <cell r="E1642" t="str">
            <v>4|10|1010|1,4|1|4040|1</v>
          </cell>
        </row>
        <row r="1643">
          <cell r="A1643">
            <v>42102</v>
          </cell>
          <cell r="B1643">
            <v>0</v>
          </cell>
          <cell r="C1643" t="str">
            <v>4|10|1020,4|1|4080</v>
          </cell>
          <cell r="D1643" t="str">
            <v>主角102级主线副本经验和金币奖励</v>
          </cell>
          <cell r="E1643" t="str">
            <v>4|10|1020|1,4|1|4080|1</v>
          </cell>
        </row>
        <row r="1644">
          <cell r="A1644">
            <v>42103</v>
          </cell>
          <cell r="B1644">
            <v>0</v>
          </cell>
          <cell r="C1644" t="str">
            <v>4|10|1030,4|1|4120</v>
          </cell>
          <cell r="D1644" t="str">
            <v>主角103级主线副本经验和金币奖励</v>
          </cell>
          <cell r="E1644" t="str">
            <v>4|10|1030|1,4|1|4120|1</v>
          </cell>
        </row>
        <row r="1645">
          <cell r="A1645">
            <v>42104</v>
          </cell>
          <cell r="B1645">
            <v>0</v>
          </cell>
          <cell r="C1645" t="str">
            <v>4|10|1040,4|1|4160</v>
          </cell>
          <cell r="D1645" t="str">
            <v>主角104级主线副本经验和金币奖励</v>
          </cell>
          <cell r="E1645" t="str">
            <v>4|10|1040|1,4|1|4160|1</v>
          </cell>
        </row>
        <row r="1646">
          <cell r="A1646">
            <v>42105</v>
          </cell>
          <cell r="B1646">
            <v>0</v>
          </cell>
          <cell r="C1646" t="str">
            <v>4|10|1050,4|1|4200</v>
          </cell>
          <cell r="D1646" t="str">
            <v>主角105级主线副本经验和金币奖励</v>
          </cell>
          <cell r="E1646" t="str">
            <v>4|10|1050|1,4|1|4200|1</v>
          </cell>
        </row>
        <row r="1647">
          <cell r="A1647">
            <v>42106</v>
          </cell>
          <cell r="B1647">
            <v>0</v>
          </cell>
          <cell r="C1647" t="str">
            <v>4|10|1060,4|1|4240</v>
          </cell>
          <cell r="D1647" t="str">
            <v>主角106级主线副本经验和金币奖励</v>
          </cell>
          <cell r="E1647" t="str">
            <v>4|10|1060|1,4|1|4240|1</v>
          </cell>
        </row>
        <row r="1648">
          <cell r="A1648">
            <v>42107</v>
          </cell>
          <cell r="B1648">
            <v>0</v>
          </cell>
          <cell r="C1648" t="str">
            <v>4|10|1070,4|1|4280</v>
          </cell>
          <cell r="D1648" t="str">
            <v>主角107级主线副本经验和金币奖励</v>
          </cell>
          <cell r="E1648" t="str">
            <v>4|10|1070|1,4|1|4280|1</v>
          </cell>
        </row>
        <row r="1649">
          <cell r="A1649">
            <v>42108</v>
          </cell>
          <cell r="B1649">
            <v>0</v>
          </cell>
          <cell r="C1649" t="str">
            <v>4|10|1080,4|1|4320</v>
          </cell>
          <cell r="D1649" t="str">
            <v>主角108级主线副本经验和金币奖励</v>
          </cell>
          <cell r="E1649" t="str">
            <v>4|10|1080|1,4|1|4320|1</v>
          </cell>
        </row>
        <row r="1650">
          <cell r="A1650">
            <v>42109</v>
          </cell>
          <cell r="B1650">
            <v>0</v>
          </cell>
          <cell r="C1650" t="str">
            <v>4|10|1090,4|1|4360</v>
          </cell>
          <cell r="D1650" t="str">
            <v>主角109级主线副本经验和金币奖励</v>
          </cell>
          <cell r="E1650" t="str">
            <v>4|10|1090|1,4|1|4360|1</v>
          </cell>
        </row>
        <row r="1651">
          <cell r="A1651">
            <v>42110</v>
          </cell>
          <cell r="B1651">
            <v>0</v>
          </cell>
          <cell r="C1651" t="str">
            <v>4|10|1100,4|1|4400</v>
          </cell>
          <cell r="D1651" t="str">
            <v>主角110级主线副本经验和金币奖励</v>
          </cell>
          <cell r="E1651" t="str">
            <v>4|10|1100|1,4|1|4400|1</v>
          </cell>
        </row>
        <row r="1652">
          <cell r="A1652">
            <v>42111</v>
          </cell>
          <cell r="B1652">
            <v>0</v>
          </cell>
          <cell r="C1652" t="str">
            <v>4|10|1110,4|1|4440</v>
          </cell>
          <cell r="D1652" t="str">
            <v>主角111级主线副本经验和金币奖励</v>
          </cell>
          <cell r="E1652" t="str">
            <v>4|10|1110|1,4|1|4440|1</v>
          </cell>
        </row>
        <row r="1653">
          <cell r="A1653">
            <v>42112</v>
          </cell>
          <cell r="B1653">
            <v>0</v>
          </cell>
          <cell r="C1653" t="str">
            <v>4|10|1120,4|1|4480</v>
          </cell>
          <cell r="D1653" t="str">
            <v>主角112级主线副本经验和金币奖励</v>
          </cell>
          <cell r="E1653" t="str">
            <v>4|10|1120|1,4|1|4480|1</v>
          </cell>
        </row>
        <row r="1654">
          <cell r="A1654">
            <v>42113</v>
          </cell>
          <cell r="B1654">
            <v>0</v>
          </cell>
          <cell r="C1654" t="str">
            <v>4|10|1130,4|1|4520</v>
          </cell>
          <cell r="D1654" t="str">
            <v>主角113级主线副本经验和金币奖励</v>
          </cell>
          <cell r="E1654" t="str">
            <v>4|10|1130|1,4|1|4520|1</v>
          </cell>
        </row>
        <row r="1655">
          <cell r="A1655">
            <v>42114</v>
          </cell>
          <cell r="B1655">
            <v>0</v>
          </cell>
          <cell r="C1655" t="str">
            <v>4|10|1140,4|1|4560</v>
          </cell>
          <cell r="D1655" t="str">
            <v>主角114级主线副本经验和金币奖励</v>
          </cell>
          <cell r="E1655" t="str">
            <v>4|10|1140|1,4|1|4560|1</v>
          </cell>
        </row>
        <row r="1656">
          <cell r="A1656">
            <v>42115</v>
          </cell>
          <cell r="B1656">
            <v>0</v>
          </cell>
          <cell r="C1656" t="str">
            <v>4|10|1150,4|1|4600</v>
          </cell>
          <cell r="D1656" t="str">
            <v>主角115级主线副本经验和金币奖励</v>
          </cell>
          <cell r="E1656" t="str">
            <v>4|10|1150|1,4|1|4600|1</v>
          </cell>
        </row>
        <row r="1657">
          <cell r="A1657">
            <v>42116</v>
          </cell>
          <cell r="B1657">
            <v>0</v>
          </cell>
          <cell r="C1657" t="str">
            <v>4|10|1160,4|1|4640</v>
          </cell>
          <cell r="D1657" t="str">
            <v>主角116级主线副本经验和金币奖励</v>
          </cell>
          <cell r="E1657" t="str">
            <v>4|10|1160|1,4|1|4640|1</v>
          </cell>
        </row>
        <row r="1658">
          <cell r="A1658">
            <v>42117</v>
          </cell>
          <cell r="B1658">
            <v>0</v>
          </cell>
          <cell r="C1658" t="str">
            <v>4|10|1170,4|1|4680</v>
          </cell>
          <cell r="D1658" t="str">
            <v>主角117级主线副本经验和金币奖励</v>
          </cell>
          <cell r="E1658" t="str">
            <v>4|10|1170|1,4|1|4680|1</v>
          </cell>
        </row>
        <row r="1659">
          <cell r="A1659">
            <v>42118</v>
          </cell>
          <cell r="B1659">
            <v>0</v>
          </cell>
          <cell r="C1659" t="str">
            <v>4|10|1180,4|1|4720</v>
          </cell>
          <cell r="D1659" t="str">
            <v>主角118级主线副本经验和金币奖励</v>
          </cell>
          <cell r="E1659" t="str">
            <v>4|10|1180|1,4|1|4720|1</v>
          </cell>
        </row>
        <row r="1660">
          <cell r="A1660">
            <v>42119</v>
          </cell>
          <cell r="B1660">
            <v>0</v>
          </cell>
          <cell r="C1660" t="str">
            <v>4|10|1190,4|1|4760</v>
          </cell>
          <cell r="D1660" t="str">
            <v>主角119级主线副本经验和金币奖励</v>
          </cell>
          <cell r="E1660" t="str">
            <v>4|10|1190|1,4|1|4760|1</v>
          </cell>
        </row>
        <row r="1661">
          <cell r="A1661">
            <v>42120</v>
          </cell>
          <cell r="B1661">
            <v>0</v>
          </cell>
          <cell r="C1661" t="str">
            <v>4|10|1200,4|1|4800</v>
          </cell>
          <cell r="D1661" t="str">
            <v>主角120级主线副本经验和金币奖励</v>
          </cell>
          <cell r="E1661" t="str">
            <v>4|10|1200|1,4|1|4800|1</v>
          </cell>
        </row>
        <row r="1662">
          <cell r="A1662">
            <v>42121</v>
          </cell>
          <cell r="B1662">
            <v>0</v>
          </cell>
          <cell r="C1662" t="str">
            <v>4|10|1210,4|1|4840</v>
          </cell>
          <cell r="D1662" t="str">
            <v>主角121级主线副本经验和金币奖励</v>
          </cell>
          <cell r="E1662" t="str">
            <v>4|10|1210|1,4|1|4840|1</v>
          </cell>
        </row>
        <row r="1663">
          <cell r="A1663">
            <v>42122</v>
          </cell>
          <cell r="B1663">
            <v>0</v>
          </cell>
          <cell r="C1663" t="str">
            <v>4|10|1220,4|1|4880</v>
          </cell>
          <cell r="D1663" t="str">
            <v>主角122级主线副本经验和金币奖励</v>
          </cell>
          <cell r="E1663" t="str">
            <v>4|10|1220|1,4|1|4880|1</v>
          </cell>
        </row>
        <row r="1664">
          <cell r="A1664">
            <v>42123</v>
          </cell>
          <cell r="B1664">
            <v>0</v>
          </cell>
          <cell r="C1664" t="str">
            <v>4|10|1230,4|1|4920</v>
          </cell>
          <cell r="D1664" t="str">
            <v>主角123级主线副本经验和金币奖励</v>
          </cell>
          <cell r="E1664" t="str">
            <v>4|10|1230|1,4|1|4920|1</v>
          </cell>
        </row>
        <row r="1665">
          <cell r="A1665">
            <v>42124</v>
          </cell>
          <cell r="B1665">
            <v>0</v>
          </cell>
          <cell r="C1665" t="str">
            <v>4|10|1240,4|1|4960</v>
          </cell>
          <cell r="D1665" t="str">
            <v>主角124级主线副本经验和金币奖励</v>
          </cell>
          <cell r="E1665" t="str">
            <v>4|10|1240|1,4|1|4960|1</v>
          </cell>
        </row>
        <row r="1666">
          <cell r="A1666">
            <v>42125</v>
          </cell>
          <cell r="B1666">
            <v>0</v>
          </cell>
          <cell r="C1666" t="str">
            <v>4|10|1250,4|1|5000</v>
          </cell>
          <cell r="D1666" t="str">
            <v>主角125级主线副本经验和金币奖励</v>
          </cell>
          <cell r="E1666" t="str">
            <v>4|10|1250|1,4|1|5000|1</v>
          </cell>
        </row>
        <row r="1667">
          <cell r="A1667">
            <v>42126</v>
          </cell>
          <cell r="B1667">
            <v>0</v>
          </cell>
          <cell r="C1667" t="str">
            <v>4|10|1260,4|1|5040</v>
          </cell>
          <cell r="D1667" t="str">
            <v>主角126级主线副本经验和金币奖励</v>
          </cell>
          <cell r="E1667" t="str">
            <v>4|10|1260|1,4|1|5040|1</v>
          </cell>
        </row>
        <row r="1668">
          <cell r="A1668">
            <v>42127</v>
          </cell>
          <cell r="B1668">
            <v>0</v>
          </cell>
          <cell r="C1668" t="str">
            <v>4|10|1270,4|1|5080</v>
          </cell>
          <cell r="D1668" t="str">
            <v>主角127级主线副本经验和金币奖励</v>
          </cell>
          <cell r="E1668" t="str">
            <v>4|10|1270|1,4|1|5080|1</v>
          </cell>
        </row>
        <row r="1669">
          <cell r="A1669">
            <v>42128</v>
          </cell>
          <cell r="B1669">
            <v>0</v>
          </cell>
          <cell r="C1669" t="str">
            <v>4|10|1280,4|1|5120</v>
          </cell>
          <cell r="D1669" t="str">
            <v>主角128级主线副本经验和金币奖励</v>
          </cell>
          <cell r="E1669" t="str">
            <v>4|10|1280|1,4|1|5120|1</v>
          </cell>
        </row>
        <row r="1670">
          <cell r="A1670">
            <v>42129</v>
          </cell>
          <cell r="B1670">
            <v>0</v>
          </cell>
          <cell r="C1670" t="str">
            <v>4|10|1290,4|1|5160</v>
          </cell>
          <cell r="D1670" t="str">
            <v>主角129级主线副本经验和金币奖励</v>
          </cell>
          <cell r="E1670" t="str">
            <v>4|10|1290|1,4|1|5160|1</v>
          </cell>
        </row>
        <row r="1671">
          <cell r="A1671">
            <v>42130</v>
          </cell>
          <cell r="B1671">
            <v>0</v>
          </cell>
          <cell r="C1671" t="str">
            <v>4|10|1300,4|1|5200</v>
          </cell>
          <cell r="D1671" t="str">
            <v>主角130级主线副本经验和金币奖励</v>
          </cell>
          <cell r="E1671" t="str">
            <v>4|10|1300|1,4|1|5200|1</v>
          </cell>
        </row>
        <row r="1672">
          <cell r="A1672">
            <v>42131</v>
          </cell>
          <cell r="B1672">
            <v>0</v>
          </cell>
          <cell r="C1672" t="str">
            <v>4|10|1310,4|1|5240</v>
          </cell>
          <cell r="D1672" t="str">
            <v>主角131级主线副本经验和金币奖励</v>
          </cell>
          <cell r="E1672" t="str">
            <v>4|10|1310|1,4|1|5240|1</v>
          </cell>
        </row>
        <row r="1673">
          <cell r="A1673">
            <v>42132</v>
          </cell>
          <cell r="B1673">
            <v>0</v>
          </cell>
          <cell r="C1673" t="str">
            <v>4|10|1320,4|1|5280</v>
          </cell>
          <cell r="D1673" t="str">
            <v>主角132级主线副本经验和金币奖励</v>
          </cell>
          <cell r="E1673" t="str">
            <v>4|10|1320|1,4|1|5280|1</v>
          </cell>
        </row>
        <row r="1674">
          <cell r="A1674">
            <v>42133</v>
          </cell>
          <cell r="B1674">
            <v>0</v>
          </cell>
          <cell r="C1674" t="str">
            <v>4|10|1330,4|1|5320</v>
          </cell>
          <cell r="D1674" t="str">
            <v>主角133级主线副本经验和金币奖励</v>
          </cell>
          <cell r="E1674" t="str">
            <v>4|10|1330|1,4|1|5320|1</v>
          </cell>
        </row>
        <row r="1675">
          <cell r="A1675">
            <v>42134</v>
          </cell>
          <cell r="B1675">
            <v>0</v>
          </cell>
          <cell r="C1675" t="str">
            <v>4|10|1340,4|1|5360</v>
          </cell>
          <cell r="D1675" t="str">
            <v>主角134级主线副本经验和金币奖励</v>
          </cell>
          <cell r="E1675" t="str">
            <v>4|10|1340|1,4|1|5360|1</v>
          </cell>
        </row>
        <row r="1676">
          <cell r="A1676">
            <v>42135</v>
          </cell>
          <cell r="B1676">
            <v>0</v>
          </cell>
          <cell r="C1676" t="str">
            <v>4|10|1350,4|1|5400</v>
          </cell>
          <cell r="D1676" t="str">
            <v>主角135级主线副本经验和金币奖励</v>
          </cell>
          <cell r="E1676" t="str">
            <v>4|10|1350|1,4|1|5400|1</v>
          </cell>
        </row>
        <row r="1677">
          <cell r="A1677">
            <v>42136</v>
          </cell>
          <cell r="B1677">
            <v>0</v>
          </cell>
          <cell r="C1677" t="str">
            <v>4|10|1360,4|1|5440</v>
          </cell>
          <cell r="D1677" t="str">
            <v>主角136级主线副本经验和金币奖励</v>
          </cell>
          <cell r="E1677" t="str">
            <v>4|10|1360|1,4|1|5440|1</v>
          </cell>
        </row>
        <row r="1678">
          <cell r="A1678">
            <v>42137</v>
          </cell>
          <cell r="B1678">
            <v>0</v>
          </cell>
          <cell r="C1678" t="str">
            <v>4|10|1370,4|1|5480</v>
          </cell>
          <cell r="D1678" t="str">
            <v>主角137级主线副本经验和金币奖励</v>
          </cell>
          <cell r="E1678" t="str">
            <v>4|10|1370|1,4|1|5480|1</v>
          </cell>
        </row>
        <row r="1679">
          <cell r="A1679">
            <v>42138</v>
          </cell>
          <cell r="B1679">
            <v>0</v>
          </cell>
          <cell r="C1679" t="str">
            <v>4|10|1380,4|1|5520</v>
          </cell>
          <cell r="D1679" t="str">
            <v>主角138级主线副本经验和金币奖励</v>
          </cell>
          <cell r="E1679" t="str">
            <v>4|10|1380|1,4|1|5520|1</v>
          </cell>
        </row>
        <row r="1680">
          <cell r="A1680">
            <v>42139</v>
          </cell>
          <cell r="B1680">
            <v>0</v>
          </cell>
          <cell r="C1680" t="str">
            <v>4|10|1390,4|1|5560</v>
          </cell>
          <cell r="D1680" t="str">
            <v>主角139级主线副本经验和金币奖励</v>
          </cell>
          <cell r="E1680" t="str">
            <v>4|10|1390|1,4|1|5560|1</v>
          </cell>
        </row>
        <row r="1681">
          <cell r="A1681">
            <v>42140</v>
          </cell>
          <cell r="B1681">
            <v>0</v>
          </cell>
          <cell r="C1681" t="str">
            <v>4|10|1400,4|1|5600</v>
          </cell>
          <cell r="D1681" t="str">
            <v>主角140级主线副本经验和金币奖励</v>
          </cell>
          <cell r="E1681" t="str">
            <v>4|10|1400|1,4|1|5600|1</v>
          </cell>
        </row>
        <row r="1682">
          <cell r="A1682">
            <v>42141</v>
          </cell>
          <cell r="B1682">
            <v>0</v>
          </cell>
          <cell r="C1682" t="str">
            <v>4|10|1410,4|1|5640</v>
          </cell>
          <cell r="D1682" t="str">
            <v>主角141级主线副本经验和金币奖励</v>
          </cell>
          <cell r="E1682" t="str">
            <v>4|10|1410|1,4|1|5640|1</v>
          </cell>
        </row>
        <row r="1683">
          <cell r="A1683">
            <v>42142</v>
          </cell>
          <cell r="B1683">
            <v>0</v>
          </cell>
          <cell r="C1683" t="str">
            <v>4|10|1420,4|1|5680</v>
          </cell>
          <cell r="D1683" t="str">
            <v>主角142级主线副本经验和金币奖励</v>
          </cell>
          <cell r="E1683" t="str">
            <v>4|10|1420|1,4|1|5680|1</v>
          </cell>
        </row>
        <row r="1684">
          <cell r="A1684">
            <v>42143</v>
          </cell>
          <cell r="B1684">
            <v>0</v>
          </cell>
          <cell r="C1684" t="str">
            <v>4|10|1430,4|1|5720</v>
          </cell>
          <cell r="D1684" t="str">
            <v>主角143级主线副本经验和金币奖励</v>
          </cell>
          <cell r="E1684" t="str">
            <v>4|10|1430|1,4|1|5720|1</v>
          </cell>
        </row>
        <row r="1685">
          <cell r="A1685">
            <v>42144</v>
          </cell>
          <cell r="B1685">
            <v>0</v>
          </cell>
          <cell r="C1685" t="str">
            <v>4|10|1440,4|1|5760</v>
          </cell>
          <cell r="D1685" t="str">
            <v>主角144级主线副本经验和金币奖励</v>
          </cell>
          <cell r="E1685" t="str">
            <v>4|10|1440|1,4|1|5760|1</v>
          </cell>
        </row>
        <row r="1686">
          <cell r="A1686">
            <v>42145</v>
          </cell>
          <cell r="B1686">
            <v>0</v>
          </cell>
          <cell r="C1686" t="str">
            <v>4|10|1450,4|1|5800</v>
          </cell>
          <cell r="D1686" t="str">
            <v>主角145级主线副本经验和金币奖励</v>
          </cell>
          <cell r="E1686" t="str">
            <v>4|10|1450|1,4|1|5800|1</v>
          </cell>
        </row>
        <row r="1687">
          <cell r="A1687">
            <v>42146</v>
          </cell>
          <cell r="B1687">
            <v>0</v>
          </cell>
          <cell r="C1687" t="str">
            <v>4|10|1460,4|1|5840</v>
          </cell>
          <cell r="D1687" t="str">
            <v>主角146级主线副本经验和金币奖励</v>
          </cell>
          <cell r="E1687" t="str">
            <v>4|10|1460|1,4|1|5840|1</v>
          </cell>
        </row>
        <row r="1688">
          <cell r="A1688">
            <v>42147</v>
          </cell>
          <cell r="B1688">
            <v>0</v>
          </cell>
          <cell r="C1688" t="str">
            <v>4|10|1470,4|1|5880</v>
          </cell>
          <cell r="D1688" t="str">
            <v>主角147级主线副本经验和金币奖励</v>
          </cell>
          <cell r="E1688" t="str">
            <v>4|10|1470|1,4|1|5880|1</v>
          </cell>
        </row>
        <row r="1689">
          <cell r="A1689">
            <v>42148</v>
          </cell>
          <cell r="B1689">
            <v>0</v>
          </cell>
          <cell r="C1689" t="str">
            <v>4|10|1480,4|1|5920</v>
          </cell>
          <cell r="D1689" t="str">
            <v>主角148级主线副本经验和金币奖励</v>
          </cell>
          <cell r="E1689" t="str">
            <v>4|10|1480|1,4|1|5920|1</v>
          </cell>
        </row>
        <row r="1690">
          <cell r="A1690">
            <v>42149</v>
          </cell>
          <cell r="B1690">
            <v>0</v>
          </cell>
          <cell r="C1690" t="str">
            <v>4|10|1490,4|1|5960</v>
          </cell>
          <cell r="D1690" t="str">
            <v>主角149级主线副本经验和金币奖励</v>
          </cell>
          <cell r="E1690" t="str">
            <v>4|10|1490|1,4|1|5960|1</v>
          </cell>
        </row>
        <row r="1691">
          <cell r="A1691">
            <v>42150</v>
          </cell>
          <cell r="B1691">
            <v>0</v>
          </cell>
          <cell r="C1691" t="str">
            <v>4|10|1500,4|1|6000</v>
          </cell>
          <cell r="D1691" t="str">
            <v>主角150级主线副本经验和金币奖励</v>
          </cell>
          <cell r="E1691" t="str">
            <v>4|10|1500|1,4|1|6000|1</v>
          </cell>
        </row>
        <row r="1692">
          <cell r="A1692">
            <v>42301</v>
          </cell>
          <cell r="B1692">
            <v>0</v>
          </cell>
          <cell r="C1692" t="str">
            <v>4|10|5,4|1|2000</v>
          </cell>
          <cell r="D1692" t="str">
            <v>主角1级法宝抢夺经验和金币奖励</v>
          </cell>
          <cell r="E1692" t="str">
            <v>4|10|5|1,4|1|2000|1</v>
          </cell>
        </row>
        <row r="1693">
          <cell r="A1693">
            <v>42302</v>
          </cell>
          <cell r="B1693">
            <v>0</v>
          </cell>
          <cell r="C1693" t="str">
            <v>4|10|10,4|1|2000</v>
          </cell>
          <cell r="D1693" t="str">
            <v>主角2级法宝抢夺经验和金币奖励</v>
          </cell>
          <cell r="E1693" t="str">
            <v>4|10|10|1,4|1|2000|1</v>
          </cell>
        </row>
        <row r="1694">
          <cell r="A1694">
            <v>42303</v>
          </cell>
          <cell r="B1694">
            <v>0</v>
          </cell>
          <cell r="C1694" t="str">
            <v>4|10|15,4|1|2000</v>
          </cell>
          <cell r="D1694" t="str">
            <v>主角3级法宝抢夺经验和金币奖励</v>
          </cell>
          <cell r="E1694" t="str">
            <v>4|10|15|1,4|1|2000|1</v>
          </cell>
        </row>
        <row r="1695">
          <cell r="A1695">
            <v>42304</v>
          </cell>
          <cell r="B1695">
            <v>0</v>
          </cell>
          <cell r="C1695" t="str">
            <v>4|10|20,4|1|2000</v>
          </cell>
          <cell r="D1695" t="str">
            <v>主角4级法宝抢夺经验和金币奖励</v>
          </cell>
          <cell r="E1695" t="str">
            <v>4|10|20|1,4|1|2000|1</v>
          </cell>
        </row>
        <row r="1696">
          <cell r="A1696">
            <v>42305</v>
          </cell>
          <cell r="B1696">
            <v>0</v>
          </cell>
          <cell r="C1696" t="str">
            <v>4|10|25,4|1|2000</v>
          </cell>
          <cell r="D1696" t="str">
            <v>主角5级法宝抢夺经验和金币奖励</v>
          </cell>
          <cell r="E1696" t="str">
            <v>4|10|25|1,4|1|2000|1</v>
          </cell>
        </row>
        <row r="1697">
          <cell r="A1697">
            <v>42306</v>
          </cell>
          <cell r="B1697">
            <v>0</v>
          </cell>
          <cell r="C1697" t="str">
            <v>4|10|30,4|1|2000</v>
          </cell>
          <cell r="D1697" t="str">
            <v>主角6级法宝抢夺经验和金币奖励</v>
          </cell>
          <cell r="E1697" t="str">
            <v>4|10|30|1,4|1|2000|1</v>
          </cell>
        </row>
        <row r="1698">
          <cell r="A1698">
            <v>42307</v>
          </cell>
          <cell r="B1698">
            <v>0</v>
          </cell>
          <cell r="C1698" t="str">
            <v>4|10|35,4|1|2000</v>
          </cell>
          <cell r="D1698" t="str">
            <v>主角7级法宝抢夺经验和金币奖励</v>
          </cell>
          <cell r="E1698" t="str">
            <v>4|10|35|1,4|1|2000|1</v>
          </cell>
        </row>
        <row r="1699">
          <cell r="A1699">
            <v>42308</v>
          </cell>
          <cell r="B1699">
            <v>0</v>
          </cell>
          <cell r="C1699" t="str">
            <v>4|10|40,4|1|2000</v>
          </cell>
          <cell r="D1699" t="str">
            <v>主角8级法宝抢夺经验和金币奖励</v>
          </cell>
          <cell r="E1699" t="str">
            <v>4|10|40|1,4|1|2000|1</v>
          </cell>
        </row>
        <row r="1700">
          <cell r="A1700">
            <v>42309</v>
          </cell>
          <cell r="B1700">
            <v>0</v>
          </cell>
          <cell r="C1700" t="str">
            <v>4|10|45,4|1|2000</v>
          </cell>
          <cell r="D1700" t="str">
            <v>主角9级法宝抢夺经验和金币奖励</v>
          </cell>
          <cell r="E1700" t="str">
            <v>4|10|45|1,4|1|2000|1</v>
          </cell>
        </row>
        <row r="1701">
          <cell r="A1701">
            <v>42310</v>
          </cell>
          <cell r="B1701">
            <v>0</v>
          </cell>
          <cell r="C1701" t="str">
            <v>4|10|50,4|1|2000</v>
          </cell>
          <cell r="D1701" t="str">
            <v>主角10级法宝抢夺经验和金币奖励</v>
          </cell>
          <cell r="E1701" t="str">
            <v>4|10|50|1,4|1|2000|1</v>
          </cell>
        </row>
        <row r="1702">
          <cell r="A1702">
            <v>42311</v>
          </cell>
          <cell r="B1702">
            <v>0</v>
          </cell>
          <cell r="C1702" t="str">
            <v>4|10|55,4|1|2000</v>
          </cell>
          <cell r="D1702" t="str">
            <v>主角11级法宝抢夺经验和金币奖励</v>
          </cell>
          <cell r="E1702" t="str">
            <v>4|10|55|1,4|1|2000|1</v>
          </cell>
        </row>
        <row r="1703">
          <cell r="A1703">
            <v>42312</v>
          </cell>
          <cell r="B1703">
            <v>0</v>
          </cell>
          <cell r="C1703" t="str">
            <v>4|10|60,4|1|2000</v>
          </cell>
          <cell r="D1703" t="str">
            <v>主角12级法宝抢夺经验和金币奖励</v>
          </cell>
          <cell r="E1703" t="str">
            <v>4|10|60|1,4|1|2000|1</v>
          </cell>
        </row>
        <row r="1704">
          <cell r="A1704">
            <v>42313</v>
          </cell>
          <cell r="B1704">
            <v>0</v>
          </cell>
          <cell r="C1704" t="str">
            <v>4|10|65,4|1|2000</v>
          </cell>
          <cell r="D1704" t="str">
            <v>主角13级法宝抢夺经验和金币奖励</v>
          </cell>
          <cell r="E1704" t="str">
            <v>4|10|65|1,4|1|2000|1</v>
          </cell>
        </row>
        <row r="1705">
          <cell r="A1705">
            <v>42314</v>
          </cell>
          <cell r="B1705">
            <v>0</v>
          </cell>
          <cell r="C1705" t="str">
            <v>4|10|70,4|1|2000</v>
          </cell>
          <cell r="D1705" t="str">
            <v>主角14级法宝抢夺经验和金币奖励</v>
          </cell>
          <cell r="E1705" t="str">
            <v>4|10|70|1,4|1|2000|1</v>
          </cell>
        </row>
        <row r="1706">
          <cell r="A1706">
            <v>42315</v>
          </cell>
          <cell r="B1706">
            <v>0</v>
          </cell>
          <cell r="C1706" t="str">
            <v>4|10|75,4|1|2000</v>
          </cell>
          <cell r="D1706" t="str">
            <v>主角15级法宝抢夺经验和金币奖励</v>
          </cell>
          <cell r="E1706" t="str">
            <v>4|10|75|1,4|1|2000|1</v>
          </cell>
        </row>
        <row r="1707">
          <cell r="A1707">
            <v>42316</v>
          </cell>
          <cell r="B1707">
            <v>0</v>
          </cell>
          <cell r="C1707" t="str">
            <v>4|10|80,4|1|2000</v>
          </cell>
          <cell r="D1707" t="str">
            <v>主角16级法宝抢夺经验和金币奖励</v>
          </cell>
          <cell r="E1707" t="str">
            <v>4|10|80|1,4|1|2000|1</v>
          </cell>
        </row>
        <row r="1708">
          <cell r="A1708">
            <v>42317</v>
          </cell>
          <cell r="B1708">
            <v>0</v>
          </cell>
          <cell r="C1708" t="str">
            <v>4|10|85,4|1|2000</v>
          </cell>
          <cell r="D1708" t="str">
            <v>主角17级法宝抢夺经验和金币奖励</v>
          </cell>
          <cell r="E1708" t="str">
            <v>4|10|85|1,4|1|2000|1</v>
          </cell>
        </row>
        <row r="1709">
          <cell r="A1709">
            <v>42318</v>
          </cell>
          <cell r="B1709">
            <v>0</v>
          </cell>
          <cell r="C1709" t="str">
            <v>4|10|90,4|1|2000</v>
          </cell>
          <cell r="D1709" t="str">
            <v>主角18级法宝抢夺经验和金币奖励</v>
          </cell>
          <cell r="E1709" t="str">
            <v>4|10|90|1,4|1|2000|1</v>
          </cell>
        </row>
        <row r="1710">
          <cell r="A1710">
            <v>42319</v>
          </cell>
          <cell r="B1710">
            <v>0</v>
          </cell>
          <cell r="C1710" t="str">
            <v>4|10|95,4|1|2000</v>
          </cell>
          <cell r="D1710" t="str">
            <v>主角19级法宝抢夺经验和金币奖励</v>
          </cell>
          <cell r="E1710" t="str">
            <v>4|10|95|1,4|1|2000|1</v>
          </cell>
        </row>
        <row r="1711">
          <cell r="A1711">
            <v>42320</v>
          </cell>
          <cell r="B1711">
            <v>0</v>
          </cell>
          <cell r="C1711" t="str">
            <v>4|10|100,4|1|2000</v>
          </cell>
          <cell r="D1711" t="str">
            <v>主角20级法宝抢夺经验和金币奖励</v>
          </cell>
          <cell r="E1711" t="str">
            <v>4|10|100|1,4|1|2000|1</v>
          </cell>
        </row>
        <row r="1712">
          <cell r="A1712">
            <v>42321</v>
          </cell>
          <cell r="B1712">
            <v>0</v>
          </cell>
          <cell r="C1712" t="str">
            <v>4|10|105,4|1|2000</v>
          </cell>
          <cell r="D1712" t="str">
            <v>主角21级法宝抢夺经验和金币奖励</v>
          </cell>
          <cell r="E1712" t="str">
            <v>4|10|105|1,4|1|2000|1</v>
          </cell>
        </row>
        <row r="1713">
          <cell r="A1713">
            <v>42322</v>
          </cell>
          <cell r="B1713">
            <v>0</v>
          </cell>
          <cell r="C1713" t="str">
            <v>4|10|110,4|1|2000</v>
          </cell>
          <cell r="D1713" t="str">
            <v>主角22级法宝抢夺经验和金币奖励</v>
          </cell>
          <cell r="E1713" t="str">
            <v>4|10|110|1,4|1|2000|1</v>
          </cell>
        </row>
        <row r="1714">
          <cell r="A1714">
            <v>42323</v>
          </cell>
          <cell r="B1714">
            <v>0</v>
          </cell>
          <cell r="C1714" t="str">
            <v>4|10|115,4|1|2000</v>
          </cell>
          <cell r="D1714" t="str">
            <v>主角23级法宝抢夺经验和金币奖励</v>
          </cell>
          <cell r="E1714" t="str">
            <v>4|10|115|1,4|1|2000|1</v>
          </cell>
        </row>
        <row r="1715">
          <cell r="A1715">
            <v>42324</v>
          </cell>
          <cell r="B1715">
            <v>0</v>
          </cell>
          <cell r="C1715" t="str">
            <v>4|10|120,4|1|2000</v>
          </cell>
          <cell r="D1715" t="str">
            <v>主角24级法宝抢夺经验和金币奖励</v>
          </cell>
          <cell r="E1715" t="str">
            <v>4|10|120|1,4|1|2000|1</v>
          </cell>
        </row>
        <row r="1716">
          <cell r="A1716">
            <v>42325</v>
          </cell>
          <cell r="B1716">
            <v>0</v>
          </cell>
          <cell r="C1716" t="str">
            <v>4|10|125,4|1|2000</v>
          </cell>
          <cell r="D1716" t="str">
            <v>主角25级法宝抢夺经验和金币奖励</v>
          </cell>
          <cell r="E1716" t="str">
            <v>4|10|125|1,4|1|2000|1</v>
          </cell>
        </row>
        <row r="1717">
          <cell r="A1717">
            <v>42326</v>
          </cell>
          <cell r="B1717">
            <v>0</v>
          </cell>
          <cell r="C1717" t="str">
            <v>4|10|130,4|1|2000</v>
          </cell>
          <cell r="D1717" t="str">
            <v>主角26级法宝抢夺经验和金币奖励</v>
          </cell>
          <cell r="E1717" t="str">
            <v>4|10|130|1,4|1|2000|1</v>
          </cell>
        </row>
        <row r="1718">
          <cell r="A1718">
            <v>42327</v>
          </cell>
          <cell r="B1718">
            <v>0</v>
          </cell>
          <cell r="C1718" t="str">
            <v>4|10|135,4|1|2000</v>
          </cell>
          <cell r="D1718" t="str">
            <v>主角27级法宝抢夺经验和金币奖励</v>
          </cell>
          <cell r="E1718" t="str">
            <v>4|10|135|1,4|1|2000|1</v>
          </cell>
        </row>
        <row r="1719">
          <cell r="A1719">
            <v>42328</v>
          </cell>
          <cell r="B1719">
            <v>0</v>
          </cell>
          <cell r="C1719" t="str">
            <v>4|10|140,4|1|2000</v>
          </cell>
          <cell r="D1719" t="str">
            <v>主角28级法宝抢夺经验和金币奖励</v>
          </cell>
          <cell r="E1719" t="str">
            <v>4|10|140|1,4|1|2000|1</v>
          </cell>
        </row>
        <row r="1720">
          <cell r="A1720">
            <v>42329</v>
          </cell>
          <cell r="B1720">
            <v>0</v>
          </cell>
          <cell r="C1720" t="str">
            <v>4|10|145,4|1|2000</v>
          </cell>
          <cell r="D1720" t="str">
            <v>主角29级法宝抢夺经验和金币奖励</v>
          </cell>
          <cell r="E1720" t="str">
            <v>4|10|145|1,4|1|2000|1</v>
          </cell>
        </row>
        <row r="1721">
          <cell r="A1721">
            <v>42330</v>
          </cell>
          <cell r="B1721">
            <v>0</v>
          </cell>
          <cell r="C1721" t="str">
            <v>4|10|150,4|1|2000</v>
          </cell>
          <cell r="D1721" t="str">
            <v>主角30级法宝抢夺经验和金币奖励</v>
          </cell>
          <cell r="E1721" t="str">
            <v>4|10|150|1,4|1|2000|1</v>
          </cell>
        </row>
        <row r="1722">
          <cell r="A1722">
            <v>42331</v>
          </cell>
          <cell r="B1722">
            <v>0</v>
          </cell>
          <cell r="C1722" t="str">
            <v>4|10|155,4|1|2000</v>
          </cell>
          <cell r="D1722" t="str">
            <v>主角31级法宝抢夺经验和金币奖励</v>
          </cell>
          <cell r="E1722" t="str">
            <v>4|10|155|1,4|1|2000|1</v>
          </cell>
        </row>
        <row r="1723">
          <cell r="A1723">
            <v>42332</v>
          </cell>
          <cell r="B1723">
            <v>0</v>
          </cell>
          <cell r="C1723" t="str">
            <v>4|10|160,4|1|2000</v>
          </cell>
          <cell r="D1723" t="str">
            <v>主角32级法宝抢夺经验和金币奖励</v>
          </cell>
          <cell r="E1723" t="str">
            <v>4|10|160|1,4|1|2000|1</v>
          </cell>
        </row>
        <row r="1724">
          <cell r="A1724">
            <v>42333</v>
          </cell>
          <cell r="B1724">
            <v>0</v>
          </cell>
          <cell r="C1724" t="str">
            <v>4|10|165,4|1|2000</v>
          </cell>
          <cell r="D1724" t="str">
            <v>主角33级法宝抢夺经验和金币奖励</v>
          </cell>
          <cell r="E1724" t="str">
            <v>4|10|165|1,4|1|2000|1</v>
          </cell>
        </row>
        <row r="1725">
          <cell r="A1725">
            <v>42334</v>
          </cell>
          <cell r="B1725">
            <v>0</v>
          </cell>
          <cell r="C1725" t="str">
            <v>4|10|170,4|1|2000</v>
          </cell>
          <cell r="D1725" t="str">
            <v>主角34级法宝抢夺经验和金币奖励</v>
          </cell>
          <cell r="E1725" t="str">
            <v>4|10|170|1,4|1|2000|1</v>
          </cell>
        </row>
        <row r="1726">
          <cell r="A1726">
            <v>42335</v>
          </cell>
          <cell r="B1726">
            <v>0</v>
          </cell>
          <cell r="C1726" t="str">
            <v>4|10|175,4|1|2000</v>
          </cell>
          <cell r="D1726" t="str">
            <v>主角35级法宝抢夺经验和金币奖励</v>
          </cell>
          <cell r="E1726" t="str">
            <v>4|10|175|1,4|1|2000|1</v>
          </cell>
        </row>
        <row r="1727">
          <cell r="A1727">
            <v>42336</v>
          </cell>
          <cell r="B1727">
            <v>0</v>
          </cell>
          <cell r="C1727" t="str">
            <v>4|10|180,4|1|2000</v>
          </cell>
          <cell r="D1727" t="str">
            <v>主角36级法宝抢夺经验和金币奖励</v>
          </cell>
          <cell r="E1727" t="str">
            <v>4|10|180|1,4|1|2000|1</v>
          </cell>
        </row>
        <row r="1728">
          <cell r="A1728">
            <v>42337</v>
          </cell>
          <cell r="B1728">
            <v>0</v>
          </cell>
          <cell r="C1728" t="str">
            <v>4|10|185,4|1|2000</v>
          </cell>
          <cell r="D1728" t="str">
            <v>主角37级法宝抢夺经验和金币奖励</v>
          </cell>
          <cell r="E1728" t="str">
            <v>4|10|185|1,4|1|2000|1</v>
          </cell>
        </row>
        <row r="1729">
          <cell r="A1729">
            <v>42338</v>
          </cell>
          <cell r="B1729">
            <v>0</v>
          </cell>
          <cell r="C1729" t="str">
            <v>4|10|190,4|1|2000</v>
          </cell>
          <cell r="D1729" t="str">
            <v>主角38级法宝抢夺经验和金币奖励</v>
          </cell>
          <cell r="E1729" t="str">
            <v>4|10|190|1,4|1|2000|1</v>
          </cell>
        </row>
        <row r="1730">
          <cell r="A1730">
            <v>42339</v>
          </cell>
          <cell r="B1730">
            <v>0</v>
          </cell>
          <cell r="C1730" t="str">
            <v>4|10|195,4|1|2000</v>
          </cell>
          <cell r="D1730" t="str">
            <v>主角39级法宝抢夺经验和金币奖励</v>
          </cell>
          <cell r="E1730" t="str">
            <v>4|10|195|1,4|1|2000|1</v>
          </cell>
        </row>
        <row r="1731">
          <cell r="A1731">
            <v>42340</v>
          </cell>
          <cell r="B1731">
            <v>0</v>
          </cell>
          <cell r="C1731" t="str">
            <v>4|10|200,4|1|2000</v>
          </cell>
          <cell r="D1731" t="str">
            <v>主角40级法宝抢夺经验和金币奖励</v>
          </cell>
          <cell r="E1731" t="str">
            <v>4|10|200|1,4|1|2000|1</v>
          </cell>
        </row>
        <row r="1732">
          <cell r="A1732">
            <v>42341</v>
          </cell>
          <cell r="B1732">
            <v>0</v>
          </cell>
          <cell r="C1732" t="str">
            <v>4|10|205,4|1|2000</v>
          </cell>
          <cell r="D1732" t="str">
            <v>主角41级法宝抢夺经验和金币奖励</v>
          </cell>
          <cell r="E1732" t="str">
            <v>4|10|205|1,4|1|2000|1</v>
          </cell>
        </row>
        <row r="1733">
          <cell r="A1733">
            <v>42342</v>
          </cell>
          <cell r="B1733">
            <v>0</v>
          </cell>
          <cell r="C1733" t="str">
            <v>4|10|210,4|1|2000</v>
          </cell>
          <cell r="D1733" t="str">
            <v>主角42级法宝抢夺经验和金币奖励</v>
          </cell>
          <cell r="E1733" t="str">
            <v>4|10|210|1,4|1|2000|1</v>
          </cell>
        </row>
        <row r="1734">
          <cell r="A1734">
            <v>42343</v>
          </cell>
          <cell r="B1734">
            <v>0</v>
          </cell>
          <cell r="C1734" t="str">
            <v>4|10|215,4|1|2000</v>
          </cell>
          <cell r="D1734" t="str">
            <v>主角43级法宝抢夺经验和金币奖励</v>
          </cell>
          <cell r="E1734" t="str">
            <v>4|10|215|1,4|1|2000|1</v>
          </cell>
        </row>
        <row r="1735">
          <cell r="A1735">
            <v>42344</v>
          </cell>
          <cell r="B1735">
            <v>0</v>
          </cell>
          <cell r="C1735" t="str">
            <v>4|10|220,4|1|2000</v>
          </cell>
          <cell r="D1735" t="str">
            <v>主角44级法宝抢夺经验和金币奖励</v>
          </cell>
          <cell r="E1735" t="str">
            <v>4|10|220|1,4|1|2000|1</v>
          </cell>
        </row>
        <row r="1736">
          <cell r="A1736">
            <v>42345</v>
          </cell>
          <cell r="B1736">
            <v>0</v>
          </cell>
          <cell r="C1736" t="str">
            <v>4|10|225,4|1|2000</v>
          </cell>
          <cell r="D1736" t="str">
            <v>主角45级法宝抢夺经验和金币奖励</v>
          </cell>
          <cell r="E1736" t="str">
            <v>4|10|225|1,4|1|2000|1</v>
          </cell>
        </row>
        <row r="1737">
          <cell r="A1737">
            <v>42346</v>
          </cell>
          <cell r="B1737">
            <v>0</v>
          </cell>
          <cell r="C1737" t="str">
            <v>4|10|230,4|1|2000</v>
          </cell>
          <cell r="D1737" t="str">
            <v>主角46级法宝抢夺经验和金币奖励</v>
          </cell>
          <cell r="E1737" t="str">
            <v>4|10|230|1,4|1|2000|1</v>
          </cell>
        </row>
        <row r="1738">
          <cell r="A1738">
            <v>42347</v>
          </cell>
          <cell r="B1738">
            <v>0</v>
          </cell>
          <cell r="C1738" t="str">
            <v>4|10|235,4|1|2000</v>
          </cell>
          <cell r="D1738" t="str">
            <v>主角47级法宝抢夺经验和金币奖励</v>
          </cell>
          <cell r="E1738" t="str">
            <v>4|10|235|1,4|1|2000|1</v>
          </cell>
        </row>
        <row r="1739">
          <cell r="A1739">
            <v>42348</v>
          </cell>
          <cell r="B1739">
            <v>0</v>
          </cell>
          <cell r="C1739" t="str">
            <v>4|10|240,4|1|2000</v>
          </cell>
          <cell r="D1739" t="str">
            <v>主角48级法宝抢夺经验和金币奖励</v>
          </cell>
          <cell r="E1739" t="str">
            <v>4|10|240|1,4|1|2000|1</v>
          </cell>
        </row>
        <row r="1740">
          <cell r="A1740">
            <v>42349</v>
          </cell>
          <cell r="B1740">
            <v>0</v>
          </cell>
          <cell r="C1740" t="str">
            <v>4|10|245,4|1|2000</v>
          </cell>
          <cell r="D1740" t="str">
            <v>主角49级法宝抢夺经验和金币奖励</v>
          </cell>
          <cell r="E1740" t="str">
            <v>4|10|245|1,4|1|2000|1</v>
          </cell>
        </row>
        <row r="1741">
          <cell r="A1741">
            <v>42350</v>
          </cell>
          <cell r="B1741">
            <v>0</v>
          </cell>
          <cell r="C1741" t="str">
            <v>4|10|250,4|1|2000</v>
          </cell>
          <cell r="D1741" t="str">
            <v>主角50级法宝抢夺经验和金币奖励</v>
          </cell>
          <cell r="E1741" t="str">
            <v>4|10|250|1,4|1|2000|1</v>
          </cell>
        </row>
        <row r="1742">
          <cell r="A1742">
            <v>42351</v>
          </cell>
          <cell r="B1742">
            <v>0</v>
          </cell>
          <cell r="C1742" t="str">
            <v>4|10|255,4|1|2000</v>
          </cell>
          <cell r="D1742" t="str">
            <v>主角51级法宝抢夺经验和金币奖励</v>
          </cell>
          <cell r="E1742" t="str">
            <v>4|10|255|1,4|1|2000|1</v>
          </cell>
        </row>
        <row r="1743">
          <cell r="A1743">
            <v>42352</v>
          </cell>
          <cell r="B1743">
            <v>0</v>
          </cell>
          <cell r="C1743" t="str">
            <v>4|10|260,4|1|2000</v>
          </cell>
          <cell r="D1743" t="str">
            <v>主角52级法宝抢夺经验和金币奖励</v>
          </cell>
          <cell r="E1743" t="str">
            <v>4|10|260|1,4|1|2000|1</v>
          </cell>
        </row>
        <row r="1744">
          <cell r="A1744">
            <v>42353</v>
          </cell>
          <cell r="B1744">
            <v>0</v>
          </cell>
          <cell r="C1744" t="str">
            <v>4|10|265,4|1|2000</v>
          </cell>
          <cell r="D1744" t="str">
            <v>主角53级法宝抢夺经验和金币奖励</v>
          </cell>
          <cell r="E1744" t="str">
            <v>4|10|265|1,4|1|2000|1</v>
          </cell>
        </row>
        <row r="1745">
          <cell r="A1745">
            <v>42354</v>
          </cell>
          <cell r="B1745">
            <v>0</v>
          </cell>
          <cell r="C1745" t="str">
            <v>4|10|270,4|1|2000</v>
          </cell>
          <cell r="D1745" t="str">
            <v>主角54级法宝抢夺经验和金币奖励</v>
          </cell>
          <cell r="E1745" t="str">
            <v>4|10|270|1,4|1|2000|1</v>
          </cell>
        </row>
        <row r="1746">
          <cell r="A1746">
            <v>42355</v>
          </cell>
          <cell r="B1746">
            <v>0</v>
          </cell>
          <cell r="C1746" t="str">
            <v>4|10|275,4|1|2000</v>
          </cell>
          <cell r="D1746" t="str">
            <v>主角55级法宝抢夺经验和金币奖励</v>
          </cell>
          <cell r="E1746" t="str">
            <v>4|10|275|1,4|1|2000|1</v>
          </cell>
        </row>
        <row r="1747">
          <cell r="A1747">
            <v>42356</v>
          </cell>
          <cell r="B1747">
            <v>0</v>
          </cell>
          <cell r="C1747" t="str">
            <v>4|10|280,4|1|2000</v>
          </cell>
          <cell r="D1747" t="str">
            <v>主角56级法宝抢夺经验和金币奖励</v>
          </cell>
          <cell r="E1747" t="str">
            <v>4|10|280|1,4|1|2000|1</v>
          </cell>
        </row>
        <row r="1748">
          <cell r="A1748">
            <v>42357</v>
          </cell>
          <cell r="B1748">
            <v>0</v>
          </cell>
          <cell r="C1748" t="str">
            <v>4|10|285,4|1|2000</v>
          </cell>
          <cell r="D1748" t="str">
            <v>主角57级法宝抢夺经验和金币奖励</v>
          </cell>
          <cell r="E1748" t="str">
            <v>4|10|285|1,4|1|2000|1</v>
          </cell>
        </row>
        <row r="1749">
          <cell r="A1749">
            <v>42358</v>
          </cell>
          <cell r="B1749">
            <v>0</v>
          </cell>
          <cell r="C1749" t="str">
            <v>4|10|290,4|1|2000</v>
          </cell>
          <cell r="D1749" t="str">
            <v>主角58级法宝抢夺经验和金币奖励</v>
          </cell>
          <cell r="E1749" t="str">
            <v>4|10|290|1,4|1|2000|1</v>
          </cell>
        </row>
        <row r="1750">
          <cell r="A1750">
            <v>42359</v>
          </cell>
          <cell r="B1750">
            <v>0</v>
          </cell>
          <cell r="C1750" t="str">
            <v>4|10|295,4|1|2000</v>
          </cell>
          <cell r="D1750" t="str">
            <v>主角59级法宝抢夺经验和金币奖励</v>
          </cell>
          <cell r="E1750" t="str">
            <v>4|10|295|1,4|1|2000|1</v>
          </cell>
        </row>
        <row r="1751">
          <cell r="A1751">
            <v>42360</v>
          </cell>
          <cell r="B1751">
            <v>0</v>
          </cell>
          <cell r="C1751" t="str">
            <v>4|10|300,4|1|2000</v>
          </cell>
          <cell r="D1751" t="str">
            <v>主角60级法宝抢夺经验和金币奖励</v>
          </cell>
          <cell r="E1751" t="str">
            <v>4|10|300|1,4|1|2000|1</v>
          </cell>
        </row>
        <row r="1752">
          <cell r="A1752">
            <v>42361</v>
          </cell>
          <cell r="B1752">
            <v>0</v>
          </cell>
          <cell r="C1752" t="str">
            <v>4|10|305,4|1|2000</v>
          </cell>
          <cell r="D1752" t="str">
            <v>主角61级法宝抢夺经验和金币奖励</v>
          </cell>
          <cell r="E1752" t="str">
            <v>4|10|305|1,4|1|2000|1</v>
          </cell>
        </row>
        <row r="1753">
          <cell r="A1753">
            <v>42362</v>
          </cell>
          <cell r="B1753">
            <v>0</v>
          </cell>
          <cell r="C1753" t="str">
            <v>4|10|310,4|1|2000</v>
          </cell>
          <cell r="D1753" t="str">
            <v>主角62级法宝抢夺经验和金币奖励</v>
          </cell>
          <cell r="E1753" t="str">
            <v>4|10|310|1,4|1|2000|1</v>
          </cell>
        </row>
        <row r="1754">
          <cell r="A1754">
            <v>42363</v>
          </cell>
          <cell r="B1754">
            <v>0</v>
          </cell>
          <cell r="C1754" t="str">
            <v>4|10|315,4|1|2000</v>
          </cell>
          <cell r="D1754" t="str">
            <v>主角63级法宝抢夺经验和金币奖励</v>
          </cell>
          <cell r="E1754" t="str">
            <v>4|10|315|1,4|1|2000|1</v>
          </cell>
        </row>
        <row r="1755">
          <cell r="A1755">
            <v>42364</v>
          </cell>
          <cell r="B1755">
            <v>0</v>
          </cell>
          <cell r="C1755" t="str">
            <v>4|10|320,4|1|2000</v>
          </cell>
          <cell r="D1755" t="str">
            <v>主角64级法宝抢夺经验和金币奖励</v>
          </cell>
          <cell r="E1755" t="str">
            <v>4|10|320|1,4|1|2000|1</v>
          </cell>
        </row>
        <row r="1756">
          <cell r="A1756">
            <v>42365</v>
          </cell>
          <cell r="B1756">
            <v>0</v>
          </cell>
          <cell r="C1756" t="str">
            <v>4|10|325,4|1|2000</v>
          </cell>
          <cell r="D1756" t="str">
            <v>主角65级法宝抢夺经验和金币奖励</v>
          </cell>
          <cell r="E1756" t="str">
            <v>4|10|325|1,4|1|2000|1</v>
          </cell>
        </row>
        <row r="1757">
          <cell r="A1757">
            <v>42366</v>
          </cell>
          <cell r="B1757">
            <v>0</v>
          </cell>
          <cell r="C1757" t="str">
            <v>4|10|330,4|1|2000</v>
          </cell>
          <cell r="D1757" t="str">
            <v>主角66级法宝抢夺经验和金币奖励</v>
          </cell>
          <cell r="E1757" t="str">
            <v>4|10|330|1,4|1|2000|1</v>
          </cell>
        </row>
        <row r="1758">
          <cell r="A1758">
            <v>42367</v>
          </cell>
          <cell r="B1758">
            <v>0</v>
          </cell>
          <cell r="C1758" t="str">
            <v>4|10|335,4|1|2000</v>
          </cell>
          <cell r="D1758" t="str">
            <v>主角67级法宝抢夺经验和金币奖励</v>
          </cell>
          <cell r="E1758" t="str">
            <v>4|10|335|1,4|1|2000|1</v>
          </cell>
        </row>
        <row r="1759">
          <cell r="A1759">
            <v>42368</v>
          </cell>
          <cell r="B1759">
            <v>0</v>
          </cell>
          <cell r="C1759" t="str">
            <v>4|10|340,4|1|2000</v>
          </cell>
          <cell r="D1759" t="str">
            <v>主角68级法宝抢夺经验和金币奖励</v>
          </cell>
          <cell r="E1759" t="str">
            <v>4|10|340|1,4|1|2000|1</v>
          </cell>
        </row>
        <row r="1760">
          <cell r="A1760">
            <v>42369</v>
          </cell>
          <cell r="B1760">
            <v>0</v>
          </cell>
          <cell r="C1760" t="str">
            <v>4|10|345,4|1|2000</v>
          </cell>
          <cell r="D1760" t="str">
            <v>主角69级法宝抢夺经验和金币奖励</v>
          </cell>
          <cell r="E1760" t="str">
            <v>4|10|345|1,4|1|2000|1</v>
          </cell>
        </row>
        <row r="1761">
          <cell r="A1761">
            <v>42370</v>
          </cell>
          <cell r="B1761">
            <v>0</v>
          </cell>
          <cell r="C1761" t="str">
            <v>4|10|350,4|1|2000</v>
          </cell>
          <cell r="D1761" t="str">
            <v>主角70级法宝抢夺经验和金币奖励</v>
          </cell>
          <cell r="E1761" t="str">
            <v>4|10|350|1,4|1|2000|1</v>
          </cell>
        </row>
        <row r="1762">
          <cell r="A1762">
            <v>42371</v>
          </cell>
          <cell r="B1762">
            <v>0</v>
          </cell>
          <cell r="C1762" t="str">
            <v>4|10|355,4|1|2000</v>
          </cell>
          <cell r="D1762" t="str">
            <v>主角71级法宝抢夺经验和金币奖励</v>
          </cell>
          <cell r="E1762" t="str">
            <v>4|10|355|1,4|1|2000|1</v>
          </cell>
        </row>
        <row r="1763">
          <cell r="A1763">
            <v>42372</v>
          </cell>
          <cell r="B1763">
            <v>0</v>
          </cell>
          <cell r="C1763" t="str">
            <v>4|10|360,4|1|2000</v>
          </cell>
          <cell r="D1763" t="str">
            <v>主角72级法宝抢夺经验和金币奖励</v>
          </cell>
          <cell r="E1763" t="str">
            <v>4|10|360|1,4|1|2000|1</v>
          </cell>
        </row>
        <row r="1764">
          <cell r="A1764">
            <v>42373</v>
          </cell>
          <cell r="B1764">
            <v>0</v>
          </cell>
          <cell r="C1764" t="str">
            <v>4|10|365,4|1|2000</v>
          </cell>
          <cell r="D1764" t="str">
            <v>主角73级法宝抢夺经验和金币奖励</v>
          </cell>
          <cell r="E1764" t="str">
            <v>4|10|365|1,4|1|2000|1</v>
          </cell>
        </row>
        <row r="1765">
          <cell r="A1765">
            <v>42374</v>
          </cell>
          <cell r="B1765">
            <v>0</v>
          </cell>
          <cell r="C1765" t="str">
            <v>4|10|370,4|1|2000</v>
          </cell>
          <cell r="D1765" t="str">
            <v>主角74级法宝抢夺经验和金币奖励</v>
          </cell>
          <cell r="E1765" t="str">
            <v>4|10|370|1,4|1|2000|1</v>
          </cell>
        </row>
        <row r="1766">
          <cell r="A1766">
            <v>42375</v>
          </cell>
          <cell r="B1766">
            <v>0</v>
          </cell>
          <cell r="C1766" t="str">
            <v>4|10|375,4|1|2000</v>
          </cell>
          <cell r="D1766" t="str">
            <v>主角75级法宝抢夺经验和金币奖励</v>
          </cell>
          <cell r="E1766" t="str">
            <v>4|10|375|1,4|1|2000|1</v>
          </cell>
        </row>
        <row r="1767">
          <cell r="A1767">
            <v>42376</v>
          </cell>
          <cell r="B1767">
            <v>0</v>
          </cell>
          <cell r="C1767" t="str">
            <v>4|10|380,4|1|2000</v>
          </cell>
          <cell r="D1767" t="str">
            <v>主角76级法宝抢夺经验和金币奖励</v>
          </cell>
          <cell r="E1767" t="str">
            <v>4|10|380|1,4|1|2000|1</v>
          </cell>
        </row>
        <row r="1768">
          <cell r="A1768">
            <v>42377</v>
          </cell>
          <cell r="B1768">
            <v>0</v>
          </cell>
          <cell r="C1768" t="str">
            <v>4|10|385,4|1|2000</v>
          </cell>
          <cell r="D1768" t="str">
            <v>主角77级法宝抢夺经验和金币奖励</v>
          </cell>
          <cell r="E1768" t="str">
            <v>4|10|385|1,4|1|2000|1</v>
          </cell>
        </row>
        <row r="1769">
          <cell r="A1769">
            <v>42378</v>
          </cell>
          <cell r="B1769">
            <v>0</v>
          </cell>
          <cell r="C1769" t="str">
            <v>4|10|390,4|1|2000</v>
          </cell>
          <cell r="D1769" t="str">
            <v>主角78级法宝抢夺经验和金币奖励</v>
          </cell>
          <cell r="E1769" t="str">
            <v>4|10|390|1,4|1|2000|1</v>
          </cell>
        </row>
        <row r="1770">
          <cell r="A1770">
            <v>42379</v>
          </cell>
          <cell r="B1770">
            <v>0</v>
          </cell>
          <cell r="C1770" t="str">
            <v>4|10|395,4|1|2000</v>
          </cell>
          <cell r="D1770" t="str">
            <v>主角79级法宝抢夺经验和金币奖励</v>
          </cell>
          <cell r="E1770" t="str">
            <v>4|10|395|1,4|1|2000|1</v>
          </cell>
        </row>
        <row r="1771">
          <cell r="A1771">
            <v>42380</v>
          </cell>
          <cell r="B1771">
            <v>0</v>
          </cell>
          <cell r="C1771" t="str">
            <v>4|10|400,4|1|2000</v>
          </cell>
          <cell r="D1771" t="str">
            <v>主角80级法宝抢夺经验和金币奖励</v>
          </cell>
          <cell r="E1771" t="str">
            <v>4|10|400|1,4|1|2000|1</v>
          </cell>
        </row>
        <row r="1772">
          <cell r="A1772">
            <v>42381</v>
          </cell>
          <cell r="B1772">
            <v>0</v>
          </cell>
          <cell r="C1772" t="str">
            <v>4|10|405,4|1|2000</v>
          </cell>
          <cell r="D1772" t="str">
            <v>主角81级法宝抢夺经验和金币奖励</v>
          </cell>
          <cell r="E1772" t="str">
            <v>4|10|405|1,4|1|2000|1</v>
          </cell>
        </row>
        <row r="1773">
          <cell r="A1773">
            <v>42382</v>
          </cell>
          <cell r="B1773">
            <v>0</v>
          </cell>
          <cell r="C1773" t="str">
            <v>4|10|410,4|1|2000</v>
          </cell>
          <cell r="D1773" t="str">
            <v>主角82级法宝抢夺经验和金币奖励</v>
          </cell>
          <cell r="E1773" t="str">
            <v>4|10|410|1,4|1|2000|1</v>
          </cell>
        </row>
        <row r="1774">
          <cell r="A1774">
            <v>42383</v>
          </cell>
          <cell r="B1774">
            <v>0</v>
          </cell>
          <cell r="C1774" t="str">
            <v>4|10|415,4|1|2000</v>
          </cell>
          <cell r="D1774" t="str">
            <v>主角83级法宝抢夺经验和金币奖励</v>
          </cell>
          <cell r="E1774" t="str">
            <v>4|10|415|1,4|1|2000|1</v>
          </cell>
        </row>
        <row r="1775">
          <cell r="A1775">
            <v>42384</v>
          </cell>
          <cell r="B1775">
            <v>0</v>
          </cell>
          <cell r="C1775" t="str">
            <v>4|10|420,4|1|2000</v>
          </cell>
          <cell r="D1775" t="str">
            <v>主角84级法宝抢夺经验和金币奖励</v>
          </cell>
          <cell r="E1775" t="str">
            <v>4|10|420|1,4|1|2000|1</v>
          </cell>
        </row>
        <row r="1776">
          <cell r="A1776">
            <v>42385</v>
          </cell>
          <cell r="B1776">
            <v>0</v>
          </cell>
          <cell r="C1776" t="str">
            <v>4|10|425,4|1|2000</v>
          </cell>
          <cell r="D1776" t="str">
            <v>主角85级法宝抢夺经验和金币奖励</v>
          </cell>
          <cell r="E1776" t="str">
            <v>4|10|425|1,4|1|2000|1</v>
          </cell>
        </row>
        <row r="1777">
          <cell r="A1777">
            <v>42386</v>
          </cell>
          <cell r="B1777">
            <v>0</v>
          </cell>
          <cell r="C1777" t="str">
            <v>4|10|430,4|1|2000</v>
          </cell>
          <cell r="D1777" t="str">
            <v>主角86级法宝抢夺经验和金币奖励</v>
          </cell>
          <cell r="E1777" t="str">
            <v>4|10|430|1,4|1|2000|1</v>
          </cell>
        </row>
        <row r="1778">
          <cell r="A1778">
            <v>42387</v>
          </cell>
          <cell r="B1778">
            <v>0</v>
          </cell>
          <cell r="C1778" t="str">
            <v>4|10|435,4|1|2000</v>
          </cell>
          <cell r="D1778" t="str">
            <v>主角87级法宝抢夺经验和金币奖励</v>
          </cell>
          <cell r="E1778" t="str">
            <v>4|10|435|1,4|1|2000|1</v>
          </cell>
        </row>
        <row r="1779">
          <cell r="A1779">
            <v>42388</v>
          </cell>
          <cell r="B1779">
            <v>0</v>
          </cell>
          <cell r="C1779" t="str">
            <v>4|10|440,4|1|2000</v>
          </cell>
          <cell r="D1779" t="str">
            <v>主角88级法宝抢夺经验和金币奖励</v>
          </cell>
          <cell r="E1779" t="str">
            <v>4|10|440|1,4|1|2000|1</v>
          </cell>
        </row>
        <row r="1780">
          <cell r="A1780">
            <v>42389</v>
          </cell>
          <cell r="B1780">
            <v>0</v>
          </cell>
          <cell r="C1780" t="str">
            <v>4|10|445,4|1|2000</v>
          </cell>
          <cell r="D1780" t="str">
            <v>主角89级法宝抢夺经验和金币奖励</v>
          </cell>
          <cell r="E1780" t="str">
            <v>4|10|445|1,4|1|2000|1</v>
          </cell>
        </row>
        <row r="1781">
          <cell r="A1781">
            <v>42390</v>
          </cell>
          <cell r="B1781">
            <v>0</v>
          </cell>
          <cell r="C1781" t="str">
            <v>4|10|450,4|1|2000</v>
          </cell>
          <cell r="D1781" t="str">
            <v>主角90级法宝抢夺经验和金币奖励</v>
          </cell>
          <cell r="E1781" t="str">
            <v>4|10|450|1,4|1|2000|1</v>
          </cell>
        </row>
        <row r="1782">
          <cell r="A1782">
            <v>42391</v>
          </cell>
          <cell r="B1782">
            <v>0</v>
          </cell>
          <cell r="C1782" t="str">
            <v>4|10|455,4|1|2000</v>
          </cell>
          <cell r="D1782" t="str">
            <v>主角91级法宝抢夺经验和金币奖励</v>
          </cell>
          <cell r="E1782" t="str">
            <v>4|10|455|1,4|1|2000|1</v>
          </cell>
        </row>
        <row r="1783">
          <cell r="A1783">
            <v>42392</v>
          </cell>
          <cell r="B1783">
            <v>0</v>
          </cell>
          <cell r="C1783" t="str">
            <v>4|10|460,4|1|2000</v>
          </cell>
          <cell r="D1783" t="str">
            <v>主角92级法宝抢夺经验和金币奖励</v>
          </cell>
          <cell r="E1783" t="str">
            <v>4|10|460|1,4|1|2000|1</v>
          </cell>
        </row>
        <row r="1784">
          <cell r="A1784">
            <v>42393</v>
          </cell>
          <cell r="B1784">
            <v>0</v>
          </cell>
          <cell r="C1784" t="str">
            <v>4|10|465,4|1|2000</v>
          </cell>
          <cell r="D1784" t="str">
            <v>主角93级法宝抢夺经验和金币奖励</v>
          </cell>
          <cell r="E1784" t="str">
            <v>4|10|465|1,4|1|2000|1</v>
          </cell>
        </row>
        <row r="1785">
          <cell r="A1785">
            <v>42394</v>
          </cell>
          <cell r="B1785">
            <v>0</v>
          </cell>
          <cell r="C1785" t="str">
            <v>4|10|470,4|1|2000</v>
          </cell>
          <cell r="D1785" t="str">
            <v>主角94级法宝抢夺经验和金币奖励</v>
          </cell>
          <cell r="E1785" t="str">
            <v>4|10|470|1,4|1|2000|1</v>
          </cell>
        </row>
        <row r="1786">
          <cell r="A1786">
            <v>42395</v>
          </cell>
          <cell r="B1786">
            <v>0</v>
          </cell>
          <cell r="C1786" t="str">
            <v>4|10|475,4|1|2000</v>
          </cell>
          <cell r="D1786" t="str">
            <v>主角95级法宝抢夺经验和金币奖励</v>
          </cell>
          <cell r="E1786" t="str">
            <v>4|10|475|1,4|1|2000|1</v>
          </cell>
        </row>
        <row r="1787">
          <cell r="A1787">
            <v>42396</v>
          </cell>
          <cell r="B1787">
            <v>0</v>
          </cell>
          <cell r="C1787" t="str">
            <v>4|10|480,4|1|2000</v>
          </cell>
          <cell r="D1787" t="str">
            <v>主角96级法宝抢夺经验和金币奖励</v>
          </cell>
          <cell r="E1787" t="str">
            <v>4|10|480|1,4|1|2000|1</v>
          </cell>
        </row>
        <row r="1788">
          <cell r="A1788">
            <v>42397</v>
          </cell>
          <cell r="B1788">
            <v>0</v>
          </cell>
          <cell r="C1788" t="str">
            <v>4|10|485,4|1|2000</v>
          </cell>
          <cell r="D1788" t="str">
            <v>主角97级法宝抢夺经验和金币奖励</v>
          </cell>
          <cell r="E1788" t="str">
            <v>4|10|485|1,4|1|2000|1</v>
          </cell>
        </row>
        <row r="1789">
          <cell r="A1789">
            <v>42398</v>
          </cell>
          <cell r="B1789">
            <v>0</v>
          </cell>
          <cell r="C1789" t="str">
            <v>4|10|490,4|1|2000</v>
          </cell>
          <cell r="D1789" t="str">
            <v>主角98级法宝抢夺经验和金币奖励</v>
          </cell>
          <cell r="E1789" t="str">
            <v>4|10|490|1,4|1|2000|1</v>
          </cell>
        </row>
        <row r="1790">
          <cell r="A1790">
            <v>42399</v>
          </cell>
          <cell r="B1790">
            <v>0</v>
          </cell>
          <cell r="C1790" t="str">
            <v>4|10|495,4|1|2000</v>
          </cell>
          <cell r="D1790" t="str">
            <v>主角99级法宝抢夺经验和金币奖励</v>
          </cell>
          <cell r="E1790" t="str">
            <v>4|10|495|1,4|1|2000|1</v>
          </cell>
        </row>
        <row r="1791">
          <cell r="A1791">
            <v>42400</v>
          </cell>
          <cell r="B1791">
            <v>0</v>
          </cell>
          <cell r="C1791" t="str">
            <v>4|10|500,4|1|2000</v>
          </cell>
          <cell r="D1791" t="str">
            <v>主角100级法宝抢夺经验和金币奖励</v>
          </cell>
          <cell r="E1791" t="str">
            <v>4|10|500|1,4|1|2000|1</v>
          </cell>
        </row>
        <row r="1792">
          <cell r="A1792">
            <v>42401</v>
          </cell>
          <cell r="B1792">
            <v>0</v>
          </cell>
          <cell r="C1792" t="str">
            <v>4|10|505,4|1|2000</v>
          </cell>
          <cell r="D1792" t="str">
            <v>主角101级法宝抢夺经验和金币奖励</v>
          </cell>
          <cell r="E1792" t="str">
            <v>4|10|505|1,4|1|2000|1</v>
          </cell>
        </row>
        <row r="1793">
          <cell r="A1793">
            <v>42402</v>
          </cell>
          <cell r="B1793">
            <v>0</v>
          </cell>
          <cell r="C1793" t="str">
            <v>4|10|510,4|1|2000</v>
          </cell>
          <cell r="D1793" t="str">
            <v>主角102级法宝抢夺经验和金币奖励</v>
          </cell>
          <cell r="E1793" t="str">
            <v>4|10|510|1,4|1|2000|1</v>
          </cell>
        </row>
        <row r="1794">
          <cell r="A1794">
            <v>42403</v>
          </cell>
          <cell r="B1794">
            <v>0</v>
          </cell>
          <cell r="C1794" t="str">
            <v>4|10|515,4|1|2000</v>
          </cell>
          <cell r="D1794" t="str">
            <v>主角103级法宝抢夺经验和金币奖励</v>
          </cell>
          <cell r="E1794" t="str">
            <v>4|10|515|1,4|1|2000|1</v>
          </cell>
        </row>
        <row r="1795">
          <cell r="A1795">
            <v>42404</v>
          </cell>
          <cell r="B1795">
            <v>0</v>
          </cell>
          <cell r="C1795" t="str">
            <v>4|10|520,4|1|2000</v>
          </cell>
          <cell r="D1795" t="str">
            <v>主角104级法宝抢夺经验和金币奖励</v>
          </cell>
          <cell r="E1795" t="str">
            <v>4|10|520|1,4|1|2000|1</v>
          </cell>
        </row>
        <row r="1796">
          <cell r="A1796">
            <v>42405</v>
          </cell>
          <cell r="B1796">
            <v>0</v>
          </cell>
          <cell r="C1796" t="str">
            <v>4|10|525,4|1|2000</v>
          </cell>
          <cell r="D1796" t="str">
            <v>主角105级法宝抢夺经验和金币奖励</v>
          </cell>
          <cell r="E1796" t="str">
            <v>4|10|525|1,4|1|2000|1</v>
          </cell>
        </row>
        <row r="1797">
          <cell r="A1797">
            <v>42406</v>
          </cell>
          <cell r="B1797">
            <v>0</v>
          </cell>
          <cell r="C1797" t="str">
            <v>4|10|530,4|1|2000</v>
          </cell>
          <cell r="D1797" t="str">
            <v>主角106级法宝抢夺经验和金币奖励</v>
          </cell>
          <cell r="E1797" t="str">
            <v>4|10|530|1,4|1|2000|1</v>
          </cell>
        </row>
        <row r="1798">
          <cell r="A1798">
            <v>42407</v>
          </cell>
          <cell r="B1798">
            <v>0</v>
          </cell>
          <cell r="C1798" t="str">
            <v>4|10|535,4|1|2000</v>
          </cell>
          <cell r="D1798" t="str">
            <v>主角107级法宝抢夺经验和金币奖励</v>
          </cell>
          <cell r="E1798" t="str">
            <v>4|10|535|1,4|1|2000|1</v>
          </cell>
        </row>
        <row r="1799">
          <cell r="A1799">
            <v>42408</v>
          </cell>
          <cell r="B1799">
            <v>0</v>
          </cell>
          <cell r="C1799" t="str">
            <v>4|10|540,4|1|2000</v>
          </cell>
          <cell r="D1799" t="str">
            <v>主角108级法宝抢夺经验和金币奖励</v>
          </cell>
          <cell r="E1799" t="str">
            <v>4|10|540|1,4|1|2000|1</v>
          </cell>
        </row>
        <row r="1800">
          <cell r="A1800">
            <v>42409</v>
          </cell>
          <cell r="B1800">
            <v>0</v>
          </cell>
          <cell r="C1800" t="str">
            <v>4|10|545,4|1|2000</v>
          </cell>
          <cell r="D1800" t="str">
            <v>主角109级法宝抢夺经验和金币奖励</v>
          </cell>
          <cell r="E1800" t="str">
            <v>4|10|545|1,4|1|2000|1</v>
          </cell>
        </row>
        <row r="1801">
          <cell r="A1801">
            <v>42410</v>
          </cell>
          <cell r="B1801">
            <v>0</v>
          </cell>
          <cell r="C1801" t="str">
            <v>4|10|550,4|1|2000</v>
          </cell>
          <cell r="D1801" t="str">
            <v>主角110级法宝抢夺经验和金币奖励</v>
          </cell>
          <cell r="E1801" t="str">
            <v>4|10|550|1,4|1|2000|1</v>
          </cell>
        </row>
        <row r="1802">
          <cell r="A1802">
            <v>42411</v>
          </cell>
          <cell r="B1802">
            <v>0</v>
          </cell>
          <cell r="C1802" t="str">
            <v>4|10|555,4|1|2000</v>
          </cell>
          <cell r="D1802" t="str">
            <v>主角111级法宝抢夺经验和金币奖励</v>
          </cell>
          <cell r="E1802" t="str">
            <v>4|10|555|1,4|1|2000|1</v>
          </cell>
        </row>
        <row r="1803">
          <cell r="A1803">
            <v>42412</v>
          </cell>
          <cell r="B1803">
            <v>0</v>
          </cell>
          <cell r="C1803" t="str">
            <v>4|10|560,4|1|2000</v>
          </cell>
          <cell r="D1803" t="str">
            <v>主角112级法宝抢夺经验和金币奖励</v>
          </cell>
          <cell r="E1803" t="str">
            <v>4|10|560|1,4|1|2000|1</v>
          </cell>
        </row>
        <row r="1804">
          <cell r="A1804">
            <v>42413</v>
          </cell>
          <cell r="B1804">
            <v>0</v>
          </cell>
          <cell r="C1804" t="str">
            <v>4|10|565,4|1|2000</v>
          </cell>
          <cell r="D1804" t="str">
            <v>主角113级法宝抢夺经验和金币奖励</v>
          </cell>
          <cell r="E1804" t="str">
            <v>4|10|565|1,4|1|2000|1</v>
          </cell>
        </row>
        <row r="1805">
          <cell r="A1805">
            <v>42414</v>
          </cell>
          <cell r="B1805">
            <v>0</v>
          </cell>
          <cell r="C1805" t="str">
            <v>4|10|570,4|1|2000</v>
          </cell>
          <cell r="D1805" t="str">
            <v>主角114级法宝抢夺经验和金币奖励</v>
          </cell>
          <cell r="E1805" t="str">
            <v>4|10|570|1,4|1|2000|1</v>
          </cell>
        </row>
        <row r="1806">
          <cell r="A1806">
            <v>42415</v>
          </cell>
          <cell r="B1806">
            <v>0</v>
          </cell>
          <cell r="C1806" t="str">
            <v>4|10|575,4|1|2000</v>
          </cell>
          <cell r="D1806" t="str">
            <v>主角115级法宝抢夺经验和金币奖励</v>
          </cell>
          <cell r="E1806" t="str">
            <v>4|10|575|1,4|1|2000|1</v>
          </cell>
        </row>
        <row r="1807">
          <cell r="A1807">
            <v>42416</v>
          </cell>
          <cell r="B1807">
            <v>0</v>
          </cell>
          <cell r="C1807" t="str">
            <v>4|10|580,4|1|2000</v>
          </cell>
          <cell r="D1807" t="str">
            <v>主角116级法宝抢夺经验和金币奖励</v>
          </cell>
          <cell r="E1807" t="str">
            <v>4|10|580|1,4|1|2000|1</v>
          </cell>
        </row>
        <row r="1808">
          <cell r="A1808">
            <v>42417</v>
          </cell>
          <cell r="B1808">
            <v>0</v>
          </cell>
          <cell r="C1808" t="str">
            <v>4|10|585,4|1|2000</v>
          </cell>
          <cell r="D1808" t="str">
            <v>主角117级法宝抢夺经验和金币奖励</v>
          </cell>
          <cell r="E1808" t="str">
            <v>4|10|585|1,4|1|2000|1</v>
          </cell>
        </row>
        <row r="1809">
          <cell r="A1809">
            <v>42418</v>
          </cell>
          <cell r="B1809">
            <v>0</v>
          </cell>
          <cell r="C1809" t="str">
            <v>4|10|590,4|1|2000</v>
          </cell>
          <cell r="D1809" t="str">
            <v>主角118级法宝抢夺经验和金币奖励</v>
          </cell>
          <cell r="E1809" t="str">
            <v>4|10|590|1,4|1|2000|1</v>
          </cell>
        </row>
        <row r="1810">
          <cell r="A1810">
            <v>42419</v>
          </cell>
          <cell r="B1810">
            <v>0</v>
          </cell>
          <cell r="C1810" t="str">
            <v>4|10|595,4|1|2000</v>
          </cell>
          <cell r="D1810" t="str">
            <v>主角119级法宝抢夺经验和金币奖励</v>
          </cell>
          <cell r="E1810" t="str">
            <v>4|10|595|1,4|1|2000|1</v>
          </cell>
        </row>
        <row r="1811">
          <cell r="A1811">
            <v>42420</v>
          </cell>
          <cell r="B1811">
            <v>0</v>
          </cell>
          <cell r="C1811" t="str">
            <v>4|10|600,4|1|2000</v>
          </cell>
          <cell r="D1811" t="str">
            <v>主角120级法宝抢夺经验和金币奖励</v>
          </cell>
          <cell r="E1811" t="str">
            <v>4|10|600|1,4|1|2000|1</v>
          </cell>
        </row>
        <row r="1812">
          <cell r="A1812">
            <v>42421</v>
          </cell>
          <cell r="B1812">
            <v>0</v>
          </cell>
          <cell r="C1812" t="str">
            <v>4|10|605,4|1|2000</v>
          </cell>
          <cell r="D1812" t="str">
            <v>主角121级法宝抢夺经验和金币奖励</v>
          </cell>
          <cell r="E1812" t="str">
            <v>4|10|605|1,4|1|2000|1</v>
          </cell>
        </row>
        <row r="1813">
          <cell r="A1813">
            <v>42422</v>
          </cell>
          <cell r="B1813">
            <v>0</v>
          </cell>
          <cell r="C1813" t="str">
            <v>4|10|610,4|1|2000</v>
          </cell>
          <cell r="D1813" t="str">
            <v>主角122级法宝抢夺经验和金币奖励</v>
          </cell>
          <cell r="E1813" t="str">
            <v>4|10|610|1,4|1|2000|1</v>
          </cell>
        </row>
        <row r="1814">
          <cell r="A1814">
            <v>42423</v>
          </cell>
          <cell r="B1814">
            <v>0</v>
          </cell>
          <cell r="C1814" t="str">
            <v>4|10|615,4|1|2000</v>
          </cell>
          <cell r="D1814" t="str">
            <v>主角123级法宝抢夺经验和金币奖励</v>
          </cell>
          <cell r="E1814" t="str">
            <v>4|10|615|1,4|1|2000|1</v>
          </cell>
        </row>
        <row r="1815">
          <cell r="A1815">
            <v>42424</v>
          </cell>
          <cell r="B1815">
            <v>0</v>
          </cell>
          <cell r="C1815" t="str">
            <v>4|10|620,4|1|2000</v>
          </cell>
          <cell r="D1815" t="str">
            <v>主角124级法宝抢夺经验和金币奖励</v>
          </cell>
          <cell r="E1815" t="str">
            <v>4|10|620|1,4|1|2000|1</v>
          </cell>
        </row>
        <row r="1816">
          <cell r="A1816">
            <v>42425</v>
          </cell>
          <cell r="B1816">
            <v>0</v>
          </cell>
          <cell r="C1816" t="str">
            <v>4|10|625,4|1|2000</v>
          </cell>
          <cell r="D1816" t="str">
            <v>主角125级法宝抢夺经验和金币奖励</v>
          </cell>
          <cell r="E1816" t="str">
            <v>4|10|625|1,4|1|2000|1</v>
          </cell>
        </row>
        <row r="1817">
          <cell r="A1817">
            <v>42426</v>
          </cell>
          <cell r="B1817">
            <v>0</v>
          </cell>
          <cell r="C1817" t="str">
            <v>4|10|630,4|1|2000</v>
          </cell>
          <cell r="D1817" t="str">
            <v>主角126级法宝抢夺经验和金币奖励</v>
          </cell>
          <cell r="E1817" t="str">
            <v>4|10|630|1,4|1|2000|1</v>
          </cell>
        </row>
        <row r="1818">
          <cell r="A1818">
            <v>42427</v>
          </cell>
          <cell r="B1818">
            <v>0</v>
          </cell>
          <cell r="C1818" t="str">
            <v>4|10|635,4|1|2000</v>
          </cell>
          <cell r="D1818" t="str">
            <v>主角127级法宝抢夺经验和金币奖励</v>
          </cell>
          <cell r="E1818" t="str">
            <v>4|10|635|1,4|1|2000|1</v>
          </cell>
        </row>
        <row r="1819">
          <cell r="A1819">
            <v>42428</v>
          </cell>
          <cell r="B1819">
            <v>0</v>
          </cell>
          <cell r="C1819" t="str">
            <v>4|10|640,4|1|2000</v>
          </cell>
          <cell r="D1819" t="str">
            <v>主角128级法宝抢夺经验和金币奖励</v>
          </cell>
          <cell r="E1819" t="str">
            <v>4|10|640|1,4|1|2000|1</v>
          </cell>
        </row>
        <row r="1820">
          <cell r="A1820">
            <v>42429</v>
          </cell>
          <cell r="B1820">
            <v>0</v>
          </cell>
          <cell r="C1820" t="str">
            <v>4|10|645,4|1|2000</v>
          </cell>
          <cell r="D1820" t="str">
            <v>主角129级法宝抢夺经验和金币奖励</v>
          </cell>
          <cell r="E1820" t="str">
            <v>4|10|645|1,4|1|2000|1</v>
          </cell>
        </row>
        <row r="1821">
          <cell r="A1821">
            <v>42430</v>
          </cell>
          <cell r="B1821">
            <v>0</v>
          </cell>
          <cell r="C1821" t="str">
            <v>4|10|650,4|1|2000</v>
          </cell>
          <cell r="D1821" t="str">
            <v>主角130级法宝抢夺经验和金币奖励</v>
          </cell>
          <cell r="E1821" t="str">
            <v>4|10|650|1,4|1|2000|1</v>
          </cell>
        </row>
        <row r="1822">
          <cell r="A1822">
            <v>42431</v>
          </cell>
          <cell r="B1822">
            <v>0</v>
          </cell>
          <cell r="C1822" t="str">
            <v>4|10|655,4|1|2000</v>
          </cell>
          <cell r="D1822" t="str">
            <v>主角131级法宝抢夺经验和金币奖励</v>
          </cell>
          <cell r="E1822" t="str">
            <v>4|10|655|1,4|1|2000|1</v>
          </cell>
        </row>
        <row r="1823">
          <cell r="A1823">
            <v>42432</v>
          </cell>
          <cell r="B1823">
            <v>0</v>
          </cell>
          <cell r="C1823" t="str">
            <v>4|10|660,4|1|2000</v>
          </cell>
          <cell r="D1823" t="str">
            <v>主角132级法宝抢夺经验和金币奖励</v>
          </cell>
          <cell r="E1823" t="str">
            <v>4|10|660|1,4|1|2000|1</v>
          </cell>
        </row>
        <row r="1824">
          <cell r="A1824">
            <v>42433</v>
          </cell>
          <cell r="B1824">
            <v>0</v>
          </cell>
          <cell r="C1824" t="str">
            <v>4|10|665,4|1|2000</v>
          </cell>
          <cell r="D1824" t="str">
            <v>主角133级法宝抢夺经验和金币奖励</v>
          </cell>
          <cell r="E1824" t="str">
            <v>4|10|665|1,4|1|2000|1</v>
          </cell>
        </row>
        <row r="1825">
          <cell r="A1825">
            <v>42434</v>
          </cell>
          <cell r="B1825">
            <v>0</v>
          </cell>
          <cell r="C1825" t="str">
            <v>4|10|670,4|1|2000</v>
          </cell>
          <cell r="D1825" t="str">
            <v>主角134级法宝抢夺经验和金币奖励</v>
          </cell>
          <cell r="E1825" t="str">
            <v>4|10|670|1,4|1|2000|1</v>
          </cell>
        </row>
        <row r="1826">
          <cell r="A1826">
            <v>42435</v>
          </cell>
          <cell r="B1826">
            <v>0</v>
          </cell>
          <cell r="C1826" t="str">
            <v>4|10|675,4|1|2000</v>
          </cell>
          <cell r="D1826" t="str">
            <v>主角135级法宝抢夺经验和金币奖励</v>
          </cell>
          <cell r="E1826" t="str">
            <v>4|10|675|1,4|1|2000|1</v>
          </cell>
        </row>
        <row r="1827">
          <cell r="A1827">
            <v>42436</v>
          </cell>
          <cell r="B1827">
            <v>0</v>
          </cell>
          <cell r="C1827" t="str">
            <v>4|10|680,4|1|2000</v>
          </cell>
          <cell r="D1827" t="str">
            <v>主角136级法宝抢夺经验和金币奖励</v>
          </cell>
          <cell r="E1827" t="str">
            <v>4|10|680|1,4|1|2000|1</v>
          </cell>
        </row>
        <row r="1828">
          <cell r="A1828">
            <v>42437</v>
          </cell>
          <cell r="B1828">
            <v>0</v>
          </cell>
          <cell r="C1828" t="str">
            <v>4|10|685,4|1|2000</v>
          </cell>
          <cell r="D1828" t="str">
            <v>主角137级法宝抢夺经验和金币奖励</v>
          </cell>
          <cell r="E1828" t="str">
            <v>4|10|685|1,4|1|2000|1</v>
          </cell>
        </row>
        <row r="1829">
          <cell r="A1829">
            <v>42438</v>
          </cell>
          <cell r="B1829">
            <v>0</v>
          </cell>
          <cell r="C1829" t="str">
            <v>4|10|690,4|1|2000</v>
          </cell>
          <cell r="D1829" t="str">
            <v>主角138级法宝抢夺经验和金币奖励</v>
          </cell>
          <cell r="E1829" t="str">
            <v>4|10|690|1,4|1|2000|1</v>
          </cell>
        </row>
        <row r="1830">
          <cell r="A1830">
            <v>42439</v>
          </cell>
          <cell r="B1830">
            <v>0</v>
          </cell>
          <cell r="C1830" t="str">
            <v>4|10|695,4|1|2000</v>
          </cell>
          <cell r="D1830" t="str">
            <v>主角139级法宝抢夺经验和金币奖励</v>
          </cell>
          <cell r="E1830" t="str">
            <v>4|10|695|1,4|1|2000|1</v>
          </cell>
        </row>
        <row r="1831">
          <cell r="A1831">
            <v>42440</v>
          </cell>
          <cell r="B1831">
            <v>0</v>
          </cell>
          <cell r="C1831" t="str">
            <v>4|10|700,4|1|2000</v>
          </cell>
          <cell r="D1831" t="str">
            <v>主角140级法宝抢夺经验和金币奖励</v>
          </cell>
          <cell r="E1831" t="str">
            <v>4|10|700|1,4|1|2000|1</v>
          </cell>
        </row>
        <row r="1832">
          <cell r="A1832">
            <v>42441</v>
          </cell>
          <cell r="B1832">
            <v>0</v>
          </cell>
          <cell r="C1832" t="str">
            <v>4|10|705,4|1|2000</v>
          </cell>
          <cell r="D1832" t="str">
            <v>主角141级法宝抢夺经验和金币奖励</v>
          </cell>
          <cell r="E1832" t="str">
            <v>4|10|705|1,4|1|2000|1</v>
          </cell>
        </row>
        <row r="1833">
          <cell r="A1833">
            <v>42442</v>
          </cell>
          <cell r="B1833">
            <v>0</v>
          </cell>
          <cell r="C1833" t="str">
            <v>4|10|710,4|1|2000</v>
          </cell>
          <cell r="D1833" t="str">
            <v>主角142级法宝抢夺经验和金币奖励</v>
          </cell>
          <cell r="E1833" t="str">
            <v>4|10|710|1,4|1|2000|1</v>
          </cell>
        </row>
        <row r="1834">
          <cell r="A1834">
            <v>42443</v>
          </cell>
          <cell r="B1834">
            <v>0</v>
          </cell>
          <cell r="C1834" t="str">
            <v>4|10|715,4|1|2000</v>
          </cell>
          <cell r="D1834" t="str">
            <v>主角143级法宝抢夺经验和金币奖励</v>
          </cell>
          <cell r="E1834" t="str">
            <v>4|10|715|1,4|1|2000|1</v>
          </cell>
        </row>
        <row r="1835">
          <cell r="A1835">
            <v>42444</v>
          </cell>
          <cell r="B1835">
            <v>0</v>
          </cell>
          <cell r="C1835" t="str">
            <v>4|10|720,4|1|2000</v>
          </cell>
          <cell r="D1835" t="str">
            <v>主角144级法宝抢夺经验和金币奖励</v>
          </cell>
          <cell r="E1835" t="str">
            <v>4|10|720|1,4|1|2000|1</v>
          </cell>
        </row>
        <row r="1836">
          <cell r="A1836">
            <v>42445</v>
          </cell>
          <cell r="B1836">
            <v>0</v>
          </cell>
          <cell r="C1836" t="str">
            <v>4|10|725,4|1|2000</v>
          </cell>
          <cell r="D1836" t="str">
            <v>主角145级法宝抢夺经验和金币奖励</v>
          </cell>
          <cell r="E1836" t="str">
            <v>4|10|725|1,4|1|2000|1</v>
          </cell>
        </row>
        <row r="1837">
          <cell r="A1837">
            <v>42446</v>
          </cell>
          <cell r="B1837">
            <v>0</v>
          </cell>
          <cell r="C1837" t="str">
            <v>4|10|730,4|1|2000</v>
          </cell>
          <cell r="D1837" t="str">
            <v>主角146级法宝抢夺经验和金币奖励</v>
          </cell>
          <cell r="E1837" t="str">
            <v>4|10|730|1,4|1|2000|1</v>
          </cell>
        </row>
        <row r="1838">
          <cell r="A1838">
            <v>42447</v>
          </cell>
          <cell r="B1838">
            <v>0</v>
          </cell>
          <cell r="C1838" t="str">
            <v>4|10|735,4|1|2000</v>
          </cell>
          <cell r="D1838" t="str">
            <v>主角147级法宝抢夺经验和金币奖励</v>
          </cell>
          <cell r="E1838" t="str">
            <v>4|10|735|1,4|1|2000|1</v>
          </cell>
        </row>
        <row r="1839">
          <cell r="A1839">
            <v>42448</v>
          </cell>
          <cell r="B1839">
            <v>0</v>
          </cell>
          <cell r="C1839" t="str">
            <v>4|10|740,4|1|2000</v>
          </cell>
          <cell r="D1839" t="str">
            <v>主角148级法宝抢夺经验和金币奖励</v>
          </cell>
          <cell r="E1839" t="str">
            <v>4|10|740|1,4|1|2000|1</v>
          </cell>
        </row>
        <row r="1840">
          <cell r="A1840">
            <v>42449</v>
          </cell>
          <cell r="B1840">
            <v>0</v>
          </cell>
          <cell r="C1840" t="str">
            <v>4|10|745,4|1|2000</v>
          </cell>
          <cell r="D1840" t="str">
            <v>主角149级法宝抢夺经验和金币奖励</v>
          </cell>
          <cell r="E1840" t="str">
            <v>4|10|745|1,4|1|2000|1</v>
          </cell>
        </row>
        <row r="1841">
          <cell r="A1841">
            <v>42450</v>
          </cell>
          <cell r="B1841">
            <v>0</v>
          </cell>
          <cell r="C1841" t="str">
            <v>4|10|750,4|1|2000</v>
          </cell>
          <cell r="D1841" t="str">
            <v>主角150级法宝抢夺经验和金币奖励</v>
          </cell>
          <cell r="E1841" t="str">
            <v>4|10|750|1,4|1|2000|1</v>
          </cell>
        </row>
        <row r="1842">
          <cell r="A1842">
            <v>42701</v>
          </cell>
          <cell r="B1842">
            <v>0</v>
          </cell>
          <cell r="C1842" t="str">
            <v>4|10|20,4|1|80</v>
          </cell>
          <cell r="D1842" t="str">
            <v>10体力-主角1级精英副本经验和金币奖励</v>
          </cell>
          <cell r="E1842" t="str">
            <v>4|10|20|1,4|1|80|1</v>
          </cell>
        </row>
        <row r="1843">
          <cell r="A1843">
            <v>42702</v>
          </cell>
          <cell r="B1843">
            <v>0</v>
          </cell>
          <cell r="C1843" t="str">
            <v>4|10|40,4|1|160</v>
          </cell>
          <cell r="D1843" t="str">
            <v>10体力-主角2级精英副本经验和金币奖励</v>
          </cell>
          <cell r="E1843" t="str">
            <v>4|10|40|1,4|1|160|1</v>
          </cell>
        </row>
        <row r="1844">
          <cell r="A1844">
            <v>42703</v>
          </cell>
          <cell r="B1844">
            <v>0</v>
          </cell>
          <cell r="C1844" t="str">
            <v>4|10|60,4|1|240</v>
          </cell>
          <cell r="D1844" t="str">
            <v>10体力-主角3级精英副本经验和金币奖励</v>
          </cell>
          <cell r="E1844" t="str">
            <v>4|10|60|1,4|1|240|1</v>
          </cell>
        </row>
        <row r="1845">
          <cell r="A1845">
            <v>42704</v>
          </cell>
          <cell r="B1845">
            <v>0</v>
          </cell>
          <cell r="C1845" t="str">
            <v>4|10|80,4|1|320</v>
          </cell>
          <cell r="D1845" t="str">
            <v>10体力-主角4级精英副本经验和金币奖励</v>
          </cell>
          <cell r="E1845" t="str">
            <v>4|10|80|1,4|1|320|1</v>
          </cell>
        </row>
        <row r="1846">
          <cell r="A1846">
            <v>42705</v>
          </cell>
          <cell r="B1846">
            <v>0</v>
          </cell>
          <cell r="C1846" t="str">
            <v>4|10|100,4|1|400</v>
          </cell>
          <cell r="D1846" t="str">
            <v>10体力-主角5级精英副本经验和金币奖励</v>
          </cell>
          <cell r="E1846" t="str">
            <v>4|10|100|1,4|1|400|1</v>
          </cell>
        </row>
        <row r="1847">
          <cell r="A1847">
            <v>42706</v>
          </cell>
          <cell r="B1847">
            <v>0</v>
          </cell>
          <cell r="C1847" t="str">
            <v>4|10|120,4|1|480</v>
          </cell>
          <cell r="D1847" t="str">
            <v>10体力-主角6级精英副本经验和金币奖励</v>
          </cell>
          <cell r="E1847" t="str">
            <v>4|10|120|1,4|1|480|1</v>
          </cell>
        </row>
        <row r="1848">
          <cell r="A1848">
            <v>42707</v>
          </cell>
          <cell r="B1848">
            <v>0</v>
          </cell>
          <cell r="C1848" t="str">
            <v>4|10|140,4|1|560</v>
          </cell>
          <cell r="D1848" t="str">
            <v>10体力-主角7级精英副本经验和金币奖励</v>
          </cell>
          <cell r="E1848" t="str">
            <v>4|10|140|1,4|1|560|1</v>
          </cell>
        </row>
        <row r="1849">
          <cell r="A1849">
            <v>42708</v>
          </cell>
          <cell r="B1849">
            <v>0</v>
          </cell>
          <cell r="C1849" t="str">
            <v>4|10|160,4|1|640</v>
          </cell>
          <cell r="D1849" t="str">
            <v>10体力-主角8级精英副本经验和金币奖励</v>
          </cell>
          <cell r="E1849" t="str">
            <v>4|10|160|1,4|1|640|1</v>
          </cell>
        </row>
        <row r="1850">
          <cell r="A1850">
            <v>42709</v>
          </cell>
          <cell r="B1850">
            <v>0</v>
          </cell>
          <cell r="C1850" t="str">
            <v>4|10|180,4|1|720</v>
          </cell>
          <cell r="D1850" t="str">
            <v>10体力-主角9级精英副本经验和金币奖励</v>
          </cell>
          <cell r="E1850" t="str">
            <v>4|10|180|1,4|1|720|1</v>
          </cell>
        </row>
        <row r="1851">
          <cell r="A1851">
            <v>42710</v>
          </cell>
          <cell r="B1851">
            <v>0</v>
          </cell>
          <cell r="C1851" t="str">
            <v>4|10|200,4|1|800</v>
          </cell>
          <cell r="D1851" t="str">
            <v>10体力-主角10级精英副本经验和金币奖励</v>
          </cell>
          <cell r="E1851" t="str">
            <v>4|10|200|1,4|1|800|1</v>
          </cell>
        </row>
        <row r="1852">
          <cell r="A1852">
            <v>42711</v>
          </cell>
          <cell r="B1852">
            <v>0</v>
          </cell>
          <cell r="C1852" t="str">
            <v>4|10|220,4|1|880</v>
          </cell>
          <cell r="D1852" t="str">
            <v>10体力-主角11级精英副本经验和金币奖励</v>
          </cell>
          <cell r="E1852" t="str">
            <v>4|10|220|1,4|1|880|1</v>
          </cell>
        </row>
        <row r="1853">
          <cell r="A1853">
            <v>42712</v>
          </cell>
          <cell r="B1853">
            <v>0</v>
          </cell>
          <cell r="C1853" t="str">
            <v>4|10|240,4|1|960</v>
          </cell>
          <cell r="D1853" t="str">
            <v>10体力-主角12级精英副本经验和金币奖励</v>
          </cell>
          <cell r="E1853" t="str">
            <v>4|10|240|1,4|1|960|1</v>
          </cell>
        </row>
        <row r="1854">
          <cell r="A1854">
            <v>42713</v>
          </cell>
          <cell r="B1854">
            <v>0</v>
          </cell>
          <cell r="C1854" t="str">
            <v>4|10|260,4|1|1040</v>
          </cell>
          <cell r="D1854" t="str">
            <v>10体力-主角13级精英副本经验和金币奖励</v>
          </cell>
          <cell r="E1854" t="str">
            <v>4|10|260|1,4|1|1040|1</v>
          </cell>
        </row>
        <row r="1855">
          <cell r="A1855">
            <v>42714</v>
          </cell>
          <cell r="B1855">
            <v>0</v>
          </cell>
          <cell r="C1855" t="str">
            <v>4|10|280,4|1|1120</v>
          </cell>
          <cell r="D1855" t="str">
            <v>10体力-主角14级精英副本经验和金币奖励</v>
          </cell>
          <cell r="E1855" t="str">
            <v>4|10|280|1,4|1|1120|1</v>
          </cell>
        </row>
        <row r="1856">
          <cell r="A1856">
            <v>42715</v>
          </cell>
          <cell r="B1856">
            <v>0</v>
          </cell>
          <cell r="C1856" t="str">
            <v>4|10|300,4|1|1200</v>
          </cell>
          <cell r="D1856" t="str">
            <v>10体力-主角15级精英副本经验和金币奖励</v>
          </cell>
          <cell r="E1856" t="str">
            <v>4|10|300|1,4|1|1200|1</v>
          </cell>
        </row>
        <row r="1857">
          <cell r="A1857">
            <v>42716</v>
          </cell>
          <cell r="B1857">
            <v>0</v>
          </cell>
          <cell r="C1857" t="str">
            <v>4|10|320,4|1|1280</v>
          </cell>
          <cell r="D1857" t="str">
            <v>10体力-主角16级精英副本经验和金币奖励</v>
          </cell>
          <cell r="E1857" t="str">
            <v>4|10|320|1,4|1|1280|1</v>
          </cell>
        </row>
        <row r="1858">
          <cell r="A1858">
            <v>42717</v>
          </cell>
          <cell r="B1858">
            <v>0</v>
          </cell>
          <cell r="C1858" t="str">
            <v>4|10|340,4|1|1360</v>
          </cell>
          <cell r="D1858" t="str">
            <v>10体力-主角17级精英副本经验和金币奖励</v>
          </cell>
          <cell r="E1858" t="str">
            <v>4|10|340|1,4|1|1360|1</v>
          </cell>
        </row>
        <row r="1859">
          <cell r="A1859">
            <v>42718</v>
          </cell>
          <cell r="B1859">
            <v>0</v>
          </cell>
          <cell r="C1859" t="str">
            <v>4|10|360,4|1|1440</v>
          </cell>
          <cell r="D1859" t="str">
            <v>10体力-主角18级精英副本经验和金币奖励</v>
          </cell>
          <cell r="E1859" t="str">
            <v>4|10|360|1,4|1|1440|1</v>
          </cell>
        </row>
        <row r="1860">
          <cell r="A1860">
            <v>42719</v>
          </cell>
          <cell r="B1860">
            <v>0</v>
          </cell>
          <cell r="C1860" t="str">
            <v>4|10|380,4|1|1520</v>
          </cell>
          <cell r="D1860" t="str">
            <v>10体力-主角19级精英副本经验和金币奖励</v>
          </cell>
          <cell r="E1860" t="str">
            <v>4|10|380|1,4|1|1520|1</v>
          </cell>
        </row>
        <row r="1861">
          <cell r="A1861">
            <v>42720</v>
          </cell>
          <cell r="B1861">
            <v>0</v>
          </cell>
          <cell r="C1861" t="str">
            <v>4|10|400,4|1|1600</v>
          </cell>
          <cell r="D1861" t="str">
            <v>10体力-主角20级精英副本经验和金币奖励</v>
          </cell>
          <cell r="E1861" t="str">
            <v>4|10|400|1,4|1|1600|1</v>
          </cell>
        </row>
        <row r="1862">
          <cell r="A1862">
            <v>42721</v>
          </cell>
          <cell r="B1862">
            <v>0</v>
          </cell>
          <cell r="C1862" t="str">
            <v>4|10|420,4|1|1680</v>
          </cell>
          <cell r="D1862" t="str">
            <v>10体力-主角21级精英副本经验和金币奖励</v>
          </cell>
          <cell r="E1862" t="str">
            <v>4|10|420|1,4|1|1680|1</v>
          </cell>
        </row>
        <row r="1863">
          <cell r="A1863">
            <v>42722</v>
          </cell>
          <cell r="B1863">
            <v>0</v>
          </cell>
          <cell r="C1863" t="str">
            <v>4|10|440,4|1|1760</v>
          </cell>
          <cell r="D1863" t="str">
            <v>10体力-主角22级精英副本经验和金币奖励</v>
          </cell>
          <cell r="E1863" t="str">
            <v>4|10|440|1,4|1|1760|1</v>
          </cell>
        </row>
        <row r="1864">
          <cell r="A1864">
            <v>42723</v>
          </cell>
          <cell r="B1864">
            <v>0</v>
          </cell>
          <cell r="C1864" t="str">
            <v>4|10|460,4|1|1840</v>
          </cell>
          <cell r="D1864" t="str">
            <v>10体力-主角23级精英副本经验和金币奖励</v>
          </cell>
          <cell r="E1864" t="str">
            <v>4|10|460|1,4|1|1840|1</v>
          </cell>
        </row>
        <row r="1865">
          <cell r="A1865">
            <v>42724</v>
          </cell>
          <cell r="B1865">
            <v>0</v>
          </cell>
          <cell r="C1865" t="str">
            <v>4|10|480,4|1|1920</v>
          </cell>
          <cell r="D1865" t="str">
            <v>10体力-主角24级精英副本经验和金币奖励</v>
          </cell>
          <cell r="E1865" t="str">
            <v>4|10|480|1,4|1|1920|1</v>
          </cell>
        </row>
        <row r="1866">
          <cell r="A1866">
            <v>42725</v>
          </cell>
          <cell r="B1866">
            <v>0</v>
          </cell>
          <cell r="C1866" t="str">
            <v>4|10|500,4|1|2000</v>
          </cell>
          <cell r="D1866" t="str">
            <v>10体力-主角25级精英副本经验和金币奖励</v>
          </cell>
          <cell r="E1866" t="str">
            <v>4|10|500|1,4|1|2000|1</v>
          </cell>
        </row>
        <row r="1867">
          <cell r="A1867">
            <v>42726</v>
          </cell>
          <cell r="B1867">
            <v>0</v>
          </cell>
          <cell r="C1867" t="str">
            <v>4|10|520,4|1|2080</v>
          </cell>
          <cell r="D1867" t="str">
            <v>10体力-主角26级精英副本经验和金币奖励</v>
          </cell>
          <cell r="E1867" t="str">
            <v>4|10|520|1,4|1|2080|1</v>
          </cell>
        </row>
        <row r="1868">
          <cell r="A1868">
            <v>42727</v>
          </cell>
          <cell r="B1868">
            <v>0</v>
          </cell>
          <cell r="C1868" t="str">
            <v>4|10|540,4|1|2160</v>
          </cell>
          <cell r="D1868" t="str">
            <v>10体力-主角27级精英副本经验和金币奖励</v>
          </cell>
          <cell r="E1868" t="str">
            <v>4|10|540|1,4|1|2160|1</v>
          </cell>
        </row>
        <row r="1869">
          <cell r="A1869">
            <v>42728</v>
          </cell>
          <cell r="B1869">
            <v>0</v>
          </cell>
          <cell r="C1869" t="str">
            <v>4|10|560,4|1|2240</v>
          </cell>
          <cell r="D1869" t="str">
            <v>10体力-主角28级精英副本经验和金币奖励</v>
          </cell>
          <cell r="E1869" t="str">
            <v>4|10|560|1,4|1|2240|1</v>
          </cell>
        </row>
        <row r="1870">
          <cell r="A1870">
            <v>42729</v>
          </cell>
          <cell r="B1870">
            <v>0</v>
          </cell>
          <cell r="C1870" t="str">
            <v>4|10|580,4|1|2320</v>
          </cell>
          <cell r="D1870" t="str">
            <v>10体力-主角29级精英副本经验和金币奖励</v>
          </cell>
          <cell r="E1870" t="str">
            <v>4|10|580|1,4|1|2320|1</v>
          </cell>
        </row>
        <row r="1871">
          <cell r="A1871">
            <v>42730</v>
          </cell>
          <cell r="B1871">
            <v>0</v>
          </cell>
          <cell r="C1871" t="str">
            <v>4|10|600,4|1|2400</v>
          </cell>
          <cell r="D1871" t="str">
            <v>10体力-主角30级精英副本经验和金币奖励</v>
          </cell>
          <cell r="E1871" t="str">
            <v>4|10|600|1,4|1|2400|1</v>
          </cell>
        </row>
        <row r="1872">
          <cell r="A1872">
            <v>42731</v>
          </cell>
          <cell r="B1872">
            <v>0</v>
          </cell>
          <cell r="C1872" t="str">
            <v>4|10|620,4|1|2480</v>
          </cell>
          <cell r="D1872" t="str">
            <v>10体力-主角31级精英副本经验和金币奖励</v>
          </cell>
          <cell r="E1872" t="str">
            <v>4|10|620|1,4|1|2480|1</v>
          </cell>
        </row>
        <row r="1873">
          <cell r="A1873">
            <v>42732</v>
          </cell>
          <cell r="B1873">
            <v>0</v>
          </cell>
          <cell r="C1873" t="str">
            <v>4|10|640,4|1|2560</v>
          </cell>
          <cell r="D1873" t="str">
            <v>10体力-主角32级精英副本经验和金币奖励</v>
          </cell>
          <cell r="E1873" t="str">
            <v>4|10|640|1,4|1|2560|1</v>
          </cell>
        </row>
        <row r="1874">
          <cell r="A1874">
            <v>42733</v>
          </cell>
          <cell r="B1874">
            <v>0</v>
          </cell>
          <cell r="C1874" t="str">
            <v>4|10|660,4|1|2640</v>
          </cell>
          <cell r="D1874" t="str">
            <v>10体力-主角33级精英副本经验和金币奖励</v>
          </cell>
          <cell r="E1874" t="str">
            <v>4|10|660|1,4|1|2640|1</v>
          </cell>
        </row>
        <row r="1875">
          <cell r="A1875">
            <v>42734</v>
          </cell>
          <cell r="B1875">
            <v>0</v>
          </cell>
          <cell r="C1875" t="str">
            <v>4|10|680,4|1|2720</v>
          </cell>
          <cell r="D1875" t="str">
            <v>10体力-主角34级精英副本经验和金币奖励</v>
          </cell>
          <cell r="E1875" t="str">
            <v>4|10|680|1,4|1|2720|1</v>
          </cell>
        </row>
        <row r="1876">
          <cell r="A1876">
            <v>42735</v>
          </cell>
          <cell r="B1876">
            <v>0</v>
          </cell>
          <cell r="C1876" t="str">
            <v>4|10|700,4|1|2800</v>
          </cell>
          <cell r="D1876" t="str">
            <v>10体力-主角35级精英副本经验和金币奖励</v>
          </cell>
          <cell r="E1876" t="str">
            <v>4|10|700|1,4|1|2800|1</v>
          </cell>
        </row>
        <row r="1877">
          <cell r="A1877">
            <v>42736</v>
          </cell>
          <cell r="B1877">
            <v>0</v>
          </cell>
          <cell r="C1877" t="str">
            <v>4|10|720,4|1|2880</v>
          </cell>
          <cell r="D1877" t="str">
            <v>10体力-主角36级精英副本经验和金币奖励</v>
          </cell>
          <cell r="E1877" t="str">
            <v>4|10|720|1,4|1|2880|1</v>
          </cell>
        </row>
        <row r="1878">
          <cell r="A1878">
            <v>42737</v>
          </cell>
          <cell r="B1878">
            <v>0</v>
          </cell>
          <cell r="C1878" t="str">
            <v>4|10|740,4|1|2960</v>
          </cell>
          <cell r="D1878" t="str">
            <v>10体力-主角37级精英副本经验和金币奖励</v>
          </cell>
          <cell r="E1878" t="str">
            <v>4|10|740|1,4|1|2960|1</v>
          </cell>
        </row>
        <row r="1879">
          <cell r="A1879">
            <v>42738</v>
          </cell>
          <cell r="B1879">
            <v>0</v>
          </cell>
          <cell r="C1879" t="str">
            <v>4|10|760,4|1|3040</v>
          </cell>
          <cell r="D1879" t="str">
            <v>10体力-主角38级精英副本经验和金币奖励</v>
          </cell>
          <cell r="E1879" t="str">
            <v>4|10|760|1,4|1|3040|1</v>
          </cell>
        </row>
        <row r="1880">
          <cell r="A1880">
            <v>42739</v>
          </cell>
          <cell r="B1880">
            <v>0</v>
          </cell>
          <cell r="C1880" t="str">
            <v>4|10|780,4|1|3120</v>
          </cell>
          <cell r="D1880" t="str">
            <v>10体力-主角39级精英副本经验和金币奖励</v>
          </cell>
          <cell r="E1880" t="str">
            <v>4|10|780|1,4|1|3120|1</v>
          </cell>
        </row>
        <row r="1881">
          <cell r="A1881">
            <v>42740</v>
          </cell>
          <cell r="B1881">
            <v>0</v>
          </cell>
          <cell r="C1881" t="str">
            <v>4|10|800,4|1|3200</v>
          </cell>
          <cell r="D1881" t="str">
            <v>10体力-主角40级精英副本经验和金币奖励</v>
          </cell>
          <cell r="E1881" t="str">
            <v>4|10|800|1,4|1|3200|1</v>
          </cell>
        </row>
        <row r="1882">
          <cell r="A1882">
            <v>42741</v>
          </cell>
          <cell r="B1882">
            <v>0</v>
          </cell>
          <cell r="C1882" t="str">
            <v>4|10|820,4|1|3280</v>
          </cell>
          <cell r="D1882" t="str">
            <v>10体力-主角41级精英副本经验和金币奖励</v>
          </cell>
          <cell r="E1882" t="str">
            <v>4|10|820|1,4|1|3280|1</v>
          </cell>
        </row>
        <row r="1883">
          <cell r="A1883">
            <v>42742</v>
          </cell>
          <cell r="B1883">
            <v>0</v>
          </cell>
          <cell r="C1883" t="str">
            <v>4|10|840,4|1|3360</v>
          </cell>
          <cell r="D1883" t="str">
            <v>10体力-主角42级精英副本经验和金币奖励</v>
          </cell>
          <cell r="E1883" t="str">
            <v>4|10|840|1,4|1|3360|1</v>
          </cell>
        </row>
        <row r="1884">
          <cell r="A1884">
            <v>42743</v>
          </cell>
          <cell r="B1884">
            <v>0</v>
          </cell>
          <cell r="C1884" t="str">
            <v>4|10|860,4|1|3440</v>
          </cell>
          <cell r="D1884" t="str">
            <v>10体力-主角43级精英副本经验和金币奖励</v>
          </cell>
          <cell r="E1884" t="str">
            <v>4|10|860|1,4|1|3440|1</v>
          </cell>
        </row>
        <row r="1885">
          <cell r="A1885">
            <v>42744</v>
          </cell>
          <cell r="B1885">
            <v>0</v>
          </cell>
          <cell r="C1885" t="str">
            <v>4|10|880,4|1|3520</v>
          </cell>
          <cell r="D1885" t="str">
            <v>10体力-主角44级精英副本经验和金币奖励</v>
          </cell>
          <cell r="E1885" t="str">
            <v>4|10|880|1,4|1|3520|1</v>
          </cell>
        </row>
        <row r="1886">
          <cell r="A1886">
            <v>42745</v>
          </cell>
          <cell r="B1886">
            <v>0</v>
          </cell>
          <cell r="C1886" t="str">
            <v>4|10|900,4|1|3600</v>
          </cell>
          <cell r="D1886" t="str">
            <v>10体力-主角45级精英副本经验和金币奖励</v>
          </cell>
          <cell r="E1886" t="str">
            <v>4|10|900|1,4|1|3600|1</v>
          </cell>
        </row>
        <row r="1887">
          <cell r="A1887">
            <v>42746</v>
          </cell>
          <cell r="B1887">
            <v>0</v>
          </cell>
          <cell r="C1887" t="str">
            <v>4|10|920,4|1|3680</v>
          </cell>
          <cell r="D1887" t="str">
            <v>10体力-主角46级精英副本经验和金币奖励</v>
          </cell>
          <cell r="E1887" t="str">
            <v>4|10|920|1,4|1|3680|1</v>
          </cell>
        </row>
        <row r="1888">
          <cell r="A1888">
            <v>42747</v>
          </cell>
          <cell r="B1888">
            <v>0</v>
          </cell>
          <cell r="C1888" t="str">
            <v>4|10|940,4|1|3760</v>
          </cell>
          <cell r="D1888" t="str">
            <v>10体力-主角47级精英副本经验和金币奖励</v>
          </cell>
          <cell r="E1888" t="str">
            <v>4|10|940|1,4|1|3760|1</v>
          </cell>
        </row>
        <row r="1889">
          <cell r="A1889">
            <v>42748</v>
          </cell>
          <cell r="B1889">
            <v>0</v>
          </cell>
          <cell r="C1889" t="str">
            <v>4|10|960,4|1|3840</v>
          </cell>
          <cell r="D1889" t="str">
            <v>10体力-主角48级精英副本经验和金币奖励</v>
          </cell>
          <cell r="E1889" t="str">
            <v>4|10|960|1,4|1|3840|1</v>
          </cell>
        </row>
        <row r="1890">
          <cell r="A1890">
            <v>42749</v>
          </cell>
          <cell r="B1890">
            <v>0</v>
          </cell>
          <cell r="C1890" t="str">
            <v>4|10|980,4|1|3920</v>
          </cell>
          <cell r="D1890" t="str">
            <v>10体力-主角49级精英副本经验和金币奖励</v>
          </cell>
          <cell r="E1890" t="str">
            <v>4|10|980|1,4|1|3920|1</v>
          </cell>
        </row>
        <row r="1891">
          <cell r="A1891">
            <v>42750</v>
          </cell>
          <cell r="B1891">
            <v>0</v>
          </cell>
          <cell r="C1891" t="str">
            <v>4|10|1000,4|1|4000</v>
          </cell>
          <cell r="D1891" t="str">
            <v>10体力-主角50级精英副本经验和金币奖励</v>
          </cell>
          <cell r="E1891" t="str">
            <v>4|10|1000|1,4|1|4000|1</v>
          </cell>
        </row>
        <row r="1892">
          <cell r="A1892">
            <v>42751</v>
          </cell>
          <cell r="B1892">
            <v>0</v>
          </cell>
          <cell r="C1892" t="str">
            <v>4|10|1020,4|1|4080</v>
          </cell>
          <cell r="D1892" t="str">
            <v>10体力-主角51级精英副本经验和金币奖励</v>
          </cell>
          <cell r="E1892" t="str">
            <v>4|10|1020|1,4|1|4080|1</v>
          </cell>
        </row>
        <row r="1893">
          <cell r="A1893">
            <v>42752</v>
          </cell>
          <cell r="B1893">
            <v>0</v>
          </cell>
          <cell r="C1893" t="str">
            <v>4|10|1040,4|1|4160</v>
          </cell>
          <cell r="D1893" t="str">
            <v>10体力-主角52级精英副本经验和金币奖励</v>
          </cell>
          <cell r="E1893" t="str">
            <v>4|10|1040|1,4|1|4160|1</v>
          </cell>
        </row>
        <row r="1894">
          <cell r="A1894">
            <v>42753</v>
          </cell>
          <cell r="B1894">
            <v>0</v>
          </cell>
          <cell r="C1894" t="str">
            <v>4|10|1060,4|1|4240</v>
          </cell>
          <cell r="D1894" t="str">
            <v>10体力-主角53级精英副本经验和金币奖励</v>
          </cell>
          <cell r="E1894" t="str">
            <v>4|10|1060|1,4|1|4240|1</v>
          </cell>
        </row>
        <row r="1895">
          <cell r="A1895">
            <v>42754</v>
          </cell>
          <cell r="B1895">
            <v>0</v>
          </cell>
          <cell r="C1895" t="str">
            <v>4|10|1080,4|1|4320</v>
          </cell>
          <cell r="D1895" t="str">
            <v>10体力-主角54级精英副本经验和金币奖励</v>
          </cell>
          <cell r="E1895" t="str">
            <v>4|10|1080|1,4|1|4320|1</v>
          </cell>
        </row>
        <row r="1896">
          <cell r="A1896">
            <v>42755</v>
          </cell>
          <cell r="B1896">
            <v>0</v>
          </cell>
          <cell r="C1896" t="str">
            <v>4|10|1100,4|1|4400</v>
          </cell>
          <cell r="D1896" t="str">
            <v>10体力-主角55级精英副本经验和金币奖励</v>
          </cell>
          <cell r="E1896" t="str">
            <v>4|10|1100|1,4|1|4400|1</v>
          </cell>
        </row>
        <row r="1897">
          <cell r="A1897">
            <v>42756</v>
          </cell>
          <cell r="B1897">
            <v>0</v>
          </cell>
          <cell r="C1897" t="str">
            <v>4|10|1120,4|1|4480</v>
          </cell>
          <cell r="D1897" t="str">
            <v>10体力-主角56级精英副本经验和金币奖励</v>
          </cell>
          <cell r="E1897" t="str">
            <v>4|10|1120|1,4|1|4480|1</v>
          </cell>
        </row>
        <row r="1898">
          <cell r="A1898">
            <v>42757</v>
          </cell>
          <cell r="B1898">
            <v>0</v>
          </cell>
          <cell r="C1898" t="str">
            <v>4|10|1140,4|1|4560</v>
          </cell>
          <cell r="D1898" t="str">
            <v>10体力-主角57级精英副本经验和金币奖励</v>
          </cell>
          <cell r="E1898" t="str">
            <v>4|10|1140|1,4|1|4560|1</v>
          </cell>
        </row>
        <row r="1899">
          <cell r="A1899">
            <v>42758</v>
          </cell>
          <cell r="B1899">
            <v>0</v>
          </cell>
          <cell r="C1899" t="str">
            <v>4|10|1160,4|1|4640</v>
          </cell>
          <cell r="D1899" t="str">
            <v>10体力-主角58级精英副本经验和金币奖励</v>
          </cell>
          <cell r="E1899" t="str">
            <v>4|10|1160|1,4|1|4640|1</v>
          </cell>
        </row>
        <row r="1900">
          <cell r="A1900">
            <v>42759</v>
          </cell>
          <cell r="B1900">
            <v>0</v>
          </cell>
          <cell r="C1900" t="str">
            <v>4|10|1180,4|1|4720</v>
          </cell>
          <cell r="D1900" t="str">
            <v>10体力-主角59级精英副本经验和金币奖励</v>
          </cell>
          <cell r="E1900" t="str">
            <v>4|10|1180|1,4|1|4720|1</v>
          </cell>
        </row>
        <row r="1901">
          <cell r="A1901">
            <v>42760</v>
          </cell>
          <cell r="B1901">
            <v>0</v>
          </cell>
          <cell r="C1901" t="str">
            <v>4|10|1200,4|1|4800</v>
          </cell>
          <cell r="D1901" t="str">
            <v>10体力-主角60级精英副本经验和金币奖励</v>
          </cell>
          <cell r="E1901" t="str">
            <v>4|10|1200|1,4|1|4800|1</v>
          </cell>
        </row>
        <row r="1902">
          <cell r="A1902">
            <v>42761</v>
          </cell>
          <cell r="B1902">
            <v>0</v>
          </cell>
          <cell r="C1902" t="str">
            <v>4|10|1220,4|1|4880</v>
          </cell>
          <cell r="D1902" t="str">
            <v>10体力-主角61级精英副本经验和金币奖励</v>
          </cell>
          <cell r="E1902" t="str">
            <v>4|10|1220|1,4|1|4880|1</v>
          </cell>
        </row>
        <row r="1903">
          <cell r="A1903">
            <v>42762</v>
          </cell>
          <cell r="B1903">
            <v>0</v>
          </cell>
          <cell r="C1903" t="str">
            <v>4|10|1240,4|1|4960</v>
          </cell>
          <cell r="D1903" t="str">
            <v>10体力-主角62级精英副本经验和金币奖励</v>
          </cell>
          <cell r="E1903" t="str">
            <v>4|10|1240|1,4|1|4960|1</v>
          </cell>
        </row>
        <row r="1904">
          <cell r="A1904">
            <v>42763</v>
          </cell>
          <cell r="B1904">
            <v>0</v>
          </cell>
          <cell r="C1904" t="str">
            <v>4|10|1260,4|1|5040</v>
          </cell>
          <cell r="D1904" t="str">
            <v>10体力-主角63级精英副本经验和金币奖励</v>
          </cell>
          <cell r="E1904" t="str">
            <v>4|10|1260|1,4|1|5040|1</v>
          </cell>
        </row>
        <row r="1905">
          <cell r="A1905">
            <v>42764</v>
          </cell>
          <cell r="B1905">
            <v>0</v>
          </cell>
          <cell r="C1905" t="str">
            <v>4|10|1280,4|1|5120</v>
          </cell>
          <cell r="D1905" t="str">
            <v>10体力-主角64级精英副本经验和金币奖励</v>
          </cell>
          <cell r="E1905" t="str">
            <v>4|10|1280|1,4|1|5120|1</v>
          </cell>
        </row>
        <row r="1906">
          <cell r="A1906">
            <v>42765</v>
          </cell>
          <cell r="B1906">
            <v>0</v>
          </cell>
          <cell r="C1906" t="str">
            <v>4|10|1300,4|1|5200</v>
          </cell>
          <cell r="D1906" t="str">
            <v>10体力-主角65级精英副本经验和金币奖励</v>
          </cell>
          <cell r="E1906" t="str">
            <v>4|10|1300|1,4|1|5200|1</v>
          </cell>
        </row>
        <row r="1907">
          <cell r="A1907">
            <v>42766</v>
          </cell>
          <cell r="B1907">
            <v>0</v>
          </cell>
          <cell r="C1907" t="str">
            <v>4|10|1320,4|1|5280</v>
          </cell>
          <cell r="D1907" t="str">
            <v>10体力-主角66级精英副本经验和金币奖励</v>
          </cell>
          <cell r="E1907" t="str">
            <v>4|10|1320|1,4|1|5280|1</v>
          </cell>
        </row>
        <row r="1908">
          <cell r="A1908">
            <v>42767</v>
          </cell>
          <cell r="B1908">
            <v>0</v>
          </cell>
          <cell r="C1908" t="str">
            <v>4|10|1340,4|1|5360</v>
          </cell>
          <cell r="D1908" t="str">
            <v>10体力-主角67级精英副本经验和金币奖励</v>
          </cell>
          <cell r="E1908" t="str">
            <v>4|10|1340|1,4|1|5360|1</v>
          </cell>
        </row>
        <row r="1909">
          <cell r="A1909">
            <v>42768</v>
          </cell>
          <cell r="B1909">
            <v>0</v>
          </cell>
          <cell r="C1909" t="str">
            <v>4|10|1360,4|1|5440</v>
          </cell>
          <cell r="D1909" t="str">
            <v>10体力-主角68级精英副本经验和金币奖励</v>
          </cell>
          <cell r="E1909" t="str">
            <v>4|10|1360|1,4|1|5440|1</v>
          </cell>
        </row>
        <row r="1910">
          <cell r="A1910">
            <v>42769</v>
          </cell>
          <cell r="B1910">
            <v>0</v>
          </cell>
          <cell r="C1910" t="str">
            <v>4|10|1380,4|1|5520</v>
          </cell>
          <cell r="D1910" t="str">
            <v>10体力-主角69级精英副本经验和金币奖励</v>
          </cell>
          <cell r="E1910" t="str">
            <v>4|10|1380|1,4|1|5520|1</v>
          </cell>
        </row>
        <row r="1911">
          <cell r="A1911">
            <v>42770</v>
          </cell>
          <cell r="B1911">
            <v>0</v>
          </cell>
          <cell r="C1911" t="str">
            <v>4|10|1400,4|1|5600</v>
          </cell>
          <cell r="D1911" t="str">
            <v>10体力-主角70级精英副本经验和金币奖励</v>
          </cell>
          <cell r="E1911" t="str">
            <v>4|10|1400|1,4|1|5600|1</v>
          </cell>
        </row>
        <row r="1912">
          <cell r="A1912">
            <v>42771</v>
          </cell>
          <cell r="B1912">
            <v>0</v>
          </cell>
          <cell r="C1912" t="str">
            <v>4|10|1420,4|1|5680</v>
          </cell>
          <cell r="D1912" t="str">
            <v>10体力-主角71级精英副本经验和金币奖励</v>
          </cell>
          <cell r="E1912" t="str">
            <v>4|10|1420|1,4|1|5680|1</v>
          </cell>
        </row>
        <row r="1913">
          <cell r="A1913">
            <v>42772</v>
          </cell>
          <cell r="B1913">
            <v>0</v>
          </cell>
          <cell r="C1913" t="str">
            <v>4|10|1440,4|1|5760</v>
          </cell>
          <cell r="D1913" t="str">
            <v>10体力-主角72级精英副本经验和金币奖励</v>
          </cell>
          <cell r="E1913" t="str">
            <v>4|10|1440|1,4|1|5760|1</v>
          </cell>
        </row>
        <row r="1914">
          <cell r="A1914">
            <v>42773</v>
          </cell>
          <cell r="B1914">
            <v>0</v>
          </cell>
          <cell r="C1914" t="str">
            <v>4|10|1460,4|1|5840</v>
          </cell>
          <cell r="D1914" t="str">
            <v>10体力-主角73级精英副本经验和金币奖励</v>
          </cell>
          <cell r="E1914" t="str">
            <v>4|10|1460|1,4|1|5840|1</v>
          </cell>
        </row>
        <row r="1915">
          <cell r="A1915">
            <v>42774</v>
          </cell>
          <cell r="B1915">
            <v>0</v>
          </cell>
          <cell r="C1915" t="str">
            <v>4|10|1480,4|1|5920</v>
          </cell>
          <cell r="D1915" t="str">
            <v>10体力-主角74级精英副本经验和金币奖励</v>
          </cell>
          <cell r="E1915" t="str">
            <v>4|10|1480|1,4|1|5920|1</v>
          </cell>
        </row>
        <row r="1916">
          <cell r="A1916">
            <v>42775</v>
          </cell>
          <cell r="B1916">
            <v>0</v>
          </cell>
          <cell r="C1916" t="str">
            <v>4|10|1500,4|1|6000</v>
          </cell>
          <cell r="D1916" t="str">
            <v>10体力-主角75级精英副本经验和金币奖励</v>
          </cell>
          <cell r="E1916" t="str">
            <v>4|10|1500|1,4|1|6000|1</v>
          </cell>
        </row>
        <row r="1917">
          <cell r="A1917">
            <v>42776</v>
          </cell>
          <cell r="B1917">
            <v>0</v>
          </cell>
          <cell r="C1917" t="str">
            <v>4|10|1520,4|1|6080</v>
          </cell>
          <cell r="D1917" t="str">
            <v>10体力-主角76级精英副本经验和金币奖励</v>
          </cell>
          <cell r="E1917" t="str">
            <v>4|10|1520|1,4|1|6080|1</v>
          </cell>
        </row>
        <row r="1918">
          <cell r="A1918">
            <v>42777</v>
          </cell>
          <cell r="B1918">
            <v>0</v>
          </cell>
          <cell r="C1918" t="str">
            <v>4|10|1540,4|1|6160</v>
          </cell>
          <cell r="D1918" t="str">
            <v>10体力-主角77级精英副本经验和金币奖励</v>
          </cell>
          <cell r="E1918" t="str">
            <v>4|10|1540|1,4|1|6160|1</v>
          </cell>
        </row>
        <row r="1919">
          <cell r="A1919">
            <v>42778</v>
          </cell>
          <cell r="B1919">
            <v>0</v>
          </cell>
          <cell r="C1919" t="str">
            <v>4|10|1560,4|1|6240</v>
          </cell>
          <cell r="D1919" t="str">
            <v>10体力-主角78级精英副本经验和金币奖励</v>
          </cell>
          <cell r="E1919" t="str">
            <v>4|10|1560|1,4|1|6240|1</v>
          </cell>
        </row>
        <row r="1920">
          <cell r="A1920">
            <v>42779</v>
          </cell>
          <cell r="B1920">
            <v>0</v>
          </cell>
          <cell r="C1920" t="str">
            <v>4|10|1580,4|1|6320</v>
          </cell>
          <cell r="D1920" t="str">
            <v>10体力-主角79级精英副本经验和金币奖励</v>
          </cell>
          <cell r="E1920" t="str">
            <v>4|10|1580|1,4|1|6320|1</v>
          </cell>
        </row>
        <row r="1921">
          <cell r="A1921">
            <v>42780</v>
          </cell>
          <cell r="B1921">
            <v>0</v>
          </cell>
          <cell r="C1921" t="str">
            <v>4|10|1600,4|1|6400</v>
          </cell>
          <cell r="D1921" t="str">
            <v>10体力-主角80级精英副本经验和金币奖励</v>
          </cell>
          <cell r="E1921" t="str">
            <v>4|10|1600|1,4|1|6400|1</v>
          </cell>
        </row>
        <row r="1922">
          <cell r="A1922">
            <v>42781</v>
          </cell>
          <cell r="B1922">
            <v>0</v>
          </cell>
          <cell r="C1922" t="str">
            <v>4|10|1620,4|1|6480</v>
          </cell>
          <cell r="D1922" t="str">
            <v>10体力-主角81级精英副本经验和金币奖励</v>
          </cell>
          <cell r="E1922" t="str">
            <v>4|10|1620|1,4|1|6480|1</v>
          </cell>
        </row>
        <row r="1923">
          <cell r="A1923">
            <v>42782</v>
          </cell>
          <cell r="B1923">
            <v>0</v>
          </cell>
          <cell r="C1923" t="str">
            <v>4|10|1640,4|1|6560</v>
          </cell>
          <cell r="D1923" t="str">
            <v>10体力-主角82级精英副本经验和金币奖励</v>
          </cell>
          <cell r="E1923" t="str">
            <v>4|10|1640|1,4|1|6560|1</v>
          </cell>
        </row>
        <row r="1924">
          <cell r="A1924">
            <v>42783</v>
          </cell>
          <cell r="B1924">
            <v>0</v>
          </cell>
          <cell r="C1924" t="str">
            <v>4|10|1660,4|1|6640</v>
          </cell>
          <cell r="D1924" t="str">
            <v>10体力-主角83级精英副本经验和金币奖励</v>
          </cell>
          <cell r="E1924" t="str">
            <v>4|10|1660|1,4|1|6640|1</v>
          </cell>
        </row>
        <row r="1925">
          <cell r="A1925">
            <v>42784</v>
          </cell>
          <cell r="B1925">
            <v>0</v>
          </cell>
          <cell r="C1925" t="str">
            <v>4|10|1680,4|1|6720</v>
          </cell>
          <cell r="D1925" t="str">
            <v>10体力-主角84级精英副本经验和金币奖励</v>
          </cell>
          <cell r="E1925" t="str">
            <v>4|10|1680|1,4|1|6720|1</v>
          </cell>
        </row>
        <row r="1926">
          <cell r="A1926">
            <v>42785</v>
          </cell>
          <cell r="B1926">
            <v>0</v>
          </cell>
          <cell r="C1926" t="str">
            <v>4|10|1700,4|1|6800</v>
          </cell>
          <cell r="D1926" t="str">
            <v>10体力-主角85级精英副本经验和金币奖励</v>
          </cell>
          <cell r="E1926" t="str">
            <v>4|10|1700|1,4|1|6800|1</v>
          </cell>
        </row>
        <row r="1927">
          <cell r="A1927">
            <v>42786</v>
          </cell>
          <cell r="B1927">
            <v>0</v>
          </cell>
          <cell r="C1927" t="str">
            <v>4|10|1720,4|1|6880</v>
          </cell>
          <cell r="D1927" t="str">
            <v>10体力-主角86级精英副本经验和金币奖励</v>
          </cell>
          <cell r="E1927" t="str">
            <v>4|10|1720|1,4|1|6880|1</v>
          </cell>
        </row>
        <row r="1928">
          <cell r="A1928">
            <v>42787</v>
          </cell>
          <cell r="B1928">
            <v>0</v>
          </cell>
          <cell r="C1928" t="str">
            <v>4|10|1740,4|1|6960</v>
          </cell>
          <cell r="D1928" t="str">
            <v>10体力-主角87级精英副本经验和金币奖励</v>
          </cell>
          <cell r="E1928" t="str">
            <v>4|10|1740|1,4|1|6960|1</v>
          </cell>
        </row>
        <row r="1929">
          <cell r="A1929">
            <v>42788</v>
          </cell>
          <cell r="B1929">
            <v>0</v>
          </cell>
          <cell r="C1929" t="str">
            <v>4|10|1760,4|1|7040</v>
          </cell>
          <cell r="D1929" t="str">
            <v>10体力-主角88级精英副本经验和金币奖励</v>
          </cell>
          <cell r="E1929" t="str">
            <v>4|10|1760|1,4|1|7040|1</v>
          </cell>
        </row>
        <row r="1930">
          <cell r="A1930">
            <v>42789</v>
          </cell>
          <cell r="B1930">
            <v>0</v>
          </cell>
          <cell r="C1930" t="str">
            <v>4|10|1780,4|1|7120</v>
          </cell>
          <cell r="D1930" t="str">
            <v>10体力-主角89级精英副本经验和金币奖励</v>
          </cell>
          <cell r="E1930" t="str">
            <v>4|10|1780|1,4|1|7120|1</v>
          </cell>
        </row>
        <row r="1931">
          <cell r="A1931">
            <v>42790</v>
          </cell>
          <cell r="B1931">
            <v>0</v>
          </cell>
          <cell r="C1931" t="str">
            <v>4|10|1800,4|1|7200</v>
          </cell>
          <cell r="D1931" t="str">
            <v>10体力-主角90级精英副本经验和金币奖励</v>
          </cell>
          <cell r="E1931" t="str">
            <v>4|10|1800|1,4|1|7200|1</v>
          </cell>
        </row>
        <row r="1932">
          <cell r="A1932">
            <v>42791</v>
          </cell>
          <cell r="B1932">
            <v>0</v>
          </cell>
          <cell r="C1932" t="str">
            <v>4|10|1820,4|1|7280</v>
          </cell>
          <cell r="D1932" t="str">
            <v>10体力-主角91级精英副本经验和金币奖励</v>
          </cell>
          <cell r="E1932" t="str">
            <v>4|10|1820|1,4|1|7280|1</v>
          </cell>
        </row>
        <row r="1933">
          <cell r="A1933">
            <v>42792</v>
          </cell>
          <cell r="B1933">
            <v>0</v>
          </cell>
          <cell r="C1933" t="str">
            <v>4|10|1840,4|1|7360</v>
          </cell>
          <cell r="D1933" t="str">
            <v>10体力-主角92级精英副本经验和金币奖励</v>
          </cell>
          <cell r="E1933" t="str">
            <v>4|10|1840|1,4|1|7360|1</v>
          </cell>
        </row>
        <row r="1934">
          <cell r="A1934">
            <v>42793</v>
          </cell>
          <cell r="B1934">
            <v>0</v>
          </cell>
          <cell r="C1934" t="str">
            <v>4|10|1860,4|1|7440</v>
          </cell>
          <cell r="D1934" t="str">
            <v>10体力-主角93级精英副本经验和金币奖励</v>
          </cell>
          <cell r="E1934" t="str">
            <v>4|10|1860|1,4|1|7440|1</v>
          </cell>
        </row>
        <row r="1935">
          <cell r="A1935">
            <v>42794</v>
          </cell>
          <cell r="B1935">
            <v>0</v>
          </cell>
          <cell r="C1935" t="str">
            <v>4|10|1880,4|1|7520</v>
          </cell>
          <cell r="D1935" t="str">
            <v>10体力-主角94级精英副本经验和金币奖励</v>
          </cell>
          <cell r="E1935" t="str">
            <v>4|10|1880|1,4|1|7520|1</v>
          </cell>
        </row>
        <row r="1936">
          <cell r="A1936">
            <v>42795</v>
          </cell>
          <cell r="B1936">
            <v>0</v>
          </cell>
          <cell r="C1936" t="str">
            <v>4|10|1900,4|1|7600</v>
          </cell>
          <cell r="D1936" t="str">
            <v>10体力-主角95级精英副本经验和金币奖励</v>
          </cell>
          <cell r="E1936" t="str">
            <v>4|10|1900|1,4|1|7600|1</v>
          </cell>
        </row>
        <row r="1937">
          <cell r="A1937">
            <v>42796</v>
          </cell>
          <cell r="B1937">
            <v>0</v>
          </cell>
          <cell r="C1937" t="str">
            <v>4|10|1920,4|1|7680</v>
          </cell>
          <cell r="D1937" t="str">
            <v>10体力-主角96级精英副本经验和金币奖励</v>
          </cell>
          <cell r="E1937" t="str">
            <v>4|10|1920|1,4|1|7680|1</v>
          </cell>
        </row>
        <row r="1938">
          <cell r="A1938">
            <v>42797</v>
          </cell>
          <cell r="B1938">
            <v>0</v>
          </cell>
          <cell r="C1938" t="str">
            <v>4|10|1940,4|1|7760</v>
          </cell>
          <cell r="D1938" t="str">
            <v>10体力-主角97级精英副本经验和金币奖励</v>
          </cell>
          <cell r="E1938" t="str">
            <v>4|10|1940|1,4|1|7760|1</v>
          </cell>
        </row>
        <row r="1939">
          <cell r="A1939">
            <v>42798</v>
          </cell>
          <cell r="B1939">
            <v>0</v>
          </cell>
          <cell r="C1939" t="str">
            <v>4|10|1960,4|1|7840</v>
          </cell>
          <cell r="D1939" t="str">
            <v>10体力-主角98级精英副本经验和金币奖励</v>
          </cell>
          <cell r="E1939" t="str">
            <v>4|10|1960|1,4|1|7840|1</v>
          </cell>
        </row>
        <row r="1940">
          <cell r="A1940">
            <v>42799</v>
          </cell>
          <cell r="B1940">
            <v>0</v>
          </cell>
          <cell r="C1940" t="str">
            <v>4|10|1980,4|1|7920</v>
          </cell>
          <cell r="D1940" t="str">
            <v>10体力-主角99级精英副本经验和金币奖励</v>
          </cell>
          <cell r="E1940" t="str">
            <v>4|10|1980|1,4|1|7920|1</v>
          </cell>
        </row>
        <row r="1941">
          <cell r="A1941">
            <v>42800</v>
          </cell>
          <cell r="B1941">
            <v>0</v>
          </cell>
          <cell r="C1941" t="str">
            <v>4|10|2000,4|1|8000</v>
          </cell>
          <cell r="D1941" t="str">
            <v>10体力-主角100级精英副本经验和金币奖励</v>
          </cell>
          <cell r="E1941" t="str">
            <v>4|10|2000|1,4|1|8000|1</v>
          </cell>
        </row>
        <row r="1942">
          <cell r="A1942">
            <v>42801</v>
          </cell>
          <cell r="B1942">
            <v>0</v>
          </cell>
          <cell r="C1942" t="str">
            <v>4|10|2020,4|1|8080</v>
          </cell>
          <cell r="D1942" t="str">
            <v>10体力-主角101级精英副本经验和金币奖励</v>
          </cell>
          <cell r="E1942" t="str">
            <v>4|10|2020|1,4|1|8080|1</v>
          </cell>
        </row>
        <row r="1943">
          <cell r="A1943">
            <v>42802</v>
          </cell>
          <cell r="B1943">
            <v>0</v>
          </cell>
          <cell r="C1943" t="str">
            <v>4|10|2040,4|1|8160</v>
          </cell>
          <cell r="D1943" t="str">
            <v>10体力-主角102级精英副本经验和金币奖励</v>
          </cell>
          <cell r="E1943" t="str">
            <v>4|10|2040|1,4|1|8160|1</v>
          </cell>
        </row>
        <row r="1944">
          <cell r="A1944">
            <v>42803</v>
          </cell>
          <cell r="B1944">
            <v>0</v>
          </cell>
          <cell r="C1944" t="str">
            <v>4|10|2060,4|1|8240</v>
          </cell>
          <cell r="D1944" t="str">
            <v>10体力-主角103级精英副本经验和金币奖励</v>
          </cell>
          <cell r="E1944" t="str">
            <v>4|10|2060|1,4|1|8240|1</v>
          </cell>
        </row>
        <row r="1945">
          <cell r="A1945">
            <v>42804</v>
          </cell>
          <cell r="B1945">
            <v>0</v>
          </cell>
          <cell r="C1945" t="str">
            <v>4|10|2080,4|1|8320</v>
          </cell>
          <cell r="D1945" t="str">
            <v>10体力-主角104级精英副本经验和金币奖励</v>
          </cell>
          <cell r="E1945" t="str">
            <v>4|10|2080|1,4|1|8320|1</v>
          </cell>
        </row>
        <row r="1946">
          <cell r="A1946">
            <v>42805</v>
          </cell>
          <cell r="B1946">
            <v>0</v>
          </cell>
          <cell r="C1946" t="str">
            <v>4|10|2100,4|1|8400</v>
          </cell>
          <cell r="D1946" t="str">
            <v>10体力-主角105级精英副本经验和金币奖励</v>
          </cell>
          <cell r="E1946" t="str">
            <v>4|10|2100|1,4|1|8400|1</v>
          </cell>
        </row>
        <row r="1947">
          <cell r="A1947">
            <v>42806</v>
          </cell>
          <cell r="B1947">
            <v>0</v>
          </cell>
          <cell r="C1947" t="str">
            <v>4|10|2120,4|1|8480</v>
          </cell>
          <cell r="D1947" t="str">
            <v>10体力-主角106级精英副本经验和金币奖励</v>
          </cell>
          <cell r="E1947" t="str">
            <v>4|10|2120|1,4|1|8480|1</v>
          </cell>
        </row>
        <row r="1948">
          <cell r="A1948">
            <v>42807</v>
          </cell>
          <cell r="B1948">
            <v>0</v>
          </cell>
          <cell r="C1948" t="str">
            <v>4|10|2140,4|1|8560</v>
          </cell>
          <cell r="D1948" t="str">
            <v>10体力-主角107级精英副本经验和金币奖励</v>
          </cell>
          <cell r="E1948" t="str">
            <v>4|10|2140|1,4|1|8560|1</v>
          </cell>
        </row>
        <row r="1949">
          <cell r="A1949">
            <v>42808</v>
          </cell>
          <cell r="B1949">
            <v>0</v>
          </cell>
          <cell r="C1949" t="str">
            <v>4|10|2160,4|1|8640</v>
          </cell>
          <cell r="D1949" t="str">
            <v>10体力-主角108级精英副本经验和金币奖励</v>
          </cell>
          <cell r="E1949" t="str">
            <v>4|10|2160|1,4|1|8640|1</v>
          </cell>
        </row>
        <row r="1950">
          <cell r="A1950">
            <v>42809</v>
          </cell>
          <cell r="B1950">
            <v>0</v>
          </cell>
          <cell r="C1950" t="str">
            <v>4|10|2180,4|1|8720</v>
          </cell>
          <cell r="D1950" t="str">
            <v>10体力-主角109级精英副本经验和金币奖励</v>
          </cell>
          <cell r="E1950" t="str">
            <v>4|10|2180|1,4|1|8720|1</v>
          </cell>
        </row>
        <row r="1951">
          <cell r="A1951">
            <v>42810</v>
          </cell>
          <cell r="B1951">
            <v>0</v>
          </cell>
          <cell r="C1951" t="str">
            <v>4|10|2200,4|1|8800</v>
          </cell>
          <cell r="D1951" t="str">
            <v>10体力-主角110级精英副本经验和金币奖励</v>
          </cell>
          <cell r="E1951" t="str">
            <v>4|10|2200|1,4|1|8800|1</v>
          </cell>
        </row>
        <row r="1952">
          <cell r="A1952">
            <v>42811</v>
          </cell>
          <cell r="B1952">
            <v>0</v>
          </cell>
          <cell r="C1952" t="str">
            <v>4|10|2220,4|1|8880</v>
          </cell>
          <cell r="D1952" t="str">
            <v>10体力-主角111级精英副本经验和金币奖励</v>
          </cell>
          <cell r="E1952" t="str">
            <v>4|10|2220|1,4|1|8880|1</v>
          </cell>
        </row>
        <row r="1953">
          <cell r="A1953">
            <v>42812</v>
          </cell>
          <cell r="B1953">
            <v>0</v>
          </cell>
          <cell r="C1953" t="str">
            <v>4|10|2240,4|1|8960</v>
          </cell>
          <cell r="D1953" t="str">
            <v>10体力-主角112级精英副本经验和金币奖励</v>
          </cell>
          <cell r="E1953" t="str">
            <v>4|10|2240|1,4|1|8960|1</v>
          </cell>
        </row>
        <row r="1954">
          <cell r="A1954">
            <v>42813</v>
          </cell>
          <cell r="B1954">
            <v>0</v>
          </cell>
          <cell r="C1954" t="str">
            <v>4|10|2260,4|1|9040</v>
          </cell>
          <cell r="D1954" t="str">
            <v>10体力-主角113级精英副本经验和金币奖励</v>
          </cell>
          <cell r="E1954" t="str">
            <v>4|10|2260|1,4|1|9040|1</v>
          </cell>
        </row>
        <row r="1955">
          <cell r="A1955">
            <v>42814</v>
          </cell>
          <cell r="B1955">
            <v>0</v>
          </cell>
          <cell r="C1955" t="str">
            <v>4|10|2280,4|1|9120</v>
          </cell>
          <cell r="D1955" t="str">
            <v>10体力-主角114级精英副本经验和金币奖励</v>
          </cell>
          <cell r="E1955" t="str">
            <v>4|10|2280|1,4|1|9120|1</v>
          </cell>
        </row>
        <row r="1956">
          <cell r="A1956">
            <v>42815</v>
          </cell>
          <cell r="B1956">
            <v>0</v>
          </cell>
          <cell r="C1956" t="str">
            <v>4|10|2300,4|1|9200</v>
          </cell>
          <cell r="D1956" t="str">
            <v>10体力-主角115级精英副本经验和金币奖励</v>
          </cell>
          <cell r="E1956" t="str">
            <v>4|10|2300|1,4|1|9200|1</v>
          </cell>
        </row>
        <row r="1957">
          <cell r="A1957">
            <v>42816</v>
          </cell>
          <cell r="B1957">
            <v>0</v>
          </cell>
          <cell r="C1957" t="str">
            <v>4|10|2320,4|1|9280</v>
          </cell>
          <cell r="D1957" t="str">
            <v>10体力-主角116级精英副本经验和金币奖励</v>
          </cell>
          <cell r="E1957" t="str">
            <v>4|10|2320|1,4|1|9280|1</v>
          </cell>
        </row>
        <row r="1958">
          <cell r="A1958">
            <v>42817</v>
          </cell>
          <cell r="B1958">
            <v>0</v>
          </cell>
          <cell r="C1958" t="str">
            <v>4|10|2340,4|1|9360</v>
          </cell>
          <cell r="D1958" t="str">
            <v>10体力-主角117级精英副本经验和金币奖励</v>
          </cell>
          <cell r="E1958" t="str">
            <v>4|10|2340|1,4|1|9360|1</v>
          </cell>
        </row>
        <row r="1959">
          <cell r="A1959">
            <v>42818</v>
          </cell>
          <cell r="B1959">
            <v>0</v>
          </cell>
          <cell r="C1959" t="str">
            <v>4|10|2360,4|1|9440</v>
          </cell>
          <cell r="D1959" t="str">
            <v>10体力-主角118级精英副本经验和金币奖励</v>
          </cell>
          <cell r="E1959" t="str">
            <v>4|10|2360|1,4|1|9440|1</v>
          </cell>
        </row>
        <row r="1960">
          <cell r="A1960">
            <v>42819</v>
          </cell>
          <cell r="B1960">
            <v>0</v>
          </cell>
          <cell r="C1960" t="str">
            <v>4|10|2380,4|1|9520</v>
          </cell>
          <cell r="D1960" t="str">
            <v>10体力-主角119级精英副本经验和金币奖励</v>
          </cell>
          <cell r="E1960" t="str">
            <v>4|10|2380|1,4|1|9520|1</v>
          </cell>
        </row>
        <row r="1961">
          <cell r="A1961">
            <v>42820</v>
          </cell>
          <cell r="B1961">
            <v>0</v>
          </cell>
          <cell r="C1961" t="str">
            <v>4|10|2400,4|1|9600</v>
          </cell>
          <cell r="D1961" t="str">
            <v>10体力-主角120级精英副本经验和金币奖励</v>
          </cell>
          <cell r="E1961" t="str">
            <v>4|10|2400|1,4|1|9600|1</v>
          </cell>
        </row>
        <row r="1962">
          <cell r="A1962">
            <v>42821</v>
          </cell>
          <cell r="B1962">
            <v>0</v>
          </cell>
          <cell r="C1962" t="str">
            <v>4|10|2420,4|1|9680</v>
          </cell>
          <cell r="D1962" t="str">
            <v>10体力-主角121级精英副本经验和金币奖励</v>
          </cell>
          <cell r="E1962" t="str">
            <v>4|10|2420|1,4|1|9680|1</v>
          </cell>
        </row>
        <row r="1963">
          <cell r="A1963">
            <v>42822</v>
          </cell>
          <cell r="B1963">
            <v>0</v>
          </cell>
          <cell r="C1963" t="str">
            <v>4|10|2440,4|1|9760</v>
          </cell>
          <cell r="D1963" t="str">
            <v>10体力-主角122级精英副本经验和金币奖励</v>
          </cell>
          <cell r="E1963" t="str">
            <v>4|10|2440|1,4|1|9760|1</v>
          </cell>
        </row>
        <row r="1964">
          <cell r="A1964">
            <v>42823</v>
          </cell>
          <cell r="B1964">
            <v>0</v>
          </cell>
          <cell r="C1964" t="str">
            <v>4|10|2460,4|1|9840</v>
          </cell>
          <cell r="D1964" t="str">
            <v>10体力-主角123级精英副本经验和金币奖励</v>
          </cell>
          <cell r="E1964" t="str">
            <v>4|10|2460|1,4|1|9840|1</v>
          </cell>
        </row>
        <row r="1965">
          <cell r="A1965">
            <v>42824</v>
          </cell>
          <cell r="B1965">
            <v>0</v>
          </cell>
          <cell r="C1965" t="str">
            <v>4|10|2480,4|1|9920</v>
          </cell>
          <cell r="D1965" t="str">
            <v>10体力-主角124级精英副本经验和金币奖励</v>
          </cell>
          <cell r="E1965" t="str">
            <v>4|10|2480|1,4|1|9920|1</v>
          </cell>
        </row>
        <row r="1966">
          <cell r="A1966">
            <v>42825</v>
          </cell>
          <cell r="B1966">
            <v>0</v>
          </cell>
          <cell r="C1966" t="str">
            <v>4|10|2500,4|1|10000</v>
          </cell>
          <cell r="D1966" t="str">
            <v>10体力-主角125级精英副本经验和金币奖励</v>
          </cell>
          <cell r="E1966" t="str">
            <v>4|10|2500|1,4|1|10000|1</v>
          </cell>
        </row>
        <row r="1967">
          <cell r="A1967">
            <v>42826</v>
          </cell>
          <cell r="B1967">
            <v>0</v>
          </cell>
          <cell r="C1967" t="str">
            <v>4|10|2520,4|1|10080</v>
          </cell>
          <cell r="D1967" t="str">
            <v>10体力-主角126级精英副本经验和金币奖励</v>
          </cell>
          <cell r="E1967" t="str">
            <v>4|10|2520|1,4|1|10080|1</v>
          </cell>
        </row>
        <row r="1968">
          <cell r="A1968">
            <v>42827</v>
          </cell>
          <cell r="B1968">
            <v>0</v>
          </cell>
          <cell r="C1968" t="str">
            <v>4|10|2540,4|1|10160</v>
          </cell>
          <cell r="D1968" t="str">
            <v>10体力-主角127级精英副本经验和金币奖励</v>
          </cell>
          <cell r="E1968" t="str">
            <v>4|10|2540|1,4|1|10160|1</v>
          </cell>
        </row>
        <row r="1969">
          <cell r="A1969">
            <v>42828</v>
          </cell>
          <cell r="B1969">
            <v>0</v>
          </cell>
          <cell r="C1969" t="str">
            <v>4|10|2560,4|1|10240</v>
          </cell>
          <cell r="D1969" t="str">
            <v>10体力-主角128级精英副本经验和金币奖励</v>
          </cell>
          <cell r="E1969" t="str">
            <v>4|10|2560|1,4|1|10240|1</v>
          </cell>
        </row>
        <row r="1970">
          <cell r="A1970">
            <v>42829</v>
          </cell>
          <cell r="B1970">
            <v>0</v>
          </cell>
          <cell r="C1970" t="str">
            <v>4|10|2580,4|1|10320</v>
          </cell>
          <cell r="D1970" t="str">
            <v>10体力-主角129级精英副本经验和金币奖励</v>
          </cell>
          <cell r="E1970" t="str">
            <v>4|10|2580|1,4|1|10320|1</v>
          </cell>
        </row>
        <row r="1971">
          <cell r="A1971">
            <v>42830</v>
          </cell>
          <cell r="B1971">
            <v>0</v>
          </cell>
          <cell r="C1971" t="str">
            <v>4|10|2600,4|1|10400</v>
          </cell>
          <cell r="D1971" t="str">
            <v>10体力-主角130级精英副本经验和金币奖励</v>
          </cell>
          <cell r="E1971" t="str">
            <v>4|10|2600|1,4|1|10400|1</v>
          </cell>
        </row>
        <row r="1972">
          <cell r="A1972">
            <v>42831</v>
          </cell>
          <cell r="B1972">
            <v>0</v>
          </cell>
          <cell r="C1972" t="str">
            <v>4|10|2620,4|1|10480</v>
          </cell>
          <cell r="D1972" t="str">
            <v>10体力-主角131级精英副本经验和金币奖励</v>
          </cell>
          <cell r="E1972" t="str">
            <v>4|10|2620|1,4|1|10480|1</v>
          </cell>
        </row>
        <row r="1973">
          <cell r="A1973">
            <v>42832</v>
          </cell>
          <cell r="B1973">
            <v>0</v>
          </cell>
          <cell r="C1973" t="str">
            <v>4|10|2640,4|1|10560</v>
          </cell>
          <cell r="D1973" t="str">
            <v>10体力-主角132级精英副本经验和金币奖励</v>
          </cell>
          <cell r="E1973" t="str">
            <v>4|10|2640|1,4|1|10560|1</v>
          </cell>
        </row>
        <row r="1974">
          <cell r="A1974">
            <v>42833</v>
          </cell>
          <cell r="B1974">
            <v>0</v>
          </cell>
          <cell r="C1974" t="str">
            <v>4|10|2660,4|1|10640</v>
          </cell>
          <cell r="D1974" t="str">
            <v>10体力-主角133级精英副本经验和金币奖励</v>
          </cell>
          <cell r="E1974" t="str">
            <v>4|10|2660|1,4|1|10640|1</v>
          </cell>
        </row>
        <row r="1975">
          <cell r="A1975">
            <v>42834</v>
          </cell>
          <cell r="B1975">
            <v>0</v>
          </cell>
          <cell r="C1975" t="str">
            <v>4|10|2680,4|1|10720</v>
          </cell>
          <cell r="D1975" t="str">
            <v>10体力-主角134级精英副本经验和金币奖励</v>
          </cell>
          <cell r="E1975" t="str">
            <v>4|10|2680|1,4|1|10720|1</v>
          </cell>
        </row>
        <row r="1976">
          <cell r="A1976">
            <v>42835</v>
          </cell>
          <cell r="B1976">
            <v>0</v>
          </cell>
          <cell r="C1976" t="str">
            <v>4|10|2700,4|1|10800</v>
          </cell>
          <cell r="D1976" t="str">
            <v>10体力-主角135级精英副本经验和金币奖励</v>
          </cell>
          <cell r="E1976" t="str">
            <v>4|10|2700|1,4|1|10800|1</v>
          </cell>
        </row>
        <row r="1977">
          <cell r="A1977">
            <v>42836</v>
          </cell>
          <cell r="B1977">
            <v>0</v>
          </cell>
          <cell r="C1977" t="str">
            <v>4|10|2720,4|1|10880</v>
          </cell>
          <cell r="D1977" t="str">
            <v>10体力-主角136级精英副本经验和金币奖励</v>
          </cell>
          <cell r="E1977" t="str">
            <v>4|10|2720|1,4|1|10880|1</v>
          </cell>
        </row>
        <row r="1978">
          <cell r="A1978">
            <v>42837</v>
          </cell>
          <cell r="B1978">
            <v>0</v>
          </cell>
          <cell r="C1978" t="str">
            <v>4|10|2740,4|1|10960</v>
          </cell>
          <cell r="D1978" t="str">
            <v>10体力-主角137级精英副本经验和金币奖励</v>
          </cell>
          <cell r="E1978" t="str">
            <v>4|10|2740|1,4|1|10960|1</v>
          </cell>
        </row>
        <row r="1979">
          <cell r="A1979">
            <v>42838</v>
          </cell>
          <cell r="B1979">
            <v>0</v>
          </cell>
          <cell r="C1979" t="str">
            <v>4|10|2760,4|1|11040</v>
          </cell>
          <cell r="D1979" t="str">
            <v>10体力-主角138级精英副本经验和金币奖励</v>
          </cell>
          <cell r="E1979" t="str">
            <v>4|10|2760|1,4|1|11040|1</v>
          </cell>
        </row>
        <row r="1980">
          <cell r="A1980">
            <v>42839</v>
          </cell>
          <cell r="B1980">
            <v>0</v>
          </cell>
          <cell r="C1980" t="str">
            <v>4|10|2780,4|1|11120</v>
          </cell>
          <cell r="D1980" t="str">
            <v>10体力-主角139级精英副本经验和金币奖励</v>
          </cell>
          <cell r="E1980" t="str">
            <v>4|10|2780|1,4|1|11120|1</v>
          </cell>
        </row>
        <row r="1981">
          <cell r="A1981">
            <v>42840</v>
          </cell>
          <cell r="B1981">
            <v>0</v>
          </cell>
          <cell r="C1981" t="str">
            <v>4|10|2800,4|1|11200</v>
          </cell>
          <cell r="D1981" t="str">
            <v>10体力-主角140级精英副本经验和金币奖励</v>
          </cell>
          <cell r="E1981" t="str">
            <v>4|10|2800|1,4|1|11200|1</v>
          </cell>
        </row>
        <row r="1982">
          <cell r="A1982">
            <v>42841</v>
          </cell>
          <cell r="B1982">
            <v>0</v>
          </cell>
          <cell r="C1982" t="str">
            <v>4|10|2820,4|1|11280</v>
          </cell>
          <cell r="D1982" t="str">
            <v>10体力-主角141级精英副本经验和金币奖励</v>
          </cell>
          <cell r="E1982" t="str">
            <v>4|10|2820|1,4|1|11280|1</v>
          </cell>
        </row>
        <row r="1983">
          <cell r="A1983">
            <v>42842</v>
          </cell>
          <cell r="B1983">
            <v>0</v>
          </cell>
          <cell r="C1983" t="str">
            <v>4|10|2840,4|1|11360</v>
          </cell>
          <cell r="D1983" t="str">
            <v>10体力-主角142级精英副本经验和金币奖励</v>
          </cell>
          <cell r="E1983" t="str">
            <v>4|10|2840|1,4|1|11360|1</v>
          </cell>
        </row>
        <row r="1984">
          <cell r="A1984">
            <v>42843</v>
          </cell>
          <cell r="B1984">
            <v>0</v>
          </cell>
          <cell r="C1984" t="str">
            <v>4|10|2860,4|1|11440</v>
          </cell>
          <cell r="D1984" t="str">
            <v>10体力-主角143级精英副本经验和金币奖励</v>
          </cell>
          <cell r="E1984" t="str">
            <v>4|10|2860|1,4|1|11440|1</v>
          </cell>
        </row>
        <row r="1985">
          <cell r="A1985">
            <v>42844</v>
          </cell>
          <cell r="B1985">
            <v>0</v>
          </cell>
          <cell r="C1985" t="str">
            <v>4|10|2880,4|1|11520</v>
          </cell>
          <cell r="D1985" t="str">
            <v>10体力-主角144级精英副本经验和金币奖励</v>
          </cell>
          <cell r="E1985" t="str">
            <v>4|10|2880|1,4|1|11520|1</v>
          </cell>
        </row>
        <row r="1986">
          <cell r="A1986">
            <v>42845</v>
          </cell>
          <cell r="B1986">
            <v>0</v>
          </cell>
          <cell r="C1986" t="str">
            <v>4|10|2900,4|1|11600</v>
          </cell>
          <cell r="D1986" t="str">
            <v>10体力-主角145级精英副本经验和金币奖励</v>
          </cell>
          <cell r="E1986" t="str">
            <v>4|10|2900|1,4|1|11600|1</v>
          </cell>
        </row>
        <row r="1987">
          <cell r="A1987">
            <v>42846</v>
          </cell>
          <cell r="B1987">
            <v>0</v>
          </cell>
          <cell r="C1987" t="str">
            <v>4|10|2920,4|1|11680</v>
          </cell>
          <cell r="D1987" t="str">
            <v>10体力-主角146级精英副本经验和金币奖励</v>
          </cell>
          <cell r="E1987" t="str">
            <v>4|10|2920|1,4|1|11680|1</v>
          </cell>
        </row>
        <row r="1988">
          <cell r="A1988">
            <v>42847</v>
          </cell>
          <cell r="B1988">
            <v>0</v>
          </cell>
          <cell r="C1988" t="str">
            <v>4|10|2940,4|1|11760</v>
          </cell>
          <cell r="D1988" t="str">
            <v>10体力-主角147级精英副本经验和金币奖励</v>
          </cell>
          <cell r="E1988" t="str">
            <v>4|10|2940|1,4|1|11760|1</v>
          </cell>
        </row>
        <row r="1989">
          <cell r="A1989">
            <v>42848</v>
          </cell>
          <cell r="B1989">
            <v>0</v>
          </cell>
          <cell r="C1989" t="str">
            <v>4|10|2960,4|1|11840</v>
          </cell>
          <cell r="D1989" t="str">
            <v>10体力-主角148级精英副本经验和金币奖励</v>
          </cell>
          <cell r="E1989" t="str">
            <v>4|10|2960|1,4|1|11840|1</v>
          </cell>
        </row>
        <row r="1990">
          <cell r="A1990">
            <v>42849</v>
          </cell>
          <cell r="B1990">
            <v>0</v>
          </cell>
          <cell r="C1990" t="str">
            <v>4|10|2980,4|1|11920</v>
          </cell>
          <cell r="D1990" t="str">
            <v>10体力-主角149级精英副本经验和金币奖励</v>
          </cell>
          <cell r="E1990" t="str">
            <v>4|10|2980|1,4|1|11920|1</v>
          </cell>
        </row>
        <row r="1991">
          <cell r="A1991">
            <v>42850</v>
          </cell>
          <cell r="B1991">
            <v>0</v>
          </cell>
          <cell r="C1991" t="str">
            <v>4|10|3000,4|1|12000</v>
          </cell>
          <cell r="D1991" t="str">
            <v>10体力-主角150级精英副本经验和金币奖励</v>
          </cell>
          <cell r="E1991" t="str">
            <v>4|10|3000|1,4|1|12000|1</v>
          </cell>
        </row>
        <row r="1992">
          <cell r="A1992">
            <v>42998</v>
          </cell>
          <cell r="B1992">
            <v>1</v>
          </cell>
          <cell r="C1992" t="str">
            <v>[]</v>
          </cell>
          <cell r="D1992" t="str">
            <v>主线小怪副本点经验丹奖励</v>
          </cell>
          <cell r="E1992" t="str">
            <v>1|14001|1|45,1|14001|2|30,1|14001|3|25</v>
          </cell>
        </row>
        <row r="1993">
          <cell r="A1993">
            <v>42999</v>
          </cell>
          <cell r="B1993">
            <v>1</v>
          </cell>
          <cell r="C1993" t="str">
            <v>[]</v>
          </cell>
          <cell r="D1993" t="str">
            <v>主线小怪副本点进阶丹奖励</v>
          </cell>
          <cell r="E1993" t="str">
            <v>1|14107|1|60,1|14107|2|30,1|14107|3|10</v>
          </cell>
        </row>
        <row r="1994">
          <cell r="A1994">
            <v>43000</v>
          </cell>
          <cell r="B1994">
            <v>0</v>
          </cell>
          <cell r="C1994" t="str">
            <v>1|14001|0,1|14107|0</v>
          </cell>
          <cell r="D1994" t="str">
            <v>主线小怪副本点道具奖励</v>
          </cell>
          <cell r="E1994" t="str">
            <v>3|42998|1|1,3|42999|1|1</v>
          </cell>
        </row>
        <row r="1995">
          <cell r="A1995">
            <v>43001</v>
          </cell>
          <cell r="B1995">
            <v>0</v>
          </cell>
          <cell r="C1995" t="str">
            <v>1|14001|0,1|14107|0,2|2001|0</v>
          </cell>
          <cell r="D1995" t="str">
            <v>主线副本 第1章 第3关道具奖励</v>
          </cell>
          <cell r="E1995" t="str">
            <v>3|43000|1|1,3|41060|1|1</v>
          </cell>
        </row>
        <row r="1996">
          <cell r="A1996">
            <v>43002</v>
          </cell>
          <cell r="B1996">
            <v>0</v>
          </cell>
          <cell r="C1996" t="str">
            <v>1|14001|0,1|14107|0,2|2003|0</v>
          </cell>
          <cell r="D1996" t="str">
            <v>主线副本 第1章 第6关道具奖励</v>
          </cell>
          <cell r="E1996" t="str">
            <v>3|43000|1|1,3|41062|1|1</v>
          </cell>
        </row>
        <row r="1997">
          <cell r="A1997">
            <v>43003</v>
          </cell>
          <cell r="B1997">
            <v>0</v>
          </cell>
          <cell r="C1997" t="str">
            <v>1|14001|0,1|14107|0,2|2004|0</v>
          </cell>
          <cell r="D1997" t="str">
            <v>主线副本 第2章 第3关道具奖励</v>
          </cell>
          <cell r="E1997" t="str">
            <v>3|43000|1|1,3|41063|1|1</v>
          </cell>
        </row>
        <row r="1998">
          <cell r="A1998">
            <v>43004</v>
          </cell>
          <cell r="B1998">
            <v>0</v>
          </cell>
          <cell r="C1998" t="str">
            <v>1|14001|0,1|14107|0,2|2002|0</v>
          </cell>
          <cell r="D1998" t="str">
            <v>主线副本 第2章 第6关道具奖励</v>
          </cell>
          <cell r="E1998" t="str">
            <v>3|43000|1|1,3|41061|1|1</v>
          </cell>
        </row>
        <row r="1999">
          <cell r="A1999">
            <v>43005</v>
          </cell>
          <cell r="B1999">
            <v>0</v>
          </cell>
          <cell r="C1999" t="str">
            <v>1|14001|0,1|14107|0,2|2001|0,1|10404|0</v>
          </cell>
          <cell r="D1999" t="str">
            <v>主线副本 第3章 第6关道具奖励</v>
          </cell>
          <cell r="E1999" t="str">
            <v>3|43000|1|1,3|41060|1|1,3|41001|1|1</v>
          </cell>
        </row>
        <row r="2000">
          <cell r="A2000">
            <v>43006</v>
          </cell>
          <cell r="B2000">
            <v>0</v>
          </cell>
          <cell r="C2000" t="str">
            <v>1|14001|0,1|14107|0,2|2003|0,1|10030|0</v>
          </cell>
          <cell r="D2000" t="str">
            <v>主线副本 第3章 第9关道具奖励</v>
          </cell>
          <cell r="E2000" t="str">
            <v>3|43000|1|1,3|41062|1|1,3|41016|1|1</v>
          </cell>
        </row>
        <row r="2001">
          <cell r="A2001">
            <v>43007</v>
          </cell>
          <cell r="B2001">
            <v>0</v>
          </cell>
          <cell r="C2001" t="str">
            <v>1|14001|0,1|14107|0,1|10106|0</v>
          </cell>
          <cell r="D2001" t="str">
            <v>主线副本 第4章 第6关道具奖励</v>
          </cell>
          <cell r="E2001" t="str">
            <v>3|43000|1|1,3|41003|1|1</v>
          </cell>
        </row>
        <row r="2002">
          <cell r="A2002">
            <v>43008</v>
          </cell>
          <cell r="B2002">
            <v>0</v>
          </cell>
          <cell r="C2002" t="str">
            <v>1|14001|0,1|14107|0,2|2004|0,1|10018|0</v>
          </cell>
          <cell r="D2002" t="str">
            <v>主线副本 第4章 第9关道具奖励</v>
          </cell>
          <cell r="E2002" t="str">
            <v>3|43000|1|1,3|41063|1|1,3|41018|1|1</v>
          </cell>
        </row>
        <row r="2003">
          <cell r="A2003">
            <v>43009</v>
          </cell>
          <cell r="B2003">
            <v>0</v>
          </cell>
          <cell r="C2003" t="str">
            <v>1|14001|0,1|14107|0,2|2002|0,1|10004|0</v>
          </cell>
          <cell r="D2003" t="str">
            <v>主线副本 第4章 第10关道具奖励</v>
          </cell>
          <cell r="E2003" t="str">
            <v>3|43000|1|1,3|41061|1|1,3|41039|1|1</v>
          </cell>
        </row>
        <row r="2004">
          <cell r="A2004">
            <v>43010</v>
          </cell>
          <cell r="B2004">
            <v>0</v>
          </cell>
          <cell r="C2004" t="str">
            <v>1|14001|0,1|14107|0,1|10105|0</v>
          </cell>
          <cell r="D2004" t="str">
            <v>主线副本 第5章 第6关道具奖励</v>
          </cell>
          <cell r="E2004" t="str">
            <v>3|43000|1|1,3|41004|1|1</v>
          </cell>
        </row>
        <row r="2005">
          <cell r="A2005">
            <v>43011</v>
          </cell>
          <cell r="B2005">
            <v>0</v>
          </cell>
          <cell r="C2005" t="str">
            <v>1|14001|0,1|14107|0,1|11004|1,1|10126|0</v>
          </cell>
          <cell r="D2005" t="str">
            <v>主线副本 第5章 第9关道具奖励</v>
          </cell>
          <cell r="E2005" t="str">
            <v>3|43000|1|1,3|41067|1|1,3|41002|1|1</v>
          </cell>
        </row>
        <row r="2006">
          <cell r="A2006">
            <v>43012</v>
          </cell>
          <cell r="B2006">
            <v>0</v>
          </cell>
          <cell r="C2006" t="str">
            <v>1|14001|0,1|14107|0,1|11003|1,1|10116|0</v>
          </cell>
          <cell r="D2006" t="str">
            <v>主线副本 第5章 第10关道具奖励</v>
          </cell>
          <cell r="E2006" t="str">
            <v>3|43000|1|1,3|41066|1|1,3|41019|1|1</v>
          </cell>
        </row>
        <row r="2007">
          <cell r="A2007">
            <v>43013</v>
          </cell>
          <cell r="B2007">
            <v>0</v>
          </cell>
          <cell r="C2007" t="str">
            <v>1|14001|0,1|14107|0,1|10052|0</v>
          </cell>
          <cell r="D2007" t="str">
            <v>主线副本 第6章 第6关道具奖励</v>
          </cell>
          <cell r="E2007" t="str">
            <v>3|43000|1|1,3|41008|1|1</v>
          </cell>
        </row>
        <row r="2008">
          <cell r="A2008">
            <v>43014</v>
          </cell>
          <cell r="B2008">
            <v>0</v>
          </cell>
          <cell r="C2008" t="str">
            <v>1|14001|0,1|14107|0,1|11001|1,1|10104|0</v>
          </cell>
          <cell r="D2008" t="str">
            <v>主线副本 第6章 第9关道具奖励</v>
          </cell>
          <cell r="E2008" t="str">
            <v>3|43000|1|1,3|41064|1|1,3|41005|1|1</v>
          </cell>
        </row>
        <row r="2009">
          <cell r="A2009">
            <v>43015</v>
          </cell>
          <cell r="B2009">
            <v>0</v>
          </cell>
          <cell r="C2009" t="str">
            <v>1|14001|0,1|14107|0,1|11002|1,1|10026|0</v>
          </cell>
          <cell r="D2009" t="str">
            <v>主线副本 第6章 第10关道具奖励</v>
          </cell>
          <cell r="E2009" t="str">
            <v>3|43000|1|1,3|41065|1|1,3|41028|1|1</v>
          </cell>
        </row>
        <row r="2010">
          <cell r="A2010">
            <v>43016</v>
          </cell>
          <cell r="B2010">
            <v>0</v>
          </cell>
          <cell r="C2010" t="str">
            <v>1|14001|0,1|14107|0,1|10040|0</v>
          </cell>
          <cell r="D2010" t="str">
            <v>主线副本 第7章 第6关道具奖励</v>
          </cell>
          <cell r="E2010" t="str">
            <v>3|43000|1|1,3|41010|1|1</v>
          </cell>
        </row>
        <row r="2011">
          <cell r="A2011">
            <v>43017</v>
          </cell>
          <cell r="B2011">
            <v>0</v>
          </cell>
          <cell r="C2011" t="str">
            <v>1|14001|0,1|14107|0,1|11012|1,1|10103|0</v>
          </cell>
          <cell r="D2011" t="str">
            <v>主线副本 第7章 第9关道具奖励</v>
          </cell>
          <cell r="E2011" t="str">
            <v>3|43000|1|1,3|41075|1|1,3|41006|1|1</v>
          </cell>
        </row>
        <row r="2012">
          <cell r="A2012">
            <v>43018</v>
          </cell>
          <cell r="B2012">
            <v>0</v>
          </cell>
          <cell r="C2012" t="str">
            <v>1|14001|0,1|14107|0,1|11011|1,1|10031|0</v>
          </cell>
          <cell r="D2012" t="str">
            <v>主线副本 第7章 第10关道具奖励</v>
          </cell>
          <cell r="E2012" t="str">
            <v>3|43000|1|1,3|41074|1|1,3|41027|1|1</v>
          </cell>
        </row>
        <row r="2013">
          <cell r="A2013">
            <v>43019</v>
          </cell>
          <cell r="B2013">
            <v>0</v>
          </cell>
          <cell r="C2013" t="str">
            <v>1|14001|0,1|14107|0,1|10039|0</v>
          </cell>
          <cell r="D2013" t="str">
            <v>主线副本 第8章 第6关道具奖励</v>
          </cell>
          <cell r="E2013" t="str">
            <v>3|43000|1|1,3|41011|1|1</v>
          </cell>
        </row>
        <row r="2014">
          <cell r="A2014">
            <v>43020</v>
          </cell>
          <cell r="B2014">
            <v>0</v>
          </cell>
          <cell r="C2014" t="str">
            <v>1|14001|0,1|14107|0,1|11009|1,1|10092|0</v>
          </cell>
          <cell r="D2014" t="str">
            <v>主线副本 第8章 第9关道具奖励</v>
          </cell>
          <cell r="E2014" t="str">
            <v>3|43000|1|1,3|41072|1|1,3|41007|1|1</v>
          </cell>
        </row>
        <row r="2015">
          <cell r="A2015">
            <v>43021</v>
          </cell>
          <cell r="B2015">
            <v>0</v>
          </cell>
          <cell r="C2015" t="str">
            <v>1|14001|0,1|14107|0,1|11010|1,1|10101|0</v>
          </cell>
          <cell r="D2015" t="str">
            <v>主线副本 第8章 第10关道具奖励</v>
          </cell>
          <cell r="E2015" t="str">
            <v>3|43000|1|1,3|41073|1|1,3|41023|1|1</v>
          </cell>
        </row>
        <row r="2016">
          <cell r="A2016">
            <v>43022</v>
          </cell>
          <cell r="B2016">
            <v>0</v>
          </cell>
          <cell r="C2016" t="str">
            <v>1|14001|0,1|14107|0,1|10034|0</v>
          </cell>
          <cell r="D2016" t="str">
            <v>主线副本 第9章 第6关道具奖励</v>
          </cell>
          <cell r="E2016" t="str">
            <v>3|43000|1|1,3|41014|1|1</v>
          </cell>
        </row>
        <row r="2017">
          <cell r="A2017">
            <v>43023</v>
          </cell>
          <cell r="B2017">
            <v>0</v>
          </cell>
          <cell r="C2017" t="str">
            <v>1|14001|0,1|14107|0,1|11008|1,1|10041|0</v>
          </cell>
          <cell r="D2017" t="str">
            <v>主线副本 第9章 第9关道具奖励</v>
          </cell>
          <cell r="E2017" t="str">
            <v>3|43000|1|1,3|41071|1|1,3|41009|1|1</v>
          </cell>
        </row>
        <row r="2018">
          <cell r="A2018">
            <v>43024</v>
          </cell>
          <cell r="B2018">
            <v>0</v>
          </cell>
          <cell r="C2018" t="str">
            <v>1|14001|0,1|14107|0,1|11007|1,1|10108|0</v>
          </cell>
          <cell r="D2018" t="str">
            <v>主线副本 第9章 第10关道具奖励</v>
          </cell>
          <cell r="E2018" t="str">
            <v>3|43000|1|1,3|41070|1|1,3|41020|1|1</v>
          </cell>
        </row>
        <row r="2019">
          <cell r="A2019">
            <v>43025</v>
          </cell>
          <cell r="B2019">
            <v>0</v>
          </cell>
          <cell r="C2019" t="str">
            <v>1|14001|0,1|14107|0,1|10030|0</v>
          </cell>
          <cell r="D2019" t="str">
            <v>主线副本 第10章 第6关道具奖励</v>
          </cell>
          <cell r="E2019" t="str">
            <v>3|43000|1|1,3|41016|1|1</v>
          </cell>
        </row>
        <row r="2020">
          <cell r="A2020">
            <v>43026</v>
          </cell>
          <cell r="B2020">
            <v>0</v>
          </cell>
          <cell r="C2020" t="str">
            <v>1|14001|0,1|14107|0,1|11005|1,1|10038|0</v>
          </cell>
          <cell r="D2020" t="str">
            <v>主线副本 第10章 第9关道具奖励</v>
          </cell>
          <cell r="E2020" t="str">
            <v>3|43000|1|1,3|41068|1|1,3|41012|1|1</v>
          </cell>
        </row>
        <row r="2021">
          <cell r="A2021">
            <v>43027</v>
          </cell>
          <cell r="B2021">
            <v>0</v>
          </cell>
          <cell r="C2021" t="str">
            <v>1|14001|0,1|14107|0,1|11006|1,1|10022|0</v>
          </cell>
          <cell r="D2021" t="str">
            <v>主线副本 第10章 第10关道具奖励</v>
          </cell>
          <cell r="E2021" t="str">
            <v>3|43000|1|1,3|41069|1|1,3|41031|1|1</v>
          </cell>
        </row>
        <row r="2022">
          <cell r="A2022">
            <v>43028</v>
          </cell>
          <cell r="B2022">
            <v>0</v>
          </cell>
          <cell r="C2022" t="str">
            <v>1|14001|0,1|14107|0,1|10018|0</v>
          </cell>
          <cell r="D2022" t="str">
            <v>主线副本 第11章 第6关道具奖励</v>
          </cell>
          <cell r="E2022" t="str">
            <v>3|43000|1|1,3|41018|1|1</v>
          </cell>
        </row>
        <row r="2023">
          <cell r="A2023">
            <v>43029</v>
          </cell>
          <cell r="B2023">
            <v>0</v>
          </cell>
          <cell r="C2023" t="str">
            <v>1|14001|0,1|14107|0,1|11004|1,1|10036|0</v>
          </cell>
          <cell r="D2023" t="str">
            <v>主线副本 第11章 第9关道具奖励</v>
          </cell>
          <cell r="E2023" t="str">
            <v>3|43000|1|1,3|41067|1|1,3|41013|1|1</v>
          </cell>
        </row>
        <row r="2024">
          <cell r="A2024">
            <v>43030</v>
          </cell>
          <cell r="B2024">
            <v>0</v>
          </cell>
          <cell r="C2024" t="str">
            <v>1|14001|0,1|14107|0,1|11003|1,1|10107|0</v>
          </cell>
          <cell r="D2024" t="str">
            <v>主线副本 第11章 第10关道具奖励</v>
          </cell>
          <cell r="E2024" t="str">
            <v>3|43000|1|1,3|41066|1|1,3|41021|1|1</v>
          </cell>
        </row>
        <row r="2025">
          <cell r="A2025">
            <v>43031</v>
          </cell>
          <cell r="B2025">
            <v>0</v>
          </cell>
          <cell r="C2025" t="str">
            <v>1|14001|0,1|14107|0,1|10126|0</v>
          </cell>
          <cell r="D2025" t="str">
            <v>主线副本 第12章 第6关道具奖励</v>
          </cell>
          <cell r="E2025" t="str">
            <v>3|43000|1|1,3|41002|1|1</v>
          </cell>
        </row>
        <row r="2026">
          <cell r="A2026">
            <v>43032</v>
          </cell>
          <cell r="B2026">
            <v>0</v>
          </cell>
          <cell r="C2026" t="str">
            <v>1|14001|0,1|14107|0,1|11001|1,1|10033|0</v>
          </cell>
          <cell r="D2026" t="str">
            <v>主线副本 第12章 第9关道具奖励</v>
          </cell>
          <cell r="E2026" t="str">
            <v>3|43000|1|1,3|41064|1|1,3|41015|1|1</v>
          </cell>
        </row>
        <row r="2027">
          <cell r="A2027">
            <v>43033</v>
          </cell>
          <cell r="B2027">
            <v>0</v>
          </cell>
          <cell r="C2027" t="str">
            <v>1|14001|0,1|14107|0,1|11002|1,1|10009|0</v>
          </cell>
          <cell r="D2027" t="str">
            <v>主线副本 第12章 第10关道具奖励</v>
          </cell>
          <cell r="E2027" t="str">
            <v>3|43000|1|1,3|41065|1|1,3|41036|1|1</v>
          </cell>
        </row>
        <row r="2028">
          <cell r="A2028">
            <v>43034</v>
          </cell>
          <cell r="B2028">
            <v>0</v>
          </cell>
          <cell r="C2028" t="str">
            <v>1|14001|0,1|14107|0,1|10104|0</v>
          </cell>
          <cell r="D2028" t="str">
            <v>主线副本 第13章 第6关道具奖励</v>
          </cell>
          <cell r="E2028" t="str">
            <v>3|43000|1|1,3|41005|1|1</v>
          </cell>
        </row>
        <row r="2029">
          <cell r="A2029">
            <v>43035</v>
          </cell>
          <cell r="B2029">
            <v>0</v>
          </cell>
          <cell r="C2029" t="str">
            <v>1|14001|0,1|14107|0,1|11012|1,1|10010|0</v>
          </cell>
          <cell r="D2029" t="str">
            <v>主线副本 第13章 第9关道具奖励</v>
          </cell>
          <cell r="E2029" t="str">
            <v>3|43000|1|1,3|41075|1|1,3|41035|1|1</v>
          </cell>
        </row>
        <row r="2030">
          <cell r="A2030">
            <v>43036</v>
          </cell>
          <cell r="B2030">
            <v>0</v>
          </cell>
          <cell r="C2030" t="str">
            <v>1|14001|0,1|14107|0,1|11011|1,1|10003|0</v>
          </cell>
          <cell r="D2030" t="str">
            <v>主线副本 第13章 第10关道具奖励</v>
          </cell>
          <cell r="E2030" t="str">
            <v>3|43000|1|1,3|41074|1|1,3|41040|1|1</v>
          </cell>
        </row>
        <row r="2031">
          <cell r="A2031">
            <v>43037</v>
          </cell>
          <cell r="B2031">
            <v>0</v>
          </cell>
          <cell r="C2031" t="str">
            <v>1|14001|0,1|14107|0,1|10103|0</v>
          </cell>
          <cell r="D2031" t="str">
            <v>主线副本 第14章 第6关道具奖励</v>
          </cell>
          <cell r="E2031" t="str">
            <v>3|43000|1|1,3|41006|1|1</v>
          </cell>
        </row>
        <row r="2032">
          <cell r="A2032">
            <v>43038</v>
          </cell>
          <cell r="B2032">
            <v>0</v>
          </cell>
          <cell r="C2032" t="str">
            <v>1|14001|0,1|14107|0,1|11009|1,1|10006|0</v>
          </cell>
          <cell r="D2032" t="str">
            <v>主线副本 第14章 第9关道具奖励</v>
          </cell>
          <cell r="E2032" t="str">
            <v>3|43000|1|1,3|41072|1|1,3|41038|1|1</v>
          </cell>
        </row>
        <row r="2033">
          <cell r="A2033">
            <v>43039</v>
          </cell>
          <cell r="B2033">
            <v>0</v>
          </cell>
          <cell r="C2033" t="str">
            <v>1|14001|0,1|14107|0,1|11010|1,1|10119|0</v>
          </cell>
          <cell r="D2033" t="str">
            <v>主线副本 第14章 第10关道具奖励</v>
          </cell>
          <cell r="E2033" t="str">
            <v>3|43000|1|1,3|41073|1|1,3|41041|1|1</v>
          </cell>
        </row>
        <row r="2034">
          <cell r="A2034">
            <v>43040</v>
          </cell>
          <cell r="B2034">
            <v>0</v>
          </cell>
          <cell r="C2034" t="str">
            <v>1|14001|0,1|14107|0,1|10092|0</v>
          </cell>
          <cell r="D2034" t="str">
            <v>主线副本 第15章 第6关道具奖励</v>
          </cell>
          <cell r="E2034" t="str">
            <v>3|43000|1|1,3|41007|1|1</v>
          </cell>
        </row>
        <row r="2035">
          <cell r="A2035">
            <v>43041</v>
          </cell>
          <cell r="B2035">
            <v>0</v>
          </cell>
          <cell r="C2035" t="str">
            <v>1|14001|0,1|14107|0,1|11008|1,1|10102|0</v>
          </cell>
          <cell r="D2035" t="str">
            <v>主线副本 第15章 第9关道具奖励</v>
          </cell>
          <cell r="E2035" t="str">
            <v>3|43000|1|1,3|41071|1|1,3|41022|1|1</v>
          </cell>
        </row>
        <row r="2036">
          <cell r="A2036">
            <v>43042</v>
          </cell>
          <cell r="B2036">
            <v>0</v>
          </cell>
          <cell r="C2036" t="str">
            <v>1|14001|0,1|14107|0,1|11007|1,1|10015|0</v>
          </cell>
          <cell r="D2036" t="str">
            <v>主线副本 第15章 第10关道具奖励</v>
          </cell>
          <cell r="E2036" t="str">
            <v>3|43000|1|1,3|41070|1|1,3|41042|1|1</v>
          </cell>
        </row>
        <row r="2037">
          <cell r="A2037">
            <v>43043</v>
          </cell>
          <cell r="B2037">
            <v>0</v>
          </cell>
          <cell r="C2037" t="str">
            <v>1|14001|0,1|14107|0,1|10041|0</v>
          </cell>
          <cell r="D2037" t="str">
            <v>主线副本 第16章 第6关道具奖励</v>
          </cell>
          <cell r="E2037" t="str">
            <v>3|43000|1|1,3|41009|1|1</v>
          </cell>
        </row>
        <row r="2038">
          <cell r="A2038">
            <v>43044</v>
          </cell>
          <cell r="B2038">
            <v>0</v>
          </cell>
          <cell r="C2038" t="str">
            <v>1|14001|0,1|14107|0,1|11005|1,1|10023|0</v>
          </cell>
          <cell r="D2038" t="str">
            <v>主线副本 第16章 第9关道具奖励</v>
          </cell>
          <cell r="E2038" t="str">
            <v>3|43000|1|1,3|41068|1|1,3|41030|1|1</v>
          </cell>
        </row>
        <row r="2039">
          <cell r="A2039">
            <v>43045</v>
          </cell>
          <cell r="B2039">
            <v>0</v>
          </cell>
          <cell r="C2039" t="str">
            <v>1|14001|0,1|14107|0,1|11006|1,1|10115|0</v>
          </cell>
          <cell r="D2039" t="str">
            <v>主线副本 第16章 第10关道具奖励</v>
          </cell>
          <cell r="E2039" t="str">
            <v>3|43000|1|1,3|41069|1|1,3|41043|1|1</v>
          </cell>
        </row>
        <row r="2040">
          <cell r="A2040">
            <v>43046</v>
          </cell>
          <cell r="B2040">
            <v>0</v>
          </cell>
          <cell r="C2040" t="str">
            <v>1|14001|0,1|14107|0,1|10038|0</v>
          </cell>
          <cell r="D2040" t="str">
            <v>主线副本 第17章 第6关道具奖励</v>
          </cell>
          <cell r="E2040" t="str">
            <v>3|43000|1|1,3|41012|1|1</v>
          </cell>
        </row>
        <row r="2041">
          <cell r="A2041">
            <v>43047</v>
          </cell>
          <cell r="B2041">
            <v>0</v>
          </cell>
          <cell r="C2041" t="str">
            <v>1|14001|0,1|14107|0,1|11016|1,1|10017|0</v>
          </cell>
          <cell r="D2041" t="str">
            <v>主线副本 第17章 第9关道具奖励</v>
          </cell>
          <cell r="E2041" t="str">
            <v>3|43000|1|1,3|41079|1|1,3|41032|1|1</v>
          </cell>
        </row>
        <row r="2042">
          <cell r="A2042">
            <v>43048</v>
          </cell>
          <cell r="B2042">
            <v>0</v>
          </cell>
          <cell r="C2042" t="str">
            <v>1|14001|0,1|14107|0,1|11015|1,1|10012|0</v>
          </cell>
          <cell r="D2042" t="str">
            <v>主线副本 第17章 第10关道具奖励</v>
          </cell>
          <cell r="E2042" t="str">
            <v>3|43000|1|1,3|41078|1|1,3|41044|1|1</v>
          </cell>
        </row>
        <row r="2043">
          <cell r="A2043">
            <v>43049</v>
          </cell>
          <cell r="B2043">
            <v>0</v>
          </cell>
          <cell r="C2043" t="str">
            <v>1|14001|0,1|14107|0,1|10036|0</v>
          </cell>
          <cell r="D2043" t="str">
            <v>主线副本 第18章 第6关道具奖励</v>
          </cell>
          <cell r="E2043" t="str">
            <v>3|43000|1|1,3|41013|1|1</v>
          </cell>
        </row>
        <row r="2044">
          <cell r="A2044">
            <v>43050</v>
          </cell>
          <cell r="B2044">
            <v>0</v>
          </cell>
          <cell r="C2044" t="str">
            <v>1|14001|0,1|14107|0,1|11013|1,1|10014|0</v>
          </cell>
          <cell r="D2044" t="str">
            <v>主线副本 第18章 第9关道具奖励</v>
          </cell>
          <cell r="E2044" t="str">
            <v>3|43000|1|1,3|41076|1|1,3|41034|1|1</v>
          </cell>
        </row>
        <row r="2045">
          <cell r="A2045">
            <v>43051</v>
          </cell>
          <cell r="B2045">
            <v>0</v>
          </cell>
          <cell r="C2045" t="str">
            <v>1|14001|0,1|14107|0,1|11014|1,1|10113|0</v>
          </cell>
          <cell r="D2045" t="str">
            <v>主线副本 第18章 第10关道具奖励</v>
          </cell>
          <cell r="E2045" t="str">
            <v>3|43000|1|1,3|41077|1|1,3|41045|1|1</v>
          </cell>
        </row>
        <row r="2046">
          <cell r="A2046">
            <v>43052</v>
          </cell>
          <cell r="B2046">
            <v>0</v>
          </cell>
          <cell r="C2046" t="str">
            <v>1|14001|0,1|14107|0,1|10033|0</v>
          </cell>
          <cell r="D2046" t="str">
            <v>主线副本 第19章 第6关道具奖励</v>
          </cell>
          <cell r="E2046" t="str">
            <v>3|43000|1|1,3|41015|1|1</v>
          </cell>
        </row>
        <row r="2047">
          <cell r="A2047">
            <v>43053</v>
          </cell>
          <cell r="B2047">
            <v>0</v>
          </cell>
          <cell r="C2047" t="str">
            <v>1|14001|0,1|14107|0,1|11020|1,1|10025|0</v>
          </cell>
          <cell r="D2047" t="str">
            <v>主线副本 第19章 第9关道具奖励</v>
          </cell>
          <cell r="E2047" t="str">
            <v>3|43000|1|1,3|41083|1|1,3|41029|1|1</v>
          </cell>
        </row>
        <row r="2048">
          <cell r="A2048">
            <v>43054</v>
          </cell>
          <cell r="B2048">
            <v>0</v>
          </cell>
          <cell r="C2048" t="str">
            <v>1|14001|0,1|14107|0,1|11019|1,1|10020|0</v>
          </cell>
          <cell r="D2048" t="str">
            <v>主线副本 第19章 第10关道具奖励</v>
          </cell>
          <cell r="E2048" t="str">
            <v>3|43000|1|1,3|41082|1|1,3|41046|1|1</v>
          </cell>
        </row>
        <row r="2049">
          <cell r="A2049">
            <v>43055</v>
          </cell>
          <cell r="B2049">
            <v>0</v>
          </cell>
          <cell r="C2049" t="str">
            <v>1|14001|0,1|14107|0,1|10028|0</v>
          </cell>
          <cell r="D2049" t="str">
            <v>主线副本 第20章 第6关道具奖励</v>
          </cell>
          <cell r="E2049" t="str">
            <v>3|43000|1|1,3|41017|1|1</v>
          </cell>
        </row>
        <row r="2050">
          <cell r="A2050">
            <v>43056</v>
          </cell>
          <cell r="B2050">
            <v>0</v>
          </cell>
          <cell r="C2050" t="str">
            <v>1|14001|0,1|14107|0,1|11017|1,1|10007|0</v>
          </cell>
          <cell r="D2050" t="str">
            <v>主线副本 第20章 第9关道具奖励</v>
          </cell>
          <cell r="E2050" t="str">
            <v>3|43000|1|1,3|41080|1|1,3|41037|1|1</v>
          </cell>
        </row>
        <row r="2051">
          <cell r="A2051">
            <v>43057</v>
          </cell>
          <cell r="B2051">
            <v>0</v>
          </cell>
          <cell r="C2051" t="str">
            <v>1|14001|0,1|14107|0,1|11018|1,1|10013|0</v>
          </cell>
          <cell r="D2051" t="str">
            <v>主线副本 第20章 第10关道具奖励</v>
          </cell>
          <cell r="E2051" t="str">
            <v>3|43000|1|1,3|41081|1|1,3|41047|1|1</v>
          </cell>
        </row>
        <row r="2052">
          <cell r="A2052">
            <v>43058</v>
          </cell>
          <cell r="B2052">
            <v>0</v>
          </cell>
          <cell r="C2052" t="str">
            <v>1|14001|0,1|14107|0,1|10404|0</v>
          </cell>
          <cell r="D2052" t="str">
            <v>主线副本 第21章 第6关道具奖励</v>
          </cell>
          <cell r="E2052" t="str">
            <v>3|43000|1|1,3|41001|1|1</v>
          </cell>
        </row>
        <row r="2053">
          <cell r="A2053">
            <v>43059</v>
          </cell>
          <cell r="B2053">
            <v>0</v>
          </cell>
          <cell r="C2053" t="str">
            <v>1|14001|0,1|14107|0,1|11024|1,1|10032|0</v>
          </cell>
          <cell r="D2053" t="str">
            <v>主线副本 第21章 第9关道具奖励</v>
          </cell>
          <cell r="E2053" t="str">
            <v>3|43000|1|1,3|41087|1|1,3|41026|1|1</v>
          </cell>
        </row>
        <row r="2054">
          <cell r="A2054">
            <v>43060</v>
          </cell>
          <cell r="B2054">
            <v>0</v>
          </cell>
          <cell r="C2054" t="str">
            <v>1|14001|0,1|14107|0,1|11023|1,1|10008|0</v>
          </cell>
          <cell r="D2054" t="str">
            <v>主线副本 第21章 第10关道具奖励</v>
          </cell>
          <cell r="E2054" t="str">
            <v>3|43000|1|1,3|41086|1|1,3|41048|1|1</v>
          </cell>
        </row>
        <row r="2055">
          <cell r="A2055">
            <v>43061</v>
          </cell>
          <cell r="B2055">
            <v>0</v>
          </cell>
          <cell r="C2055" t="str">
            <v>1|14001|0,1|14107|0,1|10106|0</v>
          </cell>
          <cell r="D2055" t="str">
            <v>主线副本 第22章 第6关道具奖励</v>
          </cell>
          <cell r="E2055" t="str">
            <v>3|43000|1|1,3|41003|1|1</v>
          </cell>
        </row>
        <row r="2056">
          <cell r="A2056">
            <v>43062</v>
          </cell>
          <cell r="B2056">
            <v>0</v>
          </cell>
          <cell r="C2056" t="str">
            <v>1|14001|0,1|14107|0,1|11021|1,1|10035|0</v>
          </cell>
          <cell r="D2056" t="str">
            <v>主线副本 第22章 第9关道具奖励</v>
          </cell>
          <cell r="E2056" t="str">
            <v>3|43000|1|1,3|41084|1|1,3|41025|1|1</v>
          </cell>
        </row>
        <row r="2057">
          <cell r="A2057">
            <v>43063</v>
          </cell>
          <cell r="B2057">
            <v>0</v>
          </cell>
          <cell r="C2057" t="str">
            <v>1|14001|0,1|14107|0,1|11022|1,1|10027|0</v>
          </cell>
          <cell r="D2057" t="str">
            <v>主线副本 第22章 第10关道具奖励</v>
          </cell>
          <cell r="E2057" t="str">
            <v>3|43000|1|1,3|41085|1|1,3|41049|1|1</v>
          </cell>
        </row>
        <row r="2058">
          <cell r="A2058">
            <v>43064</v>
          </cell>
          <cell r="B2058">
            <v>0</v>
          </cell>
          <cell r="C2058" t="str">
            <v>1|14001|0,1|14107|0,1|10105|0</v>
          </cell>
          <cell r="D2058" t="str">
            <v>主线副本 第23章 第6关道具奖励</v>
          </cell>
          <cell r="E2058" t="str">
            <v>3|43000|1|1,3|41004|1|1</v>
          </cell>
        </row>
        <row r="2059">
          <cell r="A2059">
            <v>43065</v>
          </cell>
          <cell r="B2059">
            <v>0</v>
          </cell>
          <cell r="C2059" t="str">
            <v>1|14001|0,1|14107|0,1|11016|1,1|10037|0</v>
          </cell>
          <cell r="D2059" t="str">
            <v>主线副本 第23章 第9关道具奖励</v>
          </cell>
          <cell r="E2059" t="str">
            <v>3|43000|1|1,3|41079|1|1,3|41024|1|1</v>
          </cell>
        </row>
        <row r="2060">
          <cell r="A2060">
            <v>43066</v>
          </cell>
          <cell r="B2060">
            <v>0</v>
          </cell>
          <cell r="C2060" t="str">
            <v>1|14001|0,1|14107|0,1|11015|1,1|10118|0</v>
          </cell>
          <cell r="D2060" t="str">
            <v>主线副本 第23章 第10关道具奖励</v>
          </cell>
          <cell r="E2060" t="str">
            <v>3|43000|1|1,3|41078|1|1,3|41050|1|1</v>
          </cell>
        </row>
        <row r="2061">
          <cell r="A2061">
            <v>43067</v>
          </cell>
          <cell r="B2061">
            <v>0</v>
          </cell>
          <cell r="C2061" t="str">
            <v>1|14001|0,1|14107|0,1|10052|0</v>
          </cell>
          <cell r="D2061" t="str">
            <v>主线副本 第24章 第6关道具奖励</v>
          </cell>
          <cell r="E2061" t="str">
            <v>3|43000|1|1,3|41008|1|1</v>
          </cell>
        </row>
        <row r="2062">
          <cell r="A2062">
            <v>43068</v>
          </cell>
          <cell r="B2062">
            <v>0</v>
          </cell>
          <cell r="C2062" t="str">
            <v>1|14001|0,1|14107|0,1|11013|1,1|10016|0</v>
          </cell>
          <cell r="D2062" t="str">
            <v>主线副本 第24章 第9关道具奖励</v>
          </cell>
          <cell r="E2062" t="str">
            <v>3|43000|1|1,3|41076|1|1,3|41033|1|1</v>
          </cell>
        </row>
        <row r="2063">
          <cell r="A2063">
            <v>43069</v>
          </cell>
          <cell r="B2063">
            <v>0</v>
          </cell>
          <cell r="C2063" t="str">
            <v>1|14001|0,1|14107|0,1|11014|1,1|10002|0</v>
          </cell>
          <cell r="D2063" t="str">
            <v>主线副本 第24章 第10关道具奖励</v>
          </cell>
          <cell r="E2063" t="str">
            <v>3|43000|1|1,3|41077|1|1,3|41051|1|1</v>
          </cell>
        </row>
        <row r="2064">
          <cell r="A2064">
            <v>43070</v>
          </cell>
          <cell r="B2064">
            <v>0</v>
          </cell>
          <cell r="C2064" t="str">
            <v>1|14001|0,1|14107|0,1|10040|0</v>
          </cell>
          <cell r="D2064" t="str">
            <v>主线副本 第25章 第6关道具奖励</v>
          </cell>
          <cell r="E2064" t="str">
            <v>3|43000|1|1,3|41010|1|1</v>
          </cell>
        </row>
        <row r="2065">
          <cell r="A2065">
            <v>43071</v>
          </cell>
          <cell r="B2065">
            <v>0</v>
          </cell>
          <cell r="C2065" t="str">
            <v>1|14001|0,1|14107|0,1|11020|1,1|10004|0</v>
          </cell>
          <cell r="D2065" t="str">
            <v>主线副本 第25章 第9关道具奖励</v>
          </cell>
          <cell r="E2065" t="str">
            <v>3|43000|1|1,3|41083|1|1,3|41039|1|1</v>
          </cell>
        </row>
        <row r="2066">
          <cell r="A2066">
            <v>43072</v>
          </cell>
          <cell r="B2066">
            <v>0</v>
          </cell>
          <cell r="C2066" t="str">
            <v>1|14001|0,1|14107|0,1|11019|1,1|10112|0</v>
          </cell>
          <cell r="D2066" t="str">
            <v>主线副本 第25章 第10关道具奖励</v>
          </cell>
          <cell r="E2066" t="str">
            <v>3|43000|1|1,3|41082|1|1,3|41052|1|1</v>
          </cell>
        </row>
        <row r="2067">
          <cell r="A2067">
            <v>43073</v>
          </cell>
          <cell r="B2067">
            <v>0</v>
          </cell>
          <cell r="C2067" t="str">
            <v>1|14001|0,1|14107|0,1|10039|0</v>
          </cell>
          <cell r="D2067" t="str">
            <v>主线副本 第26章 第6关道具奖励</v>
          </cell>
          <cell r="E2067" t="str">
            <v>3|43000|1|1,3|41011|1|1</v>
          </cell>
        </row>
        <row r="2068">
          <cell r="A2068">
            <v>43074</v>
          </cell>
          <cell r="B2068">
            <v>0</v>
          </cell>
          <cell r="C2068" t="str">
            <v>1|14001|0,1|14107|0,1|11017|1,1|10116|0</v>
          </cell>
          <cell r="D2068" t="str">
            <v>主线副本 第26章 第9关道具奖励</v>
          </cell>
          <cell r="E2068" t="str">
            <v>3|43000|1|1,3|41080|1|1,3|41019|1|1</v>
          </cell>
        </row>
        <row r="2069">
          <cell r="A2069">
            <v>43075</v>
          </cell>
          <cell r="B2069">
            <v>0</v>
          </cell>
          <cell r="C2069" t="str">
            <v>1|14001|0,1|14107|0,1|11018|1,1|10114|0</v>
          </cell>
          <cell r="D2069" t="str">
            <v>主线副本 第26章 第10关道具奖励</v>
          </cell>
          <cell r="E2069" t="str">
            <v>3|43000|1|1,3|41081|1|1,3|41053|1|1</v>
          </cell>
        </row>
        <row r="2070">
          <cell r="A2070">
            <v>43076</v>
          </cell>
          <cell r="B2070">
            <v>0</v>
          </cell>
          <cell r="C2070" t="str">
            <v>1|14001|0,1|14107|0,1|10034|0</v>
          </cell>
          <cell r="D2070" t="str">
            <v>主线副本 第27章 第6关道具奖励</v>
          </cell>
          <cell r="E2070" t="str">
            <v>3|43000|1|1,3|41014|1|1</v>
          </cell>
        </row>
        <row r="2071">
          <cell r="A2071">
            <v>43077</v>
          </cell>
          <cell r="B2071">
            <v>0</v>
          </cell>
          <cell r="C2071" t="str">
            <v>1|14001|0,1|14107|0,1|11024|1,1|10026|0</v>
          </cell>
          <cell r="D2071" t="str">
            <v>主线副本 第27章 第9关道具奖励</v>
          </cell>
          <cell r="E2071" t="str">
            <v>3|43000|1|1,3|41087|1|1,3|41028|1|1</v>
          </cell>
        </row>
        <row r="2072">
          <cell r="A2072">
            <v>43078</v>
          </cell>
          <cell r="B2072">
            <v>0</v>
          </cell>
          <cell r="C2072" t="str">
            <v>1|14001|0,1|14107|0,1|11023|1,1|10011|0</v>
          </cell>
          <cell r="D2072" t="str">
            <v>主线副本 第27章 第10关道具奖励</v>
          </cell>
          <cell r="E2072" t="str">
            <v>3|43000|1|1,3|41086|1|1,3|41054|1|1</v>
          </cell>
        </row>
        <row r="2073">
          <cell r="A2073">
            <v>43079</v>
          </cell>
          <cell r="B2073">
            <v>0</v>
          </cell>
          <cell r="C2073" t="str">
            <v>1|14001|0,1|14107|0,1|10030|0</v>
          </cell>
          <cell r="D2073" t="str">
            <v>主线副本 第28章 第6关道具奖励</v>
          </cell>
          <cell r="E2073" t="str">
            <v>3|43000|1|1,3|41016|1|1</v>
          </cell>
        </row>
        <row r="2074">
          <cell r="A2074">
            <v>43080</v>
          </cell>
          <cell r="B2074">
            <v>0</v>
          </cell>
          <cell r="C2074" t="str">
            <v>1|14001|0,1|14107|0,1|11021|1,1|10031|0</v>
          </cell>
          <cell r="D2074" t="str">
            <v>主线副本 第28章 第9关道具奖励</v>
          </cell>
          <cell r="E2074" t="str">
            <v>3|43000|1|1,3|41084|1|1,3|41027|1|1</v>
          </cell>
        </row>
        <row r="2075">
          <cell r="A2075">
            <v>43081</v>
          </cell>
          <cell r="B2075">
            <v>0</v>
          </cell>
          <cell r="C2075" t="str">
            <v>1|14001|0,1|14107|0,1|11022|1,1|10003|0</v>
          </cell>
          <cell r="D2075" t="str">
            <v>主线副本 第28章 第10关道具奖励</v>
          </cell>
          <cell r="E2075" t="str">
            <v>3|43000|1|1,3|41085|1|1,3|41040|1|1</v>
          </cell>
        </row>
        <row r="2076">
          <cell r="A2076">
            <v>43082</v>
          </cell>
          <cell r="B2076">
            <v>0</v>
          </cell>
          <cell r="C2076" t="str">
            <v>1|14001|0,1|14107|0,1|10018|0</v>
          </cell>
          <cell r="D2076" t="str">
            <v>主线副本 第29章 第6关道具奖励</v>
          </cell>
          <cell r="E2076" t="str">
            <v>3|43000|1|1,3|41018|1|1</v>
          </cell>
        </row>
        <row r="2077">
          <cell r="A2077">
            <v>43083</v>
          </cell>
          <cell r="B2077">
            <v>0</v>
          </cell>
          <cell r="C2077" t="str">
            <v>1|14001|0,1|14107|0,1|11016|1,1|10101|0</v>
          </cell>
          <cell r="D2077" t="str">
            <v>主线副本 第29章 第9关道具奖励</v>
          </cell>
          <cell r="E2077" t="str">
            <v>3|43000|1|1,3|41079|1|1,3|41023|1|1</v>
          </cell>
        </row>
        <row r="2078">
          <cell r="A2078">
            <v>43084</v>
          </cell>
          <cell r="B2078">
            <v>0</v>
          </cell>
          <cell r="C2078" t="str">
            <v>1|14001|0,1|14107|0,1|11015|1,1|10119|0</v>
          </cell>
          <cell r="D2078" t="str">
            <v>主线副本 第29章 第10关道具奖励</v>
          </cell>
          <cell r="E2078" t="str">
            <v>3|43000|1|1,3|41078|1|1,3|41041|1|1</v>
          </cell>
        </row>
        <row r="2079">
          <cell r="A2079">
            <v>43085</v>
          </cell>
          <cell r="B2079">
            <v>0</v>
          </cell>
          <cell r="C2079" t="str">
            <v>1|14001|0,1|14107|0,1|10126|0</v>
          </cell>
          <cell r="D2079" t="str">
            <v>主线副本 第30章 第6关道具奖励</v>
          </cell>
          <cell r="E2079" t="str">
            <v>3|43000|1|1,3|41002|1|1</v>
          </cell>
        </row>
        <row r="2080">
          <cell r="A2080">
            <v>43086</v>
          </cell>
          <cell r="B2080">
            <v>0</v>
          </cell>
          <cell r="C2080" t="str">
            <v>1|14001|0,1|14107|0,1|11013|1,1|10108|0</v>
          </cell>
          <cell r="D2080" t="str">
            <v>主线副本 第30章 第9关道具奖励</v>
          </cell>
          <cell r="E2080" t="str">
            <v>3|43000|1|1,3|41076|1|1,3|41020|1|1</v>
          </cell>
        </row>
        <row r="2081">
          <cell r="A2081">
            <v>43087</v>
          </cell>
          <cell r="B2081">
            <v>0</v>
          </cell>
          <cell r="C2081" t="str">
            <v>1|14001|0,1|14107|0,1|11014|1,1|10015|0</v>
          </cell>
          <cell r="D2081" t="str">
            <v>主线副本 第30章 第10关道具奖励</v>
          </cell>
          <cell r="E2081" t="str">
            <v>3|43000|1|1,3|41077|1|1,3|41042|1|1</v>
          </cell>
        </row>
        <row r="2082">
          <cell r="A2082">
            <v>43088</v>
          </cell>
          <cell r="B2082">
            <v>0</v>
          </cell>
          <cell r="C2082" t="str">
            <v>1|14001|0,1|14107|0,1|10104|0</v>
          </cell>
          <cell r="D2082" t="str">
            <v>主线副本 第31章 第6关道具奖励</v>
          </cell>
          <cell r="E2082" t="str">
            <v>3|43000|1|1,3|41005|1|1</v>
          </cell>
        </row>
        <row r="2083">
          <cell r="A2083">
            <v>43089</v>
          </cell>
          <cell r="B2083">
            <v>0</v>
          </cell>
          <cell r="C2083" t="str">
            <v>1|14001|0,1|14107|0,1|11020|1,1|10022|0</v>
          </cell>
          <cell r="D2083" t="str">
            <v>主线副本 第31章 第9关道具奖励</v>
          </cell>
          <cell r="E2083" t="str">
            <v>3|43000|1|1,3|41083|1|1,3|41031|1|1</v>
          </cell>
        </row>
        <row r="2084">
          <cell r="A2084">
            <v>43090</v>
          </cell>
          <cell r="B2084">
            <v>0</v>
          </cell>
          <cell r="C2084" t="str">
            <v>1|14001|0,1|14107|0,1|11019|1,1|10115|0</v>
          </cell>
          <cell r="D2084" t="str">
            <v>主线副本 第31章 第10关道具奖励</v>
          </cell>
          <cell r="E2084" t="str">
            <v>3|43000|1|1,3|41082|1|1,3|41043|1|1</v>
          </cell>
        </row>
        <row r="2085">
          <cell r="A2085">
            <v>43091</v>
          </cell>
          <cell r="B2085">
            <v>0</v>
          </cell>
          <cell r="C2085" t="str">
            <v>1|14001|0,1|14107|0,1|10103|0</v>
          </cell>
          <cell r="D2085" t="str">
            <v>主线副本 第32章 第6关道具奖励</v>
          </cell>
          <cell r="E2085" t="str">
            <v>3|43000|1|1,3|41006|1|1</v>
          </cell>
        </row>
        <row r="2086">
          <cell r="A2086">
            <v>43092</v>
          </cell>
          <cell r="B2086">
            <v>0</v>
          </cell>
          <cell r="C2086" t="str">
            <v>1|14001|0,1|14107|0,1|11017|1,1|10107|0</v>
          </cell>
          <cell r="D2086" t="str">
            <v>主线副本 第32章 第9关道具奖励</v>
          </cell>
          <cell r="E2086" t="str">
            <v>3|43000|1|1,3|41080|1|1,3|41021|1|1</v>
          </cell>
        </row>
        <row r="2087">
          <cell r="A2087">
            <v>43093</v>
          </cell>
          <cell r="B2087">
            <v>0</v>
          </cell>
          <cell r="C2087" t="str">
            <v>1|14001|0,1|14107|0,1|11018|1,1|10012|0</v>
          </cell>
          <cell r="D2087" t="str">
            <v>主线副本 第32章 第10关道具奖励</v>
          </cell>
          <cell r="E2087" t="str">
            <v>3|43000|1|1,3|41081|1|1,3|41044|1|1</v>
          </cell>
        </row>
        <row r="2088">
          <cell r="A2088">
            <v>43094</v>
          </cell>
          <cell r="B2088">
            <v>0</v>
          </cell>
          <cell r="C2088" t="str">
            <v>1|14001|0,1|14107|0,1|10092|0</v>
          </cell>
          <cell r="D2088" t="str">
            <v>主线副本 第33章 第6关道具奖励</v>
          </cell>
          <cell r="E2088" t="str">
            <v>3|43000|1|1,3|41007|1|1</v>
          </cell>
        </row>
        <row r="2089">
          <cell r="A2089">
            <v>43095</v>
          </cell>
          <cell r="B2089">
            <v>0</v>
          </cell>
          <cell r="C2089" t="str">
            <v>1|14001|0,1|14107|0,1|11024|1,1|10009|0</v>
          </cell>
          <cell r="D2089" t="str">
            <v>主线副本 第33章 第9关道具奖励</v>
          </cell>
          <cell r="E2089" t="str">
            <v>3|43000|1|1,3|41087|1|1,3|41036|1|1</v>
          </cell>
        </row>
        <row r="2090">
          <cell r="A2090">
            <v>43096</v>
          </cell>
          <cell r="B2090">
            <v>0</v>
          </cell>
          <cell r="C2090" t="str">
            <v>1|14001|0,1|14107|0,1|11023|1,1|10113|0</v>
          </cell>
          <cell r="D2090" t="str">
            <v>主线副本 第33章 第10关道具奖励</v>
          </cell>
          <cell r="E2090" t="str">
            <v>3|43000|1|1,3|41086|1|1,3|41045|1|1</v>
          </cell>
        </row>
        <row r="2091">
          <cell r="A2091">
            <v>43097</v>
          </cell>
          <cell r="B2091">
            <v>0</v>
          </cell>
          <cell r="C2091" t="str">
            <v>1|14001|0,1|14107|0,1|10041|0</v>
          </cell>
          <cell r="D2091" t="str">
            <v>主线副本 第34章 第6关道具奖励</v>
          </cell>
          <cell r="E2091" t="str">
            <v>3|43000|1|1,3|41009|1|1</v>
          </cell>
        </row>
        <row r="2092">
          <cell r="A2092">
            <v>43098</v>
          </cell>
          <cell r="B2092">
            <v>0</v>
          </cell>
          <cell r="C2092" t="str">
            <v>1|14001|0,1|14107|0,1|11021|1,1|10010|0</v>
          </cell>
          <cell r="D2092" t="str">
            <v>主线副本 第34章 第9关道具奖励</v>
          </cell>
          <cell r="E2092" t="str">
            <v>3|43000|1|1,3|41084|1|1,3|41035|1|1</v>
          </cell>
        </row>
        <row r="2093">
          <cell r="A2093">
            <v>43099</v>
          </cell>
          <cell r="B2093">
            <v>0</v>
          </cell>
          <cell r="C2093" t="str">
            <v>1|14001|0,1|14107|0,1|11022|1,1|10020|0</v>
          </cell>
          <cell r="D2093" t="str">
            <v>主线副本 第34章 第10关道具奖励</v>
          </cell>
          <cell r="E2093" t="str">
            <v>3|43000|1|1,3|41085|1|1,3|41046|1|1</v>
          </cell>
        </row>
        <row r="2094">
          <cell r="A2094">
            <v>43100</v>
          </cell>
          <cell r="B2094">
            <v>0</v>
          </cell>
          <cell r="C2094" t="str">
            <v>1|14001|0,1|14107|0,1|10038|0</v>
          </cell>
          <cell r="D2094" t="str">
            <v>主线副本 第35章 第6关道具奖励</v>
          </cell>
          <cell r="E2094" t="str">
            <v>3|43000|1|1,3|41012|1|1</v>
          </cell>
        </row>
        <row r="2095">
          <cell r="A2095">
            <v>43101</v>
          </cell>
          <cell r="B2095">
            <v>0</v>
          </cell>
          <cell r="C2095" t="str">
            <v>1|14001|0,1|14107|0,1|11016|1,1|10006|0</v>
          </cell>
          <cell r="D2095" t="str">
            <v>主线副本 第35章 第9关道具奖励</v>
          </cell>
          <cell r="E2095" t="str">
            <v>3|43000|1|1,3|41079|1|1,3|41038|1|1</v>
          </cell>
        </row>
        <row r="2096">
          <cell r="A2096">
            <v>43102</v>
          </cell>
          <cell r="B2096">
            <v>0</v>
          </cell>
          <cell r="C2096" t="str">
            <v>1|14001|0,1|14107|0,1|11015|1,1|10013|0</v>
          </cell>
          <cell r="D2096" t="str">
            <v>主线副本 第35章 第10关道具奖励</v>
          </cell>
          <cell r="E2096" t="str">
            <v>3|43000|1|1,3|41078|1|1,3|41047|1|1</v>
          </cell>
        </row>
        <row r="2097">
          <cell r="A2097">
            <v>43103</v>
          </cell>
          <cell r="B2097">
            <v>0</v>
          </cell>
          <cell r="C2097" t="str">
            <v>1|14001|0,1|14107|0,1|10036|0</v>
          </cell>
          <cell r="D2097" t="str">
            <v>主线副本 第36章 第6关道具奖励</v>
          </cell>
          <cell r="E2097" t="str">
            <v>3|43000|1|1,3|41013|1|1</v>
          </cell>
        </row>
        <row r="2098">
          <cell r="A2098">
            <v>43104</v>
          </cell>
          <cell r="B2098">
            <v>0</v>
          </cell>
          <cell r="C2098" t="str">
            <v>1|14001|0,1|14107|0,1|11013|1,1|10102|0</v>
          </cell>
          <cell r="D2098" t="str">
            <v>主线副本 第36章 第9关道具奖励</v>
          </cell>
          <cell r="E2098" t="str">
            <v>3|43000|1|1,3|41076|1|1,3|41022|1|1</v>
          </cell>
        </row>
        <row r="2099">
          <cell r="A2099">
            <v>43105</v>
          </cell>
          <cell r="B2099">
            <v>0</v>
          </cell>
          <cell r="C2099" t="str">
            <v>1|14001|0,1|14107|0,1|11014|1,1|10008|0</v>
          </cell>
          <cell r="D2099" t="str">
            <v>主线副本 第36章 第10关道具奖励</v>
          </cell>
          <cell r="E2099" t="str">
            <v>3|43000|1|1,3|41077|1|1,3|41048|1|1</v>
          </cell>
        </row>
        <row r="2100">
          <cell r="A2100">
            <v>43106</v>
          </cell>
          <cell r="B2100">
            <v>0</v>
          </cell>
          <cell r="C2100" t="str">
            <v>1|14001|0,1|14107|0,1|10033|0</v>
          </cell>
          <cell r="D2100" t="str">
            <v>主线副本 第37章 第6关道具奖励</v>
          </cell>
          <cell r="E2100" t="str">
            <v>3|43000|1|1,3|41015|1|1</v>
          </cell>
        </row>
        <row r="2101">
          <cell r="A2101">
            <v>43107</v>
          </cell>
          <cell r="B2101">
            <v>0</v>
          </cell>
          <cell r="C2101" t="str">
            <v>1|14001|0,1|14107|0,1|11020|1,1|10023|0</v>
          </cell>
          <cell r="D2101" t="str">
            <v>主线副本 第37章 第9关道具奖励</v>
          </cell>
          <cell r="E2101" t="str">
            <v>3|43000|1|1,3|41083|1|1,3|41030|1|1</v>
          </cell>
        </row>
        <row r="2102">
          <cell r="A2102">
            <v>43108</v>
          </cell>
          <cell r="B2102">
            <v>0</v>
          </cell>
          <cell r="C2102" t="str">
            <v>1|14001|0,1|14107|0,1|11019|1,1|10027|0</v>
          </cell>
          <cell r="D2102" t="str">
            <v>主线副本 第37章 第10关道具奖励</v>
          </cell>
          <cell r="E2102" t="str">
            <v>3|43000|1|1,3|41082|1|1,3|41049|1|1</v>
          </cell>
        </row>
        <row r="2103">
          <cell r="A2103">
            <v>43109</v>
          </cell>
          <cell r="B2103">
            <v>0</v>
          </cell>
          <cell r="C2103" t="str">
            <v>1|14001|0,1|14107|0,1|10028|0</v>
          </cell>
          <cell r="D2103" t="str">
            <v>主线副本 第38章 第6关道具奖励</v>
          </cell>
          <cell r="E2103" t="str">
            <v>3|43000|1|1,3|41017|1|1</v>
          </cell>
        </row>
        <row r="2104">
          <cell r="A2104">
            <v>43110</v>
          </cell>
          <cell r="B2104">
            <v>0</v>
          </cell>
          <cell r="C2104" t="str">
            <v>1|14001|0,1|14107|0,1|11017|1,1|10017|0</v>
          </cell>
          <cell r="D2104" t="str">
            <v>主线副本 第38章 第9关道具奖励</v>
          </cell>
          <cell r="E2104" t="str">
            <v>3|43000|1|1,3|41080|1|1,3|41032|1|1</v>
          </cell>
        </row>
        <row r="2105">
          <cell r="A2105">
            <v>43111</v>
          </cell>
          <cell r="B2105">
            <v>0</v>
          </cell>
          <cell r="C2105" t="str">
            <v>1|14001|0,1|14107|0,1|11018|1,1|10118|0</v>
          </cell>
          <cell r="D2105" t="str">
            <v>主线副本 第38章 第10关道具奖励</v>
          </cell>
          <cell r="E2105" t="str">
            <v>3|43000|1|1,3|41081|1|1,3|41050|1|1</v>
          </cell>
        </row>
        <row r="2106">
          <cell r="A2106">
            <v>43112</v>
          </cell>
          <cell r="B2106">
            <v>0</v>
          </cell>
          <cell r="C2106" t="str">
            <v>1|14001|0,1|14107|0,1|10404|0</v>
          </cell>
          <cell r="D2106" t="str">
            <v>主线副本 第39章 第6关道具奖励</v>
          </cell>
          <cell r="E2106" t="str">
            <v>3|43000|1|1,3|41001|1|1</v>
          </cell>
        </row>
        <row r="2107">
          <cell r="A2107">
            <v>43113</v>
          </cell>
          <cell r="B2107">
            <v>0</v>
          </cell>
          <cell r="C2107" t="str">
            <v>1|14001|0,1|14107|0,1|11024|1,1|10014|0</v>
          </cell>
          <cell r="D2107" t="str">
            <v>主线副本 第39章 第9关道具奖励</v>
          </cell>
          <cell r="E2107" t="str">
            <v>3|43000|1|1,3|41087|1|1,3|41034|1|1</v>
          </cell>
        </row>
        <row r="2108">
          <cell r="A2108">
            <v>43114</v>
          </cell>
          <cell r="B2108">
            <v>0</v>
          </cell>
          <cell r="C2108" t="str">
            <v>1|14001|0,1|14107|0,1|11023|1,1|10002|0</v>
          </cell>
          <cell r="D2108" t="str">
            <v>主线副本 第39章 第10关道具奖励</v>
          </cell>
          <cell r="E2108" t="str">
            <v>3|43000|1|1,3|41086|1|1,3|41051|1|1</v>
          </cell>
        </row>
        <row r="2109">
          <cell r="A2109">
            <v>43115</v>
          </cell>
          <cell r="B2109">
            <v>0</v>
          </cell>
          <cell r="C2109" t="str">
            <v>1|14001|0,1|14107|0,1|10106|0</v>
          </cell>
          <cell r="D2109" t="str">
            <v>主线副本 第40章 第6关道具奖励</v>
          </cell>
          <cell r="E2109" t="str">
            <v>3|43000|1|1,3|41003|1|1</v>
          </cell>
        </row>
        <row r="2110">
          <cell r="A2110">
            <v>43116</v>
          </cell>
          <cell r="B2110">
            <v>0</v>
          </cell>
          <cell r="C2110" t="str">
            <v>1|14001|0,1|14107|0,1|11021|1,1|10025|0</v>
          </cell>
          <cell r="D2110" t="str">
            <v>主线副本 第40章 第9关道具奖励</v>
          </cell>
          <cell r="E2110" t="str">
            <v>3|43000|1|1,3|41084|1|1,3|41029|1|1</v>
          </cell>
        </row>
        <row r="2111">
          <cell r="A2111">
            <v>43117</v>
          </cell>
          <cell r="B2111">
            <v>0</v>
          </cell>
          <cell r="C2111" t="str">
            <v>1|14001|0,1|14107|0,1|11022|1,1|10112|0</v>
          </cell>
          <cell r="D2111" t="str">
            <v>主线副本 第40章 第10关道具奖励</v>
          </cell>
          <cell r="E2111" t="str">
            <v>3|43000|1|1,3|41085|1|1,3|41052|1|1</v>
          </cell>
        </row>
        <row r="2112">
          <cell r="A2112">
            <v>43118</v>
          </cell>
          <cell r="B2112">
            <v>0</v>
          </cell>
          <cell r="C2112" t="str">
            <v>1|14001|0,1|14107|0,1|10105|0</v>
          </cell>
          <cell r="D2112" t="str">
            <v>主线副本 第41章 第6关道具奖励</v>
          </cell>
          <cell r="E2112" t="str">
            <v>3|43000|1|1,3|41004|1|1</v>
          </cell>
        </row>
        <row r="2113">
          <cell r="A2113">
            <v>43119</v>
          </cell>
          <cell r="B2113">
            <v>0</v>
          </cell>
          <cell r="C2113" t="str">
            <v>1|14001|0,1|14107|0,1|11028|1,1|10007|0</v>
          </cell>
          <cell r="D2113" t="str">
            <v>主线副本 第41章 第9关道具奖励</v>
          </cell>
          <cell r="E2113" t="str">
            <v>3|43000|1|1,3|41091|1|1,3|41037|1|1</v>
          </cell>
        </row>
        <row r="2114">
          <cell r="A2114">
            <v>43120</v>
          </cell>
          <cell r="B2114">
            <v>0</v>
          </cell>
          <cell r="C2114" t="str">
            <v>1|14001|0,1|14107|0,1|11027|1,1|10114|0</v>
          </cell>
          <cell r="D2114" t="str">
            <v>主线副本 第41章 第10关道具奖励</v>
          </cell>
          <cell r="E2114" t="str">
            <v>3|43000|1|1,3|41090|1|1,3|41053|1|1</v>
          </cell>
        </row>
        <row r="2115">
          <cell r="A2115">
            <v>43121</v>
          </cell>
          <cell r="B2115">
            <v>0</v>
          </cell>
          <cell r="C2115" t="str">
            <v>1|14001|0,1|14107|0,1|10052|0</v>
          </cell>
          <cell r="D2115" t="str">
            <v>主线副本 第42章 第6关道具奖励</v>
          </cell>
          <cell r="E2115" t="str">
            <v>3|43000|1|1,3|41008|1|1</v>
          </cell>
        </row>
        <row r="2116">
          <cell r="A2116">
            <v>43122</v>
          </cell>
          <cell r="B2116">
            <v>0</v>
          </cell>
          <cell r="C2116" t="str">
            <v>1|14001|0,1|14107|0,1|11025|1,1|10032|0</v>
          </cell>
          <cell r="D2116" t="str">
            <v>主线副本 第42章 第9关道具奖励</v>
          </cell>
          <cell r="E2116" t="str">
            <v>3|43000|1|1,3|41088|1|1,3|41026|1|1</v>
          </cell>
        </row>
        <row r="2117">
          <cell r="A2117">
            <v>43123</v>
          </cell>
          <cell r="B2117">
            <v>0</v>
          </cell>
          <cell r="C2117" t="str">
            <v>1|14001|0,1|14107|0,1|11026|1,1|10011|0</v>
          </cell>
          <cell r="D2117" t="str">
            <v>主线副本 第42章 第10关道具奖励</v>
          </cell>
          <cell r="E2117" t="str">
            <v>3|43000|1|1,3|41089|1|1,3|41054|1|1</v>
          </cell>
        </row>
        <row r="2118">
          <cell r="A2118">
            <v>43124</v>
          </cell>
          <cell r="B2118">
            <v>0</v>
          </cell>
          <cell r="C2118" t="str">
            <v>1|14001|0,1|14107|0,1|10040|0</v>
          </cell>
          <cell r="D2118" t="str">
            <v>主线副本 第43章 第6关道具奖励</v>
          </cell>
          <cell r="E2118" t="str">
            <v>3|43000|1|1,3|41010|1|1</v>
          </cell>
        </row>
        <row r="2119">
          <cell r="A2119">
            <v>43125</v>
          </cell>
          <cell r="B2119">
            <v>0</v>
          </cell>
          <cell r="C2119" t="str">
            <v>1|14001|0,1|14107|0,1|11032|1,1|10035|0</v>
          </cell>
          <cell r="D2119" t="str">
            <v>主线副本 第43章 第9关道具奖励</v>
          </cell>
          <cell r="E2119" t="str">
            <v>3|43000|1|1,3|41095|1|1,3|41025|1|1</v>
          </cell>
        </row>
        <row r="2120">
          <cell r="A2120">
            <v>43126</v>
          </cell>
          <cell r="B2120">
            <v>0</v>
          </cell>
          <cell r="C2120" t="str">
            <v>1|14001|0,1|14107|0,1|11031|1,1|10003|0</v>
          </cell>
          <cell r="D2120" t="str">
            <v>主线副本 第43章 第10关道具奖励</v>
          </cell>
          <cell r="E2120" t="str">
            <v>3|43000|1|1,3|41094|1|1,3|41040|1|1</v>
          </cell>
        </row>
        <row r="2121">
          <cell r="A2121">
            <v>43127</v>
          </cell>
          <cell r="B2121">
            <v>0</v>
          </cell>
          <cell r="C2121" t="str">
            <v>1|14001|0,1|14107|0,1|10039|0</v>
          </cell>
          <cell r="D2121" t="str">
            <v>主线副本 第44章 第6关道具奖励</v>
          </cell>
          <cell r="E2121" t="str">
            <v>3|43000|1|1,3|41011|1|1</v>
          </cell>
        </row>
        <row r="2122">
          <cell r="A2122">
            <v>43128</v>
          </cell>
          <cell r="B2122">
            <v>0</v>
          </cell>
          <cell r="C2122" t="str">
            <v>1|14001|0,1|14107|0,1|11029|1,1|10037|0</v>
          </cell>
          <cell r="D2122" t="str">
            <v>主线副本 第44章 第9关道具奖励</v>
          </cell>
          <cell r="E2122" t="str">
            <v>3|43000|1|1,3|41092|1|1,3|41024|1|1</v>
          </cell>
        </row>
        <row r="2123">
          <cell r="A2123">
            <v>43129</v>
          </cell>
          <cell r="B2123">
            <v>0</v>
          </cell>
          <cell r="C2123" t="str">
            <v>1|14001|0,1|14107|0,1|11030|1,1|10119|0</v>
          </cell>
          <cell r="D2123" t="str">
            <v>主线副本 第44章 第10关道具奖励</v>
          </cell>
          <cell r="E2123" t="str">
            <v>3|43000|1|1,3|41093|1|1,3|41041|1|1</v>
          </cell>
        </row>
        <row r="2124">
          <cell r="A2124">
            <v>43130</v>
          </cell>
          <cell r="B2124">
            <v>0</v>
          </cell>
          <cell r="C2124" t="str">
            <v>1|14001|0,1|14107|0,1|10034|0</v>
          </cell>
          <cell r="D2124" t="str">
            <v>主线副本 第45章 第6关道具奖励</v>
          </cell>
          <cell r="E2124" t="str">
            <v>3|43000|1|1,3|41014|1|1</v>
          </cell>
        </row>
        <row r="2125">
          <cell r="A2125">
            <v>43131</v>
          </cell>
          <cell r="B2125">
            <v>0</v>
          </cell>
          <cell r="C2125" t="str">
            <v>1|14001|0,1|14107|0,1|11036|1,1|10016|0</v>
          </cell>
          <cell r="D2125" t="str">
            <v>主线副本 第45章 第9关道具奖励</v>
          </cell>
          <cell r="E2125" t="str">
            <v>3|43000|1|1,3|41099|1|1,3|41033|1|1</v>
          </cell>
        </row>
        <row r="2126">
          <cell r="A2126">
            <v>43132</v>
          </cell>
          <cell r="B2126">
            <v>0</v>
          </cell>
          <cell r="C2126" t="str">
            <v>1|14001|0,1|14107|0,1|11035|1,1|10015|0</v>
          </cell>
          <cell r="D2126" t="str">
            <v>主线副本 第45章 第10关道具奖励</v>
          </cell>
          <cell r="E2126" t="str">
            <v>3|43000|1|1,3|41098|1|1,3|41042|1|1</v>
          </cell>
        </row>
        <row r="2127">
          <cell r="A2127">
            <v>43133</v>
          </cell>
          <cell r="B2127">
            <v>0</v>
          </cell>
          <cell r="C2127" t="str">
            <v>1|14001|0,1|14107|0,1|10030|0</v>
          </cell>
          <cell r="D2127" t="str">
            <v>主线副本 第46章 第6关道具奖励</v>
          </cell>
          <cell r="E2127" t="str">
            <v>3|43000|1|1,3|41016|1|1</v>
          </cell>
        </row>
        <row r="2128">
          <cell r="A2128">
            <v>43134</v>
          </cell>
          <cell r="B2128">
            <v>0</v>
          </cell>
          <cell r="C2128" t="str">
            <v>1|14001|0,1|14107|0,1|11033|1,1|10004|0</v>
          </cell>
          <cell r="D2128" t="str">
            <v>主线副本 第46章 第9关道具奖励</v>
          </cell>
          <cell r="E2128" t="str">
            <v>3|43000|1|1,3|41096|1|1,3|41039|1|1</v>
          </cell>
        </row>
        <row r="2129">
          <cell r="A2129">
            <v>43135</v>
          </cell>
          <cell r="B2129">
            <v>0</v>
          </cell>
          <cell r="C2129" t="str">
            <v>1|14001|0,1|14107|0,1|11034|1,1|10115|0</v>
          </cell>
          <cell r="D2129" t="str">
            <v>主线副本 第46章 第10关道具奖励</v>
          </cell>
          <cell r="E2129" t="str">
            <v>3|43000|1|1,3|41097|1|1,3|41043|1|1</v>
          </cell>
        </row>
        <row r="2130">
          <cell r="A2130">
            <v>43136</v>
          </cell>
          <cell r="B2130">
            <v>0</v>
          </cell>
          <cell r="C2130" t="str">
            <v>1|14001|0,1|14107|0,1|10018|0</v>
          </cell>
          <cell r="D2130" t="str">
            <v>主线副本 第47章 第6关道具奖励</v>
          </cell>
          <cell r="E2130" t="str">
            <v>3|43000|1|1,3|41018|1|1</v>
          </cell>
        </row>
        <row r="2131">
          <cell r="A2131">
            <v>43137</v>
          </cell>
          <cell r="B2131">
            <v>0</v>
          </cell>
          <cell r="C2131" t="str">
            <v>1|14001|0,1|14107|0,1|11028|1,1|10116|0</v>
          </cell>
          <cell r="D2131" t="str">
            <v>主线副本 第47章 第9关道具奖励</v>
          </cell>
          <cell r="E2131" t="str">
            <v>3|43000|1|1,3|41091|1|1,3|41019|1|1</v>
          </cell>
        </row>
        <row r="2132">
          <cell r="A2132">
            <v>43138</v>
          </cell>
          <cell r="B2132">
            <v>0</v>
          </cell>
          <cell r="C2132" t="str">
            <v>1|14001|0,1|14107|0,1|11027|1,1|10012|0</v>
          </cell>
          <cell r="D2132" t="str">
            <v>主线副本 第47章 第10关道具奖励</v>
          </cell>
          <cell r="E2132" t="str">
            <v>3|43000|1|1,3|41090|1|1,3|41044|1|1</v>
          </cell>
        </row>
        <row r="2133">
          <cell r="A2133">
            <v>43139</v>
          </cell>
          <cell r="B2133">
            <v>0</v>
          </cell>
          <cell r="C2133" t="str">
            <v>1|14001|0,1|14107|0,1|10126|0</v>
          </cell>
          <cell r="D2133" t="str">
            <v>主线副本 第48章 第6关道具奖励</v>
          </cell>
          <cell r="E2133" t="str">
            <v>3|43000|1|1,3|41002|1|1</v>
          </cell>
        </row>
        <row r="2134">
          <cell r="A2134">
            <v>43140</v>
          </cell>
          <cell r="B2134">
            <v>0</v>
          </cell>
          <cell r="C2134" t="str">
            <v>1|14001|0,1|14107|0,1|11025|1,1|10026|0</v>
          </cell>
          <cell r="D2134" t="str">
            <v>主线副本 第48章 第9关道具奖励</v>
          </cell>
          <cell r="E2134" t="str">
            <v>3|43000|1|1,3|41088|1|1,3|41028|1|1</v>
          </cell>
        </row>
        <row r="2135">
          <cell r="A2135">
            <v>43141</v>
          </cell>
          <cell r="B2135">
            <v>0</v>
          </cell>
          <cell r="C2135" t="str">
            <v>1|14001|0,1|14107|0,1|11026|1,1|10113|0</v>
          </cell>
          <cell r="D2135" t="str">
            <v>主线副本 第48章 第10关道具奖励</v>
          </cell>
          <cell r="E2135" t="str">
            <v>3|43000|1|1,3|41089|1|1,3|41045|1|1</v>
          </cell>
        </row>
        <row r="2136">
          <cell r="A2136">
            <v>43142</v>
          </cell>
          <cell r="B2136">
            <v>0</v>
          </cell>
          <cell r="C2136" t="str">
            <v>1|14001|0,1|14107|0,1|10104|0</v>
          </cell>
          <cell r="D2136" t="str">
            <v>主线副本 第49章 第6关道具奖励</v>
          </cell>
          <cell r="E2136" t="str">
            <v>3|43000|1|1,3|41005|1|1</v>
          </cell>
        </row>
        <row r="2137">
          <cell r="A2137">
            <v>43143</v>
          </cell>
          <cell r="B2137">
            <v>0</v>
          </cell>
          <cell r="C2137" t="str">
            <v>1|14001|0,1|14107|0,1|11032|1,1|10031|0</v>
          </cell>
          <cell r="D2137" t="str">
            <v>主线副本 第49章 第9关道具奖励</v>
          </cell>
          <cell r="E2137" t="str">
            <v>3|43000|1|1,3|41095|1|1,3|41027|1|1</v>
          </cell>
        </row>
        <row r="2138">
          <cell r="A2138">
            <v>43144</v>
          </cell>
          <cell r="B2138">
            <v>0</v>
          </cell>
          <cell r="C2138" t="str">
            <v>1|14001|0,1|14107|0,1|11031|1,1|10020|0</v>
          </cell>
          <cell r="D2138" t="str">
            <v>主线副本 第49章 第10关道具奖励</v>
          </cell>
          <cell r="E2138" t="str">
            <v>3|43000|1|1,3|41094|1|1,3|41046|1|1</v>
          </cell>
        </row>
        <row r="2139">
          <cell r="A2139">
            <v>43145</v>
          </cell>
          <cell r="B2139">
            <v>0</v>
          </cell>
          <cell r="C2139" t="str">
            <v>1|14001|0,1|14107|0,1|10103|0</v>
          </cell>
          <cell r="D2139" t="str">
            <v>主线副本 第50章 第6关道具奖励</v>
          </cell>
          <cell r="E2139" t="str">
            <v>3|43000|1|1,3|41006|1|1</v>
          </cell>
        </row>
        <row r="2140">
          <cell r="A2140">
            <v>43146</v>
          </cell>
          <cell r="B2140">
            <v>0</v>
          </cell>
          <cell r="C2140" t="str">
            <v>1|14001|0,1|14107|0,1|11029|1,1|10101|0</v>
          </cell>
          <cell r="D2140" t="str">
            <v>主线副本 第50章 第9关道具奖励</v>
          </cell>
          <cell r="E2140" t="str">
            <v>3|43000|1|1,3|41092|1|1,3|41023|1|1</v>
          </cell>
        </row>
        <row r="2141">
          <cell r="A2141">
            <v>43147</v>
          </cell>
          <cell r="B2141">
            <v>0</v>
          </cell>
          <cell r="C2141" t="str">
            <v>1|14001|0,1|14107|0,1|11030|1,1|10013|0</v>
          </cell>
          <cell r="D2141" t="str">
            <v>主线副本 第50章 第10关道具奖励</v>
          </cell>
          <cell r="E2141" t="str">
            <v>3|43000|1|1,3|41093|1|1,3|41047|1|1</v>
          </cell>
        </row>
        <row r="2142">
          <cell r="A2142">
            <v>43148</v>
          </cell>
          <cell r="B2142">
            <v>0</v>
          </cell>
          <cell r="C2142" t="str">
            <v>1|14001|0,1|14107|0,1|10092|0</v>
          </cell>
          <cell r="D2142" t="str">
            <v>主线副本 第51章 第6关道具奖励</v>
          </cell>
          <cell r="E2142" t="str">
            <v>3|43000|1|1,3|41007|1|1</v>
          </cell>
        </row>
        <row r="2143">
          <cell r="A2143">
            <v>43149</v>
          </cell>
          <cell r="B2143">
            <v>0</v>
          </cell>
          <cell r="C2143" t="str">
            <v>1|14001|0,1|14107|0,1|11036|1,1|10108|0</v>
          </cell>
          <cell r="D2143" t="str">
            <v>主线副本 第51章 第9关道具奖励</v>
          </cell>
          <cell r="E2143" t="str">
            <v>3|43000|1|1,3|41099|1|1,3|41020|1|1</v>
          </cell>
        </row>
        <row r="2144">
          <cell r="A2144">
            <v>43150</v>
          </cell>
          <cell r="B2144">
            <v>0</v>
          </cell>
          <cell r="C2144" t="str">
            <v>1|14001|0,1|14107|0,1|11035|1,1|10008|0</v>
          </cell>
          <cell r="D2144" t="str">
            <v>主线副本 第51章 第10关道具奖励</v>
          </cell>
          <cell r="E2144" t="str">
            <v>3|43000|1|1,3|41098|1|1,3|41048|1|1</v>
          </cell>
        </row>
        <row r="2145">
          <cell r="A2145">
            <v>43151</v>
          </cell>
          <cell r="B2145">
            <v>0</v>
          </cell>
          <cell r="C2145" t="str">
            <v>1|14001|0,1|14107|0,1|10041|0</v>
          </cell>
          <cell r="D2145" t="str">
            <v>主线副本 第52章 第6关道具奖励</v>
          </cell>
          <cell r="E2145" t="str">
            <v>3|43000|1|1,3|41009|1|1</v>
          </cell>
        </row>
        <row r="2146">
          <cell r="A2146">
            <v>43152</v>
          </cell>
          <cell r="B2146">
            <v>0</v>
          </cell>
          <cell r="C2146" t="str">
            <v>1|14001|0,1|14107|0,1|11033|1,1|10022|0</v>
          </cell>
          <cell r="D2146" t="str">
            <v>主线副本 第52章 第9关道具奖励</v>
          </cell>
          <cell r="E2146" t="str">
            <v>3|43000|1|1,3|41096|1|1,3|41031|1|1</v>
          </cell>
        </row>
        <row r="2147">
          <cell r="A2147">
            <v>43153</v>
          </cell>
          <cell r="B2147">
            <v>0</v>
          </cell>
          <cell r="C2147" t="str">
            <v>1|14001|0,1|14107|0,1|11034|1,1|10027|0</v>
          </cell>
          <cell r="D2147" t="str">
            <v>主线副本 第52章 第10关道具奖励</v>
          </cell>
          <cell r="E2147" t="str">
            <v>3|43000|1|1,3|41097|1|1,3|41049|1|1</v>
          </cell>
        </row>
        <row r="2148">
          <cell r="A2148">
            <v>43154</v>
          </cell>
          <cell r="B2148">
            <v>0</v>
          </cell>
          <cell r="C2148" t="str">
            <v>1|14001|0,1|14107|0,1|10038|0</v>
          </cell>
          <cell r="D2148" t="str">
            <v>主线副本 第53章 第6关道具奖励</v>
          </cell>
          <cell r="E2148" t="str">
            <v>3|43000|1|1,3|41012|1|1</v>
          </cell>
        </row>
        <row r="2149">
          <cell r="A2149">
            <v>43155</v>
          </cell>
          <cell r="B2149">
            <v>0</v>
          </cell>
          <cell r="C2149" t="str">
            <v>1|14001|0,1|14107|0,1|11028|1,1|10107|0</v>
          </cell>
          <cell r="D2149" t="str">
            <v>主线副本 第53章 第9关道具奖励</v>
          </cell>
          <cell r="E2149" t="str">
            <v>3|43000|1|1,3|41091|1|1,3|41021|1|1</v>
          </cell>
        </row>
        <row r="2150">
          <cell r="A2150">
            <v>43156</v>
          </cell>
          <cell r="B2150">
            <v>0</v>
          </cell>
          <cell r="C2150" t="str">
            <v>1|14001|0,1|14107|0,1|11027|1,1|10118|0</v>
          </cell>
          <cell r="D2150" t="str">
            <v>主线副本 第53章 第10关道具奖励</v>
          </cell>
          <cell r="E2150" t="str">
            <v>3|43000|1|1,3|41090|1|1,3|41050|1|1</v>
          </cell>
        </row>
        <row r="2151">
          <cell r="A2151">
            <v>43157</v>
          </cell>
          <cell r="B2151">
            <v>0</v>
          </cell>
          <cell r="C2151" t="str">
            <v>1|14001|0,1|14107|0,1|10036|0</v>
          </cell>
          <cell r="D2151" t="str">
            <v>主线副本 第54章 第6关道具奖励</v>
          </cell>
          <cell r="E2151" t="str">
            <v>3|43000|1|1,3|41013|1|1</v>
          </cell>
        </row>
        <row r="2152">
          <cell r="A2152">
            <v>43158</v>
          </cell>
          <cell r="B2152">
            <v>0</v>
          </cell>
          <cell r="C2152" t="str">
            <v>1|14001|0,1|14107|0,1|11025|1,1|10009|0</v>
          </cell>
          <cell r="D2152" t="str">
            <v>主线副本 第54章 第9关道具奖励</v>
          </cell>
          <cell r="E2152" t="str">
            <v>3|43000|1|1,3|41088|1|1,3|41036|1|1</v>
          </cell>
        </row>
        <row r="2153">
          <cell r="A2153">
            <v>43159</v>
          </cell>
          <cell r="B2153">
            <v>0</v>
          </cell>
          <cell r="C2153" t="str">
            <v>1|14001|0,1|14107|0,1|11026|1,1|10002|0</v>
          </cell>
          <cell r="D2153" t="str">
            <v>主线副本 第54章 第10关道具奖励</v>
          </cell>
          <cell r="E2153" t="str">
            <v>3|43000|1|1,3|41089|1|1,3|41051|1|1</v>
          </cell>
        </row>
        <row r="2154">
          <cell r="A2154">
            <v>43160</v>
          </cell>
          <cell r="B2154">
            <v>0</v>
          </cell>
          <cell r="C2154" t="str">
            <v>1|14001|0,1|14107|0,1|10033|0</v>
          </cell>
          <cell r="D2154" t="str">
            <v>主线副本 第55章 第6关道具奖励</v>
          </cell>
          <cell r="E2154" t="str">
            <v>3|43000|1|1,3|41015|1|1</v>
          </cell>
        </row>
        <row r="2155">
          <cell r="A2155">
            <v>43161</v>
          </cell>
          <cell r="B2155">
            <v>0</v>
          </cell>
          <cell r="C2155" t="str">
            <v>1|14001|0,1|14107|0,1|11032|1,1|10010|0</v>
          </cell>
          <cell r="D2155" t="str">
            <v>主线副本 第55章 第9关道具奖励</v>
          </cell>
          <cell r="E2155" t="str">
            <v>3|43000|1|1,3|41095|1|1,3|41035|1|1</v>
          </cell>
        </row>
        <row r="2156">
          <cell r="A2156">
            <v>43162</v>
          </cell>
          <cell r="B2156">
            <v>0</v>
          </cell>
          <cell r="C2156" t="str">
            <v>1|14001|0,1|14107|0,1|11031|1,1|10112|0</v>
          </cell>
          <cell r="D2156" t="str">
            <v>主线副本 第55章 第10关道具奖励</v>
          </cell>
          <cell r="E2156" t="str">
            <v>3|43000|1|1,3|41094|1|1,3|41052|1|1</v>
          </cell>
        </row>
        <row r="2157">
          <cell r="A2157">
            <v>43163</v>
          </cell>
          <cell r="B2157">
            <v>0</v>
          </cell>
          <cell r="C2157" t="str">
            <v>1|14001|0,1|14107|0,1|10028|0</v>
          </cell>
          <cell r="D2157" t="str">
            <v>主线副本 第56章 第6关道具奖励</v>
          </cell>
          <cell r="E2157" t="str">
            <v>3|43000|1|1,3|41017|1|1</v>
          </cell>
        </row>
        <row r="2158">
          <cell r="A2158">
            <v>43164</v>
          </cell>
          <cell r="B2158">
            <v>0</v>
          </cell>
          <cell r="C2158" t="str">
            <v>1|14001|0,1|14107|0,1|11029|1,1|10006|0</v>
          </cell>
          <cell r="D2158" t="str">
            <v>主线副本 第56章 第9关道具奖励</v>
          </cell>
          <cell r="E2158" t="str">
            <v>3|43000|1|1,3|41092|1|1,3|41038|1|1</v>
          </cell>
        </row>
        <row r="2159">
          <cell r="A2159">
            <v>43165</v>
          </cell>
          <cell r="B2159">
            <v>0</v>
          </cell>
          <cell r="C2159" t="str">
            <v>1|14001|0,1|14107|0,1|11030|1,1|10114|0</v>
          </cell>
          <cell r="D2159" t="str">
            <v>主线副本 第56章 第10关道具奖励</v>
          </cell>
          <cell r="E2159" t="str">
            <v>3|43000|1|1,3|41093|1|1,3|41053|1|1</v>
          </cell>
        </row>
        <row r="2160">
          <cell r="A2160">
            <v>43166</v>
          </cell>
          <cell r="B2160">
            <v>0</v>
          </cell>
          <cell r="C2160" t="str">
            <v>1|14001|0,1|14107|0,1|10404|0</v>
          </cell>
          <cell r="D2160" t="str">
            <v>主线副本 第57章 第6关道具奖励</v>
          </cell>
          <cell r="E2160" t="str">
            <v>3|43000|1|1,3|41001|1|1</v>
          </cell>
        </row>
        <row r="2161">
          <cell r="A2161">
            <v>43167</v>
          </cell>
          <cell r="B2161">
            <v>0</v>
          </cell>
          <cell r="C2161" t="str">
            <v>1|14001|0,1|14107|0,1|11036|1,1|10102|0</v>
          </cell>
          <cell r="D2161" t="str">
            <v>主线副本 第57章 第9关道具奖励</v>
          </cell>
          <cell r="E2161" t="str">
            <v>3|43000|1|1,3|41099|1|1,3|41022|1|1</v>
          </cell>
        </row>
        <row r="2162">
          <cell r="A2162">
            <v>43168</v>
          </cell>
          <cell r="B2162">
            <v>0</v>
          </cell>
          <cell r="C2162" t="str">
            <v>1|14001|0,1|14107|0,1|11035|1,1|10011|0</v>
          </cell>
          <cell r="D2162" t="str">
            <v>主线副本 第57章 第10关道具奖励</v>
          </cell>
          <cell r="E2162" t="str">
            <v>3|43000|1|1,3|41098|1|1,3|41054|1|1</v>
          </cell>
        </row>
        <row r="2163">
          <cell r="A2163">
            <v>43169</v>
          </cell>
          <cell r="B2163">
            <v>0</v>
          </cell>
          <cell r="C2163" t="str">
            <v>1|14001|0,1|14107|0,1|10106|0</v>
          </cell>
          <cell r="D2163" t="str">
            <v>主线副本 第58章 第6关道具奖励</v>
          </cell>
          <cell r="E2163" t="str">
            <v>3|43000|1|1,3|41003|1|1</v>
          </cell>
        </row>
        <row r="2164">
          <cell r="A2164">
            <v>43170</v>
          </cell>
          <cell r="B2164">
            <v>0</v>
          </cell>
          <cell r="C2164" t="str">
            <v>1|14001|0,1|14107|0,1|11033|1,1|10023|0</v>
          </cell>
          <cell r="D2164" t="str">
            <v>主线副本 第58章 第9关道具奖励</v>
          </cell>
          <cell r="E2164" t="str">
            <v>3|43000|1|1,3|41096|1|1,3|41030|1|1</v>
          </cell>
        </row>
        <row r="2165">
          <cell r="A2165">
            <v>43171</v>
          </cell>
          <cell r="B2165">
            <v>0</v>
          </cell>
          <cell r="C2165" t="str">
            <v>1|14001|0,1|14107|0,1|11034|1,1|10003|0</v>
          </cell>
          <cell r="D2165" t="str">
            <v>主线副本 第58章 第10关道具奖励</v>
          </cell>
          <cell r="E2165" t="str">
            <v>3|43000|1|1,3|41097|1|1,3|41040|1|1</v>
          </cell>
        </row>
        <row r="2166">
          <cell r="A2166">
            <v>43172</v>
          </cell>
          <cell r="B2166">
            <v>0</v>
          </cell>
          <cell r="C2166" t="str">
            <v>1|14001|0,1|14107|0,1|10105|0</v>
          </cell>
          <cell r="D2166" t="str">
            <v>主线副本 第59章 第6关道具奖励</v>
          </cell>
          <cell r="E2166" t="str">
            <v>3|43000|1|1,3|41004|1|1</v>
          </cell>
        </row>
        <row r="2167">
          <cell r="A2167">
            <v>43173</v>
          </cell>
          <cell r="B2167">
            <v>0</v>
          </cell>
          <cell r="C2167" t="str">
            <v>1|14001|0,1|14107|0,1|11028|1,1|10017|0</v>
          </cell>
          <cell r="D2167" t="str">
            <v>主线副本 第59章 第9关道具奖励</v>
          </cell>
          <cell r="E2167" t="str">
            <v>3|43000|1|1,3|41091|1|1,3|41032|1|1</v>
          </cell>
        </row>
        <row r="2168">
          <cell r="A2168">
            <v>43174</v>
          </cell>
          <cell r="B2168">
            <v>0</v>
          </cell>
          <cell r="C2168" t="str">
            <v>1|14001|0,1|14107|0,1|11027|1,1|10119|0</v>
          </cell>
          <cell r="D2168" t="str">
            <v>主线副本 第59章 第10关道具奖励</v>
          </cell>
          <cell r="E2168" t="str">
            <v>3|43000|1|1,3|41090|1|1,3|41041|1|1</v>
          </cell>
        </row>
        <row r="2169">
          <cell r="A2169">
            <v>43175</v>
          </cell>
          <cell r="B2169">
            <v>0</v>
          </cell>
          <cell r="C2169" t="str">
            <v>1|14001|0,1|14107|0,1|10052|0</v>
          </cell>
          <cell r="D2169" t="str">
            <v>主线副本 第60章 第6关道具奖励</v>
          </cell>
          <cell r="E2169" t="str">
            <v>3|43000|1|1,3|41008|1|1</v>
          </cell>
        </row>
        <row r="2170">
          <cell r="A2170">
            <v>43176</v>
          </cell>
          <cell r="B2170">
            <v>0</v>
          </cell>
          <cell r="C2170" t="str">
            <v>1|14001|0,1|14107|0,1|11025|1,1|10014|0</v>
          </cell>
          <cell r="D2170" t="str">
            <v>主线副本 第60章 第9关道具奖励</v>
          </cell>
          <cell r="E2170" t="str">
            <v>3|43000|1|1,3|41088|1|1,3|41034|1|1</v>
          </cell>
        </row>
        <row r="2171">
          <cell r="A2171">
            <v>43177</v>
          </cell>
          <cell r="B2171">
            <v>0</v>
          </cell>
          <cell r="C2171" t="str">
            <v>1|14001|0,1|14107|0,1|11026|1,1|10015|0</v>
          </cell>
          <cell r="D2171" t="str">
            <v>主线副本 第60章 第10关道具奖励</v>
          </cell>
          <cell r="E2171" t="str">
            <v>3|43000|1|1,3|41089|1|1,3|41042|1|1</v>
          </cell>
        </row>
        <row r="2172">
          <cell r="A2172">
            <v>43178</v>
          </cell>
          <cell r="B2172">
            <v>0</v>
          </cell>
          <cell r="C2172" t="str">
            <v>1|14001|0,1|14107|0,1|10040|0</v>
          </cell>
          <cell r="D2172" t="str">
            <v>主线副本 第61章 第6关道具奖励</v>
          </cell>
          <cell r="E2172" t="str">
            <v>3|43000|1|1,3|41010|1|1</v>
          </cell>
        </row>
        <row r="2173">
          <cell r="A2173">
            <v>43179</v>
          </cell>
          <cell r="B2173">
            <v>0</v>
          </cell>
          <cell r="C2173" t="str">
            <v>1|14001|0,1|14107|0,1|11032|1,1|10025|0</v>
          </cell>
          <cell r="D2173" t="str">
            <v>主线副本 第61章 第9关道具奖励</v>
          </cell>
          <cell r="E2173" t="str">
            <v>3|43000|1|1,3|41095|1|1,3|41029|1|1</v>
          </cell>
        </row>
        <row r="2174">
          <cell r="A2174">
            <v>43180</v>
          </cell>
          <cell r="B2174">
            <v>0</v>
          </cell>
          <cell r="C2174" t="str">
            <v>1|14001|0,1|14107|0,1|11031|1,1|10115|0</v>
          </cell>
          <cell r="D2174" t="str">
            <v>主线副本 第61章 第10关道具奖励</v>
          </cell>
          <cell r="E2174" t="str">
            <v>3|43000|1|1,3|41094|1|1,3|41043|1|1</v>
          </cell>
        </row>
        <row r="2175">
          <cell r="A2175">
            <v>43181</v>
          </cell>
          <cell r="B2175">
            <v>0</v>
          </cell>
          <cell r="C2175" t="str">
            <v>1|14001|0,1|14107|0,1|10039|0</v>
          </cell>
          <cell r="D2175" t="str">
            <v>主线副本 第62章 第6关道具奖励</v>
          </cell>
          <cell r="E2175" t="str">
            <v>3|43000|1|1,3|41011|1|1</v>
          </cell>
        </row>
        <row r="2176">
          <cell r="A2176">
            <v>43182</v>
          </cell>
          <cell r="B2176">
            <v>0</v>
          </cell>
          <cell r="C2176" t="str">
            <v>1|14001|0,1|14107|0,1|11029|1,1|10007|0</v>
          </cell>
          <cell r="D2176" t="str">
            <v>主线副本 第62章 第9关道具奖励</v>
          </cell>
          <cell r="E2176" t="str">
            <v>3|43000|1|1,3|41092|1|1,3|41037|1|1</v>
          </cell>
        </row>
        <row r="2177">
          <cell r="A2177">
            <v>43183</v>
          </cell>
          <cell r="B2177">
            <v>0</v>
          </cell>
          <cell r="C2177" t="str">
            <v>1|14001|0,1|14107|0,1|11030|1,1|10012|0</v>
          </cell>
          <cell r="D2177" t="str">
            <v>主线副本 第62章 第10关道具奖励</v>
          </cell>
          <cell r="E2177" t="str">
            <v>3|43000|1|1,3|41093|1|1,3|41044|1|1</v>
          </cell>
        </row>
        <row r="2178">
          <cell r="A2178">
            <v>43184</v>
          </cell>
          <cell r="B2178">
            <v>0</v>
          </cell>
          <cell r="C2178" t="str">
            <v>1|14001|0,1|14107|0,1|10034|0</v>
          </cell>
          <cell r="D2178" t="str">
            <v>主线副本 第63章 第6关道具奖励</v>
          </cell>
          <cell r="E2178" t="str">
            <v>3|43000|1|1,3|41014|1|1</v>
          </cell>
        </row>
        <row r="2179">
          <cell r="A2179">
            <v>43185</v>
          </cell>
          <cell r="B2179">
            <v>0</v>
          </cell>
          <cell r="C2179" t="str">
            <v>1|14001|0,1|14107|0,1|11036|1,1|10032|0</v>
          </cell>
          <cell r="D2179" t="str">
            <v>主线副本 第63章 第9关道具奖励</v>
          </cell>
          <cell r="E2179" t="str">
            <v>3|43000|1|1,3|41099|1|1,3|41026|1|1</v>
          </cell>
        </row>
        <row r="2180">
          <cell r="A2180">
            <v>43186</v>
          </cell>
          <cell r="B2180">
            <v>0</v>
          </cell>
          <cell r="C2180" t="str">
            <v>1|14001|0,1|14107|0,1|11035|1,1|10113|0</v>
          </cell>
          <cell r="D2180" t="str">
            <v>主线副本 第63章 第10关道具奖励</v>
          </cell>
          <cell r="E2180" t="str">
            <v>3|43000|1|1,3|41098|1|1,3|41045|1|1</v>
          </cell>
        </row>
        <row r="2181">
          <cell r="A2181">
            <v>43187</v>
          </cell>
          <cell r="B2181">
            <v>0</v>
          </cell>
          <cell r="C2181" t="str">
            <v>1|14001|0,1|14107|0,1|10030|0</v>
          </cell>
          <cell r="D2181" t="str">
            <v>主线副本 第64章 第6关道具奖励</v>
          </cell>
          <cell r="E2181" t="str">
            <v>3|43000|1|1,3|41016|1|1</v>
          </cell>
        </row>
        <row r="2182">
          <cell r="A2182">
            <v>43188</v>
          </cell>
          <cell r="B2182">
            <v>0</v>
          </cell>
          <cell r="C2182" t="str">
            <v>1|14001|0,1|14107|0,1|11033|1,1|10035|0</v>
          </cell>
          <cell r="D2182" t="str">
            <v>主线副本 第64章 第9关道具奖励</v>
          </cell>
          <cell r="E2182" t="str">
            <v>3|43000|1|1,3|41096|1|1,3|41025|1|1</v>
          </cell>
        </row>
        <row r="2183">
          <cell r="A2183">
            <v>43189</v>
          </cell>
          <cell r="B2183">
            <v>0</v>
          </cell>
          <cell r="C2183" t="str">
            <v>1|14001|0,1|14107|0,1|11034|1,1|10020|0</v>
          </cell>
          <cell r="D2183" t="str">
            <v>主线副本 第64章 第10关道具奖励</v>
          </cell>
          <cell r="E2183" t="str">
            <v>3|43000|1|1,3|41097|1|1,3|41046|1|1</v>
          </cell>
        </row>
        <row r="2184">
          <cell r="A2184">
            <v>43190</v>
          </cell>
          <cell r="B2184">
            <v>0</v>
          </cell>
          <cell r="C2184" t="str">
            <v>1|14001|0,1|14107|0,1|10018|0</v>
          </cell>
          <cell r="D2184" t="str">
            <v>主线副本 第65章 第6关道具奖励</v>
          </cell>
          <cell r="E2184" t="str">
            <v>3|43000|1|1,3|41018|1|1</v>
          </cell>
        </row>
        <row r="2185">
          <cell r="A2185">
            <v>43191</v>
          </cell>
          <cell r="B2185">
            <v>0</v>
          </cell>
          <cell r="C2185" t="str">
            <v>1|14001|0,1|14107|0,1|11028|1,1|10037|0</v>
          </cell>
          <cell r="D2185" t="str">
            <v>主线副本 第65章 第9关道具奖励</v>
          </cell>
          <cell r="E2185" t="str">
            <v>3|43000|1|1,3|41091|1|1,3|41024|1|1</v>
          </cell>
        </row>
        <row r="2186">
          <cell r="A2186">
            <v>43192</v>
          </cell>
          <cell r="B2186">
            <v>0</v>
          </cell>
          <cell r="C2186" t="str">
            <v>1|14001|0,1|14107|0,1|11027|1,1|10013|0</v>
          </cell>
          <cell r="D2186" t="str">
            <v>主线副本 第65章 第10关道具奖励</v>
          </cell>
          <cell r="E2186" t="str">
            <v>3|43000|1|1,3|41090|1|1,3|41047|1|1</v>
          </cell>
        </row>
        <row r="2187">
          <cell r="A2187">
            <v>43193</v>
          </cell>
          <cell r="B2187">
            <v>0</v>
          </cell>
          <cell r="C2187" t="str">
            <v>1|14001|0,1|14107|0,1|10126|0</v>
          </cell>
          <cell r="D2187" t="str">
            <v>主线副本 第66章 第6关道具奖励</v>
          </cell>
          <cell r="E2187" t="str">
            <v>3|43000|1|1,3|41002|1|1</v>
          </cell>
        </row>
        <row r="2188">
          <cell r="A2188">
            <v>43194</v>
          </cell>
          <cell r="B2188">
            <v>0</v>
          </cell>
          <cell r="C2188" t="str">
            <v>1|14001|0,1|14107|0,1|11025|1,1|10016|0</v>
          </cell>
          <cell r="D2188" t="str">
            <v>主线副本 第66章 第9关道具奖励</v>
          </cell>
          <cell r="E2188" t="str">
            <v>3|43000|1|1,3|41088|1|1,3|41033|1|1</v>
          </cell>
        </row>
        <row r="2189">
          <cell r="A2189">
            <v>43195</v>
          </cell>
          <cell r="B2189">
            <v>0</v>
          </cell>
          <cell r="C2189" t="str">
            <v>1|14001|0,1|14107|0,1|11026|1,1|10008|0</v>
          </cell>
          <cell r="D2189" t="str">
            <v>主线副本 第66章 第10关道具奖励</v>
          </cell>
          <cell r="E2189" t="str">
            <v>3|43000|1|1,3|41089|1|1,3|41048|1|1</v>
          </cell>
        </row>
        <row r="2190">
          <cell r="A2190">
            <v>43196</v>
          </cell>
          <cell r="B2190">
            <v>0</v>
          </cell>
          <cell r="C2190" t="str">
            <v>1|14001|0,1|14107|0,1|10104|0</v>
          </cell>
          <cell r="D2190" t="str">
            <v>主线副本 第67章 第6关道具奖励</v>
          </cell>
          <cell r="E2190" t="str">
            <v>3|43000|1|1,3|41005|1|1</v>
          </cell>
        </row>
        <row r="2191">
          <cell r="A2191">
            <v>43197</v>
          </cell>
          <cell r="B2191">
            <v>0</v>
          </cell>
          <cell r="C2191" t="str">
            <v>1|14001|0,1|14107|0,1|11032|1,1|10004|0</v>
          </cell>
          <cell r="D2191" t="str">
            <v>主线副本 第67章 第9关道具奖励</v>
          </cell>
          <cell r="E2191" t="str">
            <v>3|43000|1|1,3|41095|1|1,3|41039|1|1</v>
          </cell>
        </row>
        <row r="2192">
          <cell r="A2192">
            <v>43198</v>
          </cell>
          <cell r="B2192">
            <v>0</v>
          </cell>
          <cell r="C2192" t="str">
            <v>1|14001|0,1|14107|0,1|11031|1,1|10027|0</v>
          </cell>
          <cell r="D2192" t="str">
            <v>主线副本 第67章 第10关道具奖励</v>
          </cell>
          <cell r="E2192" t="str">
            <v>3|43000|1|1,3|41094|1|1,3|41049|1|1</v>
          </cell>
        </row>
        <row r="2193">
          <cell r="A2193">
            <v>43199</v>
          </cell>
          <cell r="B2193">
            <v>0</v>
          </cell>
          <cell r="C2193" t="str">
            <v>1|14001|0,1|14107|0,1|10103|0</v>
          </cell>
          <cell r="D2193" t="str">
            <v>主线副本 第68章 第6关道具奖励</v>
          </cell>
          <cell r="E2193" t="str">
            <v>3|43000|1|1,3|41006|1|1</v>
          </cell>
        </row>
        <row r="2194">
          <cell r="A2194">
            <v>43200</v>
          </cell>
          <cell r="B2194">
            <v>0</v>
          </cell>
          <cell r="C2194" t="str">
            <v>1|14001|0,1|14107|0,1|11029|1,1|10116|0</v>
          </cell>
          <cell r="D2194" t="str">
            <v>主线副本 第68章 第9关道具奖励</v>
          </cell>
          <cell r="E2194" t="str">
            <v>3|43000|1|1,3|41092|1|1,3|41019|1|1</v>
          </cell>
        </row>
        <row r="2195">
          <cell r="A2195">
            <v>43201</v>
          </cell>
          <cell r="B2195">
            <v>0</v>
          </cell>
          <cell r="C2195" t="str">
            <v>1|14001|0,1|14107|0,1|11030|1,1|10118|0</v>
          </cell>
          <cell r="D2195" t="str">
            <v>主线副本 第68章 第10关道具奖励</v>
          </cell>
          <cell r="E2195" t="str">
            <v>3|43000|1|1,3|41093|1|1,3|41050|1|1</v>
          </cell>
        </row>
        <row r="2196">
          <cell r="A2196">
            <v>43202</v>
          </cell>
          <cell r="B2196">
            <v>0</v>
          </cell>
          <cell r="C2196" t="str">
            <v>1|14001|0,1|14107|0,1|10092|0</v>
          </cell>
          <cell r="D2196" t="str">
            <v>主线副本 第69章 第6关道具奖励</v>
          </cell>
          <cell r="E2196" t="str">
            <v>3|43000|1|1,3|41007|1|1</v>
          </cell>
        </row>
        <row r="2197">
          <cell r="A2197">
            <v>43203</v>
          </cell>
          <cell r="B2197">
            <v>0</v>
          </cell>
          <cell r="C2197" t="str">
            <v>1|14001|0,1|14107|0,1|11036|1,1|10026|0</v>
          </cell>
          <cell r="D2197" t="str">
            <v>主线副本 第69章 第9关道具奖励</v>
          </cell>
          <cell r="E2197" t="str">
            <v>3|43000|1|1,3|41099|1|1,3|41028|1|1</v>
          </cell>
        </row>
        <row r="2198">
          <cell r="A2198">
            <v>43204</v>
          </cell>
          <cell r="B2198">
            <v>0</v>
          </cell>
          <cell r="C2198" t="str">
            <v>1|14001|0,1|14107|0,1|11035|1,1|10002|0</v>
          </cell>
          <cell r="D2198" t="str">
            <v>主线副本 第69章 第10关道具奖励</v>
          </cell>
          <cell r="E2198" t="str">
            <v>3|43000|1|1,3|41098|1|1,3|41051|1|1</v>
          </cell>
        </row>
        <row r="2199">
          <cell r="A2199">
            <v>43205</v>
          </cell>
          <cell r="B2199">
            <v>0</v>
          </cell>
          <cell r="C2199" t="str">
            <v>1|14001|0,1|14107|0,1|10041|0</v>
          </cell>
          <cell r="D2199" t="str">
            <v>主线副本 第70章 第6关道具奖励</v>
          </cell>
          <cell r="E2199" t="str">
            <v>3|43000|1|1,3|41009|1|1</v>
          </cell>
        </row>
        <row r="2200">
          <cell r="A2200">
            <v>43206</v>
          </cell>
          <cell r="B2200">
            <v>0</v>
          </cell>
          <cell r="C2200" t="str">
            <v>1|14001|0,1|14107|0,1|11033|1,1|10031|0</v>
          </cell>
          <cell r="D2200" t="str">
            <v>主线副本 第70章 第9关道具奖励</v>
          </cell>
          <cell r="E2200" t="str">
            <v>3|43000|1|1,3|41096|1|1,3|41027|1|1</v>
          </cell>
        </row>
        <row r="2201">
          <cell r="A2201">
            <v>43207</v>
          </cell>
          <cell r="B2201">
            <v>0</v>
          </cell>
          <cell r="C2201" t="str">
            <v>1|14001|0,1|14107|0,1|11034|1,1|10112|0</v>
          </cell>
          <cell r="D2201" t="str">
            <v>主线副本 第70章 第10关道具奖励</v>
          </cell>
          <cell r="E2201" t="str">
            <v>3|43000|1|1,3|41097|1|1,3|41052|1|1</v>
          </cell>
        </row>
        <row r="2202">
          <cell r="A2202">
            <v>43208</v>
          </cell>
          <cell r="B2202">
            <v>0</v>
          </cell>
          <cell r="C2202" t="str">
            <v>1|14001|0,1|14107|0,1|10038|0</v>
          </cell>
          <cell r="D2202" t="str">
            <v>主线副本 第71章 第6关道具奖励</v>
          </cell>
          <cell r="E2202" t="str">
            <v>3|43000|1|1,3|41012|1|1</v>
          </cell>
        </row>
        <row r="2203">
          <cell r="A2203">
            <v>43209</v>
          </cell>
          <cell r="B2203">
            <v>0</v>
          </cell>
          <cell r="C2203" t="str">
            <v>1|14001|0,1|14107|0,1|11028|1,1|10101|0</v>
          </cell>
          <cell r="D2203" t="str">
            <v>主线副本 第71章 第9关道具奖励</v>
          </cell>
          <cell r="E2203" t="str">
            <v>3|43000|1|1,3|41091|1|1,3|41023|1|1</v>
          </cell>
        </row>
        <row r="2204">
          <cell r="A2204">
            <v>43210</v>
          </cell>
          <cell r="B2204">
            <v>0</v>
          </cell>
          <cell r="C2204" t="str">
            <v>1|14001|0,1|14107|0,1|11027|1,1|10114|0</v>
          </cell>
          <cell r="D2204" t="str">
            <v>主线副本 第71章 第10关道具奖励</v>
          </cell>
          <cell r="E2204" t="str">
            <v>3|43000|1|1,3|41090|1|1,3|41053|1|1</v>
          </cell>
        </row>
        <row r="2205">
          <cell r="A2205">
            <v>43211</v>
          </cell>
          <cell r="B2205">
            <v>0</v>
          </cell>
          <cell r="C2205" t="str">
            <v>1|14001|0,1|14107|0,1|10036|0</v>
          </cell>
          <cell r="D2205" t="str">
            <v>主线副本 第72章 第6关道具奖励</v>
          </cell>
          <cell r="E2205" t="str">
            <v>3|43000|1|1,3|41013|1|1</v>
          </cell>
        </row>
        <row r="2206">
          <cell r="A2206">
            <v>43212</v>
          </cell>
          <cell r="B2206">
            <v>0</v>
          </cell>
          <cell r="C2206" t="str">
            <v>1|14001|0,1|14107|0,1|11025|1,1|10108|0</v>
          </cell>
          <cell r="D2206" t="str">
            <v>主线副本 第72章 第9关道具奖励</v>
          </cell>
          <cell r="E2206" t="str">
            <v>3|43000|1|1,3|41088|1|1,3|41020|1|1</v>
          </cell>
        </row>
        <row r="2207">
          <cell r="A2207">
            <v>43213</v>
          </cell>
          <cell r="B2207">
            <v>0</v>
          </cell>
          <cell r="C2207" t="str">
            <v>1|14001|0,1|14107|0,1|11026|1,1|10011|0</v>
          </cell>
          <cell r="D2207" t="str">
            <v>主线副本 第72章 第10关道具奖励</v>
          </cell>
          <cell r="E2207" t="str">
            <v>3|43000|1|1,3|41089|1|1,3|41054|1|1</v>
          </cell>
        </row>
        <row r="2208">
          <cell r="A2208">
            <v>43214</v>
          </cell>
          <cell r="B2208">
            <v>0</v>
          </cell>
          <cell r="C2208" t="str">
            <v>1|14001|0,1|14107|0,1|10033|0</v>
          </cell>
          <cell r="D2208" t="str">
            <v>主线副本 第73章 第6关道具奖励</v>
          </cell>
          <cell r="E2208" t="str">
            <v>3|43000|1|1,3|41015|1|1</v>
          </cell>
        </row>
        <row r="2209">
          <cell r="A2209">
            <v>43215</v>
          </cell>
          <cell r="B2209">
            <v>0</v>
          </cell>
          <cell r="C2209" t="str">
            <v>1|14001|0,1|14107|0,1|11032|1,1|10022|0</v>
          </cell>
          <cell r="D2209" t="str">
            <v>主线副本 第73章 第9关道具奖励</v>
          </cell>
          <cell r="E2209" t="str">
            <v>3|43000|1|1,3|41095|1|1,3|41031|1|1</v>
          </cell>
        </row>
        <row r="2210">
          <cell r="A2210">
            <v>43216</v>
          </cell>
          <cell r="B2210">
            <v>0</v>
          </cell>
          <cell r="C2210" t="str">
            <v>1|14001|0,1|14107|0,1|11031|1,1|10003|0</v>
          </cell>
          <cell r="D2210" t="str">
            <v>主线副本 第73章 第10关道具奖励</v>
          </cell>
          <cell r="E2210" t="str">
            <v>3|43000|1|1,3|41094|1|1,3|41040|1|1</v>
          </cell>
        </row>
        <row r="2211">
          <cell r="A2211">
            <v>43217</v>
          </cell>
          <cell r="B2211">
            <v>0</v>
          </cell>
          <cell r="C2211" t="str">
            <v>1|14001|0,1|14107|0,1|10028|0</v>
          </cell>
          <cell r="D2211" t="str">
            <v>主线副本 第74章 第6关道具奖励</v>
          </cell>
          <cell r="E2211" t="str">
            <v>3|43000|1|1,3|41017|1|1</v>
          </cell>
        </row>
        <row r="2212">
          <cell r="A2212">
            <v>43218</v>
          </cell>
          <cell r="B2212">
            <v>0</v>
          </cell>
          <cell r="C2212" t="str">
            <v>1|14001|0,1|14107|0,1|11029|1,1|10107|0</v>
          </cell>
          <cell r="D2212" t="str">
            <v>主线副本 第74章 第9关道具奖励</v>
          </cell>
          <cell r="E2212" t="str">
            <v>3|43000|1|1,3|41092|1|1,3|41021|1|1</v>
          </cell>
        </row>
        <row r="2213">
          <cell r="A2213">
            <v>43219</v>
          </cell>
          <cell r="B2213">
            <v>0</v>
          </cell>
          <cell r="C2213" t="str">
            <v>1|14001|0,1|14107|0,1|11030|1,1|10119|0</v>
          </cell>
          <cell r="D2213" t="str">
            <v>主线副本 第74章 第10关道具奖励</v>
          </cell>
          <cell r="E2213" t="str">
            <v>3|43000|1|1,3|41093|1|1,3|41041|1|1</v>
          </cell>
        </row>
        <row r="2214">
          <cell r="A2214">
            <v>43220</v>
          </cell>
          <cell r="B2214">
            <v>0</v>
          </cell>
          <cell r="C2214" t="str">
            <v>1|14001|0,1|14107|0,1|10404|0</v>
          </cell>
          <cell r="D2214" t="str">
            <v>主线副本 第75章 第6关道具奖励</v>
          </cell>
          <cell r="E2214" t="str">
            <v>3|43000|1|1,3|41001|1|1</v>
          </cell>
        </row>
        <row r="2215">
          <cell r="A2215">
            <v>43221</v>
          </cell>
          <cell r="B2215">
            <v>0</v>
          </cell>
          <cell r="C2215" t="str">
            <v>1|14001|0,1|14107|0,1|11036|1,1|10009|0</v>
          </cell>
          <cell r="D2215" t="str">
            <v>主线副本 第75章 第9关道具奖励</v>
          </cell>
          <cell r="E2215" t="str">
            <v>3|43000|1|1,3|41099|1|1,3|41036|1|1</v>
          </cell>
        </row>
        <row r="2216">
          <cell r="A2216">
            <v>43222</v>
          </cell>
          <cell r="B2216">
            <v>0</v>
          </cell>
          <cell r="C2216" t="str">
            <v>1|14001|0,1|14107|0,1|11035|1,1|10015|0</v>
          </cell>
          <cell r="D2216" t="str">
            <v>主线副本 第75章 第10关道具奖励</v>
          </cell>
          <cell r="E2216" t="str">
            <v>3|43000|1|1,3|41098|1|1,3|41042|1|1</v>
          </cell>
        </row>
        <row r="2217">
          <cell r="A2217">
            <v>43223</v>
          </cell>
          <cell r="B2217">
            <v>0</v>
          </cell>
          <cell r="C2217" t="str">
            <v>1|14001|0,1|14107|0,1|10106|0</v>
          </cell>
          <cell r="D2217" t="str">
            <v>主线副本 第76章 第6关道具奖励</v>
          </cell>
          <cell r="E2217" t="str">
            <v>3|43000|1|1,3|41003|1|1</v>
          </cell>
        </row>
        <row r="2218">
          <cell r="A2218">
            <v>43224</v>
          </cell>
          <cell r="B2218">
            <v>0</v>
          </cell>
          <cell r="C2218" t="str">
            <v>1|14001|0,1|14107|0,1|11033|1,1|10010|0</v>
          </cell>
          <cell r="D2218" t="str">
            <v>主线副本 第76章 第9关道具奖励</v>
          </cell>
          <cell r="E2218" t="str">
            <v>3|43000|1|1,3|41096|1|1,3|41035|1|1</v>
          </cell>
        </row>
        <row r="2219">
          <cell r="A2219">
            <v>43225</v>
          </cell>
          <cell r="B2219">
            <v>0</v>
          </cell>
          <cell r="C2219" t="str">
            <v>1|14001|0,1|14107|0,1|11034|1,1|10115|0</v>
          </cell>
          <cell r="D2219" t="str">
            <v>主线副本 第76章 第10关道具奖励</v>
          </cell>
          <cell r="E2219" t="str">
            <v>3|43000|1|1,3|41097|1|1,3|41043|1|1</v>
          </cell>
        </row>
        <row r="2220">
          <cell r="A2220">
            <v>43226</v>
          </cell>
          <cell r="B2220">
            <v>0</v>
          </cell>
          <cell r="C2220" t="str">
            <v>1|14001|0,1|14107|0,1|10105|0</v>
          </cell>
          <cell r="D2220" t="str">
            <v>主线副本 第77章 第6关道具奖励</v>
          </cell>
          <cell r="E2220" t="str">
            <v>3|43000|1|1,3|41004|1|1</v>
          </cell>
        </row>
        <row r="2221">
          <cell r="A2221">
            <v>43227</v>
          </cell>
          <cell r="B2221">
            <v>0</v>
          </cell>
          <cell r="C2221" t="str">
            <v>1|14001|0,1|14107|0,1|11028|1,1|10006|0</v>
          </cell>
          <cell r="D2221" t="str">
            <v>主线副本 第77章 第9关道具奖励</v>
          </cell>
          <cell r="E2221" t="str">
            <v>3|43000|1|1,3|41091|1|1,3|41038|1|1</v>
          </cell>
        </row>
        <row r="2222">
          <cell r="A2222">
            <v>43228</v>
          </cell>
          <cell r="B2222">
            <v>0</v>
          </cell>
          <cell r="C2222" t="str">
            <v>1|14001|0,1|14107|0,1|11027|1,1|10012|0</v>
          </cell>
          <cell r="D2222" t="str">
            <v>主线副本 第77章 第10关道具奖励</v>
          </cell>
          <cell r="E2222" t="str">
            <v>3|43000|1|1,3|41090|1|1,3|41044|1|1</v>
          </cell>
        </row>
        <row r="2223">
          <cell r="A2223">
            <v>43229</v>
          </cell>
          <cell r="B2223">
            <v>0</v>
          </cell>
          <cell r="C2223" t="str">
            <v>1|14001|0,1|14107|0,1|10052|0</v>
          </cell>
          <cell r="D2223" t="str">
            <v>主线副本 第78章 第6关道具奖励</v>
          </cell>
          <cell r="E2223" t="str">
            <v>3|43000|1|1,3|41008|1|1</v>
          </cell>
        </row>
        <row r="2224">
          <cell r="A2224">
            <v>43230</v>
          </cell>
          <cell r="B2224">
            <v>0</v>
          </cell>
          <cell r="C2224" t="str">
            <v>1|14001|0,1|14107|0,1|11025|1,1|10102|0</v>
          </cell>
          <cell r="D2224" t="str">
            <v>主线副本 第78章 第9关道具奖励</v>
          </cell>
          <cell r="E2224" t="str">
            <v>3|43000|1|1,3|41088|1|1,3|41022|1|1</v>
          </cell>
        </row>
        <row r="2225">
          <cell r="A2225">
            <v>43231</v>
          </cell>
          <cell r="B2225">
            <v>0</v>
          </cell>
          <cell r="C2225" t="str">
            <v>1|14001|0,1|14107|0,1|11026|1,1|10113|0</v>
          </cell>
          <cell r="D2225" t="str">
            <v>主线副本 第78章 第10关道具奖励</v>
          </cell>
          <cell r="E2225" t="str">
            <v>3|43000|1|1,3|41089|1|1,3|41045|1|1</v>
          </cell>
        </row>
        <row r="2226">
          <cell r="A2226">
            <v>43232</v>
          </cell>
          <cell r="B2226">
            <v>0</v>
          </cell>
          <cell r="C2226" t="str">
            <v>1|14001|0,1|14107|0,1|10040|0</v>
          </cell>
          <cell r="D2226" t="str">
            <v>主线副本 第79章 第6关道具奖励</v>
          </cell>
          <cell r="E2226" t="str">
            <v>3|43000|1|1,3|41010|1|1</v>
          </cell>
        </row>
        <row r="2227">
          <cell r="A2227">
            <v>43233</v>
          </cell>
          <cell r="B2227">
            <v>0</v>
          </cell>
          <cell r="C2227" t="str">
            <v>1|14001|0,1|14107|0,1|11032|1,1|10023|0</v>
          </cell>
          <cell r="D2227" t="str">
            <v>主线副本 第79章 第9关道具奖励</v>
          </cell>
          <cell r="E2227" t="str">
            <v>3|43000|1|1,3|41095|1|1,3|41030|1|1</v>
          </cell>
        </row>
        <row r="2228">
          <cell r="A2228">
            <v>43234</v>
          </cell>
          <cell r="B2228">
            <v>0</v>
          </cell>
          <cell r="C2228" t="str">
            <v>1|14001|0,1|14107|0,1|11031|1,1|10020|0</v>
          </cell>
          <cell r="D2228" t="str">
            <v>主线副本 第79章 第10关道具奖励</v>
          </cell>
          <cell r="E2228" t="str">
            <v>3|43000|1|1,3|41094|1|1,3|41046|1|1</v>
          </cell>
        </row>
        <row r="2229">
          <cell r="A2229">
            <v>43235</v>
          </cell>
          <cell r="B2229">
            <v>0</v>
          </cell>
          <cell r="C2229" t="str">
            <v>1|14001|0,1|14107|0,1|10039|0</v>
          </cell>
          <cell r="D2229" t="str">
            <v>主线副本 第80章 第6关道具奖励</v>
          </cell>
          <cell r="E2229" t="str">
            <v>3|43000|1|1,3|41011|1|1</v>
          </cell>
        </row>
        <row r="2230">
          <cell r="A2230">
            <v>43236</v>
          </cell>
          <cell r="B2230">
            <v>0</v>
          </cell>
          <cell r="C2230" t="str">
            <v>1|14001|0,1|14107|0,1|11029|1,1|10017|0</v>
          </cell>
          <cell r="D2230" t="str">
            <v>主线副本 第80章 第9关道具奖励</v>
          </cell>
          <cell r="E2230" t="str">
            <v>3|43000|1|1,3|41092|1|1,3|41032|1|1</v>
          </cell>
        </row>
        <row r="2231">
          <cell r="A2231">
            <v>43237</v>
          </cell>
          <cell r="B2231">
            <v>0</v>
          </cell>
          <cell r="C2231" t="str">
            <v>1|14001|0,1|14107|0,1|11030|1,1|10013|0</v>
          </cell>
          <cell r="D2231" t="str">
            <v>主线副本 第80章 第10关道具奖励</v>
          </cell>
          <cell r="E2231" t="str">
            <v>3|43000|1|1,3|41093|1|1,3|41047|1|1</v>
          </cell>
        </row>
        <row r="2232">
          <cell r="A2232">
            <v>43238</v>
          </cell>
          <cell r="B2232">
            <v>0</v>
          </cell>
          <cell r="C2232" t="str">
            <v>1|14001|0,1|14107|0,1|10034|0</v>
          </cell>
          <cell r="D2232" t="str">
            <v>主线副本 第81章 第6关道具奖励</v>
          </cell>
          <cell r="E2232" t="str">
            <v>3|43000|1|1,3|41014|1|1</v>
          </cell>
        </row>
        <row r="2233">
          <cell r="A2233">
            <v>43239</v>
          </cell>
          <cell r="B2233">
            <v>0</v>
          </cell>
          <cell r="C2233" t="str">
            <v>1|14001|0,1|14107|0,1|11036|1,1|10014|0</v>
          </cell>
          <cell r="D2233" t="str">
            <v>主线副本 第81章 第9关道具奖励</v>
          </cell>
          <cell r="E2233" t="str">
            <v>3|43000|1|1,3|41099|1|1,3|41034|1|1</v>
          </cell>
        </row>
        <row r="2234">
          <cell r="A2234">
            <v>43240</v>
          </cell>
          <cell r="B2234">
            <v>0</v>
          </cell>
          <cell r="C2234" t="str">
            <v>1|14001|0,1|14107|0,1|11035|1,1|10008|0</v>
          </cell>
          <cell r="D2234" t="str">
            <v>主线副本 第81章 第10关道具奖励</v>
          </cell>
          <cell r="E2234" t="str">
            <v>3|43000|1|1,3|41098|1|1,3|41048|1|1</v>
          </cell>
        </row>
        <row r="2235">
          <cell r="A2235">
            <v>43241</v>
          </cell>
          <cell r="B2235">
            <v>0</v>
          </cell>
          <cell r="C2235" t="str">
            <v>1|14001|0,1|14107|0,1|10030|0</v>
          </cell>
          <cell r="D2235" t="str">
            <v>主线副本 第82章 第6关道具奖励</v>
          </cell>
          <cell r="E2235" t="str">
            <v>3|43000|1|1,3|41016|1|1</v>
          </cell>
        </row>
        <row r="2236">
          <cell r="A2236">
            <v>43242</v>
          </cell>
          <cell r="B2236">
            <v>0</v>
          </cell>
          <cell r="C2236" t="str">
            <v>1|14001|0,1|14107|0,1|11033|1,1|10025|0</v>
          </cell>
          <cell r="D2236" t="str">
            <v>主线副本 第82章 第9关道具奖励</v>
          </cell>
          <cell r="E2236" t="str">
            <v>3|43000|1|1,3|41096|1|1,3|41029|1|1</v>
          </cell>
        </row>
        <row r="2237">
          <cell r="A2237">
            <v>43243</v>
          </cell>
          <cell r="B2237">
            <v>0</v>
          </cell>
          <cell r="C2237" t="str">
            <v>1|14001|0,1|14107|0,1|11034|1,1|10027|0</v>
          </cell>
          <cell r="D2237" t="str">
            <v>主线副本 第82章 第10关道具奖励</v>
          </cell>
          <cell r="E2237" t="str">
            <v>3|43000|1|1,3|41097|1|1,3|41049|1|1</v>
          </cell>
        </row>
        <row r="2238">
          <cell r="A2238">
            <v>43244</v>
          </cell>
          <cell r="B2238">
            <v>0</v>
          </cell>
          <cell r="C2238" t="str">
            <v>1|14001|0,1|14107|0,1|10018|0</v>
          </cell>
          <cell r="D2238" t="str">
            <v>主线副本 第83章 第6关道具奖励</v>
          </cell>
          <cell r="E2238" t="str">
            <v>3|43000|1|1,3|41018|1|1</v>
          </cell>
        </row>
        <row r="2239">
          <cell r="A2239">
            <v>43245</v>
          </cell>
          <cell r="B2239">
            <v>0</v>
          </cell>
          <cell r="C2239" t="str">
            <v>1|14001|0,1|14107|0,1|11028|1,1|10007|0</v>
          </cell>
          <cell r="D2239" t="str">
            <v>主线副本 第83章 第9关道具奖励</v>
          </cell>
          <cell r="E2239" t="str">
            <v>3|43000|1|1,3|41091|1|1,3|41037|1|1</v>
          </cell>
        </row>
        <row r="2240">
          <cell r="A2240">
            <v>43246</v>
          </cell>
          <cell r="B2240">
            <v>0</v>
          </cell>
          <cell r="C2240" t="str">
            <v>1|14001|0,1|14107|0,1|11027|1,1|10118|0</v>
          </cell>
          <cell r="D2240" t="str">
            <v>主线副本 第83章 第10关道具奖励</v>
          </cell>
          <cell r="E2240" t="str">
            <v>3|43000|1|1,3|41090|1|1,3|41050|1|1</v>
          </cell>
        </row>
        <row r="2241">
          <cell r="A2241">
            <v>43247</v>
          </cell>
          <cell r="B2241">
            <v>0</v>
          </cell>
          <cell r="C2241" t="str">
            <v>1|14001|0,1|14107|0,1|10126|0</v>
          </cell>
          <cell r="D2241" t="str">
            <v>主线副本 第84章 第6关道具奖励</v>
          </cell>
          <cell r="E2241" t="str">
            <v>3|43000|1|1,3|41002|1|1</v>
          </cell>
        </row>
        <row r="2242">
          <cell r="A2242">
            <v>43248</v>
          </cell>
          <cell r="B2242">
            <v>0</v>
          </cell>
          <cell r="C2242" t="str">
            <v>1|14001|0,1|14107|0,1|11025|1,1|10032|0</v>
          </cell>
          <cell r="D2242" t="str">
            <v>主线副本 第84章 第9关道具奖励</v>
          </cell>
          <cell r="E2242" t="str">
            <v>3|43000|1|1,3|41088|1|1,3|41026|1|1</v>
          </cell>
        </row>
        <row r="2243">
          <cell r="A2243">
            <v>43249</v>
          </cell>
          <cell r="B2243">
            <v>0</v>
          </cell>
          <cell r="C2243" t="str">
            <v>1|14001|0,1|14107|0,1|11026|1,1|10002|0</v>
          </cell>
          <cell r="D2243" t="str">
            <v>主线副本 第84章 第10关道具奖励</v>
          </cell>
          <cell r="E2243" t="str">
            <v>3|43000|1|1,3|41089|1|1,3|41051|1|1</v>
          </cell>
        </row>
        <row r="2244">
          <cell r="A2244">
            <v>43250</v>
          </cell>
          <cell r="B2244">
            <v>0</v>
          </cell>
          <cell r="C2244" t="str">
            <v>1|14001|0,1|14107|0,1|10104|0</v>
          </cell>
          <cell r="D2244" t="str">
            <v>主线副本 第85章 第6关道具奖励</v>
          </cell>
          <cell r="E2244" t="str">
            <v>3|43000|1|1,3|41005|1|1</v>
          </cell>
        </row>
        <row r="2245">
          <cell r="A2245">
            <v>43251</v>
          </cell>
          <cell r="B2245">
            <v>0</v>
          </cell>
          <cell r="C2245" t="str">
            <v>1|14001|0,1|14107|0,1|11032|1,1|10035|0</v>
          </cell>
          <cell r="D2245" t="str">
            <v>主线副本 第85章 第9关道具奖励</v>
          </cell>
          <cell r="E2245" t="str">
            <v>3|43000|1|1,3|41095|1|1,3|41025|1|1</v>
          </cell>
        </row>
        <row r="2246">
          <cell r="A2246">
            <v>43252</v>
          </cell>
          <cell r="B2246">
            <v>0</v>
          </cell>
          <cell r="C2246" t="str">
            <v>1|14001|0,1|14107|0,1|11031|1,1|10112|0</v>
          </cell>
          <cell r="D2246" t="str">
            <v>主线副本 第85章 第10关道具奖励</v>
          </cell>
          <cell r="E2246" t="str">
            <v>3|43000|1|1,3|41094|1|1,3|41052|1|1</v>
          </cell>
        </row>
        <row r="2247">
          <cell r="A2247">
            <v>43253</v>
          </cell>
          <cell r="B2247">
            <v>0</v>
          </cell>
          <cell r="C2247" t="str">
            <v>1|14001|0,1|14107|0,1|10103|0</v>
          </cell>
          <cell r="D2247" t="str">
            <v>主线副本 第86章 第6关道具奖励</v>
          </cell>
          <cell r="E2247" t="str">
            <v>3|43000|1|1,3|41006|1|1</v>
          </cell>
        </row>
        <row r="2248">
          <cell r="A2248">
            <v>43254</v>
          </cell>
          <cell r="B2248">
            <v>0</v>
          </cell>
          <cell r="C2248" t="str">
            <v>1|14001|0,1|14107|0,1|11029|1,1|10037|0</v>
          </cell>
          <cell r="D2248" t="str">
            <v>主线副本 第86章 第9关道具奖励</v>
          </cell>
          <cell r="E2248" t="str">
            <v>3|43000|1|1,3|41092|1|1,3|41024|1|1</v>
          </cell>
        </row>
        <row r="2249">
          <cell r="A2249">
            <v>43255</v>
          </cell>
          <cell r="B2249">
            <v>0</v>
          </cell>
          <cell r="C2249" t="str">
            <v>1|14001|0,1|14107|0,1|11030|1,1|10114|0</v>
          </cell>
          <cell r="D2249" t="str">
            <v>主线副本 第86章 第10关道具奖励</v>
          </cell>
          <cell r="E2249" t="str">
            <v>3|43000|1|1,3|41093|1|1,3|41053|1|1</v>
          </cell>
        </row>
        <row r="2250">
          <cell r="A2250">
            <v>43256</v>
          </cell>
          <cell r="B2250">
            <v>0</v>
          </cell>
          <cell r="C2250" t="str">
            <v>1|14001|0,1|14107|0,1|10092|0</v>
          </cell>
          <cell r="D2250" t="str">
            <v>主线副本 第87章 第6关道具奖励</v>
          </cell>
          <cell r="E2250" t="str">
            <v>3|43000|1|1,3|41007|1|1</v>
          </cell>
        </row>
        <row r="2251">
          <cell r="A2251">
            <v>43257</v>
          </cell>
          <cell r="B2251">
            <v>0</v>
          </cell>
          <cell r="C2251" t="str">
            <v>1|14001|0,1|14107|0,1|11036|1,1|10016|0</v>
          </cell>
          <cell r="D2251" t="str">
            <v>主线副本 第87章 第9关道具奖励</v>
          </cell>
          <cell r="E2251" t="str">
            <v>3|43000|1|1,3|41099|1|1,3|41033|1|1</v>
          </cell>
        </row>
        <row r="2252">
          <cell r="A2252">
            <v>43258</v>
          </cell>
          <cell r="B2252">
            <v>0</v>
          </cell>
          <cell r="C2252" t="str">
            <v>1|14001|0,1|14107|0,1|11035|1,1|10011|0</v>
          </cell>
          <cell r="D2252" t="str">
            <v>主线副本 第87章 第10关道具奖励</v>
          </cell>
          <cell r="E2252" t="str">
            <v>3|43000|1|1,3|41098|1|1,3|41054|1|1</v>
          </cell>
        </row>
        <row r="2253">
          <cell r="A2253">
            <v>43259</v>
          </cell>
          <cell r="B2253">
            <v>0</v>
          </cell>
          <cell r="C2253" t="str">
            <v>1|14001|0,1|14107|0,1|10041|0</v>
          </cell>
          <cell r="D2253" t="str">
            <v>主线副本 第88章 第6关道具奖励</v>
          </cell>
          <cell r="E2253" t="str">
            <v>3|43000|1|1,3|41009|1|1</v>
          </cell>
        </row>
        <row r="2254">
          <cell r="A2254">
            <v>43260</v>
          </cell>
          <cell r="B2254">
            <v>0</v>
          </cell>
          <cell r="C2254" t="str">
            <v>1|14001|0,1|14107|0,1|11033|1,1|10004|0</v>
          </cell>
          <cell r="D2254" t="str">
            <v>主线副本 第88章 第9关道具奖励</v>
          </cell>
          <cell r="E2254" t="str">
            <v>3|43000|1|1,3|41096|1|1,3|41039|1|1</v>
          </cell>
        </row>
        <row r="2255">
          <cell r="A2255">
            <v>43261</v>
          </cell>
          <cell r="B2255">
            <v>0</v>
          </cell>
          <cell r="C2255" t="str">
            <v>1|14001|0,1|14107|0,1|11034|1,1|10003|0</v>
          </cell>
          <cell r="D2255" t="str">
            <v>主线副本 第88章 第10关道具奖励</v>
          </cell>
          <cell r="E2255" t="str">
            <v>3|43000|1|1,3|41097|1|1,3|41040|1|1</v>
          </cell>
        </row>
        <row r="2256">
          <cell r="A2256">
            <v>43262</v>
          </cell>
          <cell r="B2256">
            <v>0</v>
          </cell>
          <cell r="C2256" t="str">
            <v>1|14001|0,1|14107|0,1|10038|0</v>
          </cell>
          <cell r="D2256" t="str">
            <v>主线副本 第89章 第6关道具奖励</v>
          </cell>
          <cell r="E2256" t="str">
            <v>3|43000|1|1,3|41012|1|1</v>
          </cell>
        </row>
        <row r="2257">
          <cell r="A2257">
            <v>43263</v>
          </cell>
          <cell r="B2257">
            <v>0</v>
          </cell>
          <cell r="C2257" t="str">
            <v>1|14001|0,1|14107|0,1|11028|1,1|10116|0</v>
          </cell>
          <cell r="D2257" t="str">
            <v>主线副本 第89章 第9关道具奖励</v>
          </cell>
          <cell r="E2257" t="str">
            <v>3|43000|1|1,3|41091|1|1,3|41019|1|1</v>
          </cell>
        </row>
        <row r="2258">
          <cell r="A2258">
            <v>43264</v>
          </cell>
          <cell r="B2258">
            <v>0</v>
          </cell>
          <cell r="C2258" t="str">
            <v>1|14001|0,1|14107|0,1|11027|1,1|10119|0</v>
          </cell>
          <cell r="D2258" t="str">
            <v>主线副本 第89章 第10关道具奖励</v>
          </cell>
          <cell r="E2258" t="str">
            <v>3|43000|1|1,3|41090|1|1,3|41041|1|1</v>
          </cell>
        </row>
        <row r="2259">
          <cell r="A2259">
            <v>43265</v>
          </cell>
          <cell r="B2259">
            <v>0</v>
          </cell>
          <cell r="C2259" t="str">
            <v>1|14001|0,1|14107|0,1|10036|0</v>
          </cell>
          <cell r="D2259" t="str">
            <v>主线副本 第90章 第6关道具奖励</v>
          </cell>
          <cell r="E2259" t="str">
            <v>3|43000|1|1,3|41013|1|1</v>
          </cell>
        </row>
        <row r="2260">
          <cell r="A2260">
            <v>43266</v>
          </cell>
          <cell r="B2260">
            <v>0</v>
          </cell>
          <cell r="C2260" t="str">
            <v>1|14001|0,1|14107|0,1|11025|1,1|10026|0</v>
          </cell>
          <cell r="D2260" t="str">
            <v>主线副本 第90章 第9关道具奖励</v>
          </cell>
          <cell r="E2260" t="str">
            <v>3|43000|1|1,3|41088|1|1,3|41028|1|1</v>
          </cell>
        </row>
        <row r="2261">
          <cell r="A2261">
            <v>43267</v>
          </cell>
          <cell r="B2261">
            <v>0</v>
          </cell>
          <cell r="C2261" t="str">
            <v>1|14001|0,1|14107|0,1|11026|1,1|10015|0</v>
          </cell>
          <cell r="D2261" t="str">
            <v>主线副本 第90章 第10关道具奖励</v>
          </cell>
          <cell r="E2261" t="str">
            <v>3|43000|1|1,3|41089|1|1,3|41042|1|1</v>
          </cell>
        </row>
        <row r="2262">
          <cell r="A2262">
            <v>43268</v>
          </cell>
          <cell r="B2262">
            <v>0</v>
          </cell>
          <cell r="C2262" t="str">
            <v>1|14001|0,1|14107|0,1|10033|0</v>
          </cell>
          <cell r="D2262" t="str">
            <v>主线副本 第91章 第6关道具奖励</v>
          </cell>
          <cell r="E2262" t="str">
            <v>3|43000|1|1,3|41015|1|1</v>
          </cell>
        </row>
        <row r="2263">
          <cell r="A2263">
            <v>43269</v>
          </cell>
          <cell r="B2263">
            <v>0</v>
          </cell>
          <cell r="C2263" t="str">
            <v>1|14001|0,1|14107|0,1|11032|1,1|10031|0</v>
          </cell>
          <cell r="D2263" t="str">
            <v>主线副本 第91章 第9关道具奖励</v>
          </cell>
          <cell r="E2263" t="str">
            <v>3|43000|1|1,3|41095|1|1,3|41027|1|1</v>
          </cell>
        </row>
        <row r="2264">
          <cell r="A2264">
            <v>43270</v>
          </cell>
          <cell r="B2264">
            <v>0</v>
          </cell>
          <cell r="C2264" t="str">
            <v>1|14001|0,1|14107|0,1|11031|1,1|10115|0</v>
          </cell>
          <cell r="D2264" t="str">
            <v>主线副本 第91章 第10关道具奖励</v>
          </cell>
          <cell r="E2264" t="str">
            <v>3|43000|1|1,3|41094|1|1,3|41043|1|1</v>
          </cell>
        </row>
        <row r="2265">
          <cell r="A2265">
            <v>43271</v>
          </cell>
          <cell r="B2265">
            <v>0</v>
          </cell>
          <cell r="C2265" t="str">
            <v>1|14001|0,1|14107|0,1|10028|0</v>
          </cell>
          <cell r="D2265" t="str">
            <v>主线副本 第92章 第6关道具奖励</v>
          </cell>
          <cell r="E2265" t="str">
            <v>3|43000|1|1,3|41017|1|1</v>
          </cell>
        </row>
        <row r="2266">
          <cell r="A2266">
            <v>43272</v>
          </cell>
          <cell r="B2266">
            <v>0</v>
          </cell>
          <cell r="C2266" t="str">
            <v>1|14001|0,1|14107|0,1|11029|1,1|10101|0</v>
          </cell>
          <cell r="D2266" t="str">
            <v>主线副本 第92章 第9关道具奖励</v>
          </cell>
          <cell r="E2266" t="str">
            <v>3|43000|1|1,3|41092|1|1,3|41023|1|1</v>
          </cell>
        </row>
        <row r="2267">
          <cell r="A2267">
            <v>43273</v>
          </cell>
          <cell r="B2267">
            <v>0</v>
          </cell>
          <cell r="C2267" t="str">
            <v>1|14001|0,1|14107|0,1|11030|1,1|10012|0</v>
          </cell>
          <cell r="D2267" t="str">
            <v>主线副本 第92章 第10关道具奖励</v>
          </cell>
          <cell r="E2267" t="str">
            <v>3|43000|1|1,3|41093|1|1,3|41044|1|1</v>
          </cell>
        </row>
        <row r="2268">
          <cell r="A2268">
            <v>43274</v>
          </cell>
          <cell r="B2268">
            <v>0</v>
          </cell>
          <cell r="C2268" t="str">
            <v>1|14001|0,1|14107|0,1|10404|0</v>
          </cell>
          <cell r="D2268" t="str">
            <v>主线副本 第93章 第6关道具奖励</v>
          </cell>
          <cell r="E2268" t="str">
            <v>3|43000|1|1,3|41001|1|1</v>
          </cell>
        </row>
        <row r="2269">
          <cell r="A2269">
            <v>43275</v>
          </cell>
          <cell r="B2269">
            <v>0</v>
          </cell>
          <cell r="C2269" t="str">
            <v>1|14001|0,1|14107|0,1|11036|1,1|10108|0</v>
          </cell>
          <cell r="D2269" t="str">
            <v>主线副本 第93章 第9关道具奖励</v>
          </cell>
          <cell r="E2269" t="str">
            <v>3|43000|1|1,3|41099|1|1,3|41020|1|1</v>
          </cell>
        </row>
        <row r="2270">
          <cell r="A2270">
            <v>43276</v>
          </cell>
          <cell r="B2270">
            <v>0</v>
          </cell>
          <cell r="C2270" t="str">
            <v>1|14001|0,1|14107|0,1|11035|1,1|10113|0</v>
          </cell>
          <cell r="D2270" t="str">
            <v>主线副本 第93章 第10关道具奖励</v>
          </cell>
          <cell r="E2270" t="str">
            <v>3|43000|1|1,3|41098|1|1,3|41045|1|1</v>
          </cell>
        </row>
        <row r="2271">
          <cell r="A2271">
            <v>43277</v>
          </cell>
          <cell r="B2271">
            <v>0</v>
          </cell>
          <cell r="C2271" t="str">
            <v>1|14001|0,1|14107|0,1|10106|0</v>
          </cell>
          <cell r="D2271" t="str">
            <v>主线副本 第94章 第6关道具奖励</v>
          </cell>
          <cell r="E2271" t="str">
            <v>3|43000|1|1,3|41003|1|1</v>
          </cell>
        </row>
        <row r="2272">
          <cell r="A2272">
            <v>43278</v>
          </cell>
          <cell r="B2272">
            <v>0</v>
          </cell>
          <cell r="C2272" t="str">
            <v>1|14001|0,1|14107|0,1|11033|1,1|10022|0</v>
          </cell>
          <cell r="D2272" t="str">
            <v>主线副本 第94章 第9关道具奖励</v>
          </cell>
          <cell r="E2272" t="str">
            <v>3|43000|1|1,3|41096|1|1,3|41031|1|1</v>
          </cell>
        </row>
        <row r="2273">
          <cell r="A2273">
            <v>43279</v>
          </cell>
          <cell r="B2273">
            <v>0</v>
          </cell>
          <cell r="C2273" t="str">
            <v>1|14001|0,1|14107|0,1|11034|1,1|10020|0</v>
          </cell>
          <cell r="D2273" t="str">
            <v>主线副本 第94章 第10关道具奖励</v>
          </cell>
          <cell r="E2273" t="str">
            <v>3|43000|1|1,3|41097|1|1,3|41046|1|1</v>
          </cell>
        </row>
        <row r="2274">
          <cell r="A2274">
            <v>43280</v>
          </cell>
          <cell r="B2274">
            <v>0</v>
          </cell>
          <cell r="C2274" t="str">
            <v>1|14001|0,1|14107|0,1|10105|0</v>
          </cell>
          <cell r="D2274" t="str">
            <v>主线副本 第95章 第6关道具奖励</v>
          </cell>
          <cell r="E2274" t="str">
            <v>3|43000|1|1,3|41004|1|1</v>
          </cell>
        </row>
        <row r="2275">
          <cell r="A2275">
            <v>43281</v>
          </cell>
          <cell r="B2275">
            <v>0</v>
          </cell>
          <cell r="C2275" t="str">
            <v>1|14001|0,1|14107|0,1|11028|1,1|10107|0</v>
          </cell>
          <cell r="D2275" t="str">
            <v>主线副本 第95章 第9关道具奖励</v>
          </cell>
          <cell r="E2275" t="str">
            <v>3|43000|1|1,3|41091|1|1,3|41021|1|1</v>
          </cell>
        </row>
        <row r="2276">
          <cell r="A2276">
            <v>43282</v>
          </cell>
          <cell r="B2276">
            <v>0</v>
          </cell>
          <cell r="C2276" t="str">
            <v>1|14001|0,1|14107|0,1|11027|1,1|10013|0</v>
          </cell>
          <cell r="D2276" t="str">
            <v>主线副本 第95章 第10关道具奖励</v>
          </cell>
          <cell r="E2276" t="str">
            <v>3|43000|1|1,3|41090|1|1,3|41047|1|1</v>
          </cell>
        </row>
        <row r="2277">
          <cell r="A2277">
            <v>43283</v>
          </cell>
          <cell r="B2277">
            <v>0</v>
          </cell>
          <cell r="C2277" t="str">
            <v>1|14001|0,1|14107|0,1|10052|0</v>
          </cell>
          <cell r="D2277" t="str">
            <v>主线副本 第96章 第6关道具奖励</v>
          </cell>
          <cell r="E2277" t="str">
            <v>3|43000|1|1,3|41008|1|1</v>
          </cell>
        </row>
        <row r="2278">
          <cell r="A2278">
            <v>43284</v>
          </cell>
          <cell r="B2278">
            <v>0</v>
          </cell>
          <cell r="C2278" t="str">
            <v>1|14001|0,1|14107|0,1|11025|1,1|10009|0</v>
          </cell>
          <cell r="D2278" t="str">
            <v>主线副本 第96章 第9关道具奖励</v>
          </cell>
          <cell r="E2278" t="str">
            <v>3|43000|1|1,3|41088|1|1,3|41036|1|1</v>
          </cell>
        </row>
        <row r="2279">
          <cell r="A2279">
            <v>43285</v>
          </cell>
          <cell r="B2279">
            <v>0</v>
          </cell>
          <cell r="C2279" t="str">
            <v>1|14001|0,1|14107|0,1|11026|1,1|10008|0</v>
          </cell>
          <cell r="D2279" t="str">
            <v>主线副本 第96章 第10关道具奖励</v>
          </cell>
          <cell r="E2279" t="str">
            <v>3|43000|1|1,3|41089|1|1,3|41048|1|1</v>
          </cell>
        </row>
        <row r="2280">
          <cell r="A2280">
            <v>43286</v>
          </cell>
          <cell r="B2280">
            <v>0</v>
          </cell>
          <cell r="C2280" t="str">
            <v>1|14001|0,1|14107|0,1|10040|0</v>
          </cell>
          <cell r="D2280" t="str">
            <v>主线副本 第97章 第6关道具奖励</v>
          </cell>
          <cell r="E2280" t="str">
            <v>3|43000|1|1,3|41010|1|1</v>
          </cell>
        </row>
        <row r="2281">
          <cell r="A2281">
            <v>43287</v>
          </cell>
          <cell r="B2281">
            <v>0</v>
          </cell>
          <cell r="C2281" t="str">
            <v>1|14001|0,1|14107|0,1|11032|1,1|10010|0</v>
          </cell>
          <cell r="D2281" t="str">
            <v>主线副本 第97章 第9关道具奖励</v>
          </cell>
          <cell r="E2281" t="str">
            <v>3|43000|1|1,3|41095|1|1,3|41035|1|1</v>
          </cell>
        </row>
        <row r="2282">
          <cell r="A2282">
            <v>43288</v>
          </cell>
          <cell r="B2282">
            <v>0</v>
          </cell>
          <cell r="C2282" t="str">
            <v>1|14001|0,1|14107|0,1|11031|1,1|10027|0</v>
          </cell>
          <cell r="D2282" t="str">
            <v>主线副本 第97章 第10关道具奖励</v>
          </cell>
          <cell r="E2282" t="str">
            <v>3|43000|1|1,3|41094|1|1,3|41049|1|1</v>
          </cell>
        </row>
        <row r="2283">
          <cell r="A2283">
            <v>43289</v>
          </cell>
          <cell r="B2283">
            <v>0</v>
          </cell>
          <cell r="C2283" t="str">
            <v>1|14001|0,1|14107|0,1|10039|0</v>
          </cell>
          <cell r="D2283" t="str">
            <v>主线副本 第98章 第6关道具奖励</v>
          </cell>
          <cell r="E2283" t="str">
            <v>3|43000|1|1,3|41011|1|1</v>
          </cell>
        </row>
        <row r="2284">
          <cell r="A2284">
            <v>43290</v>
          </cell>
          <cell r="B2284">
            <v>0</v>
          </cell>
          <cell r="C2284" t="str">
            <v>1|14001|0,1|14107|0,1|11029|1,1|10006|0</v>
          </cell>
          <cell r="D2284" t="str">
            <v>主线副本 第98章 第9关道具奖励</v>
          </cell>
          <cell r="E2284" t="str">
            <v>3|43000|1|1,3|41092|1|1,3|41038|1|1</v>
          </cell>
        </row>
        <row r="2285">
          <cell r="A2285">
            <v>43291</v>
          </cell>
          <cell r="B2285">
            <v>0</v>
          </cell>
          <cell r="C2285" t="str">
            <v>1|14001|0,1|14107|0,1|11030|1,1|10118|0</v>
          </cell>
          <cell r="D2285" t="str">
            <v>主线副本 第98章 第10关道具奖励</v>
          </cell>
          <cell r="E2285" t="str">
            <v>3|43000|1|1,3|41093|1|1,3|41050|1|1</v>
          </cell>
        </row>
        <row r="2286">
          <cell r="A2286">
            <v>43292</v>
          </cell>
          <cell r="B2286">
            <v>0</v>
          </cell>
          <cell r="C2286" t="str">
            <v>1|14001|0,1|14107|0,1|10034|0</v>
          </cell>
          <cell r="D2286" t="str">
            <v>主线副本 第99章 第6关道具奖励</v>
          </cell>
          <cell r="E2286" t="str">
            <v>3|43000|1|1,3|41014|1|1</v>
          </cell>
        </row>
        <row r="2287">
          <cell r="A2287">
            <v>43293</v>
          </cell>
          <cell r="B2287">
            <v>0</v>
          </cell>
          <cell r="C2287" t="str">
            <v>1|14001|0,1|14107|0,1|11036|1,1|10102|0</v>
          </cell>
          <cell r="D2287" t="str">
            <v>主线副本 第99章 第9关道具奖励</v>
          </cell>
          <cell r="E2287" t="str">
            <v>3|43000|1|1,3|41099|1|1,3|41022|1|1</v>
          </cell>
        </row>
        <row r="2288">
          <cell r="A2288">
            <v>43294</v>
          </cell>
          <cell r="B2288">
            <v>0</v>
          </cell>
          <cell r="C2288" t="str">
            <v>1|14001|0,1|14107|0,1|11035|1,1|10002|0</v>
          </cell>
          <cell r="D2288" t="str">
            <v>主线副本 第99章 第10关道具奖励</v>
          </cell>
          <cell r="E2288" t="str">
            <v>3|43000|1|1,3|41098|1|1,3|41051|1|1</v>
          </cell>
        </row>
        <row r="2289">
          <cell r="A2289">
            <v>43295</v>
          </cell>
          <cell r="B2289">
            <v>0</v>
          </cell>
          <cell r="C2289" t="str">
            <v>1|14001|0,1|14107|0,1|10030|0</v>
          </cell>
          <cell r="D2289" t="str">
            <v>主线副本 第100章 第6关道具奖励</v>
          </cell>
          <cell r="E2289" t="str">
            <v>3|43000|1|1,3|41016|1|1</v>
          </cell>
        </row>
        <row r="2290">
          <cell r="A2290">
            <v>43296</v>
          </cell>
          <cell r="B2290">
            <v>0</v>
          </cell>
          <cell r="C2290" t="str">
            <v>1|14001|0,1|14107|0,1|11033|1,1|10023|0</v>
          </cell>
          <cell r="D2290" t="str">
            <v>主线副本 第100章 第9关道具奖励</v>
          </cell>
          <cell r="E2290" t="str">
            <v>3|43000|1|1,3|41096|1|1,3|41030|1|1</v>
          </cell>
        </row>
        <row r="2291">
          <cell r="A2291">
            <v>43297</v>
          </cell>
          <cell r="B2291">
            <v>0</v>
          </cell>
          <cell r="C2291" t="str">
            <v>1|14001|0,1|14107|0,1|11034|1,1|10112|0</v>
          </cell>
          <cell r="D2291" t="str">
            <v>主线副本 第100章 第10关道具奖励</v>
          </cell>
          <cell r="E2291" t="str">
            <v>3|43000|1|1,3|41097|1|1,3|41052|1|1</v>
          </cell>
        </row>
        <row r="2292">
          <cell r="A2292">
            <v>43298</v>
          </cell>
          <cell r="B2292">
            <v>0</v>
          </cell>
          <cell r="C2292" t="str">
            <v>1|14001|0,1|14107|0,1|10018|0</v>
          </cell>
          <cell r="D2292" t="str">
            <v>主线副本 第101章 第6关道具奖励</v>
          </cell>
          <cell r="E2292" t="str">
            <v>3|43000|1|1,3|41018|1|1</v>
          </cell>
        </row>
        <row r="2293">
          <cell r="A2293">
            <v>43299</v>
          </cell>
          <cell r="B2293">
            <v>0</v>
          </cell>
          <cell r="C2293" t="str">
            <v>1|14001|0,1|14107|0,1|11028|1,1|10017|0</v>
          </cell>
          <cell r="D2293" t="str">
            <v>主线副本 第101章 第9关道具奖励</v>
          </cell>
          <cell r="E2293" t="str">
            <v>3|43000|1|1,3|41091|1|1,3|41032|1|1</v>
          </cell>
        </row>
        <row r="2294">
          <cell r="A2294">
            <v>43300</v>
          </cell>
          <cell r="B2294">
            <v>0</v>
          </cell>
          <cell r="C2294" t="str">
            <v>1|14001|0,1|14107|0,1|11027|1,1|10114|0</v>
          </cell>
          <cell r="D2294" t="str">
            <v>主线副本 第101章 第10关道具奖励</v>
          </cell>
          <cell r="E2294" t="str">
            <v>3|43000|1|1,3|41090|1|1,3|41053|1|1</v>
          </cell>
        </row>
        <row r="2295">
          <cell r="A2295">
            <v>43301</v>
          </cell>
          <cell r="B2295">
            <v>0</v>
          </cell>
          <cell r="C2295" t="str">
            <v>1|14001|0,1|14107|0,1|10126|0</v>
          </cell>
          <cell r="D2295" t="str">
            <v>主线副本 第102章 第6关道具奖励</v>
          </cell>
          <cell r="E2295" t="str">
            <v>3|43000|1|1,3|41002|1|1</v>
          </cell>
        </row>
        <row r="2296">
          <cell r="A2296">
            <v>43302</v>
          </cell>
          <cell r="B2296">
            <v>0</v>
          </cell>
          <cell r="C2296" t="str">
            <v>1|14001|0,1|14107|0,1|11025|1,1|10014|0</v>
          </cell>
          <cell r="D2296" t="str">
            <v>主线副本 第102章 第9关道具奖励</v>
          </cell>
          <cell r="E2296" t="str">
            <v>3|43000|1|1,3|41088|1|1,3|41034|1|1</v>
          </cell>
        </row>
        <row r="2297">
          <cell r="A2297">
            <v>43303</v>
          </cell>
          <cell r="B2297">
            <v>0</v>
          </cell>
          <cell r="C2297" t="str">
            <v>1|14001|0,1|14107|0,1|11026|1,1|10011|0</v>
          </cell>
          <cell r="D2297" t="str">
            <v>主线副本 第102章 第10关道具奖励</v>
          </cell>
          <cell r="E2297" t="str">
            <v>3|43000|1|1,3|41089|1|1,3|41054|1|1</v>
          </cell>
        </row>
        <row r="2298">
          <cell r="A2298">
            <v>43304</v>
          </cell>
          <cell r="B2298">
            <v>0</v>
          </cell>
          <cell r="C2298" t="str">
            <v>1|14001|0,1|14107|0,1|10104|0</v>
          </cell>
          <cell r="D2298" t="str">
            <v>主线副本 第103章 第6关道具奖励</v>
          </cell>
          <cell r="E2298" t="str">
            <v>3|43000|1|1,3|41005|1|1</v>
          </cell>
        </row>
        <row r="2299">
          <cell r="A2299">
            <v>43305</v>
          </cell>
          <cell r="B2299">
            <v>0</v>
          </cell>
          <cell r="C2299" t="str">
            <v>1|14001|0,1|14107|0,1|11032|1,1|10025|0</v>
          </cell>
          <cell r="D2299" t="str">
            <v>主线副本 第103章 第9关道具奖励</v>
          </cell>
          <cell r="E2299" t="str">
            <v>3|43000|1|1,3|41095|1|1,3|41029|1|1</v>
          </cell>
        </row>
        <row r="2300">
          <cell r="A2300">
            <v>43306</v>
          </cell>
          <cell r="B2300">
            <v>0</v>
          </cell>
          <cell r="C2300" t="str">
            <v>1|14001|0,1|14107|0,1|11031|1,1|10003|0</v>
          </cell>
          <cell r="D2300" t="str">
            <v>主线副本 第103章 第10关道具奖励</v>
          </cell>
          <cell r="E2300" t="str">
            <v>3|43000|1|1,3|41094|1|1,3|41040|1|1</v>
          </cell>
        </row>
        <row r="2301">
          <cell r="A2301">
            <v>43307</v>
          </cell>
          <cell r="B2301">
            <v>0</v>
          </cell>
          <cell r="C2301" t="str">
            <v>1|14001|0,1|14107|0,1|10103|0</v>
          </cell>
          <cell r="D2301" t="str">
            <v>主线副本 第104章 第6关道具奖励</v>
          </cell>
          <cell r="E2301" t="str">
            <v>3|43000|1|1,3|41006|1|1</v>
          </cell>
        </row>
        <row r="2302">
          <cell r="A2302">
            <v>43308</v>
          </cell>
          <cell r="B2302">
            <v>0</v>
          </cell>
          <cell r="C2302" t="str">
            <v>1|14001|0,1|14107|0,1|11029|1,1|10007|0</v>
          </cell>
          <cell r="D2302" t="str">
            <v>主线副本 第104章 第9关道具奖励</v>
          </cell>
          <cell r="E2302" t="str">
            <v>3|43000|1|1,3|41092|1|1,3|41037|1|1</v>
          </cell>
        </row>
        <row r="2303">
          <cell r="A2303">
            <v>43309</v>
          </cell>
          <cell r="B2303">
            <v>0</v>
          </cell>
          <cell r="C2303" t="str">
            <v>1|14001|0,1|14107|0,1|11030|1,1|10119|0</v>
          </cell>
          <cell r="D2303" t="str">
            <v>主线副本 第104章 第10关道具奖励</v>
          </cell>
          <cell r="E2303" t="str">
            <v>3|43000|1|1,3|41093|1|1,3|41041|1|1</v>
          </cell>
        </row>
        <row r="2304">
          <cell r="A2304">
            <v>43310</v>
          </cell>
          <cell r="B2304">
            <v>0</v>
          </cell>
          <cell r="C2304" t="str">
            <v>1|14001|0,1|14107|0,1|10092|0</v>
          </cell>
          <cell r="D2304" t="str">
            <v>主线副本 第105章 第6关道具奖励</v>
          </cell>
          <cell r="E2304" t="str">
            <v>3|43000|1|1,3|41007|1|1</v>
          </cell>
        </row>
        <row r="2305">
          <cell r="A2305">
            <v>43311</v>
          </cell>
          <cell r="B2305">
            <v>0</v>
          </cell>
          <cell r="C2305" t="str">
            <v>1|14001|0,1|14107|0,1|11036|1,1|10032|0</v>
          </cell>
          <cell r="D2305" t="str">
            <v>主线副本 第105章 第9关道具奖励</v>
          </cell>
          <cell r="E2305" t="str">
            <v>3|43000|1|1,3|41099|1|1,3|41026|1|1</v>
          </cell>
        </row>
        <row r="2306">
          <cell r="A2306">
            <v>43312</v>
          </cell>
          <cell r="B2306">
            <v>0</v>
          </cell>
          <cell r="C2306" t="str">
            <v>1|14001|0,1|14107|0,1|11035|1,1|10015|0</v>
          </cell>
          <cell r="D2306" t="str">
            <v>主线副本 第105章 第10关道具奖励</v>
          </cell>
          <cell r="E2306" t="str">
            <v>3|43000|1|1,3|41098|1|1,3|41042|1|1</v>
          </cell>
        </row>
        <row r="2307">
          <cell r="A2307">
            <v>43313</v>
          </cell>
          <cell r="B2307">
            <v>0</v>
          </cell>
          <cell r="C2307" t="str">
            <v>1|14001|0,1|14107|0,1|10041|0</v>
          </cell>
          <cell r="D2307" t="str">
            <v>主线副本 第106章 第6关道具奖励</v>
          </cell>
          <cell r="E2307" t="str">
            <v>3|43000|1|1,3|41009|1|1</v>
          </cell>
        </row>
        <row r="2308">
          <cell r="A2308">
            <v>43314</v>
          </cell>
          <cell r="B2308">
            <v>0</v>
          </cell>
          <cell r="C2308" t="str">
            <v>1|14001|0,1|14107|0,1|11033|1,1|10035|0</v>
          </cell>
          <cell r="D2308" t="str">
            <v>主线副本 第106章 第9关道具奖励</v>
          </cell>
          <cell r="E2308" t="str">
            <v>3|43000|1|1,3|41096|1|1,3|41025|1|1</v>
          </cell>
        </row>
        <row r="2309">
          <cell r="A2309">
            <v>43315</v>
          </cell>
          <cell r="B2309">
            <v>0</v>
          </cell>
          <cell r="C2309" t="str">
            <v>1|14001|0,1|14107|0,1|11034|1,1|10115|0</v>
          </cell>
          <cell r="D2309" t="str">
            <v>主线副本 第106章 第10关道具奖励</v>
          </cell>
          <cell r="E2309" t="str">
            <v>3|43000|1|1,3|41097|1|1,3|41043|1|1</v>
          </cell>
        </row>
        <row r="2310">
          <cell r="A2310">
            <v>43316</v>
          </cell>
          <cell r="B2310">
            <v>0</v>
          </cell>
          <cell r="C2310" t="str">
            <v>1|14001|0,1|14107|0,1|10038|0</v>
          </cell>
          <cell r="D2310" t="str">
            <v>主线副本 第107章 第6关道具奖励</v>
          </cell>
          <cell r="E2310" t="str">
            <v>3|43000|1|1,3|41012|1|1</v>
          </cell>
        </row>
        <row r="2311">
          <cell r="A2311">
            <v>43317</v>
          </cell>
          <cell r="B2311">
            <v>0</v>
          </cell>
          <cell r="C2311" t="str">
            <v>1|14001|0,1|14107|0,1|11028|1,1|10037|0</v>
          </cell>
          <cell r="D2311" t="str">
            <v>主线副本 第107章 第9关道具奖励</v>
          </cell>
          <cell r="E2311" t="str">
            <v>3|43000|1|1,3|41091|1|1,3|41024|1|1</v>
          </cell>
        </row>
        <row r="2312">
          <cell r="A2312">
            <v>43318</v>
          </cell>
          <cell r="B2312">
            <v>0</v>
          </cell>
          <cell r="C2312" t="str">
            <v>1|14001|0,1|14107|0,1|11027|1,1|10012|0</v>
          </cell>
          <cell r="D2312" t="str">
            <v>主线副本 第107章 第10关道具奖励</v>
          </cell>
          <cell r="E2312" t="str">
            <v>3|43000|1|1,3|41090|1|1,3|41044|1|1</v>
          </cell>
        </row>
        <row r="2313">
          <cell r="A2313">
            <v>43319</v>
          </cell>
          <cell r="B2313">
            <v>0</v>
          </cell>
          <cell r="C2313" t="str">
            <v>1|14001|0,1|14107|0,1|10036|0</v>
          </cell>
          <cell r="D2313" t="str">
            <v>主线副本 第108章 第6关道具奖励</v>
          </cell>
          <cell r="E2313" t="str">
            <v>3|43000|1|1,3|41013|1|1</v>
          </cell>
        </row>
        <row r="2314">
          <cell r="A2314">
            <v>43320</v>
          </cell>
          <cell r="B2314">
            <v>0</v>
          </cell>
          <cell r="C2314" t="str">
            <v>1|14001|0,1|14107|0,1|11025|1,1|10016|0</v>
          </cell>
          <cell r="D2314" t="str">
            <v>主线副本 第108章 第9关道具奖励</v>
          </cell>
          <cell r="E2314" t="str">
            <v>3|43000|1|1,3|41088|1|1,3|41033|1|1</v>
          </cell>
        </row>
        <row r="2315">
          <cell r="A2315">
            <v>43321</v>
          </cell>
          <cell r="B2315">
            <v>0</v>
          </cell>
          <cell r="C2315" t="str">
            <v>1|14001|0,1|14107|0,1|11026|1,1|10113|0</v>
          </cell>
          <cell r="D2315" t="str">
            <v>主线副本 第108章 第10关道具奖励</v>
          </cell>
          <cell r="E2315" t="str">
            <v>3|43000|1|1,3|41089|1|1,3|41045|1|1</v>
          </cell>
        </row>
        <row r="2316">
          <cell r="A2316">
            <v>43322</v>
          </cell>
          <cell r="B2316">
            <v>0</v>
          </cell>
          <cell r="C2316" t="str">
            <v>1|14001|0,1|14107|0,1|10033|0</v>
          </cell>
          <cell r="D2316" t="str">
            <v>主线副本 第109章 第6关道具奖励</v>
          </cell>
          <cell r="E2316" t="str">
            <v>3|43000|1|1,3|41015|1|1</v>
          </cell>
        </row>
        <row r="2317">
          <cell r="A2317">
            <v>43323</v>
          </cell>
          <cell r="B2317">
            <v>0</v>
          </cell>
          <cell r="C2317" t="str">
            <v>1|14001|0,1|14107|0,1|11032|1,1|10004|0</v>
          </cell>
          <cell r="D2317" t="str">
            <v>主线副本 第109章 第9关道具奖励</v>
          </cell>
          <cell r="E2317" t="str">
            <v>3|43000|1|1,3|41095|1|1,3|41039|1|1</v>
          </cell>
        </row>
        <row r="2318">
          <cell r="A2318">
            <v>43324</v>
          </cell>
          <cell r="B2318">
            <v>0</v>
          </cell>
          <cell r="C2318" t="str">
            <v>1|14001|0,1|14107|0,1|11031|1,1|10020|0</v>
          </cell>
          <cell r="D2318" t="str">
            <v>主线副本 第109章 第10关道具奖励</v>
          </cell>
          <cell r="E2318" t="str">
            <v>3|43000|1|1,3|41094|1|1,3|41046|1|1</v>
          </cell>
        </row>
        <row r="2319">
          <cell r="A2319">
            <v>43325</v>
          </cell>
          <cell r="B2319">
            <v>0</v>
          </cell>
          <cell r="C2319" t="str">
            <v>1|14001|0,1|14107|0,1|10028|0</v>
          </cell>
          <cell r="D2319" t="str">
            <v>主线副本 第110章 第6关道具奖励</v>
          </cell>
          <cell r="E2319" t="str">
            <v>3|43000|1|1,3|41017|1|1</v>
          </cell>
        </row>
        <row r="2320">
          <cell r="A2320">
            <v>43326</v>
          </cell>
          <cell r="B2320">
            <v>0</v>
          </cell>
          <cell r="C2320" t="str">
            <v>1|14001|0,1|14107|0,1|11029|1,1|10116|0</v>
          </cell>
          <cell r="D2320" t="str">
            <v>主线副本 第110章 第9关道具奖励</v>
          </cell>
          <cell r="E2320" t="str">
            <v>3|43000|1|1,3|41092|1|1,3|41019|1|1</v>
          </cell>
        </row>
        <row r="2321">
          <cell r="A2321">
            <v>43327</v>
          </cell>
          <cell r="B2321">
            <v>0</v>
          </cell>
          <cell r="C2321" t="str">
            <v>1|14001|0,1|14107|0,1|11030|1,1|10013|0</v>
          </cell>
          <cell r="D2321" t="str">
            <v>主线副本 第110章 第10关道具奖励</v>
          </cell>
          <cell r="E2321" t="str">
            <v>3|43000|1|1,3|41093|1|1,3|41047|1|1</v>
          </cell>
        </row>
        <row r="2322">
          <cell r="A2322">
            <v>43328</v>
          </cell>
          <cell r="B2322">
            <v>0</v>
          </cell>
          <cell r="C2322" t="str">
            <v>1|14001|0,1|14107|0,1|10404|0</v>
          </cell>
          <cell r="D2322" t="str">
            <v>主线副本 第111章 第6关道具奖励</v>
          </cell>
          <cell r="E2322" t="str">
            <v>3|43000|1|1,3|41001|1|1</v>
          </cell>
        </row>
        <row r="2323">
          <cell r="A2323">
            <v>43329</v>
          </cell>
          <cell r="B2323">
            <v>0</v>
          </cell>
          <cell r="C2323" t="str">
            <v>1|14001|0,1|14107|0,1|11036|1,1|10026|0</v>
          </cell>
          <cell r="D2323" t="str">
            <v>主线副本 第111章 第9关道具奖励</v>
          </cell>
          <cell r="E2323" t="str">
            <v>3|43000|1|1,3|41099|1|1,3|41028|1|1</v>
          </cell>
        </row>
        <row r="2324">
          <cell r="A2324">
            <v>43330</v>
          </cell>
          <cell r="B2324">
            <v>0</v>
          </cell>
          <cell r="C2324" t="str">
            <v>1|14001|0,1|14107|0,1|11035|1,1|10008|0</v>
          </cell>
          <cell r="D2324" t="str">
            <v>主线副本 第111章 第10关道具奖励</v>
          </cell>
          <cell r="E2324" t="str">
            <v>3|43000|1|1,3|41098|1|1,3|41048|1|1</v>
          </cell>
        </row>
        <row r="2325">
          <cell r="A2325">
            <v>43331</v>
          </cell>
          <cell r="B2325">
            <v>0</v>
          </cell>
          <cell r="C2325" t="str">
            <v>1|14001|0,1|14107|0,1|10106|0</v>
          </cell>
          <cell r="D2325" t="str">
            <v>主线副本 第112章 第6关道具奖励</v>
          </cell>
          <cell r="E2325" t="str">
            <v>3|43000|1|1,3|41003|1|1</v>
          </cell>
        </row>
        <row r="2326">
          <cell r="A2326">
            <v>43332</v>
          </cell>
          <cell r="B2326">
            <v>0</v>
          </cell>
          <cell r="C2326" t="str">
            <v>1|14001|0,1|14107|0,1|11033|1,1|10031|0</v>
          </cell>
          <cell r="D2326" t="str">
            <v>主线副本 第112章 第9关道具奖励</v>
          </cell>
          <cell r="E2326" t="str">
            <v>3|43000|1|1,3|41096|1|1,3|41027|1|1</v>
          </cell>
        </row>
        <row r="2327">
          <cell r="A2327">
            <v>43333</v>
          </cell>
          <cell r="B2327">
            <v>0</v>
          </cell>
          <cell r="C2327" t="str">
            <v>1|14001|0,1|14107|0,1|11034|1,1|10027|0</v>
          </cell>
          <cell r="D2327" t="str">
            <v>主线副本 第112章 第10关道具奖励</v>
          </cell>
          <cell r="E2327" t="str">
            <v>3|43000|1|1,3|41097|1|1,3|41049|1|1</v>
          </cell>
        </row>
        <row r="2328">
          <cell r="A2328">
            <v>43334</v>
          </cell>
          <cell r="B2328">
            <v>0</v>
          </cell>
          <cell r="C2328" t="str">
            <v>1|14001|0,1|14107|0,1|10105|0</v>
          </cell>
          <cell r="D2328" t="str">
            <v>主线副本 第113章 第6关道具奖励</v>
          </cell>
          <cell r="E2328" t="str">
            <v>3|43000|1|1,3|41004|1|1</v>
          </cell>
        </row>
        <row r="2329">
          <cell r="A2329">
            <v>43335</v>
          </cell>
          <cell r="B2329">
            <v>0</v>
          </cell>
          <cell r="C2329" t="str">
            <v>1|14001|0,1|14107|0,1|11028|1,1|10101|0</v>
          </cell>
          <cell r="D2329" t="str">
            <v>主线副本 第113章 第9关道具奖励</v>
          </cell>
          <cell r="E2329" t="str">
            <v>3|43000|1|1,3|41091|1|1,3|41023|1|1</v>
          </cell>
        </row>
        <row r="2330">
          <cell r="A2330">
            <v>43336</v>
          </cell>
          <cell r="B2330">
            <v>0</v>
          </cell>
          <cell r="C2330" t="str">
            <v>1|14001|0,1|14107|0,1|11027|1,1|10118|0</v>
          </cell>
          <cell r="D2330" t="str">
            <v>主线副本 第113章 第10关道具奖励</v>
          </cell>
          <cell r="E2330" t="str">
            <v>3|43000|1|1,3|41090|1|1,3|41050|1|1</v>
          </cell>
        </row>
        <row r="2331">
          <cell r="A2331">
            <v>43337</v>
          </cell>
          <cell r="B2331">
            <v>0</v>
          </cell>
          <cell r="C2331" t="str">
            <v>1|14001|0,1|14107|0,1|10052|0</v>
          </cell>
          <cell r="D2331" t="str">
            <v>主线副本 第114章 第6关道具奖励</v>
          </cell>
          <cell r="E2331" t="str">
            <v>3|43000|1|1,3|41008|1|1</v>
          </cell>
        </row>
        <row r="2332">
          <cell r="A2332">
            <v>43338</v>
          </cell>
          <cell r="B2332">
            <v>0</v>
          </cell>
          <cell r="C2332" t="str">
            <v>1|14001|0,1|14107|0,1|11025|1,1|10108|0</v>
          </cell>
          <cell r="D2332" t="str">
            <v>主线副本 第114章 第9关道具奖励</v>
          </cell>
          <cell r="E2332" t="str">
            <v>3|43000|1|1,3|41088|1|1,3|41020|1|1</v>
          </cell>
        </row>
        <row r="2333">
          <cell r="A2333">
            <v>43339</v>
          </cell>
          <cell r="B2333">
            <v>0</v>
          </cell>
          <cell r="C2333" t="str">
            <v>1|14001|0,1|14107|0,1|11026|1,1|10002|0</v>
          </cell>
          <cell r="D2333" t="str">
            <v>主线副本 第114章 第10关道具奖励</v>
          </cell>
          <cell r="E2333" t="str">
            <v>3|43000|1|1,3|41089|1|1,3|41051|1|1</v>
          </cell>
        </row>
        <row r="2334">
          <cell r="A2334">
            <v>43340</v>
          </cell>
          <cell r="B2334">
            <v>0</v>
          </cell>
          <cell r="C2334" t="str">
            <v>1|14001|0,1|14107|0,1|10040|0</v>
          </cell>
          <cell r="D2334" t="str">
            <v>主线副本 第115章 第6关道具奖励</v>
          </cell>
          <cell r="E2334" t="str">
            <v>3|43000|1|1,3|41010|1|1</v>
          </cell>
        </row>
        <row r="2335">
          <cell r="A2335">
            <v>43341</v>
          </cell>
          <cell r="B2335">
            <v>0</v>
          </cell>
          <cell r="C2335" t="str">
            <v>1|14001|0,1|14107|0,1|11032|1,1|10022|0</v>
          </cell>
          <cell r="D2335" t="str">
            <v>主线副本 第115章 第9关道具奖励</v>
          </cell>
          <cell r="E2335" t="str">
            <v>3|43000|1|1,3|41095|1|1,3|41031|1|1</v>
          </cell>
        </row>
        <row r="2336">
          <cell r="A2336">
            <v>43342</v>
          </cell>
          <cell r="B2336">
            <v>0</v>
          </cell>
          <cell r="C2336" t="str">
            <v>1|14001|0,1|14107|0,1|11031|1,1|10112|0</v>
          </cell>
          <cell r="D2336" t="str">
            <v>主线副本 第115章 第10关道具奖励</v>
          </cell>
          <cell r="E2336" t="str">
            <v>3|43000|1|1,3|41094|1|1,3|41052|1|1</v>
          </cell>
        </row>
        <row r="2337">
          <cell r="A2337">
            <v>43343</v>
          </cell>
          <cell r="B2337">
            <v>0</v>
          </cell>
          <cell r="C2337" t="str">
            <v>1|14001|0,1|14107|0,1|10039|0</v>
          </cell>
          <cell r="D2337" t="str">
            <v>主线副本 第116章 第6关道具奖励</v>
          </cell>
          <cell r="E2337" t="str">
            <v>3|43000|1|1,3|41011|1|1</v>
          </cell>
        </row>
        <row r="2338">
          <cell r="A2338">
            <v>43344</v>
          </cell>
          <cell r="B2338">
            <v>0</v>
          </cell>
          <cell r="C2338" t="str">
            <v>1|14001|0,1|14107|0,1|11029|1,1|10107|0</v>
          </cell>
          <cell r="D2338" t="str">
            <v>主线副本 第116章 第9关道具奖励</v>
          </cell>
          <cell r="E2338" t="str">
            <v>3|43000|1|1,3|41092|1|1,3|41021|1|1</v>
          </cell>
        </row>
        <row r="2339">
          <cell r="A2339">
            <v>43345</v>
          </cell>
          <cell r="B2339">
            <v>0</v>
          </cell>
          <cell r="C2339" t="str">
            <v>1|14001|0,1|14107|0,1|11030|1,1|10114|0</v>
          </cell>
          <cell r="D2339" t="str">
            <v>主线副本 第116章 第10关道具奖励</v>
          </cell>
          <cell r="E2339" t="str">
            <v>3|43000|1|1,3|41093|1|1,3|41053|1|1</v>
          </cell>
        </row>
        <row r="2340">
          <cell r="A2340">
            <v>43346</v>
          </cell>
          <cell r="B2340">
            <v>0</v>
          </cell>
          <cell r="C2340" t="str">
            <v>1|14001|0,1|14107|0,1|10034|0</v>
          </cell>
          <cell r="D2340" t="str">
            <v>主线副本 第117章 第6关道具奖励</v>
          </cell>
          <cell r="E2340" t="str">
            <v>3|43000|1|1,3|41014|1|1</v>
          </cell>
        </row>
        <row r="2341">
          <cell r="A2341">
            <v>43347</v>
          </cell>
          <cell r="B2341">
            <v>0</v>
          </cell>
          <cell r="C2341" t="str">
            <v>1|14001|0,1|14107|0,1|11036|1,1|10009|0</v>
          </cell>
          <cell r="D2341" t="str">
            <v>主线副本 第117章 第9关道具奖励</v>
          </cell>
          <cell r="E2341" t="str">
            <v>3|43000|1|1,3|41099|1|1,3|41036|1|1</v>
          </cell>
        </row>
        <row r="2342">
          <cell r="A2342">
            <v>43348</v>
          </cell>
          <cell r="B2342">
            <v>0</v>
          </cell>
          <cell r="C2342" t="str">
            <v>1|14001|0,1|14107|0,1|11035|1,1|10011|0</v>
          </cell>
          <cell r="D2342" t="str">
            <v>主线副本 第117章 第10关道具奖励</v>
          </cell>
          <cell r="E2342" t="str">
            <v>3|43000|1|1,3|41098|1|1,3|41054|1|1</v>
          </cell>
        </row>
        <row r="2343">
          <cell r="A2343">
            <v>43349</v>
          </cell>
          <cell r="B2343">
            <v>0</v>
          </cell>
          <cell r="C2343" t="str">
            <v>1|14001|0,1|14107|0,1|10030|0</v>
          </cell>
          <cell r="D2343" t="str">
            <v>主线副本 第118章 第6关道具奖励</v>
          </cell>
          <cell r="E2343" t="str">
            <v>3|43000|1|1,3|41016|1|1</v>
          </cell>
        </row>
        <row r="2344">
          <cell r="A2344">
            <v>43350</v>
          </cell>
          <cell r="B2344">
            <v>0</v>
          </cell>
          <cell r="C2344" t="str">
            <v>1|14001|0,1|14107|0,1|11033|1,1|10010|0</v>
          </cell>
          <cell r="D2344" t="str">
            <v>主线副本 第118章 第9关道具奖励</v>
          </cell>
          <cell r="E2344" t="str">
            <v>3|43000|1|1,3|41096|1|1,3|41035|1|1</v>
          </cell>
        </row>
        <row r="2345">
          <cell r="A2345">
            <v>43351</v>
          </cell>
          <cell r="B2345">
            <v>0</v>
          </cell>
          <cell r="C2345" t="str">
            <v>1|14001|0,1|14107|0,1|11034|1,1|10003|0</v>
          </cell>
          <cell r="D2345" t="str">
            <v>主线副本 第118章 第10关道具奖励</v>
          </cell>
          <cell r="E2345" t="str">
            <v>3|43000|1|1,3|41097|1|1,3|41040|1|1</v>
          </cell>
        </row>
        <row r="2346">
          <cell r="A2346">
            <v>43352</v>
          </cell>
          <cell r="B2346">
            <v>0</v>
          </cell>
          <cell r="C2346" t="str">
            <v>1|14001|0,1|14107|0,1|10018|0</v>
          </cell>
          <cell r="D2346" t="str">
            <v>主线副本 第119章 第6关道具奖励</v>
          </cell>
          <cell r="E2346" t="str">
            <v>3|43000|1|1,3|41018|1|1</v>
          </cell>
        </row>
        <row r="2347">
          <cell r="A2347">
            <v>43353</v>
          </cell>
          <cell r="B2347">
            <v>0</v>
          </cell>
          <cell r="C2347" t="str">
            <v>1|14001|0,1|14107|0,1|11028|1,1|10006|0</v>
          </cell>
          <cell r="D2347" t="str">
            <v>主线副本 第119章 第9关道具奖励</v>
          </cell>
          <cell r="E2347" t="str">
            <v>3|43000|1|1,3|41091|1|1,3|41038|1|1</v>
          </cell>
        </row>
        <row r="2348">
          <cell r="A2348">
            <v>43354</v>
          </cell>
          <cell r="B2348">
            <v>0</v>
          </cell>
          <cell r="C2348" t="str">
            <v>1|14001|0,1|14107|0,1|11027|1,1|10119|0</v>
          </cell>
          <cell r="D2348" t="str">
            <v>主线副本 第119章 第10关道具奖励</v>
          </cell>
          <cell r="E2348" t="str">
            <v>3|43000|1|1,3|41090|1|1,3|41041|1|1</v>
          </cell>
        </row>
        <row r="2349">
          <cell r="A2349">
            <v>43355</v>
          </cell>
          <cell r="B2349">
            <v>0</v>
          </cell>
          <cell r="C2349" t="str">
            <v>1|14001|0,1|14107|0,1|10126|0</v>
          </cell>
          <cell r="D2349" t="str">
            <v>主线副本 第120章 第6关道具奖励</v>
          </cell>
          <cell r="E2349" t="str">
            <v>3|43000|1|1,3|41002|1|1</v>
          </cell>
        </row>
        <row r="2350">
          <cell r="A2350">
            <v>43356</v>
          </cell>
          <cell r="B2350">
            <v>0</v>
          </cell>
          <cell r="C2350" t="str">
            <v>1|14001|0,1|14107|0,1|11025|1,1|10102|0</v>
          </cell>
          <cell r="D2350" t="str">
            <v>主线副本 第120章 第9关道具奖励</v>
          </cell>
          <cell r="E2350" t="str">
            <v>3|43000|1|1,3|41088|1|1,3|41022|1|1</v>
          </cell>
        </row>
        <row r="2351">
          <cell r="A2351">
            <v>43357</v>
          </cell>
          <cell r="B2351">
            <v>0</v>
          </cell>
          <cell r="C2351" t="str">
            <v>1|14001|0,1|14107|0,1|11026|1,1|10015|0</v>
          </cell>
          <cell r="D2351" t="str">
            <v>主线副本 第120章 第10关道具奖励</v>
          </cell>
          <cell r="E2351" t="str">
            <v>3|43000|1|1,3|41089|1|1,3|41042|1|1</v>
          </cell>
        </row>
        <row r="2352">
          <cell r="A2352">
            <v>43358</v>
          </cell>
          <cell r="B2352">
            <v>0</v>
          </cell>
          <cell r="C2352" t="str">
            <v>1|14001|0,1|14107|0,1|10104|0</v>
          </cell>
          <cell r="D2352" t="str">
            <v>主线副本 第121章 第6关道具奖励</v>
          </cell>
          <cell r="E2352" t="str">
            <v>3|43000|1|1,3|41005|1|1</v>
          </cell>
        </row>
        <row r="2353">
          <cell r="A2353">
            <v>43359</v>
          </cell>
          <cell r="B2353">
            <v>0</v>
          </cell>
          <cell r="C2353" t="str">
            <v>1|14001|0,1|14107|0,1|11032|1,1|10023|0</v>
          </cell>
          <cell r="D2353" t="str">
            <v>主线副本 第121章 第9关道具奖励</v>
          </cell>
          <cell r="E2353" t="str">
            <v>3|43000|1|1,3|41095|1|1,3|41030|1|1</v>
          </cell>
        </row>
        <row r="2354">
          <cell r="A2354">
            <v>43360</v>
          </cell>
          <cell r="B2354">
            <v>0</v>
          </cell>
          <cell r="C2354" t="str">
            <v>1|14001|0,1|14107|0,1|11031|1,1|10115|0</v>
          </cell>
          <cell r="D2354" t="str">
            <v>主线副本 第121章 第10关道具奖励</v>
          </cell>
          <cell r="E2354" t="str">
            <v>3|43000|1|1,3|41094|1|1,3|41043|1|1</v>
          </cell>
        </row>
        <row r="2355">
          <cell r="A2355">
            <v>43361</v>
          </cell>
          <cell r="B2355">
            <v>0</v>
          </cell>
          <cell r="C2355" t="str">
            <v>1|14001|0,1|14107|0,1|10103|0</v>
          </cell>
          <cell r="D2355" t="str">
            <v>主线副本 第122章 第6关道具奖励</v>
          </cell>
          <cell r="E2355" t="str">
            <v>3|43000|1|1,3|41006|1|1</v>
          </cell>
        </row>
        <row r="2356">
          <cell r="A2356">
            <v>43362</v>
          </cell>
          <cell r="B2356">
            <v>0</v>
          </cell>
          <cell r="C2356" t="str">
            <v>1|14001|0,1|14107|0,1|11029|1,1|10017|0</v>
          </cell>
          <cell r="D2356" t="str">
            <v>主线副本 第122章 第9关道具奖励</v>
          </cell>
          <cell r="E2356" t="str">
            <v>3|43000|1|1,3|41092|1|1,3|41032|1|1</v>
          </cell>
        </row>
        <row r="2357">
          <cell r="A2357">
            <v>43363</v>
          </cell>
          <cell r="B2357">
            <v>0</v>
          </cell>
          <cell r="C2357" t="str">
            <v>1|14001|0,1|14107|0,1|11030|1,1|10012|0</v>
          </cell>
          <cell r="D2357" t="str">
            <v>主线副本 第122章 第10关道具奖励</v>
          </cell>
          <cell r="E2357" t="str">
            <v>3|43000|1|1,3|41093|1|1,3|41044|1|1</v>
          </cell>
        </row>
        <row r="2358">
          <cell r="A2358">
            <v>43364</v>
          </cell>
          <cell r="B2358">
            <v>0</v>
          </cell>
          <cell r="C2358" t="str">
            <v>1|14001|0,1|14107|0,1|10092|0</v>
          </cell>
          <cell r="D2358" t="str">
            <v>主线副本 第123章 第6关道具奖励</v>
          </cell>
          <cell r="E2358" t="str">
            <v>3|43000|1|1,3|41007|1|1</v>
          </cell>
        </row>
        <row r="2359">
          <cell r="A2359">
            <v>43365</v>
          </cell>
          <cell r="B2359">
            <v>0</v>
          </cell>
          <cell r="C2359" t="str">
            <v>1|14001|0,1|14107|0,1|11036|1,1|10014|0</v>
          </cell>
          <cell r="D2359" t="str">
            <v>主线副本 第123章 第9关道具奖励</v>
          </cell>
          <cell r="E2359" t="str">
            <v>3|43000|1|1,3|41099|1|1,3|41034|1|1</v>
          </cell>
        </row>
        <row r="2360">
          <cell r="A2360">
            <v>43366</v>
          </cell>
          <cell r="B2360">
            <v>0</v>
          </cell>
          <cell r="C2360" t="str">
            <v>1|14001|0,1|14107|0,1|11035|1,1|10113|0</v>
          </cell>
          <cell r="D2360" t="str">
            <v>主线副本 第123章 第10关道具奖励</v>
          </cell>
          <cell r="E2360" t="str">
            <v>3|43000|1|1,3|41098|1|1,3|41045|1|1</v>
          </cell>
        </row>
        <row r="2361">
          <cell r="A2361">
            <v>43367</v>
          </cell>
          <cell r="B2361">
            <v>0</v>
          </cell>
          <cell r="C2361" t="str">
            <v>1|14001|0,1|14107|0,1|10041|0</v>
          </cell>
          <cell r="D2361" t="str">
            <v>主线副本 第124章 第6关道具奖励</v>
          </cell>
          <cell r="E2361" t="str">
            <v>3|43000|1|1,3|41009|1|1</v>
          </cell>
        </row>
        <row r="2362">
          <cell r="A2362">
            <v>43368</v>
          </cell>
          <cell r="B2362">
            <v>0</v>
          </cell>
          <cell r="C2362" t="str">
            <v>1|14001|0,1|14107|0,1|11033|1,1|10025|0</v>
          </cell>
          <cell r="D2362" t="str">
            <v>主线副本 第124章 第9关道具奖励</v>
          </cell>
          <cell r="E2362" t="str">
            <v>3|43000|1|1,3|41096|1|1,3|41029|1|1</v>
          </cell>
        </row>
        <row r="2363">
          <cell r="A2363">
            <v>43369</v>
          </cell>
          <cell r="B2363">
            <v>0</v>
          </cell>
          <cell r="C2363" t="str">
            <v>1|14001|0,1|14107|0,1|11034|1,1|10020|0</v>
          </cell>
          <cell r="D2363" t="str">
            <v>主线副本 第124章 第10关道具奖励</v>
          </cell>
          <cell r="E2363" t="str">
            <v>3|43000|1|1,3|41097|1|1,3|41046|1|1</v>
          </cell>
        </row>
        <row r="2364">
          <cell r="A2364">
            <v>43370</v>
          </cell>
          <cell r="B2364">
            <v>0</v>
          </cell>
          <cell r="C2364" t="str">
            <v>1|14001|0,1|14107|0,1|10038|0</v>
          </cell>
          <cell r="D2364" t="str">
            <v>主线副本 第125章 第6关道具奖励</v>
          </cell>
          <cell r="E2364" t="str">
            <v>3|43000|1|1,3|41012|1|1</v>
          </cell>
        </row>
        <row r="2365">
          <cell r="A2365">
            <v>43371</v>
          </cell>
          <cell r="B2365">
            <v>0</v>
          </cell>
          <cell r="C2365" t="str">
            <v>1|14001|0,1|14107|0,1|11028|1,1|10007|0</v>
          </cell>
          <cell r="D2365" t="str">
            <v>主线副本 第125章 第9关道具奖励</v>
          </cell>
          <cell r="E2365" t="str">
            <v>3|43000|1|1,3|41091|1|1,3|41037|1|1</v>
          </cell>
        </row>
        <row r="2366">
          <cell r="A2366">
            <v>43372</v>
          </cell>
          <cell r="B2366">
            <v>0</v>
          </cell>
          <cell r="C2366" t="str">
            <v>1|14001|0,1|14107|0,1|11027|1,1|10013|0</v>
          </cell>
          <cell r="D2366" t="str">
            <v>主线副本 第125章 第10关道具奖励</v>
          </cell>
          <cell r="E2366" t="str">
            <v>3|43000|1|1,3|41090|1|1,3|41047|1|1</v>
          </cell>
        </row>
        <row r="2367">
          <cell r="A2367">
            <v>43373</v>
          </cell>
          <cell r="B2367">
            <v>0</v>
          </cell>
          <cell r="C2367" t="str">
            <v>1|14001|0,1|14107|0,1|10036|0</v>
          </cell>
          <cell r="D2367" t="str">
            <v>主线副本 第126章 第6关道具奖励</v>
          </cell>
          <cell r="E2367" t="str">
            <v>3|43000|1|1,3|41013|1|1</v>
          </cell>
        </row>
        <row r="2368">
          <cell r="A2368">
            <v>43374</v>
          </cell>
          <cell r="B2368">
            <v>0</v>
          </cell>
          <cell r="C2368" t="str">
            <v>1|14001|0,1|14107|0,1|11025|1,1|10032|0</v>
          </cell>
          <cell r="D2368" t="str">
            <v>主线副本 第126章 第9关道具奖励</v>
          </cell>
          <cell r="E2368" t="str">
            <v>3|43000|1|1,3|41088|1|1,3|41026|1|1</v>
          </cell>
        </row>
        <row r="2369">
          <cell r="A2369">
            <v>43375</v>
          </cell>
          <cell r="B2369">
            <v>0</v>
          </cell>
          <cell r="C2369" t="str">
            <v>1|14001|0,1|14107|0,1|11026|1,1|10008|0</v>
          </cell>
          <cell r="D2369" t="str">
            <v>主线副本 第126章 第10关道具奖励</v>
          </cell>
          <cell r="E2369" t="str">
            <v>3|43000|1|1,3|41089|1|1,3|41048|1|1</v>
          </cell>
        </row>
        <row r="2370">
          <cell r="A2370">
            <v>43376</v>
          </cell>
          <cell r="B2370">
            <v>0</v>
          </cell>
          <cell r="C2370" t="str">
            <v>1|14001|0,1|14107|0,1|10033|0</v>
          </cell>
          <cell r="D2370" t="str">
            <v>主线副本 第127章 第6关道具奖励</v>
          </cell>
          <cell r="E2370" t="str">
            <v>3|43000|1|1,3|41015|1|1</v>
          </cell>
        </row>
        <row r="2371">
          <cell r="A2371">
            <v>43377</v>
          </cell>
          <cell r="B2371">
            <v>0</v>
          </cell>
          <cell r="C2371" t="str">
            <v>1|14001|0,1|14107|0,1|11032|1,1|10035|0</v>
          </cell>
          <cell r="D2371" t="str">
            <v>主线副本 第127章 第9关道具奖励</v>
          </cell>
          <cell r="E2371" t="str">
            <v>3|43000|1|1,3|41095|1|1,3|41025|1|1</v>
          </cell>
        </row>
        <row r="2372">
          <cell r="A2372">
            <v>43378</v>
          </cell>
          <cell r="B2372">
            <v>0</v>
          </cell>
          <cell r="C2372" t="str">
            <v>1|14001|0,1|14107|0,1|11031|1,1|10027|0</v>
          </cell>
          <cell r="D2372" t="str">
            <v>主线副本 第127章 第10关道具奖励</v>
          </cell>
          <cell r="E2372" t="str">
            <v>3|43000|1|1,3|41094|1|1,3|41049|1|1</v>
          </cell>
        </row>
        <row r="2373">
          <cell r="A2373">
            <v>43379</v>
          </cell>
          <cell r="B2373">
            <v>0</v>
          </cell>
          <cell r="C2373" t="str">
            <v>1|14001|0,1|14107|0,1|10028|0</v>
          </cell>
          <cell r="D2373" t="str">
            <v>主线副本 第128章 第6关道具奖励</v>
          </cell>
          <cell r="E2373" t="str">
            <v>3|43000|1|1,3|41017|1|1</v>
          </cell>
        </row>
        <row r="2374">
          <cell r="A2374">
            <v>43380</v>
          </cell>
          <cell r="B2374">
            <v>0</v>
          </cell>
          <cell r="C2374" t="str">
            <v>1|14001|0,1|14107|0,1|11029|1,1|10037|0</v>
          </cell>
          <cell r="D2374" t="str">
            <v>主线副本 第128章 第9关道具奖励</v>
          </cell>
          <cell r="E2374" t="str">
            <v>3|43000|1|1,3|41092|1|1,3|41024|1|1</v>
          </cell>
        </row>
        <row r="2375">
          <cell r="A2375">
            <v>43381</v>
          </cell>
          <cell r="B2375">
            <v>0</v>
          </cell>
          <cell r="C2375" t="str">
            <v>1|14001|0,1|14107|0,1|11030|1,1|10118|0</v>
          </cell>
          <cell r="D2375" t="str">
            <v>主线副本 第128章 第10关道具奖励</v>
          </cell>
          <cell r="E2375" t="str">
            <v>3|43000|1|1,3|41093|1|1,3|41050|1|1</v>
          </cell>
        </row>
        <row r="2376">
          <cell r="A2376">
            <v>43382</v>
          </cell>
          <cell r="B2376">
            <v>0</v>
          </cell>
          <cell r="C2376" t="str">
            <v>1|14001|0,1|14107|0,1|10041|0</v>
          </cell>
          <cell r="D2376" t="str">
            <v>主线副本 第129章 第6关道具奖励</v>
          </cell>
          <cell r="E2376" t="str">
            <v>3|43000|1|1,3|41009|1|1</v>
          </cell>
        </row>
        <row r="2377">
          <cell r="A2377">
            <v>43383</v>
          </cell>
          <cell r="B2377">
            <v>0</v>
          </cell>
          <cell r="C2377" t="str">
            <v>1|14001|0,1|14107|0,1|11036|1,1|10016|0</v>
          </cell>
          <cell r="D2377" t="str">
            <v>主线副本 第129章 第9关道具奖励</v>
          </cell>
          <cell r="E2377" t="str">
            <v>3|43000|1|1,3|41099|1|1,3|41033|1|1</v>
          </cell>
        </row>
        <row r="2378">
          <cell r="A2378">
            <v>43384</v>
          </cell>
          <cell r="B2378">
            <v>0</v>
          </cell>
          <cell r="C2378" t="str">
            <v>1|14001|0,1|14107|0,1|11035|1,1|10002|0</v>
          </cell>
          <cell r="D2378" t="str">
            <v>主线副本 第129章 第10关道具奖励</v>
          </cell>
          <cell r="E2378" t="str">
            <v>3|43000|1|1,3|41098|1|1,3|41051|1|1</v>
          </cell>
        </row>
        <row r="2379">
          <cell r="A2379">
            <v>43385</v>
          </cell>
          <cell r="B2379">
            <v>0</v>
          </cell>
          <cell r="C2379" t="str">
            <v>1|14001|0,1|14107|0,1|10404|0</v>
          </cell>
          <cell r="D2379" t="str">
            <v>主线副本 第130章 第6关道具奖励</v>
          </cell>
          <cell r="E2379" t="str">
            <v>3|43000|1|1,3|41001|1|1</v>
          </cell>
        </row>
        <row r="2380">
          <cell r="A2380">
            <v>43386</v>
          </cell>
          <cell r="B2380">
            <v>0</v>
          </cell>
          <cell r="C2380" t="str">
            <v>1|14001|0,1|14107|0,1|11033|1,1|10004|0</v>
          </cell>
          <cell r="D2380" t="str">
            <v>主线副本 第130章 第9关道具奖励</v>
          </cell>
          <cell r="E2380" t="str">
            <v>3|43000|1|1,3|41096|1|1,3|41039|1|1</v>
          </cell>
        </row>
        <row r="2381">
          <cell r="A2381">
            <v>43387</v>
          </cell>
          <cell r="B2381">
            <v>0</v>
          </cell>
          <cell r="C2381" t="str">
            <v>1|14001|0,1|14107|0,1|11034|1,1|10112|0</v>
          </cell>
          <cell r="D2381" t="str">
            <v>主线副本 第130章 第10关道具奖励</v>
          </cell>
          <cell r="E2381" t="str">
            <v>3|43000|1|1,3|41097|1|1,3|41052|1|1</v>
          </cell>
        </row>
        <row r="2382">
          <cell r="A2382">
            <v>43388</v>
          </cell>
          <cell r="B2382">
            <v>0</v>
          </cell>
          <cell r="C2382" t="str">
            <v>1|14001|0,1|14107|0,1|10106|0</v>
          </cell>
          <cell r="D2382" t="str">
            <v>主线副本 第131章 第6关道具奖励</v>
          </cell>
          <cell r="E2382" t="str">
            <v>3|43000|1|1,3|41003|1|1</v>
          </cell>
        </row>
        <row r="2383">
          <cell r="A2383">
            <v>43389</v>
          </cell>
          <cell r="B2383">
            <v>0</v>
          </cell>
          <cell r="C2383" t="str">
            <v>1|14001|0,1|14107|0,1|11028|1,1|10116|0</v>
          </cell>
          <cell r="D2383" t="str">
            <v>主线副本 第131章 第9关道具奖励</v>
          </cell>
          <cell r="E2383" t="str">
            <v>3|43000|1|1,3|41091|1|1,3|41019|1|1</v>
          </cell>
        </row>
        <row r="2384">
          <cell r="A2384">
            <v>43390</v>
          </cell>
          <cell r="B2384">
            <v>0</v>
          </cell>
          <cell r="C2384" t="str">
            <v>1|14001|0,1|14107|0,1|11027|1,1|10114|0</v>
          </cell>
          <cell r="D2384" t="str">
            <v>主线副本 第131章 第10关道具奖励</v>
          </cell>
          <cell r="E2384" t="str">
            <v>3|43000|1|1,3|41090|1|1,3|41053|1|1</v>
          </cell>
        </row>
        <row r="2385">
          <cell r="A2385">
            <v>43391</v>
          </cell>
          <cell r="B2385">
            <v>0</v>
          </cell>
          <cell r="C2385" t="str">
            <v>1|14001|0,1|14107|0,1|10105|0</v>
          </cell>
          <cell r="D2385" t="str">
            <v>主线副本 第132章 第6关道具奖励</v>
          </cell>
          <cell r="E2385" t="str">
            <v>3|43000|1|1,3|41004|1|1</v>
          </cell>
        </row>
        <row r="2386">
          <cell r="A2386">
            <v>43392</v>
          </cell>
          <cell r="B2386">
            <v>0</v>
          </cell>
          <cell r="C2386" t="str">
            <v>1|14001|0,1|14107|0,1|11025|1,1|10026|0</v>
          </cell>
          <cell r="D2386" t="str">
            <v>主线副本 第132章 第9关道具奖励</v>
          </cell>
          <cell r="E2386" t="str">
            <v>3|43000|1|1,3|41088|1|1,3|41028|1|1</v>
          </cell>
        </row>
        <row r="2387">
          <cell r="A2387">
            <v>43393</v>
          </cell>
          <cell r="B2387">
            <v>0</v>
          </cell>
          <cell r="C2387" t="str">
            <v>1|14001|0,1|14107|0,1|11026|1,1|10011|0</v>
          </cell>
          <cell r="D2387" t="str">
            <v>主线副本 第132章 第10关道具奖励</v>
          </cell>
          <cell r="E2387" t="str">
            <v>3|43000|1|1,3|41089|1|1,3|41054|1|1</v>
          </cell>
        </row>
        <row r="2388">
          <cell r="A2388">
            <v>43998</v>
          </cell>
          <cell r="B2388">
            <v>1</v>
          </cell>
          <cell r="C2388" t="str">
            <v>[]</v>
          </cell>
          <cell r="D2388" t="str">
            <v>精英小怪副本点经验丹奖励</v>
          </cell>
          <cell r="E2388" t="str">
            <v>1|14001|2|30,1|14001|3|40,1|14001|4|30</v>
          </cell>
        </row>
        <row r="2389">
          <cell r="A2389">
            <v>43999</v>
          </cell>
          <cell r="B2389">
            <v>1</v>
          </cell>
          <cell r="C2389" t="str">
            <v>[]</v>
          </cell>
          <cell r="D2389" t="str">
            <v>精英小怪副本点进阶丹奖励</v>
          </cell>
          <cell r="E2389" t="str">
            <v>1|14107|2|50,1|14107|3|30,1|14107|4|20</v>
          </cell>
        </row>
        <row r="2390">
          <cell r="A2390">
            <v>44000</v>
          </cell>
          <cell r="B2390">
            <v>0</v>
          </cell>
          <cell r="C2390" t="str">
            <v>1|14001|0,1|14107|0</v>
          </cell>
          <cell r="D2390" t="str">
            <v>精英小怪副本点道具奖励</v>
          </cell>
          <cell r="E2390" t="str">
            <v>3|43998|1|1,3|43999|1|1</v>
          </cell>
        </row>
        <row r="2391">
          <cell r="A2391">
            <v>44001</v>
          </cell>
          <cell r="B2391">
            <v>0</v>
          </cell>
          <cell r="C2391" t="str">
            <v>1|14001|0,1|14107|0,2|2001|0</v>
          </cell>
          <cell r="D2391" t="str">
            <v>精英副本 第1章 第3关道具奖励</v>
          </cell>
          <cell r="E2391" t="str">
            <v>3|44000|1|1,3|41560|1|1</v>
          </cell>
        </row>
        <row r="2392">
          <cell r="A2392">
            <v>44002</v>
          </cell>
          <cell r="B2392">
            <v>0</v>
          </cell>
          <cell r="C2392" t="str">
            <v>1|14001|0,1|14107|0,2|2003|0</v>
          </cell>
          <cell r="D2392" t="str">
            <v>精英副本 第1章 第6关道具奖励</v>
          </cell>
          <cell r="E2392" t="str">
            <v>3|44000|1|1,3|41562|1|1</v>
          </cell>
        </row>
        <row r="2393">
          <cell r="A2393">
            <v>44003</v>
          </cell>
          <cell r="B2393">
            <v>0</v>
          </cell>
          <cell r="C2393" t="str">
            <v>1|14001|0,1|14107|0,2|2004|0</v>
          </cell>
          <cell r="D2393" t="str">
            <v>精英副本 第2章 第3关道具奖励</v>
          </cell>
          <cell r="E2393" t="str">
            <v>3|44000|1|1,3|41563|1|1</v>
          </cell>
        </row>
        <row r="2394">
          <cell r="A2394">
            <v>44004</v>
          </cell>
          <cell r="B2394">
            <v>0</v>
          </cell>
          <cell r="C2394" t="str">
            <v>1|14001|0,1|14107|0,2|2002|0</v>
          </cell>
          <cell r="D2394" t="str">
            <v>精英副本 第2章 第6关道具奖励</v>
          </cell>
          <cell r="E2394" t="str">
            <v>3|44000|1|1,3|41561|1|1</v>
          </cell>
        </row>
        <row r="2395">
          <cell r="A2395">
            <v>44005</v>
          </cell>
          <cell r="B2395">
            <v>0</v>
          </cell>
          <cell r="C2395" t="str">
            <v>1|14001|0,1|14107|0,2|2001|0,1|10404|0</v>
          </cell>
          <cell r="D2395" t="str">
            <v>精英副本 第3章 第6关道具奖励</v>
          </cell>
          <cell r="E2395" t="str">
            <v>3|44000|1|1,3|41560|1|1,3|41501|1|1</v>
          </cell>
        </row>
        <row r="2396">
          <cell r="A2396">
            <v>44006</v>
          </cell>
          <cell r="B2396">
            <v>0</v>
          </cell>
          <cell r="C2396" t="str">
            <v>1|14001|0,1|14107|0,2|2003|0,1|10030|0</v>
          </cell>
          <cell r="D2396" t="str">
            <v>精英副本 第3章 第9关道具奖励</v>
          </cell>
          <cell r="E2396" t="str">
            <v>3|44000|1|1,3|41562|1|1,3|41516|1|1</v>
          </cell>
        </row>
        <row r="2397">
          <cell r="A2397">
            <v>44007</v>
          </cell>
          <cell r="B2397">
            <v>0</v>
          </cell>
          <cell r="C2397" t="str">
            <v>1|14001|0,1|14107|0,1|10106|0</v>
          </cell>
          <cell r="D2397" t="str">
            <v>精英副本 第4章 第6关道具奖励</v>
          </cell>
          <cell r="E2397" t="str">
            <v>3|44000|1|1,3|41503|1|1</v>
          </cell>
        </row>
        <row r="2398">
          <cell r="A2398">
            <v>44008</v>
          </cell>
          <cell r="B2398">
            <v>0</v>
          </cell>
          <cell r="C2398" t="str">
            <v>1|14001|0,1|14107|0,2|2004|0,1|10018|0</v>
          </cell>
          <cell r="D2398" t="str">
            <v>精英副本 第4章 第9关道具奖励</v>
          </cell>
          <cell r="E2398" t="str">
            <v>3|44000|1|1,3|41563|1|1,3|41518|1|1</v>
          </cell>
        </row>
        <row r="2399">
          <cell r="A2399">
            <v>44009</v>
          </cell>
          <cell r="B2399">
            <v>0</v>
          </cell>
          <cell r="C2399" t="str">
            <v>1|14001|0,1|14107|0,2|2002|0,1|10004|0</v>
          </cell>
          <cell r="D2399" t="str">
            <v>精英副本 第4章 第10关道具奖励</v>
          </cell>
          <cell r="E2399" t="str">
            <v>3|44000|1|1,3|41561|1|1,3|41539|1|1</v>
          </cell>
        </row>
        <row r="2400">
          <cell r="A2400">
            <v>44010</v>
          </cell>
          <cell r="B2400">
            <v>0</v>
          </cell>
          <cell r="C2400" t="str">
            <v>1|14001|0,1|14107|0,1|10105|0</v>
          </cell>
          <cell r="D2400" t="str">
            <v>精英副本 第5章 第6关道具奖励</v>
          </cell>
          <cell r="E2400" t="str">
            <v>3|44000|1|1,3|41504|1|1</v>
          </cell>
        </row>
        <row r="2401">
          <cell r="A2401">
            <v>44011</v>
          </cell>
          <cell r="B2401">
            <v>0</v>
          </cell>
          <cell r="C2401" t="str">
            <v>1|14001|0,1|14107|0,1|11004|1,1|10126|0</v>
          </cell>
          <cell r="D2401" t="str">
            <v>精英副本 第5章 第9关道具奖励</v>
          </cell>
          <cell r="E2401" t="str">
            <v>3|44000|1|1,3|41567|1|1,3|41502|1|1</v>
          </cell>
        </row>
        <row r="2402">
          <cell r="A2402">
            <v>44012</v>
          </cell>
          <cell r="B2402">
            <v>0</v>
          </cell>
          <cell r="C2402" t="str">
            <v>1|14001|0,1|14107|0,1|11003|1,1|10116|0</v>
          </cell>
          <cell r="D2402" t="str">
            <v>精英副本 第5章 第10关道具奖励</v>
          </cell>
          <cell r="E2402" t="str">
            <v>3|44000|1|1,3|41566|1|1,3|41519|1|1</v>
          </cell>
        </row>
        <row r="2403">
          <cell r="A2403">
            <v>44013</v>
          </cell>
          <cell r="B2403">
            <v>0</v>
          </cell>
          <cell r="C2403" t="str">
            <v>1|14001|0,1|14107|0,1|10052|0</v>
          </cell>
          <cell r="D2403" t="str">
            <v>精英副本 第6章 第6关道具奖励</v>
          </cell>
          <cell r="E2403" t="str">
            <v>3|44000|1|1,3|41508|1|1</v>
          </cell>
        </row>
        <row r="2404">
          <cell r="A2404">
            <v>44014</v>
          </cell>
          <cell r="B2404">
            <v>0</v>
          </cell>
          <cell r="C2404" t="str">
            <v>1|14001|0,1|14107|0,1|11001|1,1|10104|0</v>
          </cell>
          <cell r="D2404" t="str">
            <v>精英副本 第6章 第9关道具奖励</v>
          </cell>
          <cell r="E2404" t="str">
            <v>3|44000|1|1,3|41564|1|1,3|41505|1|1</v>
          </cell>
        </row>
        <row r="2405">
          <cell r="A2405">
            <v>44015</v>
          </cell>
          <cell r="B2405">
            <v>0</v>
          </cell>
          <cell r="C2405" t="str">
            <v>1|14001|0,1|14107|0,1|11002|1,1|10026|0</v>
          </cell>
          <cell r="D2405" t="str">
            <v>精英副本 第6章 第10关道具奖励</v>
          </cell>
          <cell r="E2405" t="str">
            <v>3|44000|1|1,3|41565|1|1,3|41528|1|1</v>
          </cell>
        </row>
        <row r="2406">
          <cell r="A2406">
            <v>44016</v>
          </cell>
          <cell r="B2406">
            <v>0</v>
          </cell>
          <cell r="C2406" t="str">
            <v>1|14001|0,1|14107|0,1|10040|0</v>
          </cell>
          <cell r="D2406" t="str">
            <v>精英副本 第7章 第6关道具奖励</v>
          </cell>
          <cell r="E2406" t="str">
            <v>3|44000|1|1,3|41510|1|1</v>
          </cell>
        </row>
        <row r="2407">
          <cell r="A2407">
            <v>44017</v>
          </cell>
          <cell r="B2407">
            <v>0</v>
          </cell>
          <cell r="C2407" t="str">
            <v>1|14001|0,1|14107|0,1|11012|1,1|10103|0</v>
          </cell>
          <cell r="D2407" t="str">
            <v>精英副本 第7章 第9关道具奖励</v>
          </cell>
          <cell r="E2407" t="str">
            <v>3|44000|1|1,3|41575|1|1,3|41506|1|1</v>
          </cell>
        </row>
        <row r="2408">
          <cell r="A2408">
            <v>44018</v>
          </cell>
          <cell r="B2408">
            <v>0</v>
          </cell>
          <cell r="C2408" t="str">
            <v>1|14001|0,1|14107|0,1|11011|1,1|10031|0</v>
          </cell>
          <cell r="D2408" t="str">
            <v>精英副本 第7章 第10关道具奖励</v>
          </cell>
          <cell r="E2408" t="str">
            <v>3|44000|1|1,3|41574|1|1,3|41527|1|1</v>
          </cell>
        </row>
        <row r="2409">
          <cell r="A2409">
            <v>44019</v>
          </cell>
          <cell r="B2409">
            <v>0</v>
          </cell>
          <cell r="C2409" t="str">
            <v>1|14001|0,1|14107|0,1|10039|0</v>
          </cell>
          <cell r="D2409" t="str">
            <v>精英副本 第8章 第6关道具奖励</v>
          </cell>
          <cell r="E2409" t="str">
            <v>3|44000|1|1,3|41511|1|1</v>
          </cell>
        </row>
        <row r="2410">
          <cell r="A2410">
            <v>44020</v>
          </cell>
          <cell r="B2410">
            <v>0</v>
          </cell>
          <cell r="C2410" t="str">
            <v>1|14001|0,1|14107|0,1|11009|1,1|10092|0</v>
          </cell>
          <cell r="D2410" t="str">
            <v>精英副本 第8章 第9关道具奖励</v>
          </cell>
          <cell r="E2410" t="str">
            <v>3|44000|1|1,3|41572|1|1,3|41507|1|1</v>
          </cell>
        </row>
        <row r="2411">
          <cell r="A2411">
            <v>44021</v>
          </cell>
          <cell r="B2411">
            <v>0</v>
          </cell>
          <cell r="C2411" t="str">
            <v>1|14001|0,1|14107|0,1|11010|1,1|10101|0</v>
          </cell>
          <cell r="D2411" t="str">
            <v>精英副本 第8章 第10关道具奖励</v>
          </cell>
          <cell r="E2411" t="str">
            <v>3|44000|1|1,3|41573|1|1,3|41523|1|1</v>
          </cell>
        </row>
        <row r="2412">
          <cell r="A2412">
            <v>44022</v>
          </cell>
          <cell r="B2412">
            <v>0</v>
          </cell>
          <cell r="C2412" t="str">
            <v>1|14001|0,1|14107|0,1|10034|0</v>
          </cell>
          <cell r="D2412" t="str">
            <v>精英副本 第9章 第6关道具奖励</v>
          </cell>
          <cell r="E2412" t="str">
            <v>3|44000|1|1,3|41514|1|1</v>
          </cell>
        </row>
        <row r="2413">
          <cell r="A2413">
            <v>44023</v>
          </cell>
          <cell r="B2413">
            <v>0</v>
          </cell>
          <cell r="C2413" t="str">
            <v>1|14001|0,1|14107|0,1|11008|1,1|10041|0</v>
          </cell>
          <cell r="D2413" t="str">
            <v>精英副本 第9章 第9关道具奖励</v>
          </cell>
          <cell r="E2413" t="str">
            <v>3|44000|1|1,3|41571|1|1,3|41509|1|1</v>
          </cell>
        </row>
        <row r="2414">
          <cell r="A2414">
            <v>44024</v>
          </cell>
          <cell r="B2414">
            <v>0</v>
          </cell>
          <cell r="C2414" t="str">
            <v>1|14001|0,1|14107|0,1|11007|1,1|10108|0</v>
          </cell>
          <cell r="D2414" t="str">
            <v>精英副本 第9章 第10关道具奖励</v>
          </cell>
          <cell r="E2414" t="str">
            <v>3|44000|1|1,3|41570|1|1,3|41520|1|1</v>
          </cell>
        </row>
        <row r="2415">
          <cell r="A2415">
            <v>44025</v>
          </cell>
          <cell r="B2415">
            <v>0</v>
          </cell>
          <cell r="C2415" t="str">
            <v>1|14001|0,1|14107|0,1|10030|0</v>
          </cell>
          <cell r="D2415" t="str">
            <v>精英副本 第10章 第6关道具奖励</v>
          </cell>
          <cell r="E2415" t="str">
            <v>3|44000|1|1,3|41516|1|1</v>
          </cell>
        </row>
        <row r="2416">
          <cell r="A2416">
            <v>44026</v>
          </cell>
          <cell r="B2416">
            <v>0</v>
          </cell>
          <cell r="C2416" t="str">
            <v>1|14001|0,1|14107|0,1|11005|1,1|10038|0</v>
          </cell>
          <cell r="D2416" t="str">
            <v>精英副本 第10章 第9关道具奖励</v>
          </cell>
          <cell r="E2416" t="str">
            <v>3|44000|1|1,3|41568|1|1,3|41512|1|1</v>
          </cell>
        </row>
        <row r="2417">
          <cell r="A2417">
            <v>44027</v>
          </cell>
          <cell r="B2417">
            <v>0</v>
          </cell>
          <cell r="C2417" t="str">
            <v>1|14001|0,1|14107|0,1|11006|1,1|10022|0</v>
          </cell>
          <cell r="D2417" t="str">
            <v>精英副本 第10章 第10关道具奖励</v>
          </cell>
          <cell r="E2417" t="str">
            <v>3|44000|1|1,3|41569|1|1,3|41531|1|1</v>
          </cell>
        </row>
        <row r="2418">
          <cell r="A2418">
            <v>44028</v>
          </cell>
          <cell r="B2418">
            <v>0</v>
          </cell>
          <cell r="C2418" t="str">
            <v>1|14001|0,1|14107|0,1|10018|0</v>
          </cell>
          <cell r="D2418" t="str">
            <v>精英副本 第11章 第6关道具奖励</v>
          </cell>
          <cell r="E2418" t="str">
            <v>3|44000|1|1,3|41518|1|1</v>
          </cell>
        </row>
        <row r="2419">
          <cell r="A2419">
            <v>44029</v>
          </cell>
          <cell r="B2419">
            <v>0</v>
          </cell>
          <cell r="C2419" t="str">
            <v>1|14001|0,1|14107|0,1|11004|1,1|10036|0</v>
          </cell>
          <cell r="D2419" t="str">
            <v>精英副本 第11章 第9关道具奖励</v>
          </cell>
          <cell r="E2419" t="str">
            <v>3|44000|1|1,3|41567|1|1,3|41513|1|1</v>
          </cell>
        </row>
        <row r="2420">
          <cell r="A2420">
            <v>44030</v>
          </cell>
          <cell r="B2420">
            <v>0</v>
          </cell>
          <cell r="C2420" t="str">
            <v>1|14001|0,1|14107|0,1|11003|1,1|10107|0</v>
          </cell>
          <cell r="D2420" t="str">
            <v>精英副本 第11章 第10关道具奖励</v>
          </cell>
          <cell r="E2420" t="str">
            <v>3|44000|1|1,3|41566|1|1,3|41521|1|1</v>
          </cell>
        </row>
        <row r="2421">
          <cell r="A2421">
            <v>44031</v>
          </cell>
          <cell r="B2421">
            <v>0</v>
          </cell>
          <cell r="C2421" t="str">
            <v>1|14001|0,1|14107|0,1|10126|0</v>
          </cell>
          <cell r="D2421" t="str">
            <v>精英副本 第12章 第6关道具奖励</v>
          </cell>
          <cell r="E2421" t="str">
            <v>3|44000|1|1,3|41502|1|1</v>
          </cell>
        </row>
        <row r="2422">
          <cell r="A2422">
            <v>44032</v>
          </cell>
          <cell r="B2422">
            <v>0</v>
          </cell>
          <cell r="C2422" t="str">
            <v>1|14001|0,1|14107|0,1|11001|1,1|10033|0</v>
          </cell>
          <cell r="D2422" t="str">
            <v>精英副本 第12章 第9关道具奖励</v>
          </cell>
          <cell r="E2422" t="str">
            <v>3|44000|1|1,3|41564|1|1,3|41515|1|1</v>
          </cell>
        </row>
        <row r="2423">
          <cell r="A2423">
            <v>44033</v>
          </cell>
          <cell r="B2423">
            <v>0</v>
          </cell>
          <cell r="C2423" t="str">
            <v>1|14001|0,1|14107|0,1|11002|1,1|10009|0</v>
          </cell>
          <cell r="D2423" t="str">
            <v>精英副本 第12章 第10关道具奖励</v>
          </cell>
          <cell r="E2423" t="str">
            <v>3|44000|1|1,3|41565|1|1,3|41536|1|1</v>
          </cell>
        </row>
        <row r="2424">
          <cell r="A2424">
            <v>44034</v>
          </cell>
          <cell r="B2424">
            <v>0</v>
          </cell>
          <cell r="C2424" t="str">
            <v>1|14001|0,1|14107|0,1|10104|0</v>
          </cell>
          <cell r="D2424" t="str">
            <v>精英副本 第13章 第6关道具奖励</v>
          </cell>
          <cell r="E2424" t="str">
            <v>3|44000|1|1,3|41505|1|1</v>
          </cell>
        </row>
        <row r="2425">
          <cell r="A2425">
            <v>44035</v>
          </cell>
          <cell r="B2425">
            <v>0</v>
          </cell>
          <cell r="C2425" t="str">
            <v>1|14001|0,1|14107|0,1|11012|1,1|10010|0</v>
          </cell>
          <cell r="D2425" t="str">
            <v>精英副本 第13章 第9关道具奖励</v>
          </cell>
          <cell r="E2425" t="str">
            <v>3|44000|1|1,3|41575|1|1,3|41535|1|1</v>
          </cell>
        </row>
        <row r="2426">
          <cell r="A2426">
            <v>44036</v>
          </cell>
          <cell r="B2426">
            <v>0</v>
          </cell>
          <cell r="C2426" t="str">
            <v>1|14001|0,1|14107|0,1|11011|1,1|10003|0</v>
          </cell>
          <cell r="D2426" t="str">
            <v>精英副本 第13章 第10关道具奖励</v>
          </cell>
          <cell r="E2426" t="str">
            <v>3|44000|1|1,3|41574|1|1,3|41540|1|1</v>
          </cell>
        </row>
        <row r="2427">
          <cell r="A2427">
            <v>44037</v>
          </cell>
          <cell r="B2427">
            <v>0</v>
          </cell>
          <cell r="C2427" t="str">
            <v>1|14001|0,1|14107|0,1|10103|0</v>
          </cell>
          <cell r="D2427" t="str">
            <v>精英副本 第14章 第6关道具奖励</v>
          </cell>
          <cell r="E2427" t="str">
            <v>3|44000|1|1,3|41506|1|1</v>
          </cell>
        </row>
        <row r="2428">
          <cell r="A2428">
            <v>44038</v>
          </cell>
          <cell r="B2428">
            <v>0</v>
          </cell>
          <cell r="C2428" t="str">
            <v>1|14001|0,1|14107|0,1|11009|1,1|10006|0</v>
          </cell>
          <cell r="D2428" t="str">
            <v>精英副本 第14章 第9关道具奖励</v>
          </cell>
          <cell r="E2428" t="str">
            <v>3|44000|1|1,3|41572|1|1,3|41538|1|1</v>
          </cell>
        </row>
        <row r="2429">
          <cell r="A2429">
            <v>44039</v>
          </cell>
          <cell r="B2429">
            <v>0</v>
          </cell>
          <cell r="C2429" t="str">
            <v>1|14001|0,1|14107|0,1|11010|1,1|10119|0</v>
          </cell>
          <cell r="D2429" t="str">
            <v>精英副本 第14章 第10关道具奖励</v>
          </cell>
          <cell r="E2429" t="str">
            <v>3|44000|1|1,3|41573|1|1,3|41541|1|1</v>
          </cell>
        </row>
        <row r="2430">
          <cell r="A2430">
            <v>44040</v>
          </cell>
          <cell r="B2430">
            <v>0</v>
          </cell>
          <cell r="C2430" t="str">
            <v>1|14001|0,1|14107|0,1|10092|0</v>
          </cell>
          <cell r="D2430" t="str">
            <v>精英副本 第15章 第6关道具奖励</v>
          </cell>
          <cell r="E2430" t="str">
            <v>3|44000|1|1,3|41507|1|1</v>
          </cell>
        </row>
        <row r="2431">
          <cell r="A2431">
            <v>44041</v>
          </cell>
          <cell r="B2431">
            <v>0</v>
          </cell>
          <cell r="C2431" t="str">
            <v>1|14001|0,1|14107|0,1|11008|1,1|10102|0</v>
          </cell>
          <cell r="D2431" t="str">
            <v>精英副本 第15章 第9关道具奖励</v>
          </cell>
          <cell r="E2431" t="str">
            <v>3|44000|1|1,3|41571|1|1,3|41522|1|1</v>
          </cell>
        </row>
        <row r="2432">
          <cell r="A2432">
            <v>44042</v>
          </cell>
          <cell r="B2432">
            <v>0</v>
          </cell>
          <cell r="C2432" t="str">
            <v>1|14001|0,1|14107|0,1|11007|1,1|10015|0</v>
          </cell>
          <cell r="D2432" t="str">
            <v>精英副本 第15章 第10关道具奖励</v>
          </cell>
          <cell r="E2432" t="str">
            <v>3|44000|1|1,3|41570|1|1,3|41542|1|1</v>
          </cell>
        </row>
        <row r="2433">
          <cell r="A2433">
            <v>44043</v>
          </cell>
          <cell r="B2433">
            <v>0</v>
          </cell>
          <cell r="C2433" t="str">
            <v>1|14001|0,1|14107|0,1|10041|0</v>
          </cell>
          <cell r="D2433" t="str">
            <v>精英副本 第16章 第6关道具奖励</v>
          </cell>
          <cell r="E2433" t="str">
            <v>3|44000|1|1,3|41509|1|1</v>
          </cell>
        </row>
        <row r="2434">
          <cell r="A2434">
            <v>44044</v>
          </cell>
          <cell r="B2434">
            <v>0</v>
          </cell>
          <cell r="C2434" t="str">
            <v>1|14001|0,1|14107|0,1|11005|1,1|10023|0</v>
          </cell>
          <cell r="D2434" t="str">
            <v>精英副本 第16章 第9关道具奖励</v>
          </cell>
          <cell r="E2434" t="str">
            <v>3|44000|1|1,3|41568|1|1,3|41530|1|1</v>
          </cell>
        </row>
        <row r="2435">
          <cell r="A2435">
            <v>44045</v>
          </cell>
          <cell r="B2435">
            <v>0</v>
          </cell>
          <cell r="C2435" t="str">
            <v>1|14001|0,1|14107|0,1|11006|1,1|10115|0</v>
          </cell>
          <cell r="D2435" t="str">
            <v>精英副本 第16章 第10关道具奖励</v>
          </cell>
          <cell r="E2435" t="str">
            <v>3|44000|1|1,3|41569|1|1,3|41543|1|1</v>
          </cell>
        </row>
        <row r="2436">
          <cell r="A2436">
            <v>44046</v>
          </cell>
          <cell r="B2436">
            <v>0</v>
          </cell>
          <cell r="C2436" t="str">
            <v>1|14001|0,1|14107|0,1|10038|0</v>
          </cell>
          <cell r="D2436" t="str">
            <v>精英副本 第17章 第6关道具奖励</v>
          </cell>
          <cell r="E2436" t="str">
            <v>3|44000|1|1,3|41512|1|1</v>
          </cell>
        </row>
        <row r="2437">
          <cell r="A2437">
            <v>44047</v>
          </cell>
          <cell r="B2437">
            <v>0</v>
          </cell>
          <cell r="C2437" t="str">
            <v>1|14001|0,1|14107|0,1|11016|1,1|10017|0</v>
          </cell>
          <cell r="D2437" t="str">
            <v>精英副本 第17章 第9关道具奖励</v>
          </cell>
          <cell r="E2437" t="str">
            <v>3|44000|1|1,3|41579|1|1,3|41532|1|1</v>
          </cell>
        </row>
        <row r="2438">
          <cell r="A2438">
            <v>44048</v>
          </cell>
          <cell r="B2438">
            <v>0</v>
          </cell>
          <cell r="C2438" t="str">
            <v>1|14001|0,1|14107|0,1|11015|1,1|10012|0</v>
          </cell>
          <cell r="D2438" t="str">
            <v>精英副本 第17章 第10关道具奖励</v>
          </cell>
          <cell r="E2438" t="str">
            <v>3|44000|1|1,3|41578|1|1,3|41544|1|1</v>
          </cell>
        </row>
        <row r="2439">
          <cell r="A2439">
            <v>44049</v>
          </cell>
          <cell r="B2439">
            <v>0</v>
          </cell>
          <cell r="C2439" t="str">
            <v>1|14001|0,1|14107|0,1|10036|0</v>
          </cell>
          <cell r="D2439" t="str">
            <v>精英副本 第18章 第6关道具奖励</v>
          </cell>
          <cell r="E2439" t="str">
            <v>3|44000|1|1,3|41513|1|1</v>
          </cell>
        </row>
        <row r="2440">
          <cell r="A2440">
            <v>44050</v>
          </cell>
          <cell r="B2440">
            <v>0</v>
          </cell>
          <cell r="C2440" t="str">
            <v>1|14001|0,1|14107|0,1|11013|1,1|10014|0</v>
          </cell>
          <cell r="D2440" t="str">
            <v>精英副本 第18章 第9关道具奖励</v>
          </cell>
          <cell r="E2440" t="str">
            <v>3|44000|1|1,3|41576|1|1,3|41534|1|1</v>
          </cell>
        </row>
        <row r="2441">
          <cell r="A2441">
            <v>44051</v>
          </cell>
          <cell r="B2441">
            <v>0</v>
          </cell>
          <cell r="C2441" t="str">
            <v>1|14001|0,1|14107|0,1|11014|1,1|10113|0</v>
          </cell>
          <cell r="D2441" t="str">
            <v>精英副本 第18章 第10关道具奖励</v>
          </cell>
          <cell r="E2441" t="str">
            <v>3|44000|1|1,3|41577|1|1,3|41545|1|1</v>
          </cell>
        </row>
        <row r="2442">
          <cell r="A2442">
            <v>44052</v>
          </cell>
          <cell r="B2442">
            <v>0</v>
          </cell>
          <cell r="C2442" t="str">
            <v>1|14001|0,1|14107|0,1|10033|0</v>
          </cell>
          <cell r="D2442" t="str">
            <v>精英副本 第19章 第6关道具奖励</v>
          </cell>
          <cell r="E2442" t="str">
            <v>3|44000|1|1,3|41515|1|1</v>
          </cell>
        </row>
        <row r="2443">
          <cell r="A2443">
            <v>44053</v>
          </cell>
          <cell r="B2443">
            <v>0</v>
          </cell>
          <cell r="C2443" t="str">
            <v>1|14001|0,1|14107|0,1|11020|1,1|10025|0</v>
          </cell>
          <cell r="D2443" t="str">
            <v>精英副本 第19章 第9关道具奖励</v>
          </cell>
          <cell r="E2443" t="str">
            <v>3|44000|1|1,3|41583|1|1,3|41529|1|1</v>
          </cell>
        </row>
        <row r="2444">
          <cell r="A2444">
            <v>44054</v>
          </cell>
          <cell r="B2444">
            <v>0</v>
          </cell>
          <cell r="C2444" t="str">
            <v>1|14001|0,1|14107|0,1|11019|1,1|10020|0</v>
          </cell>
          <cell r="D2444" t="str">
            <v>精英副本 第19章 第10关道具奖励</v>
          </cell>
          <cell r="E2444" t="str">
            <v>3|44000|1|1,3|41582|1|1,3|41546|1|1</v>
          </cell>
        </row>
        <row r="2445">
          <cell r="A2445">
            <v>44055</v>
          </cell>
          <cell r="B2445">
            <v>0</v>
          </cell>
          <cell r="C2445" t="str">
            <v>1|14001|0,1|14107|0,1|10028|0</v>
          </cell>
          <cell r="D2445" t="str">
            <v>精英副本 第20章 第6关道具奖励</v>
          </cell>
          <cell r="E2445" t="str">
            <v>3|44000|1|1,3|41517|1|1</v>
          </cell>
        </row>
        <row r="2446">
          <cell r="A2446">
            <v>44056</v>
          </cell>
          <cell r="B2446">
            <v>0</v>
          </cell>
          <cell r="C2446" t="str">
            <v>1|14001|0,1|14107|0,1|11017|1,1|10007|0</v>
          </cell>
          <cell r="D2446" t="str">
            <v>精英副本 第20章 第9关道具奖励</v>
          </cell>
          <cell r="E2446" t="str">
            <v>3|44000|1|1,3|41580|1|1,3|41537|1|1</v>
          </cell>
        </row>
        <row r="2447">
          <cell r="A2447">
            <v>44057</v>
          </cell>
          <cell r="B2447">
            <v>0</v>
          </cell>
          <cell r="C2447" t="str">
            <v>1|14001|0,1|14107|0,1|11018|1,1|10013|0</v>
          </cell>
          <cell r="D2447" t="str">
            <v>精英副本 第20章 第10关道具奖励</v>
          </cell>
          <cell r="E2447" t="str">
            <v>3|44000|1|1,3|41581|1|1,3|41547|1|1</v>
          </cell>
        </row>
        <row r="2448">
          <cell r="A2448">
            <v>44058</v>
          </cell>
          <cell r="B2448">
            <v>0</v>
          </cell>
          <cell r="C2448" t="str">
            <v>1|14001|0,1|14107|0,1|10404|0</v>
          </cell>
          <cell r="D2448" t="str">
            <v>精英副本 第21章 第6关道具奖励</v>
          </cell>
          <cell r="E2448" t="str">
            <v>3|44000|1|1,3|41501|1|1</v>
          </cell>
        </row>
        <row r="2449">
          <cell r="A2449">
            <v>44059</v>
          </cell>
          <cell r="B2449">
            <v>0</v>
          </cell>
          <cell r="C2449" t="str">
            <v>1|14001|0,1|14107|0,1|11024|1,1|10032|0</v>
          </cell>
          <cell r="D2449" t="str">
            <v>精英副本 第21章 第9关道具奖励</v>
          </cell>
          <cell r="E2449" t="str">
            <v>3|44000|1|1,3|41587|1|1,3|41526|1|1</v>
          </cell>
        </row>
        <row r="2450">
          <cell r="A2450">
            <v>44060</v>
          </cell>
          <cell r="B2450">
            <v>0</v>
          </cell>
          <cell r="C2450" t="str">
            <v>1|14001|0,1|14107|0,1|11023|1,1|10008|0</v>
          </cell>
          <cell r="D2450" t="str">
            <v>精英副本 第21章 第10关道具奖励</v>
          </cell>
          <cell r="E2450" t="str">
            <v>3|44000|1|1,3|41586|1|1,3|41548|1|1</v>
          </cell>
        </row>
        <row r="2451">
          <cell r="A2451">
            <v>44061</v>
          </cell>
          <cell r="B2451">
            <v>0</v>
          </cell>
          <cell r="C2451" t="str">
            <v>1|14001|0,1|14107|0,1|10106|0</v>
          </cell>
          <cell r="D2451" t="str">
            <v>精英副本 第22章 第6关道具奖励</v>
          </cell>
          <cell r="E2451" t="str">
            <v>3|44000|1|1,3|41503|1|1</v>
          </cell>
        </row>
        <row r="2452">
          <cell r="A2452">
            <v>44062</v>
          </cell>
          <cell r="B2452">
            <v>0</v>
          </cell>
          <cell r="C2452" t="str">
            <v>1|14001|0,1|14107|0,1|11021|1,1|10035|0</v>
          </cell>
          <cell r="D2452" t="str">
            <v>精英副本 第22章 第9关道具奖励</v>
          </cell>
          <cell r="E2452" t="str">
            <v>3|44000|1|1,3|41584|1|1,3|41525|1|1</v>
          </cell>
        </row>
        <row r="2453">
          <cell r="A2453">
            <v>44063</v>
          </cell>
          <cell r="B2453">
            <v>0</v>
          </cell>
          <cell r="C2453" t="str">
            <v>1|14001|0,1|14107|0,1|11022|1,1|10027|0</v>
          </cell>
          <cell r="D2453" t="str">
            <v>精英副本 第22章 第10关道具奖励</v>
          </cell>
          <cell r="E2453" t="str">
            <v>3|44000|1|1,3|41585|1|1,3|41549|1|1</v>
          </cell>
        </row>
        <row r="2454">
          <cell r="A2454">
            <v>44064</v>
          </cell>
          <cell r="B2454">
            <v>0</v>
          </cell>
          <cell r="C2454" t="str">
            <v>1|14001|0,1|14107|0,1|10105|0</v>
          </cell>
          <cell r="D2454" t="str">
            <v>精英副本 第23章 第6关道具奖励</v>
          </cell>
          <cell r="E2454" t="str">
            <v>3|44000|1|1,3|41504|1|1</v>
          </cell>
        </row>
        <row r="2455">
          <cell r="A2455">
            <v>44065</v>
          </cell>
          <cell r="B2455">
            <v>0</v>
          </cell>
          <cell r="C2455" t="str">
            <v>1|14001|0,1|14107|0,1|11016|1,1|10037|0</v>
          </cell>
          <cell r="D2455" t="str">
            <v>精英副本 第23章 第9关道具奖励</v>
          </cell>
          <cell r="E2455" t="str">
            <v>3|44000|1|1,3|41579|1|1,3|41524|1|1</v>
          </cell>
        </row>
        <row r="2456">
          <cell r="A2456">
            <v>44066</v>
          </cell>
          <cell r="B2456">
            <v>0</v>
          </cell>
          <cell r="C2456" t="str">
            <v>1|14001|0,1|14107|0,1|11015|1,1|10118|0</v>
          </cell>
          <cell r="D2456" t="str">
            <v>精英副本 第23章 第10关道具奖励</v>
          </cell>
          <cell r="E2456" t="str">
            <v>3|44000|1|1,3|41578|1|1,3|41550|1|1</v>
          </cell>
        </row>
        <row r="2457">
          <cell r="A2457">
            <v>44067</v>
          </cell>
          <cell r="B2457">
            <v>0</v>
          </cell>
          <cell r="C2457" t="str">
            <v>1|14001|0,1|14107|0,1|10052|0</v>
          </cell>
          <cell r="D2457" t="str">
            <v>精英副本 第24章 第6关道具奖励</v>
          </cell>
          <cell r="E2457" t="str">
            <v>3|44000|1|1,3|41508|1|1</v>
          </cell>
        </row>
        <row r="2458">
          <cell r="A2458">
            <v>44068</v>
          </cell>
          <cell r="B2458">
            <v>0</v>
          </cell>
          <cell r="C2458" t="str">
            <v>1|14001|0,1|14107|0,1|11013|1,1|10016|0</v>
          </cell>
          <cell r="D2458" t="str">
            <v>精英副本 第24章 第9关道具奖励</v>
          </cell>
          <cell r="E2458" t="str">
            <v>3|44000|1|1,3|41576|1|1,3|41533|1|1</v>
          </cell>
        </row>
        <row r="2459">
          <cell r="A2459">
            <v>44069</v>
          </cell>
          <cell r="B2459">
            <v>0</v>
          </cell>
          <cell r="C2459" t="str">
            <v>1|14001|0,1|14107|0,1|11014|1,1|10002|0</v>
          </cell>
          <cell r="D2459" t="str">
            <v>精英副本 第24章 第10关道具奖励</v>
          </cell>
          <cell r="E2459" t="str">
            <v>3|44000|1|1,3|41577|1|1,3|41551|1|1</v>
          </cell>
        </row>
        <row r="2460">
          <cell r="A2460">
            <v>44070</v>
          </cell>
          <cell r="B2460">
            <v>0</v>
          </cell>
          <cell r="C2460" t="str">
            <v>1|14001|0,1|14107|0,1|10040|0</v>
          </cell>
          <cell r="D2460" t="str">
            <v>精英副本 第25章 第6关道具奖励</v>
          </cell>
          <cell r="E2460" t="str">
            <v>3|44000|1|1,3|41510|1|1</v>
          </cell>
        </row>
        <row r="2461">
          <cell r="A2461">
            <v>44071</v>
          </cell>
          <cell r="B2461">
            <v>0</v>
          </cell>
          <cell r="C2461" t="str">
            <v>1|14001|0,1|14107|0,1|11020|1,1|10004|0</v>
          </cell>
          <cell r="D2461" t="str">
            <v>精英副本 第25章 第9关道具奖励</v>
          </cell>
          <cell r="E2461" t="str">
            <v>3|44000|1|1,3|41583|1|1,3|41539|1|1</v>
          </cell>
        </row>
        <row r="2462">
          <cell r="A2462">
            <v>44072</v>
          </cell>
          <cell r="B2462">
            <v>0</v>
          </cell>
          <cell r="C2462" t="str">
            <v>1|14001|0,1|14107|0,1|11019|1,1|10112|0</v>
          </cell>
          <cell r="D2462" t="str">
            <v>精英副本 第25章 第10关道具奖励</v>
          </cell>
          <cell r="E2462" t="str">
            <v>3|44000|1|1,3|41582|1|1,3|41552|1|1</v>
          </cell>
        </row>
        <row r="2463">
          <cell r="A2463">
            <v>44073</v>
          </cell>
          <cell r="B2463">
            <v>0</v>
          </cell>
          <cell r="C2463" t="str">
            <v>1|14001|0,1|14107|0,1|10039|0</v>
          </cell>
          <cell r="D2463" t="str">
            <v>精英副本 第26章 第6关道具奖励</v>
          </cell>
          <cell r="E2463" t="str">
            <v>3|44000|1|1,3|41511|1|1</v>
          </cell>
        </row>
        <row r="2464">
          <cell r="A2464">
            <v>44074</v>
          </cell>
          <cell r="B2464">
            <v>0</v>
          </cell>
          <cell r="C2464" t="str">
            <v>1|14001|0,1|14107|0,1|11017|1,1|10116|0</v>
          </cell>
          <cell r="D2464" t="str">
            <v>精英副本 第26章 第9关道具奖励</v>
          </cell>
          <cell r="E2464" t="str">
            <v>3|44000|1|1,3|41580|1|1,3|41519|1|1</v>
          </cell>
        </row>
        <row r="2465">
          <cell r="A2465">
            <v>44075</v>
          </cell>
          <cell r="B2465">
            <v>0</v>
          </cell>
          <cell r="C2465" t="str">
            <v>1|14001|0,1|14107|0,1|11018|1,1|10114|0</v>
          </cell>
          <cell r="D2465" t="str">
            <v>精英副本 第26章 第10关道具奖励</v>
          </cell>
          <cell r="E2465" t="str">
            <v>3|44000|1|1,3|41581|1|1,3|41553|1|1</v>
          </cell>
        </row>
        <row r="2466">
          <cell r="A2466">
            <v>44076</v>
          </cell>
          <cell r="B2466">
            <v>0</v>
          </cell>
          <cell r="C2466" t="str">
            <v>1|14001|0,1|14107|0,1|10034|0</v>
          </cell>
          <cell r="D2466" t="str">
            <v>精英副本 第27章 第6关道具奖励</v>
          </cell>
          <cell r="E2466" t="str">
            <v>3|44000|1|1,3|41514|1|1</v>
          </cell>
        </row>
        <row r="2467">
          <cell r="A2467">
            <v>44077</v>
          </cell>
          <cell r="B2467">
            <v>0</v>
          </cell>
          <cell r="C2467" t="str">
            <v>1|14001|0,1|14107|0,1|11024|1,1|10026|0</v>
          </cell>
          <cell r="D2467" t="str">
            <v>精英副本 第27章 第9关道具奖励</v>
          </cell>
          <cell r="E2467" t="str">
            <v>3|44000|1|1,3|41587|1|1,3|41528|1|1</v>
          </cell>
        </row>
        <row r="2468">
          <cell r="A2468">
            <v>44078</v>
          </cell>
          <cell r="B2468">
            <v>0</v>
          </cell>
          <cell r="C2468" t="str">
            <v>1|14001|0,1|14107|0,1|11023|1,1|10011|0</v>
          </cell>
          <cell r="D2468" t="str">
            <v>精英副本 第27章 第10关道具奖励</v>
          </cell>
          <cell r="E2468" t="str">
            <v>3|44000|1|1,3|41586|1|1,3|41554|1|1</v>
          </cell>
        </row>
        <row r="2469">
          <cell r="A2469">
            <v>44079</v>
          </cell>
          <cell r="B2469">
            <v>0</v>
          </cell>
          <cell r="C2469" t="str">
            <v>1|14001|0,1|14107|0,1|10030|0</v>
          </cell>
          <cell r="D2469" t="str">
            <v>精英副本 第28章 第6关道具奖励</v>
          </cell>
          <cell r="E2469" t="str">
            <v>3|44000|1|1,3|41516|1|1</v>
          </cell>
        </row>
        <row r="2470">
          <cell r="A2470">
            <v>44080</v>
          </cell>
          <cell r="B2470">
            <v>0</v>
          </cell>
          <cell r="C2470" t="str">
            <v>1|14001|0,1|14107|0,1|11021|1,1|10031|0</v>
          </cell>
          <cell r="D2470" t="str">
            <v>精英副本 第28章 第9关道具奖励</v>
          </cell>
          <cell r="E2470" t="str">
            <v>3|44000|1|1,3|41584|1|1,3|41527|1|1</v>
          </cell>
        </row>
        <row r="2471">
          <cell r="A2471">
            <v>44081</v>
          </cell>
          <cell r="B2471">
            <v>0</v>
          </cell>
          <cell r="C2471" t="str">
            <v>1|14001|0,1|14107|0,1|11022|1,1|10003|0</v>
          </cell>
          <cell r="D2471" t="str">
            <v>精英副本 第28章 第10关道具奖励</v>
          </cell>
          <cell r="E2471" t="str">
            <v>3|44000|1|1,3|41585|1|1,3|41540|1|1</v>
          </cell>
        </row>
        <row r="2472">
          <cell r="A2472">
            <v>44082</v>
          </cell>
          <cell r="B2472">
            <v>0</v>
          </cell>
          <cell r="C2472" t="str">
            <v>1|14001|0,1|14107|0,1|10018|0</v>
          </cell>
          <cell r="D2472" t="str">
            <v>精英副本 第29章 第6关道具奖励</v>
          </cell>
          <cell r="E2472" t="str">
            <v>3|44000|1|1,3|41518|1|1</v>
          </cell>
        </row>
        <row r="2473">
          <cell r="A2473">
            <v>44083</v>
          </cell>
          <cell r="B2473">
            <v>0</v>
          </cell>
          <cell r="C2473" t="str">
            <v>1|14001|0,1|14107|0,1|11016|1,1|10101|0</v>
          </cell>
          <cell r="D2473" t="str">
            <v>精英副本 第29章 第9关道具奖励</v>
          </cell>
          <cell r="E2473" t="str">
            <v>3|44000|1|1,3|41579|1|1,3|41523|1|1</v>
          </cell>
        </row>
        <row r="2474">
          <cell r="A2474">
            <v>44084</v>
          </cell>
          <cell r="B2474">
            <v>0</v>
          </cell>
          <cell r="C2474" t="str">
            <v>1|14001|0,1|14107|0,1|11015|1,1|10119|0</v>
          </cell>
          <cell r="D2474" t="str">
            <v>精英副本 第29章 第10关道具奖励</v>
          </cell>
          <cell r="E2474" t="str">
            <v>3|44000|1|1,3|41578|1|1,3|41541|1|1</v>
          </cell>
        </row>
        <row r="2475">
          <cell r="A2475">
            <v>44085</v>
          </cell>
          <cell r="B2475">
            <v>0</v>
          </cell>
          <cell r="C2475" t="str">
            <v>1|14001|0,1|14107|0,1|10126|0</v>
          </cell>
          <cell r="D2475" t="str">
            <v>精英副本 第30章 第6关道具奖励</v>
          </cell>
          <cell r="E2475" t="str">
            <v>3|44000|1|1,3|41502|1|1</v>
          </cell>
        </row>
        <row r="2476">
          <cell r="A2476">
            <v>44086</v>
          </cell>
          <cell r="B2476">
            <v>0</v>
          </cell>
          <cell r="C2476" t="str">
            <v>1|14001|0,1|14107|0,1|11013|1,1|10108|0</v>
          </cell>
          <cell r="D2476" t="str">
            <v>精英副本 第30章 第9关道具奖励</v>
          </cell>
          <cell r="E2476" t="str">
            <v>3|44000|1|1,3|41576|1|1,3|41520|1|1</v>
          </cell>
        </row>
        <row r="2477">
          <cell r="A2477">
            <v>44087</v>
          </cell>
          <cell r="B2477">
            <v>0</v>
          </cell>
          <cell r="C2477" t="str">
            <v>1|14001|0,1|14107|0,1|11014|1,1|10015|0</v>
          </cell>
          <cell r="D2477" t="str">
            <v>精英副本 第30章 第10关道具奖励</v>
          </cell>
          <cell r="E2477" t="str">
            <v>3|44000|1|1,3|41577|1|1,3|41542|1|1</v>
          </cell>
        </row>
        <row r="2478">
          <cell r="A2478">
            <v>44088</v>
          </cell>
          <cell r="B2478">
            <v>0</v>
          </cell>
          <cell r="C2478" t="str">
            <v>1|14001|0,1|14107|0,1|10104|0</v>
          </cell>
          <cell r="D2478" t="str">
            <v>精英副本 第31章 第6关道具奖励</v>
          </cell>
          <cell r="E2478" t="str">
            <v>3|44000|1|1,3|41505|1|1</v>
          </cell>
        </row>
        <row r="2479">
          <cell r="A2479">
            <v>44089</v>
          </cell>
          <cell r="B2479">
            <v>0</v>
          </cell>
          <cell r="C2479" t="str">
            <v>1|14001|0,1|14107|0,1|11020|1,1|10022|0</v>
          </cell>
          <cell r="D2479" t="str">
            <v>精英副本 第31章 第9关道具奖励</v>
          </cell>
          <cell r="E2479" t="str">
            <v>3|44000|1|1,3|41583|1|1,3|41531|1|1</v>
          </cell>
        </row>
        <row r="2480">
          <cell r="A2480">
            <v>44090</v>
          </cell>
          <cell r="B2480">
            <v>0</v>
          </cell>
          <cell r="C2480" t="str">
            <v>1|14001|0,1|14107|0,1|11019|1,1|10115|0</v>
          </cell>
          <cell r="D2480" t="str">
            <v>精英副本 第31章 第10关道具奖励</v>
          </cell>
          <cell r="E2480" t="str">
            <v>3|44000|1|1,3|41582|1|1,3|41543|1|1</v>
          </cell>
        </row>
        <row r="2481">
          <cell r="A2481">
            <v>44091</v>
          </cell>
          <cell r="B2481">
            <v>0</v>
          </cell>
          <cell r="C2481" t="str">
            <v>1|14001|0,1|14107|0,1|10103|0</v>
          </cell>
          <cell r="D2481" t="str">
            <v>精英副本 第32章 第6关道具奖励</v>
          </cell>
          <cell r="E2481" t="str">
            <v>3|44000|1|1,3|41506|1|1</v>
          </cell>
        </row>
        <row r="2482">
          <cell r="A2482">
            <v>44092</v>
          </cell>
          <cell r="B2482">
            <v>0</v>
          </cell>
          <cell r="C2482" t="str">
            <v>1|14001|0,1|14107|0,1|11017|1,1|10107|0</v>
          </cell>
          <cell r="D2482" t="str">
            <v>精英副本 第32章 第9关道具奖励</v>
          </cell>
          <cell r="E2482" t="str">
            <v>3|44000|1|1,3|41580|1|1,3|41521|1|1</v>
          </cell>
        </row>
        <row r="2483">
          <cell r="A2483">
            <v>44093</v>
          </cell>
          <cell r="B2483">
            <v>0</v>
          </cell>
          <cell r="C2483" t="str">
            <v>1|14001|0,1|14107|0,1|11018|1,1|10012|0</v>
          </cell>
          <cell r="D2483" t="str">
            <v>精英副本 第32章 第10关道具奖励</v>
          </cell>
          <cell r="E2483" t="str">
            <v>3|44000|1|1,3|41581|1|1,3|41544|1|1</v>
          </cell>
        </row>
        <row r="2484">
          <cell r="A2484">
            <v>44094</v>
          </cell>
          <cell r="B2484">
            <v>0</v>
          </cell>
          <cell r="C2484" t="str">
            <v>1|14001|0,1|14107|0,1|10092|0</v>
          </cell>
          <cell r="D2484" t="str">
            <v>精英副本 第33章 第6关道具奖励</v>
          </cell>
          <cell r="E2484" t="str">
            <v>3|44000|1|1,3|41507|1|1</v>
          </cell>
        </row>
        <row r="2485">
          <cell r="A2485">
            <v>44095</v>
          </cell>
          <cell r="B2485">
            <v>0</v>
          </cell>
          <cell r="C2485" t="str">
            <v>1|14001|0,1|14107|0,1|11024|1,1|10009|0</v>
          </cell>
          <cell r="D2485" t="str">
            <v>精英副本 第33章 第9关道具奖励</v>
          </cell>
          <cell r="E2485" t="str">
            <v>3|44000|1|1,3|41587|1|1,3|41536|1|1</v>
          </cell>
        </row>
        <row r="2486">
          <cell r="A2486">
            <v>44096</v>
          </cell>
          <cell r="B2486">
            <v>0</v>
          </cell>
          <cell r="C2486" t="str">
            <v>1|14001|0,1|14107|0,1|11023|1,1|10113|0</v>
          </cell>
          <cell r="D2486" t="str">
            <v>精英副本 第33章 第10关道具奖励</v>
          </cell>
          <cell r="E2486" t="str">
            <v>3|44000|1|1,3|41586|1|1,3|41545|1|1</v>
          </cell>
        </row>
        <row r="2487">
          <cell r="A2487">
            <v>44097</v>
          </cell>
          <cell r="B2487">
            <v>0</v>
          </cell>
          <cell r="C2487" t="str">
            <v>1|14001|0,1|14107|0,1|10041|0</v>
          </cell>
          <cell r="D2487" t="str">
            <v>精英副本 第34章 第6关道具奖励</v>
          </cell>
          <cell r="E2487" t="str">
            <v>3|44000|1|1,3|41509|1|1</v>
          </cell>
        </row>
        <row r="2488">
          <cell r="A2488">
            <v>44098</v>
          </cell>
          <cell r="B2488">
            <v>0</v>
          </cell>
          <cell r="C2488" t="str">
            <v>1|14001|0,1|14107|0,1|11021|1,1|10010|0</v>
          </cell>
          <cell r="D2488" t="str">
            <v>精英副本 第34章 第9关道具奖励</v>
          </cell>
          <cell r="E2488" t="str">
            <v>3|44000|1|1,3|41584|1|1,3|41535|1|1</v>
          </cell>
        </row>
        <row r="2489">
          <cell r="A2489">
            <v>44099</v>
          </cell>
          <cell r="B2489">
            <v>0</v>
          </cell>
          <cell r="C2489" t="str">
            <v>1|14001|0,1|14107|0,1|11022|1,1|10020|0</v>
          </cell>
          <cell r="D2489" t="str">
            <v>精英副本 第34章 第10关道具奖励</v>
          </cell>
          <cell r="E2489" t="str">
            <v>3|44000|1|1,3|41585|1|1,3|41546|1|1</v>
          </cell>
        </row>
        <row r="2490">
          <cell r="A2490">
            <v>44100</v>
          </cell>
          <cell r="B2490">
            <v>0</v>
          </cell>
          <cell r="C2490" t="str">
            <v>1|14001|0,1|14107|0,1|10038|0</v>
          </cell>
          <cell r="D2490" t="str">
            <v>精英副本 第35章 第6关道具奖励</v>
          </cell>
          <cell r="E2490" t="str">
            <v>3|44000|1|1,3|41512|1|1</v>
          </cell>
        </row>
        <row r="2491">
          <cell r="A2491">
            <v>44101</v>
          </cell>
          <cell r="B2491">
            <v>0</v>
          </cell>
          <cell r="C2491" t="str">
            <v>1|14001|0,1|14107|0,1|11016|1,1|10006|0</v>
          </cell>
          <cell r="D2491" t="str">
            <v>精英副本 第35章 第9关道具奖励</v>
          </cell>
          <cell r="E2491" t="str">
            <v>3|44000|1|1,3|41579|1|1,3|41538|1|1</v>
          </cell>
        </row>
        <row r="2492">
          <cell r="A2492">
            <v>44102</v>
          </cell>
          <cell r="B2492">
            <v>0</v>
          </cell>
          <cell r="C2492" t="str">
            <v>1|14001|0,1|14107|0,1|11015|1,1|10013|0</v>
          </cell>
          <cell r="D2492" t="str">
            <v>精英副本 第35章 第10关道具奖励</v>
          </cell>
          <cell r="E2492" t="str">
            <v>3|44000|1|1,3|41578|1|1,3|41547|1|1</v>
          </cell>
        </row>
        <row r="2493">
          <cell r="A2493">
            <v>44103</v>
          </cell>
          <cell r="B2493">
            <v>0</v>
          </cell>
          <cell r="C2493" t="str">
            <v>1|14001|0,1|14107|0,1|10036|0</v>
          </cell>
          <cell r="D2493" t="str">
            <v>精英副本 第36章 第6关道具奖励</v>
          </cell>
          <cell r="E2493" t="str">
            <v>3|44000|1|1,3|41513|1|1</v>
          </cell>
        </row>
        <row r="2494">
          <cell r="A2494">
            <v>44104</v>
          </cell>
          <cell r="B2494">
            <v>0</v>
          </cell>
          <cell r="C2494" t="str">
            <v>1|14001|0,1|14107|0,1|11013|1,1|10102|0</v>
          </cell>
          <cell r="D2494" t="str">
            <v>精英副本 第36章 第9关道具奖励</v>
          </cell>
          <cell r="E2494" t="str">
            <v>3|44000|1|1,3|41576|1|1,3|41522|1|1</v>
          </cell>
        </row>
        <row r="2495">
          <cell r="A2495">
            <v>44105</v>
          </cell>
          <cell r="B2495">
            <v>0</v>
          </cell>
          <cell r="C2495" t="str">
            <v>1|14001|0,1|14107|0,1|11014|1,1|10008|0</v>
          </cell>
          <cell r="D2495" t="str">
            <v>精英副本 第36章 第10关道具奖励</v>
          </cell>
          <cell r="E2495" t="str">
            <v>3|44000|1|1,3|41577|1|1,3|41548|1|1</v>
          </cell>
        </row>
        <row r="2496">
          <cell r="A2496">
            <v>44106</v>
          </cell>
          <cell r="B2496">
            <v>0</v>
          </cell>
          <cell r="C2496" t="str">
            <v>1|14001|0,1|14107|0,1|10033|0</v>
          </cell>
          <cell r="D2496" t="str">
            <v>精英副本 第37章 第6关道具奖励</v>
          </cell>
          <cell r="E2496" t="str">
            <v>3|44000|1|1,3|41515|1|1</v>
          </cell>
        </row>
        <row r="2497">
          <cell r="A2497">
            <v>44107</v>
          </cell>
          <cell r="B2497">
            <v>0</v>
          </cell>
          <cell r="C2497" t="str">
            <v>1|14001|0,1|14107|0,1|11020|1,1|10023|0</v>
          </cell>
          <cell r="D2497" t="str">
            <v>精英副本 第37章 第9关道具奖励</v>
          </cell>
          <cell r="E2497" t="str">
            <v>3|44000|1|1,3|41583|1|1,3|41530|1|1</v>
          </cell>
        </row>
        <row r="2498">
          <cell r="A2498">
            <v>44108</v>
          </cell>
          <cell r="B2498">
            <v>0</v>
          </cell>
          <cell r="C2498" t="str">
            <v>1|14001|0,1|14107|0,1|11019|1,1|10027|0</v>
          </cell>
          <cell r="D2498" t="str">
            <v>精英副本 第37章 第10关道具奖励</v>
          </cell>
          <cell r="E2498" t="str">
            <v>3|44000|1|1,3|41582|1|1,3|41549|1|1</v>
          </cell>
        </row>
        <row r="2499">
          <cell r="A2499">
            <v>44109</v>
          </cell>
          <cell r="B2499">
            <v>0</v>
          </cell>
          <cell r="C2499" t="str">
            <v>1|14001|0,1|14107|0,1|10028|0</v>
          </cell>
          <cell r="D2499" t="str">
            <v>精英副本 第38章 第6关道具奖励</v>
          </cell>
          <cell r="E2499" t="str">
            <v>3|44000|1|1,3|41517|1|1</v>
          </cell>
        </row>
        <row r="2500">
          <cell r="A2500">
            <v>44110</v>
          </cell>
          <cell r="B2500">
            <v>0</v>
          </cell>
          <cell r="C2500" t="str">
            <v>1|14001|0,1|14107|0,1|11017|1,1|10017|0</v>
          </cell>
          <cell r="D2500" t="str">
            <v>精英副本 第38章 第9关道具奖励</v>
          </cell>
          <cell r="E2500" t="str">
            <v>3|44000|1|1,3|41580|1|1,3|41532|1|1</v>
          </cell>
        </row>
        <row r="2501">
          <cell r="A2501">
            <v>44111</v>
          </cell>
          <cell r="B2501">
            <v>0</v>
          </cell>
          <cell r="C2501" t="str">
            <v>1|14001|0,1|14107|0,1|11018|1,1|10118|0</v>
          </cell>
          <cell r="D2501" t="str">
            <v>精英副本 第38章 第10关道具奖励</v>
          </cell>
          <cell r="E2501" t="str">
            <v>3|44000|1|1,3|41581|1|1,3|41550|1|1</v>
          </cell>
        </row>
        <row r="2502">
          <cell r="A2502">
            <v>44112</v>
          </cell>
          <cell r="B2502">
            <v>0</v>
          </cell>
          <cell r="C2502" t="str">
            <v>1|14001|0,1|14107|0,1|10404|0</v>
          </cell>
          <cell r="D2502" t="str">
            <v>精英副本 第39章 第6关道具奖励</v>
          </cell>
          <cell r="E2502" t="str">
            <v>3|44000|1|1,3|41501|1|1</v>
          </cell>
        </row>
        <row r="2503">
          <cell r="A2503">
            <v>44113</v>
          </cell>
          <cell r="B2503">
            <v>0</v>
          </cell>
          <cell r="C2503" t="str">
            <v>1|14001|0,1|14107|0,1|11024|1,1|10014|0</v>
          </cell>
          <cell r="D2503" t="str">
            <v>精英副本 第39章 第9关道具奖励</v>
          </cell>
          <cell r="E2503" t="str">
            <v>3|44000|1|1,3|41587|1|1,3|41534|1|1</v>
          </cell>
        </row>
        <row r="2504">
          <cell r="A2504">
            <v>44114</v>
          </cell>
          <cell r="B2504">
            <v>0</v>
          </cell>
          <cell r="C2504" t="str">
            <v>1|14001|0,1|14107|0,1|11023|1,1|10002|0</v>
          </cell>
          <cell r="D2504" t="str">
            <v>精英副本 第39章 第10关道具奖励</v>
          </cell>
          <cell r="E2504" t="str">
            <v>3|44000|1|1,3|41586|1|1,3|41551|1|1</v>
          </cell>
        </row>
        <row r="2505">
          <cell r="A2505">
            <v>44115</v>
          </cell>
          <cell r="B2505">
            <v>0</v>
          </cell>
          <cell r="C2505" t="str">
            <v>1|14001|0,1|14107|0,1|10106|0</v>
          </cell>
          <cell r="D2505" t="str">
            <v>精英副本 第40章 第6关道具奖励</v>
          </cell>
          <cell r="E2505" t="str">
            <v>3|44000|1|1,3|41503|1|1</v>
          </cell>
        </row>
        <row r="2506">
          <cell r="A2506">
            <v>44116</v>
          </cell>
          <cell r="B2506">
            <v>0</v>
          </cell>
          <cell r="C2506" t="str">
            <v>1|14001|0,1|14107|0,1|11021|1,1|10025|0</v>
          </cell>
          <cell r="D2506" t="str">
            <v>精英副本 第40章 第9关道具奖励</v>
          </cell>
          <cell r="E2506" t="str">
            <v>3|44000|1|1,3|41584|1|1,3|41529|1|1</v>
          </cell>
        </row>
        <row r="2507">
          <cell r="A2507">
            <v>44117</v>
          </cell>
          <cell r="B2507">
            <v>0</v>
          </cell>
          <cell r="C2507" t="str">
            <v>1|14001|0,1|14107|0,1|11022|1,1|10112|0</v>
          </cell>
          <cell r="D2507" t="str">
            <v>精英副本 第40章 第10关道具奖励</v>
          </cell>
          <cell r="E2507" t="str">
            <v>3|44000|1|1,3|41585|1|1,3|41552|1|1</v>
          </cell>
        </row>
        <row r="2508">
          <cell r="A2508">
            <v>44118</v>
          </cell>
          <cell r="B2508">
            <v>0</v>
          </cell>
          <cell r="C2508" t="str">
            <v>1|14001|0,1|14107|0,1|10105|0</v>
          </cell>
          <cell r="D2508" t="str">
            <v>精英副本 第41章 第6关道具奖励</v>
          </cell>
          <cell r="E2508" t="str">
            <v>3|44000|1|1,3|41504|1|1</v>
          </cell>
        </row>
        <row r="2509">
          <cell r="A2509">
            <v>44119</v>
          </cell>
          <cell r="B2509">
            <v>0</v>
          </cell>
          <cell r="C2509" t="str">
            <v>1|14001|0,1|14107|0,1|11028|1,1|10007|0</v>
          </cell>
          <cell r="D2509" t="str">
            <v>精英副本 第41章 第9关道具奖励</v>
          </cell>
          <cell r="E2509" t="str">
            <v>3|44000|1|1,3|41591|1|1,3|41537|1|1</v>
          </cell>
        </row>
        <row r="2510">
          <cell r="A2510">
            <v>44120</v>
          </cell>
          <cell r="B2510">
            <v>0</v>
          </cell>
          <cell r="C2510" t="str">
            <v>1|14001|0,1|14107|0,1|11027|1,1|10114|0</v>
          </cell>
          <cell r="D2510" t="str">
            <v>精英副本 第41章 第10关道具奖励</v>
          </cell>
          <cell r="E2510" t="str">
            <v>3|44000|1|1,3|41590|1|1,3|41553|1|1</v>
          </cell>
        </row>
        <row r="2511">
          <cell r="A2511">
            <v>44121</v>
          </cell>
          <cell r="B2511">
            <v>0</v>
          </cell>
          <cell r="C2511" t="str">
            <v>1|14001|0,1|14107|0,1|10052|0</v>
          </cell>
          <cell r="D2511" t="str">
            <v>精英副本 第42章 第6关道具奖励</v>
          </cell>
          <cell r="E2511" t="str">
            <v>3|44000|1|1,3|41508|1|1</v>
          </cell>
        </row>
        <row r="2512">
          <cell r="A2512">
            <v>44122</v>
          </cell>
          <cell r="B2512">
            <v>0</v>
          </cell>
          <cell r="C2512" t="str">
            <v>1|14001|0,1|14107|0,1|11025|1,1|10032|0</v>
          </cell>
          <cell r="D2512" t="str">
            <v>精英副本 第42章 第9关道具奖励</v>
          </cell>
          <cell r="E2512" t="str">
            <v>3|44000|1|1,3|41588|1|1,3|41526|1|1</v>
          </cell>
        </row>
        <row r="2513">
          <cell r="A2513">
            <v>44123</v>
          </cell>
          <cell r="B2513">
            <v>0</v>
          </cell>
          <cell r="C2513" t="str">
            <v>1|14001|0,1|14107|0,1|11026|1,1|10011|0</v>
          </cell>
          <cell r="D2513" t="str">
            <v>精英副本 第42章 第10关道具奖励</v>
          </cell>
          <cell r="E2513" t="str">
            <v>3|44000|1|1,3|41589|1|1,3|41554|1|1</v>
          </cell>
        </row>
        <row r="2514">
          <cell r="A2514">
            <v>44124</v>
          </cell>
          <cell r="B2514">
            <v>0</v>
          </cell>
          <cell r="C2514" t="str">
            <v>1|14001|0,1|14107|0,1|10040|0</v>
          </cell>
          <cell r="D2514" t="str">
            <v>精英副本 第43章 第6关道具奖励</v>
          </cell>
          <cell r="E2514" t="str">
            <v>3|44000|1|1,3|41510|1|1</v>
          </cell>
        </row>
        <row r="2515">
          <cell r="A2515">
            <v>44125</v>
          </cell>
          <cell r="B2515">
            <v>0</v>
          </cell>
          <cell r="C2515" t="str">
            <v>1|14001|0,1|14107|0,1|11032|1,1|10035|0</v>
          </cell>
          <cell r="D2515" t="str">
            <v>精英副本 第43章 第9关道具奖励</v>
          </cell>
          <cell r="E2515" t="str">
            <v>3|44000|1|1,3|41595|1|1,3|41525|1|1</v>
          </cell>
        </row>
        <row r="2516">
          <cell r="A2516">
            <v>44126</v>
          </cell>
          <cell r="B2516">
            <v>0</v>
          </cell>
          <cell r="C2516" t="str">
            <v>1|14001|0,1|14107|0,1|11031|1,1|10003|0</v>
          </cell>
          <cell r="D2516" t="str">
            <v>精英副本 第43章 第10关道具奖励</v>
          </cell>
          <cell r="E2516" t="str">
            <v>3|44000|1|1,3|41594|1|1,3|41540|1|1</v>
          </cell>
        </row>
        <row r="2517">
          <cell r="A2517">
            <v>44127</v>
          </cell>
          <cell r="B2517">
            <v>0</v>
          </cell>
          <cell r="C2517" t="str">
            <v>1|14001|0,1|14107|0,1|10039|0</v>
          </cell>
          <cell r="D2517" t="str">
            <v>精英副本 第44章 第6关道具奖励</v>
          </cell>
          <cell r="E2517" t="str">
            <v>3|44000|1|1,3|41511|1|1</v>
          </cell>
        </row>
        <row r="2518">
          <cell r="A2518">
            <v>44128</v>
          </cell>
          <cell r="B2518">
            <v>0</v>
          </cell>
          <cell r="C2518" t="str">
            <v>1|14001|0,1|14107|0,1|11029|1,1|10037|0</v>
          </cell>
          <cell r="D2518" t="str">
            <v>精英副本 第44章 第9关道具奖励</v>
          </cell>
          <cell r="E2518" t="str">
            <v>3|44000|1|1,3|41592|1|1,3|41524|1|1</v>
          </cell>
        </row>
        <row r="2519">
          <cell r="A2519">
            <v>44129</v>
          </cell>
          <cell r="B2519">
            <v>0</v>
          </cell>
          <cell r="C2519" t="str">
            <v>1|14001|0,1|14107|0,1|11030|1,1|10119|0</v>
          </cell>
          <cell r="D2519" t="str">
            <v>精英副本 第44章 第10关道具奖励</v>
          </cell>
          <cell r="E2519" t="str">
            <v>3|44000|1|1,3|41593|1|1,3|41541|1|1</v>
          </cell>
        </row>
        <row r="2520">
          <cell r="A2520">
            <v>44130</v>
          </cell>
          <cell r="B2520">
            <v>0</v>
          </cell>
          <cell r="C2520" t="str">
            <v>1|14001|0,1|14107|0,1|10034|0</v>
          </cell>
          <cell r="D2520" t="str">
            <v>精英副本 第45章 第6关道具奖励</v>
          </cell>
          <cell r="E2520" t="str">
            <v>3|44000|1|1,3|41514|1|1</v>
          </cell>
        </row>
        <row r="2521">
          <cell r="A2521">
            <v>44131</v>
          </cell>
          <cell r="B2521">
            <v>0</v>
          </cell>
          <cell r="C2521" t="str">
            <v>1|14001|0,1|14107|0,1|11036|1,1|10016|0</v>
          </cell>
          <cell r="D2521" t="str">
            <v>精英副本 第45章 第9关道具奖励</v>
          </cell>
          <cell r="E2521" t="str">
            <v>3|44000|1|1,3|41599|1|1,3|41533|1|1</v>
          </cell>
        </row>
        <row r="2522">
          <cell r="A2522">
            <v>44132</v>
          </cell>
          <cell r="B2522">
            <v>0</v>
          </cell>
          <cell r="C2522" t="str">
            <v>1|14001|0,1|14107|0,1|11035|1,1|10015|0</v>
          </cell>
          <cell r="D2522" t="str">
            <v>精英副本 第45章 第10关道具奖励</v>
          </cell>
          <cell r="E2522" t="str">
            <v>3|44000|1|1,3|41598|1|1,3|41542|1|1</v>
          </cell>
        </row>
        <row r="2523">
          <cell r="A2523">
            <v>44133</v>
          </cell>
          <cell r="B2523">
            <v>0</v>
          </cell>
          <cell r="C2523" t="str">
            <v>1|14001|0,1|14107|0,1|10030|0</v>
          </cell>
          <cell r="D2523" t="str">
            <v>精英副本 第46章 第6关道具奖励</v>
          </cell>
          <cell r="E2523" t="str">
            <v>3|44000|1|1,3|41516|1|1</v>
          </cell>
        </row>
        <row r="2524">
          <cell r="A2524">
            <v>44134</v>
          </cell>
          <cell r="B2524">
            <v>0</v>
          </cell>
          <cell r="C2524" t="str">
            <v>1|14001|0,1|14107|0,1|11033|1,1|10004|0</v>
          </cell>
          <cell r="D2524" t="str">
            <v>精英副本 第46章 第9关道具奖励</v>
          </cell>
          <cell r="E2524" t="str">
            <v>3|44000|1|1,3|41596|1|1,3|41539|1|1</v>
          </cell>
        </row>
        <row r="2525">
          <cell r="A2525">
            <v>44135</v>
          </cell>
          <cell r="B2525">
            <v>0</v>
          </cell>
          <cell r="C2525" t="str">
            <v>1|14001|0,1|14107|0,1|11034|1,1|10115|0</v>
          </cell>
          <cell r="D2525" t="str">
            <v>精英副本 第46章 第10关道具奖励</v>
          </cell>
          <cell r="E2525" t="str">
            <v>3|44000|1|1,3|41597|1|1,3|41543|1|1</v>
          </cell>
        </row>
        <row r="2526">
          <cell r="A2526">
            <v>44136</v>
          </cell>
          <cell r="B2526">
            <v>0</v>
          </cell>
          <cell r="C2526" t="str">
            <v>1|14001|0,1|14107|0,1|10018|0</v>
          </cell>
          <cell r="D2526" t="str">
            <v>精英副本 第47章 第6关道具奖励</v>
          </cell>
          <cell r="E2526" t="str">
            <v>3|44000|1|1,3|41518|1|1</v>
          </cell>
        </row>
        <row r="2527">
          <cell r="A2527">
            <v>44137</v>
          </cell>
          <cell r="B2527">
            <v>0</v>
          </cell>
          <cell r="C2527" t="str">
            <v>1|14001|0,1|14107|0,1|11028|1,1|10116|0</v>
          </cell>
          <cell r="D2527" t="str">
            <v>精英副本 第47章 第9关道具奖励</v>
          </cell>
          <cell r="E2527" t="str">
            <v>3|44000|1|1,3|41591|1|1,3|41519|1|1</v>
          </cell>
        </row>
        <row r="2528">
          <cell r="A2528">
            <v>44138</v>
          </cell>
          <cell r="B2528">
            <v>0</v>
          </cell>
          <cell r="C2528" t="str">
            <v>1|14001|0,1|14107|0,1|11027|1,1|10012|0</v>
          </cell>
          <cell r="D2528" t="str">
            <v>精英副本 第47章 第10关道具奖励</v>
          </cell>
          <cell r="E2528" t="str">
            <v>3|44000|1|1,3|41590|1|1,3|41544|1|1</v>
          </cell>
        </row>
        <row r="2529">
          <cell r="A2529">
            <v>44139</v>
          </cell>
          <cell r="B2529">
            <v>0</v>
          </cell>
          <cell r="C2529" t="str">
            <v>1|14001|0,1|14107|0,1|10126|0</v>
          </cell>
          <cell r="D2529" t="str">
            <v>精英副本 第48章 第6关道具奖励</v>
          </cell>
          <cell r="E2529" t="str">
            <v>3|44000|1|1,3|41502|1|1</v>
          </cell>
        </row>
        <row r="2530">
          <cell r="A2530">
            <v>44140</v>
          </cell>
          <cell r="B2530">
            <v>0</v>
          </cell>
          <cell r="C2530" t="str">
            <v>1|14001|0,1|14107|0,1|11025|1,1|10026|0</v>
          </cell>
          <cell r="D2530" t="str">
            <v>精英副本 第48章 第9关道具奖励</v>
          </cell>
          <cell r="E2530" t="str">
            <v>3|44000|1|1,3|41588|1|1,3|41528|1|1</v>
          </cell>
        </row>
        <row r="2531">
          <cell r="A2531">
            <v>44141</v>
          </cell>
          <cell r="B2531">
            <v>0</v>
          </cell>
          <cell r="C2531" t="str">
            <v>1|14001|0,1|14107|0,1|11026|1,1|10113|0</v>
          </cell>
          <cell r="D2531" t="str">
            <v>精英副本 第48章 第10关道具奖励</v>
          </cell>
          <cell r="E2531" t="str">
            <v>3|44000|1|1,3|41589|1|1,3|41545|1|1</v>
          </cell>
        </row>
        <row r="2532">
          <cell r="A2532">
            <v>44142</v>
          </cell>
          <cell r="B2532">
            <v>0</v>
          </cell>
          <cell r="C2532" t="str">
            <v>1|14001|0,1|14107|0,1|10104|0</v>
          </cell>
          <cell r="D2532" t="str">
            <v>精英副本 第49章 第6关道具奖励</v>
          </cell>
          <cell r="E2532" t="str">
            <v>3|44000|1|1,3|41505|1|1</v>
          </cell>
        </row>
        <row r="2533">
          <cell r="A2533">
            <v>44143</v>
          </cell>
          <cell r="B2533">
            <v>0</v>
          </cell>
          <cell r="C2533" t="str">
            <v>1|14001|0,1|14107|0,1|11032|1,1|10031|0</v>
          </cell>
          <cell r="D2533" t="str">
            <v>精英副本 第49章 第9关道具奖励</v>
          </cell>
          <cell r="E2533" t="str">
            <v>3|44000|1|1,3|41595|1|1,3|41527|1|1</v>
          </cell>
        </row>
        <row r="2534">
          <cell r="A2534">
            <v>44144</v>
          </cell>
          <cell r="B2534">
            <v>0</v>
          </cell>
          <cell r="C2534" t="str">
            <v>1|14001|0,1|14107|0,1|11031|1,1|10020|0</v>
          </cell>
          <cell r="D2534" t="str">
            <v>精英副本 第49章 第10关道具奖励</v>
          </cell>
          <cell r="E2534" t="str">
            <v>3|44000|1|1,3|41594|1|1,3|41546|1|1</v>
          </cell>
        </row>
        <row r="2535">
          <cell r="A2535">
            <v>44145</v>
          </cell>
          <cell r="B2535">
            <v>0</v>
          </cell>
          <cell r="C2535" t="str">
            <v>1|14001|0,1|14107|0,1|10103|0</v>
          </cell>
          <cell r="D2535" t="str">
            <v>精英副本 第50章 第6关道具奖励</v>
          </cell>
          <cell r="E2535" t="str">
            <v>3|44000|1|1,3|41506|1|1</v>
          </cell>
        </row>
        <row r="2536">
          <cell r="A2536">
            <v>44146</v>
          </cell>
          <cell r="B2536">
            <v>0</v>
          </cell>
          <cell r="C2536" t="str">
            <v>1|14001|0,1|14107|0,1|11029|1,1|10101|0</v>
          </cell>
          <cell r="D2536" t="str">
            <v>精英副本 第50章 第9关道具奖励</v>
          </cell>
          <cell r="E2536" t="str">
            <v>3|44000|1|1,3|41592|1|1,3|41523|1|1</v>
          </cell>
        </row>
        <row r="2537">
          <cell r="A2537">
            <v>44147</v>
          </cell>
          <cell r="B2537">
            <v>0</v>
          </cell>
          <cell r="C2537" t="str">
            <v>1|14001|0,1|14107|0,1|11030|1,1|10013|0</v>
          </cell>
          <cell r="D2537" t="str">
            <v>精英副本 第50章 第10关道具奖励</v>
          </cell>
          <cell r="E2537" t="str">
            <v>3|44000|1|1,3|41593|1|1,3|41547|1|1</v>
          </cell>
        </row>
        <row r="2538">
          <cell r="A2538">
            <v>44148</v>
          </cell>
          <cell r="B2538">
            <v>0</v>
          </cell>
          <cell r="C2538" t="str">
            <v>1|14001|0,1|14107|0,1|10092|0</v>
          </cell>
          <cell r="D2538" t="str">
            <v>精英副本 第51章 第6关道具奖励</v>
          </cell>
          <cell r="E2538" t="str">
            <v>3|44000|1|1,3|41507|1|1</v>
          </cell>
        </row>
        <row r="2539">
          <cell r="A2539">
            <v>44149</v>
          </cell>
          <cell r="B2539">
            <v>0</v>
          </cell>
          <cell r="C2539" t="str">
            <v>1|14001|0,1|14107|0,1|11036|1,1|10108|0</v>
          </cell>
          <cell r="D2539" t="str">
            <v>精英副本 第51章 第9关道具奖励</v>
          </cell>
          <cell r="E2539" t="str">
            <v>3|44000|1|1,3|41599|1|1,3|41520|1|1</v>
          </cell>
        </row>
        <row r="2540">
          <cell r="A2540">
            <v>44150</v>
          </cell>
          <cell r="B2540">
            <v>0</v>
          </cell>
          <cell r="C2540" t="str">
            <v>1|14001|0,1|14107|0,1|11035|1,1|10008|0</v>
          </cell>
          <cell r="D2540" t="str">
            <v>精英副本 第51章 第10关道具奖励</v>
          </cell>
          <cell r="E2540" t="str">
            <v>3|44000|1|1,3|41598|1|1,3|41548|1|1</v>
          </cell>
        </row>
        <row r="2541">
          <cell r="A2541">
            <v>44151</v>
          </cell>
          <cell r="B2541">
            <v>0</v>
          </cell>
          <cell r="C2541" t="str">
            <v>1|14001|0,1|14107|0,1|10041|0</v>
          </cell>
          <cell r="D2541" t="str">
            <v>精英副本 第52章 第6关道具奖励</v>
          </cell>
          <cell r="E2541" t="str">
            <v>3|44000|1|1,3|41509|1|1</v>
          </cell>
        </row>
        <row r="2542">
          <cell r="A2542">
            <v>44152</v>
          </cell>
          <cell r="B2542">
            <v>0</v>
          </cell>
          <cell r="C2542" t="str">
            <v>1|14001|0,1|14107|0,1|11033|1,1|10022|0</v>
          </cell>
          <cell r="D2542" t="str">
            <v>精英副本 第52章 第9关道具奖励</v>
          </cell>
          <cell r="E2542" t="str">
            <v>3|44000|1|1,3|41596|1|1,3|41531|1|1</v>
          </cell>
        </row>
        <row r="2543">
          <cell r="A2543">
            <v>44153</v>
          </cell>
          <cell r="B2543">
            <v>0</v>
          </cell>
          <cell r="C2543" t="str">
            <v>1|14001|0,1|14107|0,1|11034|1,1|10027|0</v>
          </cell>
          <cell r="D2543" t="str">
            <v>精英副本 第52章 第10关道具奖励</v>
          </cell>
          <cell r="E2543" t="str">
            <v>3|44000|1|1,3|41597|1|1,3|41549|1|1</v>
          </cell>
        </row>
        <row r="2544">
          <cell r="A2544">
            <v>44154</v>
          </cell>
          <cell r="B2544">
            <v>0</v>
          </cell>
          <cell r="C2544" t="str">
            <v>1|14001|0,1|14107|0,1|10038|0</v>
          </cell>
          <cell r="D2544" t="str">
            <v>精英副本 第53章 第6关道具奖励</v>
          </cell>
          <cell r="E2544" t="str">
            <v>3|44000|1|1,3|41512|1|1</v>
          </cell>
        </row>
        <row r="2545">
          <cell r="A2545">
            <v>44155</v>
          </cell>
          <cell r="B2545">
            <v>0</v>
          </cell>
          <cell r="C2545" t="str">
            <v>1|14001|0,1|14107|0,1|11028|1,1|10107|0</v>
          </cell>
          <cell r="D2545" t="str">
            <v>精英副本 第53章 第9关道具奖励</v>
          </cell>
          <cell r="E2545" t="str">
            <v>3|44000|1|1,3|41591|1|1,3|41521|1|1</v>
          </cell>
        </row>
        <row r="2546">
          <cell r="A2546">
            <v>44156</v>
          </cell>
          <cell r="B2546">
            <v>0</v>
          </cell>
          <cell r="C2546" t="str">
            <v>1|14001|0,1|14107|0,1|11027|1,1|10118|0</v>
          </cell>
          <cell r="D2546" t="str">
            <v>精英副本 第53章 第10关道具奖励</v>
          </cell>
          <cell r="E2546" t="str">
            <v>3|44000|1|1,3|41590|1|1,3|41550|1|1</v>
          </cell>
        </row>
        <row r="2547">
          <cell r="A2547">
            <v>44157</v>
          </cell>
          <cell r="B2547">
            <v>0</v>
          </cell>
          <cell r="C2547" t="str">
            <v>1|14001|0,1|14107|0,1|10036|0</v>
          </cell>
          <cell r="D2547" t="str">
            <v>精英副本 第54章 第6关道具奖励</v>
          </cell>
          <cell r="E2547" t="str">
            <v>3|44000|1|1,3|41513|1|1</v>
          </cell>
        </row>
        <row r="2548">
          <cell r="A2548">
            <v>44158</v>
          </cell>
          <cell r="B2548">
            <v>0</v>
          </cell>
          <cell r="C2548" t="str">
            <v>1|14001|0,1|14107|0,1|11025|1,1|10009|0</v>
          </cell>
          <cell r="D2548" t="str">
            <v>精英副本 第54章 第9关道具奖励</v>
          </cell>
          <cell r="E2548" t="str">
            <v>3|44000|1|1,3|41588|1|1,3|41536|1|1</v>
          </cell>
        </row>
        <row r="2549">
          <cell r="A2549">
            <v>44159</v>
          </cell>
          <cell r="B2549">
            <v>0</v>
          </cell>
          <cell r="C2549" t="str">
            <v>1|14001|0,1|14107|0,1|11026|1,1|10002|0</v>
          </cell>
          <cell r="D2549" t="str">
            <v>精英副本 第54章 第10关道具奖励</v>
          </cell>
          <cell r="E2549" t="str">
            <v>3|44000|1|1,3|41589|1|1,3|41551|1|1</v>
          </cell>
        </row>
        <row r="2550">
          <cell r="A2550">
            <v>44160</v>
          </cell>
          <cell r="B2550">
            <v>0</v>
          </cell>
          <cell r="C2550" t="str">
            <v>1|14001|0,1|14107|0,1|10033|0</v>
          </cell>
          <cell r="D2550" t="str">
            <v>精英副本 第55章 第6关道具奖励</v>
          </cell>
          <cell r="E2550" t="str">
            <v>3|44000|1|1,3|41515|1|1</v>
          </cell>
        </row>
        <row r="2551">
          <cell r="A2551">
            <v>44161</v>
          </cell>
          <cell r="B2551">
            <v>0</v>
          </cell>
          <cell r="C2551" t="str">
            <v>1|14001|0,1|14107|0,1|11032|1,1|10010|0</v>
          </cell>
          <cell r="D2551" t="str">
            <v>精英副本 第55章 第9关道具奖励</v>
          </cell>
          <cell r="E2551" t="str">
            <v>3|44000|1|1,3|41595|1|1,3|41535|1|1</v>
          </cell>
        </row>
        <row r="2552">
          <cell r="A2552">
            <v>44162</v>
          </cell>
          <cell r="B2552">
            <v>0</v>
          </cell>
          <cell r="C2552" t="str">
            <v>1|14001|0,1|14107|0,1|11031|1,1|10112|0</v>
          </cell>
          <cell r="D2552" t="str">
            <v>精英副本 第55章 第10关道具奖励</v>
          </cell>
          <cell r="E2552" t="str">
            <v>3|44000|1|1,3|41594|1|1,3|41552|1|1</v>
          </cell>
        </row>
        <row r="2553">
          <cell r="A2553">
            <v>44163</v>
          </cell>
          <cell r="B2553">
            <v>0</v>
          </cell>
          <cell r="C2553" t="str">
            <v>1|14001|0,1|14107|0,1|10028|0</v>
          </cell>
          <cell r="D2553" t="str">
            <v>精英副本 第56章 第6关道具奖励</v>
          </cell>
          <cell r="E2553" t="str">
            <v>3|44000|1|1,3|41517|1|1</v>
          </cell>
        </row>
        <row r="2554">
          <cell r="A2554">
            <v>44164</v>
          </cell>
          <cell r="B2554">
            <v>0</v>
          </cell>
          <cell r="C2554" t="str">
            <v>1|14001|0,1|14107|0,1|11029|1,1|10006|0</v>
          </cell>
          <cell r="D2554" t="str">
            <v>精英副本 第56章 第9关道具奖励</v>
          </cell>
          <cell r="E2554" t="str">
            <v>3|44000|1|1,3|41592|1|1,3|41538|1|1</v>
          </cell>
        </row>
        <row r="2555">
          <cell r="A2555">
            <v>44165</v>
          </cell>
          <cell r="B2555">
            <v>0</v>
          </cell>
          <cell r="C2555" t="str">
            <v>1|14001|0,1|14107|0,1|11030|1,1|10114|0</v>
          </cell>
          <cell r="D2555" t="str">
            <v>精英副本 第56章 第10关道具奖励</v>
          </cell>
          <cell r="E2555" t="str">
            <v>3|44000|1|1,3|41593|1|1,3|41553|1|1</v>
          </cell>
        </row>
        <row r="2556">
          <cell r="A2556">
            <v>44166</v>
          </cell>
          <cell r="B2556">
            <v>0</v>
          </cell>
          <cell r="C2556" t="str">
            <v>1|14001|0,1|14107|0,1|10404|0</v>
          </cell>
          <cell r="D2556" t="str">
            <v>精英副本 第57章 第6关道具奖励</v>
          </cell>
          <cell r="E2556" t="str">
            <v>3|44000|1|1,3|41501|1|1</v>
          </cell>
        </row>
        <row r="2557">
          <cell r="A2557">
            <v>44167</v>
          </cell>
          <cell r="B2557">
            <v>0</v>
          </cell>
          <cell r="C2557" t="str">
            <v>1|14001|0,1|14107|0,1|11036|1,1|10102|0</v>
          </cell>
          <cell r="D2557" t="str">
            <v>精英副本 第57章 第9关道具奖励</v>
          </cell>
          <cell r="E2557" t="str">
            <v>3|44000|1|1,3|41599|1|1,3|41522|1|1</v>
          </cell>
        </row>
        <row r="2558">
          <cell r="A2558">
            <v>44168</v>
          </cell>
          <cell r="B2558">
            <v>0</v>
          </cell>
          <cell r="C2558" t="str">
            <v>1|14001|0,1|14107|0,1|11035|1,1|10011|0</v>
          </cell>
          <cell r="D2558" t="str">
            <v>精英副本 第57章 第10关道具奖励</v>
          </cell>
          <cell r="E2558" t="str">
            <v>3|44000|1|1,3|41598|1|1,3|41554|1|1</v>
          </cell>
        </row>
        <row r="2559">
          <cell r="A2559">
            <v>44169</v>
          </cell>
          <cell r="B2559">
            <v>0</v>
          </cell>
          <cell r="C2559" t="str">
            <v>1|14001|0,1|14107|0,1|10106|0</v>
          </cell>
          <cell r="D2559" t="str">
            <v>精英副本 第58章 第6关道具奖励</v>
          </cell>
          <cell r="E2559" t="str">
            <v>3|44000|1|1,3|41503|1|1</v>
          </cell>
        </row>
        <row r="2560">
          <cell r="A2560">
            <v>44170</v>
          </cell>
          <cell r="B2560">
            <v>0</v>
          </cell>
          <cell r="C2560" t="str">
            <v>1|14001|0,1|14107|0,1|11033|1,1|10023|0</v>
          </cell>
          <cell r="D2560" t="str">
            <v>精英副本 第58章 第9关道具奖励</v>
          </cell>
          <cell r="E2560" t="str">
            <v>3|44000|1|1,3|41596|1|1,3|41530|1|1</v>
          </cell>
        </row>
        <row r="2561">
          <cell r="A2561">
            <v>44171</v>
          </cell>
          <cell r="B2561">
            <v>0</v>
          </cell>
          <cell r="C2561" t="str">
            <v>1|14001|0,1|14107|0,1|11034|1,1|10003|0</v>
          </cell>
          <cell r="D2561" t="str">
            <v>精英副本 第58章 第10关道具奖励</v>
          </cell>
          <cell r="E2561" t="str">
            <v>3|44000|1|1,3|41597|1|1,3|41540|1|1</v>
          </cell>
        </row>
        <row r="2562">
          <cell r="A2562">
            <v>44172</v>
          </cell>
          <cell r="B2562">
            <v>0</v>
          </cell>
          <cell r="C2562" t="str">
            <v>1|14001|0,1|14107|0,1|10105|0</v>
          </cell>
          <cell r="D2562" t="str">
            <v>精英副本 第59章 第6关道具奖励</v>
          </cell>
          <cell r="E2562" t="str">
            <v>3|44000|1|1,3|41504|1|1</v>
          </cell>
        </row>
        <row r="2563">
          <cell r="A2563">
            <v>44173</v>
          </cell>
          <cell r="B2563">
            <v>0</v>
          </cell>
          <cell r="C2563" t="str">
            <v>1|14001|0,1|14107|0,1|11028|1,1|10017|0</v>
          </cell>
          <cell r="D2563" t="str">
            <v>精英副本 第59章 第9关道具奖励</v>
          </cell>
          <cell r="E2563" t="str">
            <v>3|44000|1|1,3|41591|1|1,3|41532|1|1</v>
          </cell>
        </row>
        <row r="2564">
          <cell r="A2564">
            <v>44174</v>
          </cell>
          <cell r="B2564">
            <v>0</v>
          </cell>
          <cell r="C2564" t="str">
            <v>1|14001|0,1|14107|0,1|11027|1,1|10119|0</v>
          </cell>
          <cell r="D2564" t="str">
            <v>精英副本 第59章 第10关道具奖励</v>
          </cell>
          <cell r="E2564" t="str">
            <v>3|44000|1|1,3|41590|1|1,3|41541|1|1</v>
          </cell>
        </row>
        <row r="2565">
          <cell r="A2565">
            <v>44175</v>
          </cell>
          <cell r="B2565">
            <v>0</v>
          </cell>
          <cell r="C2565" t="str">
            <v>1|14001|0,1|14107|0,1|10052|0</v>
          </cell>
          <cell r="D2565" t="str">
            <v>精英副本 第60章 第6关道具奖励</v>
          </cell>
          <cell r="E2565" t="str">
            <v>3|44000|1|1,3|41508|1|1</v>
          </cell>
        </row>
        <row r="2566">
          <cell r="A2566">
            <v>44176</v>
          </cell>
          <cell r="B2566">
            <v>0</v>
          </cell>
          <cell r="C2566" t="str">
            <v>1|14001|0,1|14107|0,1|11025|1,1|10014|0</v>
          </cell>
          <cell r="D2566" t="str">
            <v>精英副本 第60章 第9关道具奖励</v>
          </cell>
          <cell r="E2566" t="str">
            <v>3|44000|1|1,3|41588|1|1,3|41534|1|1</v>
          </cell>
        </row>
        <row r="2567">
          <cell r="A2567">
            <v>44177</v>
          </cell>
          <cell r="B2567">
            <v>0</v>
          </cell>
          <cell r="C2567" t="str">
            <v>1|14001|0,1|14107|0,1|11026|1,1|10015|0</v>
          </cell>
          <cell r="D2567" t="str">
            <v>精英副本 第60章 第10关道具奖励</v>
          </cell>
          <cell r="E2567" t="str">
            <v>3|44000|1|1,3|41589|1|1,3|41542|1|1</v>
          </cell>
        </row>
        <row r="2568">
          <cell r="A2568">
            <v>44178</v>
          </cell>
          <cell r="B2568">
            <v>0</v>
          </cell>
          <cell r="C2568" t="str">
            <v>1|14001|0,1|14107|0,1|10040|0</v>
          </cell>
          <cell r="D2568" t="str">
            <v>精英副本 第61章 第6关道具奖励</v>
          </cell>
          <cell r="E2568" t="str">
            <v>3|44000|1|1,3|41510|1|1</v>
          </cell>
        </row>
        <row r="2569">
          <cell r="A2569">
            <v>44179</v>
          </cell>
          <cell r="B2569">
            <v>0</v>
          </cell>
          <cell r="C2569" t="str">
            <v>1|14001|0,1|14107|0,1|11032|1,1|10025|0</v>
          </cell>
          <cell r="D2569" t="str">
            <v>精英副本 第61章 第9关道具奖励</v>
          </cell>
          <cell r="E2569" t="str">
            <v>3|44000|1|1,3|41595|1|1,3|41529|1|1</v>
          </cell>
        </row>
        <row r="2570">
          <cell r="A2570">
            <v>44180</v>
          </cell>
          <cell r="B2570">
            <v>0</v>
          </cell>
          <cell r="C2570" t="str">
            <v>1|14001|0,1|14107|0,1|11031|1,1|10115|0</v>
          </cell>
          <cell r="D2570" t="str">
            <v>精英副本 第61章 第10关道具奖励</v>
          </cell>
          <cell r="E2570" t="str">
            <v>3|44000|1|1,3|41594|1|1,3|41543|1|1</v>
          </cell>
        </row>
        <row r="2571">
          <cell r="A2571">
            <v>44181</v>
          </cell>
          <cell r="B2571">
            <v>0</v>
          </cell>
          <cell r="C2571" t="str">
            <v>1|14001|0,1|14107|0,1|10039|0</v>
          </cell>
          <cell r="D2571" t="str">
            <v>精英副本 第62章 第6关道具奖励</v>
          </cell>
          <cell r="E2571" t="str">
            <v>3|44000|1|1,3|41511|1|1</v>
          </cell>
        </row>
        <row r="2572">
          <cell r="A2572">
            <v>44182</v>
          </cell>
          <cell r="B2572">
            <v>0</v>
          </cell>
          <cell r="C2572" t="str">
            <v>1|14001|0,1|14107|0,1|11029|1,1|10007|0</v>
          </cell>
          <cell r="D2572" t="str">
            <v>精英副本 第62章 第9关道具奖励</v>
          </cell>
          <cell r="E2572" t="str">
            <v>3|44000|1|1,3|41592|1|1,3|41537|1|1</v>
          </cell>
        </row>
        <row r="2573">
          <cell r="A2573">
            <v>44183</v>
          </cell>
          <cell r="B2573">
            <v>0</v>
          </cell>
          <cell r="C2573" t="str">
            <v>1|14001|0,1|14107|0,1|11030|1,1|10012|0</v>
          </cell>
          <cell r="D2573" t="str">
            <v>精英副本 第62章 第10关道具奖励</v>
          </cell>
          <cell r="E2573" t="str">
            <v>3|44000|1|1,3|41593|1|1,3|41544|1|1</v>
          </cell>
        </row>
        <row r="2574">
          <cell r="A2574">
            <v>44184</v>
          </cell>
          <cell r="B2574">
            <v>0</v>
          </cell>
          <cell r="C2574" t="str">
            <v>1|14001|0,1|14107|0,1|10034|0</v>
          </cell>
          <cell r="D2574" t="str">
            <v>精英副本 第63章 第6关道具奖励</v>
          </cell>
          <cell r="E2574" t="str">
            <v>3|44000|1|1,3|41514|1|1</v>
          </cell>
        </row>
        <row r="2575">
          <cell r="A2575">
            <v>44185</v>
          </cell>
          <cell r="B2575">
            <v>0</v>
          </cell>
          <cell r="C2575" t="str">
            <v>1|14001|0,1|14107|0,1|11036|1,1|10032|0</v>
          </cell>
          <cell r="D2575" t="str">
            <v>精英副本 第63章 第9关道具奖励</v>
          </cell>
          <cell r="E2575" t="str">
            <v>3|44000|1|1,3|41599|1|1,3|41526|1|1</v>
          </cell>
        </row>
        <row r="2576">
          <cell r="A2576">
            <v>44186</v>
          </cell>
          <cell r="B2576">
            <v>0</v>
          </cell>
          <cell r="C2576" t="str">
            <v>1|14001|0,1|14107|0,1|11035|1,1|10113|0</v>
          </cell>
          <cell r="D2576" t="str">
            <v>精英副本 第63章 第10关道具奖励</v>
          </cell>
          <cell r="E2576" t="str">
            <v>3|44000|1|1,3|41598|1|1,3|41545|1|1</v>
          </cell>
        </row>
        <row r="2577">
          <cell r="A2577">
            <v>44187</v>
          </cell>
          <cell r="B2577">
            <v>0</v>
          </cell>
          <cell r="C2577" t="str">
            <v>1|14001|0,1|14107|0,1|10030|0</v>
          </cell>
          <cell r="D2577" t="str">
            <v>精英副本 第64章 第6关道具奖励</v>
          </cell>
          <cell r="E2577" t="str">
            <v>3|44000|1|1,3|41516|1|1</v>
          </cell>
        </row>
        <row r="2578">
          <cell r="A2578">
            <v>44188</v>
          </cell>
          <cell r="B2578">
            <v>0</v>
          </cell>
          <cell r="C2578" t="str">
            <v>1|14001|0,1|14107|0,1|11033|1,1|10035|0</v>
          </cell>
          <cell r="D2578" t="str">
            <v>精英副本 第64章 第9关道具奖励</v>
          </cell>
          <cell r="E2578" t="str">
            <v>3|44000|1|1,3|41596|1|1,3|41525|1|1</v>
          </cell>
        </row>
        <row r="2579">
          <cell r="A2579">
            <v>44189</v>
          </cell>
          <cell r="B2579">
            <v>0</v>
          </cell>
          <cell r="C2579" t="str">
            <v>1|14001|0,1|14107|0,1|11034|1,1|10020|0</v>
          </cell>
          <cell r="D2579" t="str">
            <v>精英副本 第64章 第10关道具奖励</v>
          </cell>
          <cell r="E2579" t="str">
            <v>3|44000|1|1,3|41597|1|1,3|41546|1|1</v>
          </cell>
        </row>
        <row r="2580">
          <cell r="A2580">
            <v>44190</v>
          </cell>
          <cell r="B2580">
            <v>0</v>
          </cell>
          <cell r="C2580" t="str">
            <v>1|14001|0,1|14107|0,1|10018|0</v>
          </cell>
          <cell r="D2580" t="str">
            <v>精英副本 第65章 第6关道具奖励</v>
          </cell>
          <cell r="E2580" t="str">
            <v>3|44000|1|1,3|41518|1|1</v>
          </cell>
        </row>
        <row r="2581">
          <cell r="A2581">
            <v>44191</v>
          </cell>
          <cell r="B2581">
            <v>0</v>
          </cell>
          <cell r="C2581" t="str">
            <v>1|14001|0,1|14107|0,1|11028|1,1|10037|0</v>
          </cell>
          <cell r="D2581" t="str">
            <v>精英副本 第65章 第9关道具奖励</v>
          </cell>
          <cell r="E2581" t="str">
            <v>3|44000|1|1,3|41591|1|1,3|41524|1|1</v>
          </cell>
        </row>
        <row r="2582">
          <cell r="A2582">
            <v>44192</v>
          </cell>
          <cell r="B2582">
            <v>0</v>
          </cell>
          <cell r="C2582" t="str">
            <v>1|14001|0,1|14107|0,1|11027|1,1|10013|0</v>
          </cell>
          <cell r="D2582" t="str">
            <v>精英副本 第65章 第10关道具奖励</v>
          </cell>
          <cell r="E2582" t="str">
            <v>3|44000|1|1,3|41590|1|1,3|41547|1|1</v>
          </cell>
        </row>
        <row r="2583">
          <cell r="A2583">
            <v>44193</v>
          </cell>
          <cell r="B2583">
            <v>0</v>
          </cell>
          <cell r="C2583" t="str">
            <v>1|14001|0,1|14107|0,1|10126|0</v>
          </cell>
          <cell r="D2583" t="str">
            <v>精英副本 第66章 第6关道具奖励</v>
          </cell>
          <cell r="E2583" t="str">
            <v>3|44000|1|1,3|41502|1|1</v>
          </cell>
        </row>
        <row r="2584">
          <cell r="A2584">
            <v>44194</v>
          </cell>
          <cell r="B2584">
            <v>0</v>
          </cell>
          <cell r="C2584" t="str">
            <v>1|14001|0,1|14107|0,1|11025|1,1|10016|0</v>
          </cell>
          <cell r="D2584" t="str">
            <v>精英副本 第66章 第9关道具奖励</v>
          </cell>
          <cell r="E2584" t="str">
            <v>3|44000|1|1,3|41588|1|1,3|41533|1|1</v>
          </cell>
        </row>
        <row r="2585">
          <cell r="A2585">
            <v>44195</v>
          </cell>
          <cell r="B2585">
            <v>0</v>
          </cell>
          <cell r="C2585" t="str">
            <v>1|14001|0,1|14107|0,1|11026|1,1|10008|0</v>
          </cell>
          <cell r="D2585" t="str">
            <v>精英副本 第66章 第10关道具奖励</v>
          </cell>
          <cell r="E2585" t="str">
            <v>3|44000|1|1,3|41589|1|1,3|41548|1|1</v>
          </cell>
        </row>
        <row r="2586">
          <cell r="A2586">
            <v>44196</v>
          </cell>
          <cell r="B2586">
            <v>0</v>
          </cell>
          <cell r="C2586" t="str">
            <v>1|14001|0,1|14107|0,1|10104|0</v>
          </cell>
          <cell r="D2586" t="str">
            <v>精英副本 第67章 第6关道具奖励</v>
          </cell>
          <cell r="E2586" t="str">
            <v>3|44000|1|1,3|41505|1|1</v>
          </cell>
        </row>
        <row r="2587">
          <cell r="A2587">
            <v>44197</v>
          </cell>
          <cell r="B2587">
            <v>0</v>
          </cell>
          <cell r="C2587" t="str">
            <v>1|14001|0,1|14107|0,1|11032|1,1|10004|0</v>
          </cell>
          <cell r="D2587" t="str">
            <v>精英副本 第67章 第9关道具奖励</v>
          </cell>
          <cell r="E2587" t="str">
            <v>3|44000|1|1,3|41595|1|1,3|41539|1|1</v>
          </cell>
        </row>
        <row r="2588">
          <cell r="A2588">
            <v>44198</v>
          </cell>
          <cell r="B2588">
            <v>0</v>
          </cell>
          <cell r="C2588" t="str">
            <v>1|14001|0,1|14107|0,1|11031|1,1|10027|0</v>
          </cell>
          <cell r="D2588" t="str">
            <v>精英副本 第67章 第10关道具奖励</v>
          </cell>
          <cell r="E2588" t="str">
            <v>3|44000|1|1,3|41594|1|1,3|41549|1|1</v>
          </cell>
        </row>
        <row r="2589">
          <cell r="A2589">
            <v>44199</v>
          </cell>
          <cell r="B2589">
            <v>0</v>
          </cell>
          <cell r="C2589" t="str">
            <v>1|14001|0,1|14107|0,1|10103|0</v>
          </cell>
          <cell r="D2589" t="str">
            <v>精英副本 第68章 第6关道具奖励</v>
          </cell>
          <cell r="E2589" t="str">
            <v>3|44000|1|1,3|41506|1|1</v>
          </cell>
        </row>
        <row r="2590">
          <cell r="A2590">
            <v>44200</v>
          </cell>
          <cell r="B2590">
            <v>0</v>
          </cell>
          <cell r="C2590" t="str">
            <v>1|14001|0,1|14107|0,1|11029|1,1|10116|0</v>
          </cell>
          <cell r="D2590" t="str">
            <v>精英副本 第68章 第9关道具奖励</v>
          </cell>
          <cell r="E2590" t="str">
            <v>3|44000|1|1,3|41592|1|1,3|41519|1|1</v>
          </cell>
        </row>
        <row r="2591">
          <cell r="A2591">
            <v>44201</v>
          </cell>
          <cell r="B2591">
            <v>0</v>
          </cell>
          <cell r="C2591" t="str">
            <v>1|14001|0,1|14107|0,1|11030|1,1|10118|0</v>
          </cell>
          <cell r="D2591" t="str">
            <v>精英副本 第68章 第10关道具奖励</v>
          </cell>
          <cell r="E2591" t="str">
            <v>3|44000|1|1,3|41593|1|1,3|41550|1|1</v>
          </cell>
        </row>
        <row r="2592">
          <cell r="A2592">
            <v>44202</v>
          </cell>
          <cell r="B2592">
            <v>0</v>
          </cell>
          <cell r="C2592" t="str">
            <v>1|14001|0,1|14107|0,1|10092|0</v>
          </cell>
          <cell r="D2592" t="str">
            <v>精英副本 第69章 第6关道具奖励</v>
          </cell>
          <cell r="E2592" t="str">
            <v>3|44000|1|1,3|41507|1|1</v>
          </cell>
        </row>
        <row r="2593">
          <cell r="A2593">
            <v>44203</v>
          </cell>
          <cell r="B2593">
            <v>0</v>
          </cell>
          <cell r="C2593" t="str">
            <v>1|14001|0,1|14107|0,1|11036|1,1|10026|0</v>
          </cell>
          <cell r="D2593" t="str">
            <v>精英副本 第69章 第9关道具奖励</v>
          </cell>
          <cell r="E2593" t="str">
            <v>3|44000|1|1,3|41599|1|1,3|41528|1|1</v>
          </cell>
        </row>
        <row r="2594">
          <cell r="A2594">
            <v>44204</v>
          </cell>
          <cell r="B2594">
            <v>0</v>
          </cell>
          <cell r="C2594" t="str">
            <v>1|14001|0,1|14107|0,1|11035|1,1|10002|0</v>
          </cell>
          <cell r="D2594" t="str">
            <v>精英副本 第69章 第10关道具奖励</v>
          </cell>
          <cell r="E2594" t="str">
            <v>3|44000|1|1,3|41598|1|1,3|41551|1|1</v>
          </cell>
        </row>
        <row r="2595">
          <cell r="A2595">
            <v>44205</v>
          </cell>
          <cell r="B2595">
            <v>0</v>
          </cell>
          <cell r="C2595" t="str">
            <v>1|14001|0,1|14107|0,1|10041|0</v>
          </cell>
          <cell r="D2595" t="str">
            <v>精英副本 第70章 第6关道具奖励</v>
          </cell>
          <cell r="E2595" t="str">
            <v>3|44000|1|1,3|41509|1|1</v>
          </cell>
        </row>
        <row r="2596">
          <cell r="A2596">
            <v>44206</v>
          </cell>
          <cell r="B2596">
            <v>0</v>
          </cell>
          <cell r="C2596" t="str">
            <v>1|14001|0,1|14107|0,1|11033|1,1|10031|0</v>
          </cell>
          <cell r="D2596" t="str">
            <v>精英副本 第70章 第9关道具奖励</v>
          </cell>
          <cell r="E2596" t="str">
            <v>3|44000|1|1,3|41596|1|1,3|41527|1|1</v>
          </cell>
        </row>
        <row r="2597">
          <cell r="A2597">
            <v>44207</v>
          </cell>
          <cell r="B2597">
            <v>0</v>
          </cell>
          <cell r="C2597" t="str">
            <v>1|14001|0,1|14107|0,1|11034|1,1|10112|0</v>
          </cell>
          <cell r="D2597" t="str">
            <v>精英副本 第70章 第10关道具奖励</v>
          </cell>
          <cell r="E2597" t="str">
            <v>3|44000|1|1,3|41597|1|1,3|41552|1|1</v>
          </cell>
        </row>
        <row r="2598">
          <cell r="A2598">
            <v>44208</v>
          </cell>
          <cell r="B2598">
            <v>0</v>
          </cell>
          <cell r="C2598" t="str">
            <v>1|14001|0,1|14107|0,1|10038|0</v>
          </cell>
          <cell r="D2598" t="str">
            <v>精英副本 第71章 第6关道具奖励</v>
          </cell>
          <cell r="E2598" t="str">
            <v>3|44000|1|1,3|41512|1|1</v>
          </cell>
        </row>
        <row r="2599">
          <cell r="A2599">
            <v>44209</v>
          </cell>
          <cell r="B2599">
            <v>0</v>
          </cell>
          <cell r="C2599" t="str">
            <v>1|14001|0,1|14107|0,1|11028|1,1|10101|0</v>
          </cell>
          <cell r="D2599" t="str">
            <v>精英副本 第71章 第9关道具奖励</v>
          </cell>
          <cell r="E2599" t="str">
            <v>3|44000|1|1,3|41591|1|1,3|41523|1|1</v>
          </cell>
        </row>
        <row r="2600">
          <cell r="A2600">
            <v>44210</v>
          </cell>
          <cell r="B2600">
            <v>0</v>
          </cell>
          <cell r="C2600" t="str">
            <v>1|14001|0,1|14107|0,1|11027|1,1|10114|0</v>
          </cell>
          <cell r="D2600" t="str">
            <v>精英副本 第71章 第10关道具奖励</v>
          </cell>
          <cell r="E2600" t="str">
            <v>3|44000|1|1,3|41590|1|1,3|41553|1|1</v>
          </cell>
        </row>
        <row r="2601">
          <cell r="A2601">
            <v>44211</v>
          </cell>
          <cell r="B2601">
            <v>0</v>
          </cell>
          <cell r="C2601" t="str">
            <v>1|14001|0,1|14107|0,1|10036|0</v>
          </cell>
          <cell r="D2601" t="str">
            <v>精英副本 第72章 第6关道具奖励</v>
          </cell>
          <cell r="E2601" t="str">
            <v>3|44000|1|1,3|41513|1|1</v>
          </cell>
        </row>
        <row r="2602">
          <cell r="A2602">
            <v>44212</v>
          </cell>
          <cell r="B2602">
            <v>0</v>
          </cell>
          <cell r="C2602" t="str">
            <v>1|14001|0,1|14107|0,1|11025|1,1|10108|0</v>
          </cell>
          <cell r="D2602" t="str">
            <v>精英副本 第72章 第9关道具奖励</v>
          </cell>
          <cell r="E2602" t="str">
            <v>3|44000|1|1,3|41588|1|1,3|41520|1|1</v>
          </cell>
        </row>
        <row r="2603">
          <cell r="A2603">
            <v>44213</v>
          </cell>
          <cell r="B2603">
            <v>0</v>
          </cell>
          <cell r="C2603" t="str">
            <v>1|14001|0,1|14107|0,1|11026|1,1|10011|0</v>
          </cell>
          <cell r="D2603" t="str">
            <v>精英副本 第72章 第10关道具奖励</v>
          </cell>
          <cell r="E2603" t="str">
            <v>3|44000|1|1,3|41589|1|1,3|41554|1|1</v>
          </cell>
        </row>
        <row r="2604">
          <cell r="A2604">
            <v>44214</v>
          </cell>
          <cell r="B2604">
            <v>0</v>
          </cell>
          <cell r="C2604" t="str">
            <v>1|14001|0,1|14107|0,1|10033|0</v>
          </cell>
          <cell r="D2604" t="str">
            <v>精英副本 第73章 第6关道具奖励</v>
          </cell>
          <cell r="E2604" t="str">
            <v>3|44000|1|1,3|41515|1|1</v>
          </cell>
        </row>
        <row r="2605">
          <cell r="A2605">
            <v>44215</v>
          </cell>
          <cell r="B2605">
            <v>0</v>
          </cell>
          <cell r="C2605" t="str">
            <v>1|14001|0,1|14107|0,1|11032|1,1|10022|0</v>
          </cell>
          <cell r="D2605" t="str">
            <v>精英副本 第73章 第9关道具奖励</v>
          </cell>
          <cell r="E2605" t="str">
            <v>3|44000|1|1,3|41595|1|1,3|41531|1|1</v>
          </cell>
        </row>
        <row r="2606">
          <cell r="A2606">
            <v>44216</v>
          </cell>
          <cell r="B2606">
            <v>0</v>
          </cell>
          <cell r="C2606" t="str">
            <v>1|14001|0,1|14107|0,1|11031|1,1|10003|0</v>
          </cell>
          <cell r="D2606" t="str">
            <v>精英副本 第73章 第10关道具奖励</v>
          </cell>
          <cell r="E2606" t="str">
            <v>3|44000|1|1,3|41594|1|1,3|41540|1|1</v>
          </cell>
        </row>
        <row r="2607">
          <cell r="A2607">
            <v>44217</v>
          </cell>
          <cell r="B2607">
            <v>0</v>
          </cell>
          <cell r="C2607" t="str">
            <v>1|14001|0,1|14107|0,1|10028|0</v>
          </cell>
          <cell r="D2607" t="str">
            <v>精英副本 第74章 第6关道具奖励</v>
          </cell>
          <cell r="E2607" t="str">
            <v>3|44000|1|1,3|41517|1|1</v>
          </cell>
        </row>
        <row r="2608">
          <cell r="A2608">
            <v>44218</v>
          </cell>
          <cell r="B2608">
            <v>0</v>
          </cell>
          <cell r="C2608" t="str">
            <v>1|14001|0,1|14107|0,1|11029|1,1|10107|0</v>
          </cell>
          <cell r="D2608" t="str">
            <v>精英副本 第74章 第9关道具奖励</v>
          </cell>
          <cell r="E2608" t="str">
            <v>3|44000|1|1,3|41592|1|1,3|41521|1|1</v>
          </cell>
        </row>
        <row r="2609">
          <cell r="A2609">
            <v>44219</v>
          </cell>
          <cell r="B2609">
            <v>0</v>
          </cell>
          <cell r="C2609" t="str">
            <v>1|14001|0,1|14107|0,1|11030|1,1|10119|0</v>
          </cell>
          <cell r="D2609" t="str">
            <v>精英副本 第74章 第10关道具奖励</v>
          </cell>
          <cell r="E2609" t="str">
            <v>3|44000|1|1,3|41593|1|1,3|41541|1|1</v>
          </cell>
        </row>
        <row r="2610">
          <cell r="A2610">
            <v>44220</v>
          </cell>
          <cell r="B2610">
            <v>0</v>
          </cell>
          <cell r="C2610" t="str">
            <v>1|14001|0,1|14107|0,1|10404|0</v>
          </cell>
          <cell r="D2610" t="str">
            <v>精英副本 第75章 第6关道具奖励</v>
          </cell>
          <cell r="E2610" t="str">
            <v>3|44000|1|1,3|41501|1|1</v>
          </cell>
        </row>
        <row r="2611">
          <cell r="A2611">
            <v>44221</v>
          </cell>
          <cell r="B2611">
            <v>0</v>
          </cell>
          <cell r="C2611" t="str">
            <v>1|14001|0,1|14107|0,1|11036|1,1|10009|0</v>
          </cell>
          <cell r="D2611" t="str">
            <v>精英副本 第75章 第9关道具奖励</v>
          </cell>
          <cell r="E2611" t="str">
            <v>3|44000|1|1,3|41599|1|1,3|41536|1|1</v>
          </cell>
        </row>
        <row r="2612">
          <cell r="A2612">
            <v>44222</v>
          </cell>
          <cell r="B2612">
            <v>0</v>
          </cell>
          <cell r="C2612" t="str">
            <v>1|14001|0,1|14107|0,1|11035|1,1|10015|0</v>
          </cell>
          <cell r="D2612" t="str">
            <v>精英副本 第75章 第10关道具奖励</v>
          </cell>
          <cell r="E2612" t="str">
            <v>3|44000|1|1,3|41598|1|1,3|41542|1|1</v>
          </cell>
        </row>
        <row r="2613">
          <cell r="A2613">
            <v>44223</v>
          </cell>
          <cell r="B2613">
            <v>0</v>
          </cell>
          <cell r="C2613" t="str">
            <v>1|14001|0,1|14107|0,1|10106|0</v>
          </cell>
          <cell r="D2613" t="str">
            <v>精英副本 第76章 第6关道具奖励</v>
          </cell>
          <cell r="E2613" t="str">
            <v>3|44000|1|1,3|41503|1|1</v>
          </cell>
        </row>
        <row r="2614">
          <cell r="A2614">
            <v>44224</v>
          </cell>
          <cell r="B2614">
            <v>0</v>
          </cell>
          <cell r="C2614" t="str">
            <v>1|14001|0,1|14107|0,1|11033|1,1|10010|0</v>
          </cell>
          <cell r="D2614" t="str">
            <v>精英副本 第76章 第9关道具奖励</v>
          </cell>
          <cell r="E2614" t="str">
            <v>3|44000|1|1,3|41596|1|1,3|41535|1|1</v>
          </cell>
        </row>
        <row r="2615">
          <cell r="A2615">
            <v>44225</v>
          </cell>
          <cell r="B2615">
            <v>0</v>
          </cell>
          <cell r="C2615" t="str">
            <v>1|14001|0,1|14107|0,1|11034|1,1|10115|0</v>
          </cell>
          <cell r="D2615" t="str">
            <v>精英副本 第76章 第10关道具奖励</v>
          </cell>
          <cell r="E2615" t="str">
            <v>3|44000|1|1,3|41597|1|1,3|41543|1|1</v>
          </cell>
        </row>
        <row r="2616">
          <cell r="A2616">
            <v>44226</v>
          </cell>
          <cell r="B2616">
            <v>0</v>
          </cell>
          <cell r="C2616" t="str">
            <v>1|14001|0,1|14107|0,1|10105|0</v>
          </cell>
          <cell r="D2616" t="str">
            <v>精英副本 第77章 第6关道具奖励</v>
          </cell>
          <cell r="E2616" t="str">
            <v>3|44000|1|1,3|41504|1|1</v>
          </cell>
        </row>
        <row r="2617">
          <cell r="A2617">
            <v>44227</v>
          </cell>
          <cell r="B2617">
            <v>0</v>
          </cell>
          <cell r="C2617" t="str">
            <v>1|14001|0,1|14107|0,1|11028|1,1|10006|0</v>
          </cell>
          <cell r="D2617" t="str">
            <v>精英副本 第77章 第9关道具奖励</v>
          </cell>
          <cell r="E2617" t="str">
            <v>3|44000|1|1,3|41591|1|1,3|41538|1|1</v>
          </cell>
        </row>
        <row r="2618">
          <cell r="A2618">
            <v>44228</v>
          </cell>
          <cell r="B2618">
            <v>0</v>
          </cell>
          <cell r="C2618" t="str">
            <v>1|14001|0,1|14107|0,1|11027|1,1|10012|0</v>
          </cell>
          <cell r="D2618" t="str">
            <v>精英副本 第77章 第10关道具奖励</v>
          </cell>
          <cell r="E2618" t="str">
            <v>3|44000|1|1,3|41590|1|1,3|41544|1|1</v>
          </cell>
        </row>
        <row r="2619">
          <cell r="A2619">
            <v>44229</v>
          </cell>
          <cell r="B2619">
            <v>0</v>
          </cell>
          <cell r="C2619" t="str">
            <v>1|14001|0,1|14107|0,1|10052|0</v>
          </cell>
          <cell r="D2619" t="str">
            <v>精英副本 第78章 第6关道具奖励</v>
          </cell>
          <cell r="E2619" t="str">
            <v>3|44000|1|1,3|41508|1|1</v>
          </cell>
        </row>
        <row r="2620">
          <cell r="A2620">
            <v>44230</v>
          </cell>
          <cell r="B2620">
            <v>0</v>
          </cell>
          <cell r="C2620" t="str">
            <v>1|14001|0,1|14107|0,1|11025|1,1|10102|0</v>
          </cell>
          <cell r="D2620" t="str">
            <v>精英副本 第78章 第9关道具奖励</v>
          </cell>
          <cell r="E2620" t="str">
            <v>3|44000|1|1,3|41588|1|1,3|41522|1|1</v>
          </cell>
        </row>
        <row r="2621">
          <cell r="A2621">
            <v>44231</v>
          </cell>
          <cell r="B2621">
            <v>0</v>
          </cell>
          <cell r="C2621" t="str">
            <v>1|14001|0,1|14107|0,1|11026|1,1|10113|0</v>
          </cell>
          <cell r="D2621" t="str">
            <v>精英副本 第78章 第10关道具奖励</v>
          </cell>
          <cell r="E2621" t="str">
            <v>3|44000|1|1,3|41589|1|1,3|41545|1|1</v>
          </cell>
        </row>
        <row r="2622">
          <cell r="A2622">
            <v>44232</v>
          </cell>
          <cell r="B2622">
            <v>0</v>
          </cell>
          <cell r="C2622" t="str">
            <v>1|14001|0,1|14107|0,1|10040|0</v>
          </cell>
          <cell r="D2622" t="str">
            <v>精英副本 第79章 第6关道具奖励</v>
          </cell>
          <cell r="E2622" t="str">
            <v>3|44000|1|1,3|41510|1|1</v>
          </cell>
        </row>
        <row r="2623">
          <cell r="A2623">
            <v>44233</v>
          </cell>
          <cell r="B2623">
            <v>0</v>
          </cell>
          <cell r="C2623" t="str">
            <v>1|14001|0,1|14107|0,1|11032|1,1|10023|0</v>
          </cell>
          <cell r="D2623" t="str">
            <v>精英副本 第79章 第9关道具奖励</v>
          </cell>
          <cell r="E2623" t="str">
            <v>3|44000|1|1,3|41595|1|1,3|41530|1|1</v>
          </cell>
        </row>
        <row r="2624">
          <cell r="A2624">
            <v>44234</v>
          </cell>
          <cell r="B2624">
            <v>0</v>
          </cell>
          <cell r="C2624" t="str">
            <v>1|14001|0,1|14107|0,1|11031|1,1|10020|0</v>
          </cell>
          <cell r="D2624" t="str">
            <v>精英副本 第79章 第10关道具奖励</v>
          </cell>
          <cell r="E2624" t="str">
            <v>3|44000|1|1,3|41594|1|1,3|41546|1|1</v>
          </cell>
        </row>
        <row r="2625">
          <cell r="A2625">
            <v>44235</v>
          </cell>
          <cell r="B2625">
            <v>0</v>
          </cell>
          <cell r="C2625" t="str">
            <v>1|14001|0,1|14107|0,1|10039|0</v>
          </cell>
          <cell r="D2625" t="str">
            <v>精英副本 第80章 第6关道具奖励</v>
          </cell>
          <cell r="E2625" t="str">
            <v>3|44000|1|1,3|41511|1|1</v>
          </cell>
        </row>
        <row r="2626">
          <cell r="A2626">
            <v>44236</v>
          </cell>
          <cell r="B2626">
            <v>0</v>
          </cell>
          <cell r="C2626" t="str">
            <v>1|14001|0,1|14107|0,1|11029|1,1|10017|0</v>
          </cell>
          <cell r="D2626" t="str">
            <v>精英副本 第80章 第9关道具奖励</v>
          </cell>
          <cell r="E2626" t="str">
            <v>3|44000|1|1,3|41592|1|1,3|41532|1|1</v>
          </cell>
        </row>
        <row r="2627">
          <cell r="A2627">
            <v>44237</v>
          </cell>
          <cell r="B2627">
            <v>0</v>
          </cell>
          <cell r="C2627" t="str">
            <v>1|14001|0,1|14107|0,1|11030|1,1|10013|0</v>
          </cell>
          <cell r="D2627" t="str">
            <v>精英副本 第80章 第10关道具奖励</v>
          </cell>
          <cell r="E2627" t="str">
            <v>3|44000|1|1,3|41593|1|1,3|41547|1|1</v>
          </cell>
        </row>
        <row r="2628">
          <cell r="A2628">
            <v>44238</v>
          </cell>
          <cell r="B2628">
            <v>0</v>
          </cell>
          <cell r="C2628" t="str">
            <v>1|14001|0,1|14107|0,1|10034|0</v>
          </cell>
          <cell r="D2628" t="str">
            <v>精英副本 第81章 第6关道具奖励</v>
          </cell>
          <cell r="E2628" t="str">
            <v>3|44000|1|1,3|41514|1|1</v>
          </cell>
        </row>
        <row r="2629">
          <cell r="A2629">
            <v>44239</v>
          </cell>
          <cell r="B2629">
            <v>0</v>
          </cell>
          <cell r="C2629" t="str">
            <v>1|14001|0,1|14107|0,1|11036|1,1|10014|0</v>
          </cell>
          <cell r="D2629" t="str">
            <v>精英副本 第81章 第9关道具奖励</v>
          </cell>
          <cell r="E2629" t="str">
            <v>3|44000|1|1,3|41599|1|1,3|41534|1|1</v>
          </cell>
        </row>
        <row r="2630">
          <cell r="A2630">
            <v>44240</v>
          </cell>
          <cell r="B2630">
            <v>0</v>
          </cell>
          <cell r="C2630" t="str">
            <v>1|14001|0,1|14107|0,1|11035|1,1|10008|0</v>
          </cell>
          <cell r="D2630" t="str">
            <v>精英副本 第81章 第10关道具奖励</v>
          </cell>
          <cell r="E2630" t="str">
            <v>3|44000|1|1,3|41598|1|1,3|41548|1|1</v>
          </cell>
        </row>
        <row r="2631">
          <cell r="A2631">
            <v>44241</v>
          </cell>
          <cell r="B2631">
            <v>0</v>
          </cell>
          <cell r="C2631" t="str">
            <v>1|14001|0,1|14107|0,1|10030|0</v>
          </cell>
          <cell r="D2631" t="str">
            <v>精英副本 第82章 第6关道具奖励</v>
          </cell>
          <cell r="E2631" t="str">
            <v>3|44000|1|1,3|41516|1|1</v>
          </cell>
        </row>
        <row r="2632">
          <cell r="A2632">
            <v>44242</v>
          </cell>
          <cell r="B2632">
            <v>0</v>
          </cell>
          <cell r="C2632" t="str">
            <v>1|14001|0,1|14107|0,1|11033|1,1|10025|0</v>
          </cell>
          <cell r="D2632" t="str">
            <v>精英副本 第82章 第9关道具奖励</v>
          </cell>
          <cell r="E2632" t="str">
            <v>3|44000|1|1,3|41596|1|1,3|41529|1|1</v>
          </cell>
        </row>
        <row r="2633">
          <cell r="A2633">
            <v>44243</v>
          </cell>
          <cell r="B2633">
            <v>0</v>
          </cell>
          <cell r="C2633" t="str">
            <v>1|14001|0,1|14107|0,1|11034|1,1|10027|0</v>
          </cell>
          <cell r="D2633" t="str">
            <v>精英副本 第82章 第10关道具奖励</v>
          </cell>
          <cell r="E2633" t="str">
            <v>3|44000|1|1,3|41597|1|1,3|41549|1|1</v>
          </cell>
        </row>
        <row r="2634">
          <cell r="A2634">
            <v>44244</v>
          </cell>
          <cell r="B2634">
            <v>0</v>
          </cell>
          <cell r="C2634" t="str">
            <v>1|14001|0,1|14107|0,1|10018|0</v>
          </cell>
          <cell r="D2634" t="str">
            <v>精英副本 第83章 第6关道具奖励</v>
          </cell>
          <cell r="E2634" t="str">
            <v>3|44000|1|1,3|41518|1|1</v>
          </cell>
        </row>
        <row r="2635">
          <cell r="A2635">
            <v>44245</v>
          </cell>
          <cell r="B2635">
            <v>0</v>
          </cell>
          <cell r="C2635" t="str">
            <v>1|14001|0,1|14107|0,1|11028|1,1|10007|0</v>
          </cell>
          <cell r="D2635" t="str">
            <v>精英副本 第83章 第9关道具奖励</v>
          </cell>
          <cell r="E2635" t="str">
            <v>3|44000|1|1,3|41591|1|1,3|41537|1|1</v>
          </cell>
        </row>
        <row r="2636">
          <cell r="A2636">
            <v>44246</v>
          </cell>
          <cell r="B2636">
            <v>0</v>
          </cell>
          <cell r="C2636" t="str">
            <v>1|14001|0,1|14107|0,1|11027|1,1|10118|0</v>
          </cell>
          <cell r="D2636" t="str">
            <v>精英副本 第83章 第10关道具奖励</v>
          </cell>
          <cell r="E2636" t="str">
            <v>3|44000|1|1,3|41590|1|1,3|41550|1|1</v>
          </cell>
        </row>
        <row r="2637">
          <cell r="A2637">
            <v>44247</v>
          </cell>
          <cell r="B2637">
            <v>0</v>
          </cell>
          <cell r="C2637" t="str">
            <v>1|14001|0,1|14107|0,1|10126|0</v>
          </cell>
          <cell r="D2637" t="str">
            <v>精英副本 第84章 第6关道具奖励</v>
          </cell>
          <cell r="E2637" t="str">
            <v>3|44000|1|1,3|41502|1|1</v>
          </cell>
        </row>
        <row r="2638">
          <cell r="A2638">
            <v>44248</v>
          </cell>
          <cell r="B2638">
            <v>0</v>
          </cell>
          <cell r="C2638" t="str">
            <v>1|14001|0,1|14107|0,1|11025|1,1|10032|0</v>
          </cell>
          <cell r="D2638" t="str">
            <v>精英副本 第84章 第9关道具奖励</v>
          </cell>
          <cell r="E2638" t="str">
            <v>3|44000|1|1,3|41588|1|1,3|41526|1|1</v>
          </cell>
        </row>
        <row r="2639">
          <cell r="A2639">
            <v>44249</v>
          </cell>
          <cell r="B2639">
            <v>0</v>
          </cell>
          <cell r="C2639" t="str">
            <v>1|14001|0,1|14107|0,1|11026|1,1|10002|0</v>
          </cell>
          <cell r="D2639" t="str">
            <v>精英副本 第84章 第10关道具奖励</v>
          </cell>
          <cell r="E2639" t="str">
            <v>3|44000|1|1,3|41589|1|1,3|41551|1|1</v>
          </cell>
        </row>
        <row r="2640">
          <cell r="A2640">
            <v>44250</v>
          </cell>
          <cell r="B2640">
            <v>0</v>
          </cell>
          <cell r="C2640" t="str">
            <v>1|14001|0,1|14107|0,1|10104|0</v>
          </cell>
          <cell r="D2640" t="str">
            <v>精英副本 第85章 第6关道具奖励</v>
          </cell>
          <cell r="E2640" t="str">
            <v>3|44000|1|1,3|41505|1|1</v>
          </cell>
        </row>
        <row r="2641">
          <cell r="A2641">
            <v>44251</v>
          </cell>
          <cell r="B2641">
            <v>0</v>
          </cell>
          <cell r="C2641" t="str">
            <v>1|14001|0,1|14107|0,1|11032|1,1|10035|0</v>
          </cell>
          <cell r="D2641" t="str">
            <v>精英副本 第85章 第9关道具奖励</v>
          </cell>
          <cell r="E2641" t="str">
            <v>3|44000|1|1,3|41595|1|1,3|41525|1|1</v>
          </cell>
        </row>
        <row r="2642">
          <cell r="A2642">
            <v>44252</v>
          </cell>
          <cell r="B2642">
            <v>0</v>
          </cell>
          <cell r="C2642" t="str">
            <v>1|14001|0,1|14107|0,1|11031|1,1|10112|0</v>
          </cell>
          <cell r="D2642" t="str">
            <v>精英副本 第85章 第10关道具奖励</v>
          </cell>
          <cell r="E2642" t="str">
            <v>3|44000|1|1,3|41594|1|1,3|41552|1|1</v>
          </cell>
        </row>
        <row r="2643">
          <cell r="A2643">
            <v>44253</v>
          </cell>
          <cell r="B2643">
            <v>0</v>
          </cell>
          <cell r="C2643" t="str">
            <v>1|14001|0,1|14107|0,1|10103|0</v>
          </cell>
          <cell r="D2643" t="str">
            <v>精英副本 第86章 第6关道具奖励</v>
          </cell>
          <cell r="E2643" t="str">
            <v>3|44000|1|1,3|41506|1|1</v>
          </cell>
        </row>
        <row r="2644">
          <cell r="A2644">
            <v>44254</v>
          </cell>
          <cell r="B2644">
            <v>0</v>
          </cell>
          <cell r="C2644" t="str">
            <v>1|14001|0,1|14107|0,1|11029|1,1|10037|0</v>
          </cell>
          <cell r="D2644" t="str">
            <v>精英副本 第86章 第9关道具奖励</v>
          </cell>
          <cell r="E2644" t="str">
            <v>3|44000|1|1,3|41592|1|1,3|41524|1|1</v>
          </cell>
        </row>
        <row r="2645">
          <cell r="A2645">
            <v>44255</v>
          </cell>
          <cell r="B2645">
            <v>0</v>
          </cell>
          <cell r="C2645" t="str">
            <v>1|14001|0,1|14107|0,1|11030|1,1|10114|0</v>
          </cell>
          <cell r="D2645" t="str">
            <v>精英副本 第86章 第10关道具奖励</v>
          </cell>
          <cell r="E2645" t="str">
            <v>3|44000|1|1,3|41593|1|1,3|41553|1|1</v>
          </cell>
        </row>
        <row r="2646">
          <cell r="A2646">
            <v>44256</v>
          </cell>
          <cell r="B2646">
            <v>0</v>
          </cell>
          <cell r="C2646" t="str">
            <v>1|14001|0,1|14107|0,1|10092|0</v>
          </cell>
          <cell r="D2646" t="str">
            <v>精英副本 第87章 第6关道具奖励</v>
          </cell>
          <cell r="E2646" t="str">
            <v>3|44000|1|1,3|41507|1|1</v>
          </cell>
        </row>
        <row r="2647">
          <cell r="A2647">
            <v>44257</v>
          </cell>
          <cell r="B2647">
            <v>0</v>
          </cell>
          <cell r="C2647" t="str">
            <v>1|14001|0,1|14107|0,1|11036|1,1|10016|0</v>
          </cell>
          <cell r="D2647" t="str">
            <v>精英副本 第87章 第9关道具奖励</v>
          </cell>
          <cell r="E2647" t="str">
            <v>3|44000|1|1,3|41599|1|1,3|41533|1|1</v>
          </cell>
        </row>
        <row r="2648">
          <cell r="A2648">
            <v>44258</v>
          </cell>
          <cell r="B2648">
            <v>0</v>
          </cell>
          <cell r="C2648" t="str">
            <v>1|14001|0,1|14107|0,1|11035|1,1|10011|0</v>
          </cell>
          <cell r="D2648" t="str">
            <v>精英副本 第87章 第10关道具奖励</v>
          </cell>
          <cell r="E2648" t="str">
            <v>3|44000|1|1,3|41598|1|1,3|41554|1|1</v>
          </cell>
        </row>
        <row r="2649">
          <cell r="A2649">
            <v>44259</v>
          </cell>
          <cell r="B2649">
            <v>0</v>
          </cell>
          <cell r="C2649" t="str">
            <v>1|14001|0,1|14107|0,1|10041|0</v>
          </cell>
          <cell r="D2649" t="str">
            <v>精英副本 第88章 第6关道具奖励</v>
          </cell>
          <cell r="E2649" t="str">
            <v>3|44000|1|1,3|41509|1|1</v>
          </cell>
        </row>
        <row r="2650">
          <cell r="A2650">
            <v>44260</v>
          </cell>
          <cell r="B2650">
            <v>0</v>
          </cell>
          <cell r="C2650" t="str">
            <v>1|14001|0,1|14107|0,1|11033|1,1|10004|0</v>
          </cell>
          <cell r="D2650" t="str">
            <v>精英副本 第88章 第9关道具奖励</v>
          </cell>
          <cell r="E2650" t="str">
            <v>3|44000|1|1,3|41596|1|1,3|41539|1|1</v>
          </cell>
        </row>
        <row r="2651">
          <cell r="A2651">
            <v>44261</v>
          </cell>
          <cell r="B2651">
            <v>0</v>
          </cell>
          <cell r="C2651" t="str">
            <v>1|14001|0,1|14107|0,1|11034|1,1|10003|0</v>
          </cell>
          <cell r="D2651" t="str">
            <v>精英副本 第88章 第10关道具奖励</v>
          </cell>
          <cell r="E2651" t="str">
            <v>3|44000|1|1,3|41597|1|1,3|41540|1|1</v>
          </cell>
        </row>
        <row r="2652">
          <cell r="A2652">
            <v>44262</v>
          </cell>
          <cell r="B2652">
            <v>0</v>
          </cell>
          <cell r="C2652" t="str">
            <v>1|14001|0,1|14107|0,1|10038|0</v>
          </cell>
          <cell r="D2652" t="str">
            <v>精英副本 第89章 第6关道具奖励</v>
          </cell>
          <cell r="E2652" t="str">
            <v>3|44000|1|1,3|41512|1|1</v>
          </cell>
        </row>
        <row r="2653">
          <cell r="A2653">
            <v>44263</v>
          </cell>
          <cell r="B2653">
            <v>0</v>
          </cell>
          <cell r="C2653" t="str">
            <v>1|14001|0,1|14107|0,1|11028|1,1|10116|0</v>
          </cell>
          <cell r="D2653" t="str">
            <v>精英副本 第89章 第9关道具奖励</v>
          </cell>
          <cell r="E2653" t="str">
            <v>3|44000|1|1,3|41591|1|1,3|41519|1|1</v>
          </cell>
        </row>
        <row r="2654">
          <cell r="A2654">
            <v>44264</v>
          </cell>
          <cell r="B2654">
            <v>0</v>
          </cell>
          <cell r="C2654" t="str">
            <v>1|14001|0,1|14107|0,1|11027|1,1|10119|0</v>
          </cell>
          <cell r="D2654" t="str">
            <v>精英副本 第89章 第10关道具奖励</v>
          </cell>
          <cell r="E2654" t="str">
            <v>3|44000|1|1,3|41590|1|1,3|41541|1|1</v>
          </cell>
        </row>
        <row r="2655">
          <cell r="A2655">
            <v>44265</v>
          </cell>
          <cell r="B2655">
            <v>0</v>
          </cell>
          <cell r="C2655" t="str">
            <v>1|14001|0,1|14107|0,1|10036|0</v>
          </cell>
          <cell r="D2655" t="str">
            <v>精英副本 第90章 第6关道具奖励</v>
          </cell>
          <cell r="E2655" t="str">
            <v>3|44000|1|1,3|41513|1|1</v>
          </cell>
        </row>
        <row r="2656">
          <cell r="A2656">
            <v>44266</v>
          </cell>
          <cell r="B2656">
            <v>0</v>
          </cell>
          <cell r="C2656" t="str">
            <v>1|14001|0,1|14107|0,1|11025|1,1|10026|0</v>
          </cell>
          <cell r="D2656" t="str">
            <v>精英副本 第90章 第9关道具奖励</v>
          </cell>
          <cell r="E2656" t="str">
            <v>3|44000|1|1,3|41588|1|1,3|41528|1|1</v>
          </cell>
        </row>
        <row r="2657">
          <cell r="A2657">
            <v>44267</v>
          </cell>
          <cell r="B2657">
            <v>0</v>
          </cell>
          <cell r="C2657" t="str">
            <v>1|14001|0,1|14107|0,1|11026|1,1|10015|0</v>
          </cell>
          <cell r="D2657" t="str">
            <v>精英副本 第90章 第10关道具奖励</v>
          </cell>
          <cell r="E2657" t="str">
            <v>3|44000|1|1,3|41589|1|1,3|41542|1|1</v>
          </cell>
        </row>
        <row r="2658">
          <cell r="A2658">
            <v>44268</v>
          </cell>
          <cell r="B2658">
            <v>0</v>
          </cell>
          <cell r="C2658" t="str">
            <v>1|14001|0,1|14107|0,1|10033|0</v>
          </cell>
          <cell r="D2658" t="str">
            <v>精英副本 第91章 第6关道具奖励</v>
          </cell>
          <cell r="E2658" t="str">
            <v>3|44000|1|1,3|41515|1|1</v>
          </cell>
        </row>
        <row r="2659">
          <cell r="A2659">
            <v>44269</v>
          </cell>
          <cell r="B2659">
            <v>0</v>
          </cell>
          <cell r="C2659" t="str">
            <v>1|14001|0,1|14107|0,1|11032|1,1|10031|0</v>
          </cell>
          <cell r="D2659" t="str">
            <v>精英副本 第91章 第9关道具奖励</v>
          </cell>
          <cell r="E2659" t="str">
            <v>3|44000|1|1,3|41595|1|1,3|41527|1|1</v>
          </cell>
        </row>
        <row r="2660">
          <cell r="A2660">
            <v>44270</v>
          </cell>
          <cell r="B2660">
            <v>0</v>
          </cell>
          <cell r="C2660" t="str">
            <v>1|14001|0,1|14107|0,1|11031|1,1|10115|0</v>
          </cell>
          <cell r="D2660" t="str">
            <v>精英副本 第91章 第10关道具奖励</v>
          </cell>
          <cell r="E2660" t="str">
            <v>3|44000|1|1,3|41594|1|1,3|41543|1|1</v>
          </cell>
        </row>
        <row r="2661">
          <cell r="A2661">
            <v>44271</v>
          </cell>
          <cell r="B2661">
            <v>0</v>
          </cell>
          <cell r="C2661" t="str">
            <v>1|14001|0,1|14107|0,1|10028|0</v>
          </cell>
          <cell r="D2661" t="str">
            <v>精英副本 第92章 第6关道具奖励</v>
          </cell>
          <cell r="E2661" t="str">
            <v>3|44000|1|1,3|41517|1|1</v>
          </cell>
        </row>
        <row r="2662">
          <cell r="A2662">
            <v>44272</v>
          </cell>
          <cell r="B2662">
            <v>0</v>
          </cell>
          <cell r="C2662" t="str">
            <v>1|14001|0,1|14107|0,1|11029|1,1|10101|0</v>
          </cell>
          <cell r="D2662" t="str">
            <v>精英副本 第92章 第9关道具奖励</v>
          </cell>
          <cell r="E2662" t="str">
            <v>3|44000|1|1,3|41592|1|1,3|41523|1|1</v>
          </cell>
        </row>
        <row r="2663">
          <cell r="A2663">
            <v>44273</v>
          </cell>
          <cell r="B2663">
            <v>0</v>
          </cell>
          <cell r="C2663" t="str">
            <v>1|14001|0,1|14107|0,1|11030|1,1|10012|0</v>
          </cell>
          <cell r="D2663" t="str">
            <v>精英副本 第92章 第10关道具奖励</v>
          </cell>
          <cell r="E2663" t="str">
            <v>3|44000|1|1,3|41593|1|1,3|41544|1|1</v>
          </cell>
        </row>
        <row r="2664">
          <cell r="A2664">
            <v>44274</v>
          </cell>
          <cell r="B2664">
            <v>0</v>
          </cell>
          <cell r="C2664" t="str">
            <v>1|14001|0,1|14107|0,1|10404|0</v>
          </cell>
          <cell r="D2664" t="str">
            <v>精英副本 第93章 第6关道具奖励</v>
          </cell>
          <cell r="E2664" t="str">
            <v>3|44000|1|1,3|41501|1|1</v>
          </cell>
        </row>
        <row r="2665">
          <cell r="A2665">
            <v>44275</v>
          </cell>
          <cell r="B2665">
            <v>0</v>
          </cell>
          <cell r="C2665" t="str">
            <v>1|14001|0,1|14107|0,1|11036|1,1|10108|0</v>
          </cell>
          <cell r="D2665" t="str">
            <v>精英副本 第93章 第9关道具奖励</v>
          </cell>
          <cell r="E2665" t="str">
            <v>3|44000|1|1,3|41599|1|1,3|41520|1|1</v>
          </cell>
        </row>
        <row r="2666">
          <cell r="A2666">
            <v>44276</v>
          </cell>
          <cell r="B2666">
            <v>0</v>
          </cell>
          <cell r="C2666" t="str">
            <v>1|14001|0,1|14107|0,1|11035|1,1|10113|0</v>
          </cell>
          <cell r="D2666" t="str">
            <v>精英副本 第93章 第10关道具奖励</v>
          </cell>
          <cell r="E2666" t="str">
            <v>3|44000|1|1,3|41598|1|1,3|41545|1|1</v>
          </cell>
        </row>
        <row r="2667">
          <cell r="A2667">
            <v>44277</v>
          </cell>
          <cell r="B2667">
            <v>0</v>
          </cell>
          <cell r="C2667" t="str">
            <v>1|14001|0,1|14107|0,1|10106|0</v>
          </cell>
          <cell r="D2667" t="str">
            <v>精英副本 第94章 第6关道具奖励</v>
          </cell>
          <cell r="E2667" t="str">
            <v>3|44000|1|1,3|41503|1|1</v>
          </cell>
        </row>
        <row r="2668">
          <cell r="A2668">
            <v>44278</v>
          </cell>
          <cell r="B2668">
            <v>0</v>
          </cell>
          <cell r="C2668" t="str">
            <v>1|14001|0,1|14107|0,1|11033|1,1|10022|0</v>
          </cell>
          <cell r="D2668" t="str">
            <v>精英副本 第94章 第9关道具奖励</v>
          </cell>
          <cell r="E2668" t="str">
            <v>3|44000|1|1,3|41596|1|1,3|41531|1|1</v>
          </cell>
        </row>
        <row r="2669">
          <cell r="A2669">
            <v>44279</v>
          </cell>
          <cell r="B2669">
            <v>0</v>
          </cell>
          <cell r="C2669" t="str">
            <v>1|14001|0,1|14107|0,1|11034|1,1|10020|0</v>
          </cell>
          <cell r="D2669" t="str">
            <v>精英副本 第94章 第10关道具奖励</v>
          </cell>
          <cell r="E2669" t="str">
            <v>3|44000|1|1,3|41597|1|1,3|41546|1|1</v>
          </cell>
        </row>
        <row r="2670">
          <cell r="A2670">
            <v>44280</v>
          </cell>
          <cell r="B2670">
            <v>0</v>
          </cell>
          <cell r="C2670" t="str">
            <v>1|14001|0,1|14107|0,1|10105|0</v>
          </cell>
          <cell r="D2670" t="str">
            <v>精英副本 第95章 第6关道具奖励</v>
          </cell>
          <cell r="E2670" t="str">
            <v>3|44000|1|1,3|41504|1|1</v>
          </cell>
        </row>
        <row r="2671">
          <cell r="A2671">
            <v>44281</v>
          </cell>
          <cell r="B2671">
            <v>0</v>
          </cell>
          <cell r="C2671" t="str">
            <v>1|14001|0,1|14107|0,1|11028|1,1|10107|0</v>
          </cell>
          <cell r="D2671" t="str">
            <v>精英副本 第95章 第9关道具奖励</v>
          </cell>
          <cell r="E2671" t="str">
            <v>3|44000|1|1,3|41591|1|1,3|41521|1|1</v>
          </cell>
        </row>
        <row r="2672">
          <cell r="A2672">
            <v>44282</v>
          </cell>
          <cell r="B2672">
            <v>0</v>
          </cell>
          <cell r="C2672" t="str">
            <v>1|14001|0,1|14107|0,1|11027|1,1|10013|0</v>
          </cell>
          <cell r="D2672" t="str">
            <v>精英副本 第95章 第10关道具奖励</v>
          </cell>
          <cell r="E2672" t="str">
            <v>3|44000|1|1,3|41590|1|1,3|41547|1|1</v>
          </cell>
        </row>
        <row r="2673">
          <cell r="A2673">
            <v>44283</v>
          </cell>
          <cell r="B2673">
            <v>0</v>
          </cell>
          <cell r="C2673" t="str">
            <v>1|14001|0,1|14107|0,1|10052|0</v>
          </cell>
          <cell r="D2673" t="str">
            <v>精英副本 第96章 第6关道具奖励</v>
          </cell>
          <cell r="E2673" t="str">
            <v>3|44000|1|1,3|41508|1|1</v>
          </cell>
        </row>
        <row r="2674">
          <cell r="A2674">
            <v>44284</v>
          </cell>
          <cell r="B2674">
            <v>0</v>
          </cell>
          <cell r="C2674" t="str">
            <v>1|14001|0,1|14107|0,1|11025|1,1|10009|0</v>
          </cell>
          <cell r="D2674" t="str">
            <v>精英副本 第96章 第9关道具奖励</v>
          </cell>
          <cell r="E2674" t="str">
            <v>3|44000|1|1,3|41588|1|1,3|41536|1|1</v>
          </cell>
        </row>
        <row r="2675">
          <cell r="A2675">
            <v>44285</v>
          </cell>
          <cell r="B2675">
            <v>0</v>
          </cell>
          <cell r="C2675" t="str">
            <v>1|14001|0,1|14107|0,1|11026|1,1|10008|0</v>
          </cell>
          <cell r="D2675" t="str">
            <v>精英副本 第96章 第10关道具奖励</v>
          </cell>
          <cell r="E2675" t="str">
            <v>3|44000|1|1,3|41589|1|1,3|41548|1|1</v>
          </cell>
        </row>
        <row r="2676">
          <cell r="A2676">
            <v>44286</v>
          </cell>
          <cell r="B2676">
            <v>0</v>
          </cell>
          <cell r="C2676" t="str">
            <v>1|14001|0,1|14107|0,1|10040|0</v>
          </cell>
          <cell r="D2676" t="str">
            <v>精英副本 第97章 第6关道具奖励</v>
          </cell>
          <cell r="E2676" t="str">
            <v>3|44000|1|1,3|41510|1|1</v>
          </cell>
        </row>
        <row r="2677">
          <cell r="A2677">
            <v>44287</v>
          </cell>
          <cell r="B2677">
            <v>0</v>
          </cell>
          <cell r="C2677" t="str">
            <v>1|14001|0,1|14107|0,1|11032|1,1|10010|0</v>
          </cell>
          <cell r="D2677" t="str">
            <v>精英副本 第97章 第9关道具奖励</v>
          </cell>
          <cell r="E2677" t="str">
            <v>3|44000|1|1,3|41595|1|1,3|41535|1|1</v>
          </cell>
        </row>
        <row r="2678">
          <cell r="A2678">
            <v>44288</v>
          </cell>
          <cell r="B2678">
            <v>0</v>
          </cell>
          <cell r="C2678" t="str">
            <v>1|14001|0,1|14107|0,1|11031|1,1|10027|0</v>
          </cell>
          <cell r="D2678" t="str">
            <v>精英副本 第97章 第10关道具奖励</v>
          </cell>
          <cell r="E2678" t="str">
            <v>3|44000|1|1,3|41594|1|1,3|41549|1|1</v>
          </cell>
        </row>
        <row r="2679">
          <cell r="A2679">
            <v>44289</v>
          </cell>
          <cell r="B2679">
            <v>0</v>
          </cell>
          <cell r="C2679" t="str">
            <v>1|14001|0,1|14107|0,1|10039|0</v>
          </cell>
          <cell r="D2679" t="str">
            <v>精英副本 第98章 第6关道具奖励</v>
          </cell>
          <cell r="E2679" t="str">
            <v>3|44000|1|1,3|41511|1|1</v>
          </cell>
        </row>
        <row r="2680">
          <cell r="A2680">
            <v>44290</v>
          </cell>
          <cell r="B2680">
            <v>0</v>
          </cell>
          <cell r="C2680" t="str">
            <v>1|14001|0,1|14107|0,1|11029|1,1|10006|0</v>
          </cell>
          <cell r="D2680" t="str">
            <v>精英副本 第98章 第9关道具奖励</v>
          </cell>
          <cell r="E2680" t="str">
            <v>3|44000|1|1,3|41592|1|1,3|41538|1|1</v>
          </cell>
        </row>
        <row r="2681">
          <cell r="A2681">
            <v>44291</v>
          </cell>
          <cell r="B2681">
            <v>0</v>
          </cell>
          <cell r="C2681" t="str">
            <v>1|14001|0,1|14107|0,1|11030|1,1|10118|0</v>
          </cell>
          <cell r="D2681" t="str">
            <v>精英副本 第98章 第10关道具奖励</v>
          </cell>
          <cell r="E2681" t="str">
            <v>3|44000|1|1,3|41593|1|1,3|41550|1|1</v>
          </cell>
        </row>
        <row r="2682">
          <cell r="A2682">
            <v>44292</v>
          </cell>
          <cell r="B2682">
            <v>0</v>
          </cell>
          <cell r="C2682" t="str">
            <v>1|14001|0,1|14107|0,1|10034|0</v>
          </cell>
          <cell r="D2682" t="str">
            <v>精英副本 第99章 第6关道具奖励</v>
          </cell>
          <cell r="E2682" t="str">
            <v>3|44000|1|1,3|41514|1|1</v>
          </cell>
        </row>
        <row r="2683">
          <cell r="A2683">
            <v>44293</v>
          </cell>
          <cell r="B2683">
            <v>0</v>
          </cell>
          <cell r="C2683" t="str">
            <v>1|14001|0,1|14107|0,1|11036|1,1|10102|0</v>
          </cell>
          <cell r="D2683" t="str">
            <v>精英副本 第99章 第9关道具奖励</v>
          </cell>
          <cell r="E2683" t="str">
            <v>3|44000|1|1,3|41599|1|1,3|41522|1|1</v>
          </cell>
        </row>
        <row r="2684">
          <cell r="A2684">
            <v>44294</v>
          </cell>
          <cell r="B2684">
            <v>0</v>
          </cell>
          <cell r="C2684" t="str">
            <v>1|14001|0,1|14107|0,1|11035|1,1|10002|0</v>
          </cell>
          <cell r="D2684" t="str">
            <v>精英副本 第99章 第10关道具奖励</v>
          </cell>
          <cell r="E2684" t="str">
            <v>3|44000|1|1,3|41598|1|1,3|41551|1|1</v>
          </cell>
        </row>
        <row r="2685">
          <cell r="A2685">
            <v>44295</v>
          </cell>
          <cell r="B2685">
            <v>0</v>
          </cell>
          <cell r="C2685" t="str">
            <v>1|14001|0,1|14107|0,1|10030|0</v>
          </cell>
          <cell r="D2685" t="str">
            <v>精英副本 第100章 第6关道具奖励</v>
          </cell>
          <cell r="E2685" t="str">
            <v>3|44000|1|1,3|41516|1|1</v>
          </cell>
        </row>
        <row r="2686">
          <cell r="A2686">
            <v>44296</v>
          </cell>
          <cell r="B2686">
            <v>0</v>
          </cell>
          <cell r="C2686" t="str">
            <v>1|14001|0,1|14107|0,1|11033|1,1|10023|0</v>
          </cell>
          <cell r="D2686" t="str">
            <v>精英副本 第100章 第9关道具奖励</v>
          </cell>
          <cell r="E2686" t="str">
            <v>3|44000|1|1,3|41596|1|1,3|41530|1|1</v>
          </cell>
        </row>
        <row r="2687">
          <cell r="A2687">
            <v>44297</v>
          </cell>
          <cell r="B2687">
            <v>0</v>
          </cell>
          <cell r="C2687" t="str">
            <v>1|14001|0,1|14107|0,1|11034|1,1|10112|0</v>
          </cell>
          <cell r="D2687" t="str">
            <v>精英副本 第100章 第10关道具奖励</v>
          </cell>
          <cell r="E2687" t="str">
            <v>3|44000|1|1,3|41597|1|1,3|41552|1|1</v>
          </cell>
        </row>
        <row r="2688">
          <cell r="A2688">
            <v>44298</v>
          </cell>
          <cell r="B2688">
            <v>0</v>
          </cell>
          <cell r="C2688" t="str">
            <v>1|14001|0,1|14107|0,1|10018|0</v>
          </cell>
          <cell r="D2688" t="str">
            <v>精英副本 第101章 第6关道具奖励</v>
          </cell>
          <cell r="E2688" t="str">
            <v>3|44000|1|1,3|41518|1|1</v>
          </cell>
        </row>
        <row r="2689">
          <cell r="A2689">
            <v>44299</v>
          </cell>
          <cell r="B2689">
            <v>0</v>
          </cell>
          <cell r="C2689" t="str">
            <v>1|14001|0,1|14107|0,1|11028|1,1|10017|0</v>
          </cell>
          <cell r="D2689" t="str">
            <v>精英副本 第101章 第9关道具奖励</v>
          </cell>
          <cell r="E2689" t="str">
            <v>3|44000|1|1,3|41591|1|1,3|41532|1|1</v>
          </cell>
        </row>
        <row r="2690">
          <cell r="A2690">
            <v>44300</v>
          </cell>
          <cell r="B2690">
            <v>0</v>
          </cell>
          <cell r="C2690" t="str">
            <v>1|14001|0,1|14107|0,1|11027|1,1|10114|0</v>
          </cell>
          <cell r="D2690" t="str">
            <v>精英副本 第101章 第10关道具奖励</v>
          </cell>
          <cell r="E2690" t="str">
            <v>3|44000|1|1,3|41590|1|1,3|41553|1|1</v>
          </cell>
        </row>
        <row r="2691">
          <cell r="A2691">
            <v>44301</v>
          </cell>
          <cell r="B2691">
            <v>0</v>
          </cell>
          <cell r="C2691" t="str">
            <v>1|14001|0,1|14107|0,1|10126|0</v>
          </cell>
          <cell r="D2691" t="str">
            <v>精英副本 第102章 第6关道具奖励</v>
          </cell>
          <cell r="E2691" t="str">
            <v>3|44000|1|1,3|41502|1|1</v>
          </cell>
        </row>
        <row r="2692">
          <cell r="A2692">
            <v>44302</v>
          </cell>
          <cell r="B2692">
            <v>0</v>
          </cell>
          <cell r="C2692" t="str">
            <v>1|14001|0,1|14107|0,1|11025|1,1|10014|0</v>
          </cell>
          <cell r="D2692" t="str">
            <v>精英副本 第102章 第9关道具奖励</v>
          </cell>
          <cell r="E2692" t="str">
            <v>3|44000|1|1,3|41588|1|1,3|41534|1|1</v>
          </cell>
        </row>
        <row r="2693">
          <cell r="A2693">
            <v>44303</v>
          </cell>
          <cell r="B2693">
            <v>0</v>
          </cell>
          <cell r="C2693" t="str">
            <v>1|14001|0,1|14107|0,1|11026|1,1|10011|0</v>
          </cell>
          <cell r="D2693" t="str">
            <v>精英副本 第102章 第10关道具奖励</v>
          </cell>
          <cell r="E2693" t="str">
            <v>3|44000|1|1,3|41589|1|1,3|41554|1|1</v>
          </cell>
        </row>
        <row r="2694">
          <cell r="A2694">
            <v>44304</v>
          </cell>
          <cell r="B2694">
            <v>0</v>
          </cell>
          <cell r="C2694" t="str">
            <v>1|14001|0,1|14107|0,1|10104|0</v>
          </cell>
          <cell r="D2694" t="str">
            <v>精英副本 第103章 第6关道具奖励</v>
          </cell>
          <cell r="E2694" t="str">
            <v>3|44000|1|1,3|41505|1|1</v>
          </cell>
        </row>
        <row r="2695">
          <cell r="A2695">
            <v>44305</v>
          </cell>
          <cell r="B2695">
            <v>0</v>
          </cell>
          <cell r="C2695" t="str">
            <v>1|14001|0,1|14107|0,1|11032|1,1|10025|0</v>
          </cell>
          <cell r="D2695" t="str">
            <v>精英副本 第103章 第9关道具奖励</v>
          </cell>
          <cell r="E2695" t="str">
            <v>3|44000|1|1,3|41595|1|1,3|41529|1|1</v>
          </cell>
        </row>
        <row r="2696">
          <cell r="A2696">
            <v>44306</v>
          </cell>
          <cell r="B2696">
            <v>0</v>
          </cell>
          <cell r="C2696" t="str">
            <v>1|14001|0,1|14107|0,1|11031|1,1|10003|0</v>
          </cell>
          <cell r="D2696" t="str">
            <v>精英副本 第103章 第10关道具奖励</v>
          </cell>
          <cell r="E2696" t="str">
            <v>3|44000|1|1,3|41594|1|1,3|41540|1|1</v>
          </cell>
        </row>
        <row r="2697">
          <cell r="A2697">
            <v>44307</v>
          </cell>
          <cell r="B2697">
            <v>0</v>
          </cell>
          <cell r="C2697" t="str">
            <v>1|14001|0,1|14107|0,1|10103|0</v>
          </cell>
          <cell r="D2697" t="str">
            <v>精英副本 第104章 第6关道具奖励</v>
          </cell>
          <cell r="E2697" t="str">
            <v>3|44000|1|1,3|41506|1|1</v>
          </cell>
        </row>
        <row r="2698">
          <cell r="A2698">
            <v>44308</v>
          </cell>
          <cell r="B2698">
            <v>0</v>
          </cell>
          <cell r="C2698" t="str">
            <v>1|14001|0,1|14107|0,1|11029|1,1|10007|0</v>
          </cell>
          <cell r="D2698" t="str">
            <v>精英副本 第104章 第9关道具奖励</v>
          </cell>
          <cell r="E2698" t="str">
            <v>3|44000|1|1,3|41592|1|1,3|41537|1|1</v>
          </cell>
        </row>
        <row r="2699">
          <cell r="A2699">
            <v>44309</v>
          </cell>
          <cell r="B2699">
            <v>0</v>
          </cell>
          <cell r="C2699" t="str">
            <v>1|14001|0,1|14107|0,1|11030|1,1|10119|0</v>
          </cell>
          <cell r="D2699" t="str">
            <v>精英副本 第104章 第10关道具奖励</v>
          </cell>
          <cell r="E2699" t="str">
            <v>3|44000|1|1,3|41593|1|1,3|41541|1|1</v>
          </cell>
        </row>
        <row r="2700">
          <cell r="A2700">
            <v>44310</v>
          </cell>
          <cell r="B2700">
            <v>0</v>
          </cell>
          <cell r="C2700" t="str">
            <v>1|14001|0,1|14107|0,1|10092|0</v>
          </cell>
          <cell r="D2700" t="str">
            <v>精英副本 第105章 第6关道具奖励</v>
          </cell>
          <cell r="E2700" t="str">
            <v>3|44000|1|1,3|41507|1|1</v>
          </cell>
        </row>
        <row r="2701">
          <cell r="A2701">
            <v>44311</v>
          </cell>
          <cell r="B2701">
            <v>0</v>
          </cell>
          <cell r="C2701" t="str">
            <v>1|14001|0,1|14107|0,1|11036|1,1|10032|0</v>
          </cell>
          <cell r="D2701" t="str">
            <v>精英副本 第105章 第9关道具奖励</v>
          </cell>
          <cell r="E2701" t="str">
            <v>3|44000|1|1,3|41599|1|1,3|41526|1|1</v>
          </cell>
        </row>
        <row r="2702">
          <cell r="A2702">
            <v>44312</v>
          </cell>
          <cell r="B2702">
            <v>0</v>
          </cell>
          <cell r="C2702" t="str">
            <v>1|14001|0,1|14107|0,1|11035|1,1|10015|0</v>
          </cell>
          <cell r="D2702" t="str">
            <v>精英副本 第105章 第10关道具奖励</v>
          </cell>
          <cell r="E2702" t="str">
            <v>3|44000|1|1,3|41598|1|1,3|41542|1|1</v>
          </cell>
        </row>
        <row r="2703">
          <cell r="A2703">
            <v>44313</v>
          </cell>
          <cell r="B2703">
            <v>0</v>
          </cell>
          <cell r="C2703" t="str">
            <v>1|14001|0,1|14107|0,1|10041|0</v>
          </cell>
          <cell r="D2703" t="str">
            <v>精英副本 第106章 第6关道具奖励</v>
          </cell>
          <cell r="E2703" t="str">
            <v>3|44000|1|1,3|41509|1|1</v>
          </cell>
        </row>
        <row r="2704">
          <cell r="A2704">
            <v>44314</v>
          </cell>
          <cell r="B2704">
            <v>0</v>
          </cell>
          <cell r="C2704" t="str">
            <v>1|14001|0,1|14107|0,1|11033|1,1|10035|0</v>
          </cell>
          <cell r="D2704" t="str">
            <v>精英副本 第106章 第9关道具奖励</v>
          </cell>
          <cell r="E2704" t="str">
            <v>3|44000|1|1,3|41596|1|1,3|41525|1|1</v>
          </cell>
        </row>
        <row r="2705">
          <cell r="A2705">
            <v>44315</v>
          </cell>
          <cell r="B2705">
            <v>0</v>
          </cell>
          <cell r="C2705" t="str">
            <v>1|14001|0,1|14107|0,1|11034|1,1|10115|0</v>
          </cell>
          <cell r="D2705" t="str">
            <v>精英副本 第106章 第10关道具奖励</v>
          </cell>
          <cell r="E2705" t="str">
            <v>3|44000|1|1,3|41597|1|1,3|41543|1|1</v>
          </cell>
        </row>
        <row r="2706">
          <cell r="A2706">
            <v>44316</v>
          </cell>
          <cell r="B2706">
            <v>0</v>
          </cell>
          <cell r="C2706" t="str">
            <v>1|14001|0,1|14107|0,1|10038|0</v>
          </cell>
          <cell r="D2706" t="str">
            <v>精英副本 第107章 第6关道具奖励</v>
          </cell>
          <cell r="E2706" t="str">
            <v>3|44000|1|1,3|41512|1|1</v>
          </cell>
        </row>
        <row r="2707">
          <cell r="A2707">
            <v>44317</v>
          </cell>
          <cell r="B2707">
            <v>0</v>
          </cell>
          <cell r="C2707" t="str">
            <v>1|14001|0,1|14107|0,1|11028|1,1|10037|0</v>
          </cell>
          <cell r="D2707" t="str">
            <v>精英副本 第107章 第9关道具奖励</v>
          </cell>
          <cell r="E2707" t="str">
            <v>3|44000|1|1,3|41591|1|1,3|41524|1|1</v>
          </cell>
        </row>
        <row r="2708">
          <cell r="A2708">
            <v>44318</v>
          </cell>
          <cell r="B2708">
            <v>0</v>
          </cell>
          <cell r="C2708" t="str">
            <v>1|14001|0,1|14107|0,1|11027|1,1|10012|0</v>
          </cell>
          <cell r="D2708" t="str">
            <v>精英副本 第107章 第10关道具奖励</v>
          </cell>
          <cell r="E2708" t="str">
            <v>3|44000|1|1,3|41590|1|1,3|41544|1|1</v>
          </cell>
        </row>
        <row r="2709">
          <cell r="A2709">
            <v>44319</v>
          </cell>
          <cell r="B2709">
            <v>0</v>
          </cell>
          <cell r="C2709" t="str">
            <v>1|14001|0,1|14107|0,1|10036|0</v>
          </cell>
          <cell r="D2709" t="str">
            <v>精英副本 第108章 第6关道具奖励</v>
          </cell>
          <cell r="E2709" t="str">
            <v>3|44000|1|1,3|41513|1|1</v>
          </cell>
        </row>
        <row r="2710">
          <cell r="A2710">
            <v>44320</v>
          </cell>
          <cell r="B2710">
            <v>0</v>
          </cell>
          <cell r="C2710" t="str">
            <v>1|14001|0,1|14107|0,1|11025|1,1|10016|0</v>
          </cell>
          <cell r="D2710" t="str">
            <v>精英副本 第108章 第9关道具奖励</v>
          </cell>
          <cell r="E2710" t="str">
            <v>3|44000|1|1,3|41588|1|1,3|41533|1|1</v>
          </cell>
        </row>
        <row r="2711">
          <cell r="A2711">
            <v>44321</v>
          </cell>
          <cell r="B2711">
            <v>0</v>
          </cell>
          <cell r="C2711" t="str">
            <v>1|14001|0,1|14107|0,1|11026|1,1|10113|0</v>
          </cell>
          <cell r="D2711" t="str">
            <v>精英副本 第108章 第10关道具奖励</v>
          </cell>
          <cell r="E2711" t="str">
            <v>3|44000|1|1,3|41589|1|1,3|41545|1|1</v>
          </cell>
        </row>
        <row r="2712">
          <cell r="A2712">
            <v>44322</v>
          </cell>
          <cell r="B2712">
            <v>0</v>
          </cell>
          <cell r="C2712" t="str">
            <v>1|14001|0,1|14107|0,1|10033|0</v>
          </cell>
          <cell r="D2712" t="str">
            <v>精英副本 第109章 第6关道具奖励</v>
          </cell>
          <cell r="E2712" t="str">
            <v>3|44000|1|1,3|41515|1|1</v>
          </cell>
        </row>
        <row r="2713">
          <cell r="A2713">
            <v>44323</v>
          </cell>
          <cell r="B2713">
            <v>0</v>
          </cell>
          <cell r="C2713" t="str">
            <v>1|14001|0,1|14107|0,1|11032|1,1|10004|0</v>
          </cell>
          <cell r="D2713" t="str">
            <v>精英副本 第109章 第9关道具奖励</v>
          </cell>
          <cell r="E2713" t="str">
            <v>3|44000|1|1,3|41595|1|1,3|41539|1|1</v>
          </cell>
        </row>
        <row r="2714">
          <cell r="A2714">
            <v>44324</v>
          </cell>
          <cell r="B2714">
            <v>0</v>
          </cell>
          <cell r="C2714" t="str">
            <v>1|14001|0,1|14107|0,1|11031|1,1|10020|0</v>
          </cell>
          <cell r="D2714" t="str">
            <v>精英副本 第109章 第10关道具奖励</v>
          </cell>
          <cell r="E2714" t="str">
            <v>3|44000|1|1,3|41594|1|1,3|41546|1|1</v>
          </cell>
        </row>
        <row r="2715">
          <cell r="A2715">
            <v>44325</v>
          </cell>
          <cell r="B2715">
            <v>0</v>
          </cell>
          <cell r="C2715" t="str">
            <v>1|14001|0,1|14107|0,1|10028|0</v>
          </cell>
          <cell r="D2715" t="str">
            <v>精英副本 第110章 第6关道具奖励</v>
          </cell>
          <cell r="E2715" t="str">
            <v>3|44000|1|1,3|41517|1|1</v>
          </cell>
        </row>
        <row r="2716">
          <cell r="A2716">
            <v>44326</v>
          </cell>
          <cell r="B2716">
            <v>0</v>
          </cell>
          <cell r="C2716" t="str">
            <v>1|14001|0,1|14107|0,1|11029|1,1|10116|0</v>
          </cell>
          <cell r="D2716" t="str">
            <v>精英副本 第110章 第9关道具奖励</v>
          </cell>
          <cell r="E2716" t="str">
            <v>3|44000|1|1,3|41592|1|1,3|41519|1|1</v>
          </cell>
        </row>
        <row r="2717">
          <cell r="A2717">
            <v>44327</v>
          </cell>
          <cell r="B2717">
            <v>0</v>
          </cell>
          <cell r="C2717" t="str">
            <v>1|14001|0,1|14107|0,1|11030|1,1|10013|0</v>
          </cell>
          <cell r="D2717" t="str">
            <v>精英副本 第110章 第10关道具奖励</v>
          </cell>
          <cell r="E2717" t="str">
            <v>3|44000|1|1,3|41593|1|1,3|41547|1|1</v>
          </cell>
        </row>
        <row r="2718">
          <cell r="A2718">
            <v>44328</v>
          </cell>
          <cell r="B2718">
            <v>0</v>
          </cell>
          <cell r="C2718" t="str">
            <v>1|14001|0,1|14107|0,1|10404|0</v>
          </cell>
          <cell r="D2718" t="str">
            <v>精英副本 第111章 第6关道具奖励</v>
          </cell>
          <cell r="E2718" t="str">
            <v>3|44000|1|1,3|41501|1|1</v>
          </cell>
        </row>
        <row r="2719">
          <cell r="A2719">
            <v>44329</v>
          </cell>
          <cell r="B2719">
            <v>0</v>
          </cell>
          <cell r="C2719" t="str">
            <v>1|14001|0,1|14107|0,1|11036|1,1|10026|0</v>
          </cell>
          <cell r="D2719" t="str">
            <v>精英副本 第111章 第9关道具奖励</v>
          </cell>
          <cell r="E2719" t="str">
            <v>3|44000|1|1,3|41599|1|1,3|41528|1|1</v>
          </cell>
        </row>
        <row r="2720">
          <cell r="A2720">
            <v>44330</v>
          </cell>
          <cell r="B2720">
            <v>0</v>
          </cell>
          <cell r="C2720" t="str">
            <v>1|14001|0,1|14107|0,1|11035|1,1|10008|0</v>
          </cell>
          <cell r="D2720" t="str">
            <v>精英副本 第111章 第10关道具奖励</v>
          </cell>
          <cell r="E2720" t="str">
            <v>3|44000|1|1,3|41598|1|1,3|41548|1|1</v>
          </cell>
        </row>
        <row r="2721">
          <cell r="A2721">
            <v>44331</v>
          </cell>
          <cell r="B2721">
            <v>0</v>
          </cell>
          <cell r="C2721" t="str">
            <v>1|14001|0,1|14107|0,1|10106|0</v>
          </cell>
          <cell r="D2721" t="str">
            <v>精英副本 第112章 第6关道具奖励</v>
          </cell>
          <cell r="E2721" t="str">
            <v>3|44000|1|1,3|41503|1|1</v>
          </cell>
        </row>
        <row r="2722">
          <cell r="A2722">
            <v>44332</v>
          </cell>
          <cell r="B2722">
            <v>0</v>
          </cell>
          <cell r="C2722" t="str">
            <v>1|14001|0,1|14107|0,1|11033|1,1|10031|0</v>
          </cell>
          <cell r="D2722" t="str">
            <v>精英副本 第112章 第9关道具奖励</v>
          </cell>
          <cell r="E2722" t="str">
            <v>3|44000|1|1,3|41596|1|1,3|41527|1|1</v>
          </cell>
        </row>
        <row r="2723">
          <cell r="A2723">
            <v>44333</v>
          </cell>
          <cell r="B2723">
            <v>0</v>
          </cell>
          <cell r="C2723" t="str">
            <v>1|14001|0,1|14107|0,1|11034|1,1|10027|0</v>
          </cell>
          <cell r="D2723" t="str">
            <v>精英副本 第112章 第10关道具奖励</v>
          </cell>
          <cell r="E2723" t="str">
            <v>3|44000|1|1,3|41597|1|1,3|41549|1|1</v>
          </cell>
        </row>
        <row r="2724">
          <cell r="A2724">
            <v>44334</v>
          </cell>
          <cell r="B2724">
            <v>0</v>
          </cell>
          <cell r="C2724" t="str">
            <v>1|14001|0,1|14107|0,1|10105|0</v>
          </cell>
          <cell r="D2724" t="str">
            <v>精英副本 第113章 第6关道具奖励</v>
          </cell>
          <cell r="E2724" t="str">
            <v>3|44000|1|1,3|41504|1|1</v>
          </cell>
        </row>
        <row r="2725">
          <cell r="A2725">
            <v>44335</v>
          </cell>
          <cell r="B2725">
            <v>0</v>
          </cell>
          <cell r="C2725" t="str">
            <v>1|14001|0,1|14107|0,1|11028|1,1|10101|0</v>
          </cell>
          <cell r="D2725" t="str">
            <v>精英副本 第113章 第9关道具奖励</v>
          </cell>
          <cell r="E2725" t="str">
            <v>3|44000|1|1,3|41591|1|1,3|41523|1|1</v>
          </cell>
        </row>
        <row r="2726">
          <cell r="A2726">
            <v>44336</v>
          </cell>
          <cell r="B2726">
            <v>0</v>
          </cell>
          <cell r="C2726" t="str">
            <v>1|14001|0,1|14107|0,1|11027|1,1|10118|0</v>
          </cell>
          <cell r="D2726" t="str">
            <v>精英副本 第113章 第10关道具奖励</v>
          </cell>
          <cell r="E2726" t="str">
            <v>3|44000|1|1,3|41590|1|1,3|41550|1|1</v>
          </cell>
        </row>
        <row r="2727">
          <cell r="A2727">
            <v>44337</v>
          </cell>
          <cell r="B2727">
            <v>0</v>
          </cell>
          <cell r="C2727" t="str">
            <v>1|14001|0,1|14107|0,1|10052|0</v>
          </cell>
          <cell r="D2727" t="str">
            <v>精英副本 第114章 第6关道具奖励</v>
          </cell>
          <cell r="E2727" t="str">
            <v>3|44000|1|1,3|41508|1|1</v>
          </cell>
        </row>
        <row r="2728">
          <cell r="A2728">
            <v>44338</v>
          </cell>
          <cell r="B2728">
            <v>0</v>
          </cell>
          <cell r="C2728" t="str">
            <v>1|14001|0,1|14107|0,1|11025|1,1|10108|0</v>
          </cell>
          <cell r="D2728" t="str">
            <v>精英副本 第114章 第9关道具奖励</v>
          </cell>
          <cell r="E2728" t="str">
            <v>3|44000|1|1,3|41588|1|1,3|41520|1|1</v>
          </cell>
        </row>
        <row r="2729">
          <cell r="A2729">
            <v>44339</v>
          </cell>
          <cell r="B2729">
            <v>0</v>
          </cell>
          <cell r="C2729" t="str">
            <v>1|14001|0,1|14107|0,1|11026|1,1|10002|0</v>
          </cell>
          <cell r="D2729" t="str">
            <v>精英副本 第114章 第10关道具奖励</v>
          </cell>
          <cell r="E2729" t="str">
            <v>3|44000|1|1,3|41589|1|1,3|41551|1|1</v>
          </cell>
        </row>
        <row r="2730">
          <cell r="A2730">
            <v>44340</v>
          </cell>
          <cell r="B2730">
            <v>0</v>
          </cell>
          <cell r="C2730" t="str">
            <v>1|14001|0,1|14107|0,1|10040|0</v>
          </cell>
          <cell r="D2730" t="str">
            <v>精英副本 第115章 第6关道具奖励</v>
          </cell>
          <cell r="E2730" t="str">
            <v>3|44000|1|1,3|41510|1|1</v>
          </cell>
        </row>
        <row r="2731">
          <cell r="A2731">
            <v>44341</v>
          </cell>
          <cell r="B2731">
            <v>0</v>
          </cell>
          <cell r="C2731" t="str">
            <v>1|14001|0,1|14107|0,1|11032|1,1|10022|0</v>
          </cell>
          <cell r="D2731" t="str">
            <v>精英副本 第115章 第9关道具奖励</v>
          </cell>
          <cell r="E2731" t="str">
            <v>3|44000|1|1,3|41595|1|1,3|41531|1|1</v>
          </cell>
        </row>
        <row r="2732">
          <cell r="A2732">
            <v>44342</v>
          </cell>
          <cell r="B2732">
            <v>0</v>
          </cell>
          <cell r="C2732" t="str">
            <v>1|14001|0,1|14107|0,1|11031|1,1|10112|0</v>
          </cell>
          <cell r="D2732" t="str">
            <v>精英副本 第115章 第10关道具奖励</v>
          </cell>
          <cell r="E2732" t="str">
            <v>3|44000|1|1,3|41594|1|1,3|41552|1|1</v>
          </cell>
        </row>
        <row r="2733">
          <cell r="A2733">
            <v>44343</v>
          </cell>
          <cell r="B2733">
            <v>0</v>
          </cell>
          <cell r="C2733" t="str">
            <v>1|14001|0,1|14107|0,1|10039|0</v>
          </cell>
          <cell r="D2733" t="str">
            <v>精英副本 第116章 第6关道具奖励</v>
          </cell>
          <cell r="E2733" t="str">
            <v>3|44000|1|1,3|41511|1|1</v>
          </cell>
        </row>
        <row r="2734">
          <cell r="A2734">
            <v>44344</v>
          </cell>
          <cell r="B2734">
            <v>0</v>
          </cell>
          <cell r="C2734" t="str">
            <v>1|14001|0,1|14107|0,1|11029|1,1|10107|0</v>
          </cell>
          <cell r="D2734" t="str">
            <v>精英副本 第116章 第9关道具奖励</v>
          </cell>
          <cell r="E2734" t="str">
            <v>3|44000|1|1,3|41592|1|1,3|41521|1|1</v>
          </cell>
        </row>
        <row r="2735">
          <cell r="A2735">
            <v>44345</v>
          </cell>
          <cell r="B2735">
            <v>0</v>
          </cell>
          <cell r="C2735" t="str">
            <v>1|14001|0,1|14107|0,1|11030|1,1|10114|0</v>
          </cell>
          <cell r="D2735" t="str">
            <v>精英副本 第116章 第10关道具奖励</v>
          </cell>
          <cell r="E2735" t="str">
            <v>3|44000|1|1,3|41593|1|1,3|41553|1|1</v>
          </cell>
        </row>
        <row r="2736">
          <cell r="A2736">
            <v>44346</v>
          </cell>
          <cell r="B2736">
            <v>0</v>
          </cell>
          <cell r="C2736" t="str">
            <v>1|14001|0,1|14107|0,1|10034|0</v>
          </cell>
          <cell r="D2736" t="str">
            <v>精英副本 第117章 第6关道具奖励</v>
          </cell>
          <cell r="E2736" t="str">
            <v>3|44000|1|1,3|41514|1|1</v>
          </cell>
        </row>
        <row r="2737">
          <cell r="A2737">
            <v>44347</v>
          </cell>
          <cell r="B2737">
            <v>0</v>
          </cell>
          <cell r="C2737" t="str">
            <v>1|14001|0,1|14107|0,1|11036|1,1|10009|0</v>
          </cell>
          <cell r="D2737" t="str">
            <v>精英副本 第117章 第9关道具奖励</v>
          </cell>
          <cell r="E2737" t="str">
            <v>3|44000|1|1,3|41599|1|1,3|41536|1|1</v>
          </cell>
        </row>
        <row r="2738">
          <cell r="A2738">
            <v>44348</v>
          </cell>
          <cell r="B2738">
            <v>0</v>
          </cell>
          <cell r="C2738" t="str">
            <v>1|14001|0,1|14107|0,1|11035|1,1|10011|0</v>
          </cell>
          <cell r="D2738" t="str">
            <v>精英副本 第117章 第10关道具奖励</v>
          </cell>
          <cell r="E2738" t="str">
            <v>3|44000|1|1,3|41598|1|1,3|41554|1|1</v>
          </cell>
        </row>
        <row r="2739">
          <cell r="A2739">
            <v>44349</v>
          </cell>
          <cell r="B2739">
            <v>0</v>
          </cell>
          <cell r="C2739" t="str">
            <v>1|14001|0,1|14107|0,1|10030|0</v>
          </cell>
          <cell r="D2739" t="str">
            <v>精英副本 第118章 第6关道具奖励</v>
          </cell>
          <cell r="E2739" t="str">
            <v>3|44000|1|1,3|41516|1|1</v>
          </cell>
        </row>
        <row r="2740">
          <cell r="A2740">
            <v>44350</v>
          </cell>
          <cell r="B2740">
            <v>0</v>
          </cell>
          <cell r="C2740" t="str">
            <v>1|14001|0,1|14107|0,1|11033|1,1|10010|0</v>
          </cell>
          <cell r="D2740" t="str">
            <v>精英副本 第118章 第9关道具奖励</v>
          </cell>
          <cell r="E2740" t="str">
            <v>3|44000|1|1,3|41596|1|1,3|41535|1|1</v>
          </cell>
        </row>
        <row r="2741">
          <cell r="A2741">
            <v>44351</v>
          </cell>
          <cell r="B2741">
            <v>0</v>
          </cell>
          <cell r="C2741" t="str">
            <v>1|14001|0,1|14107|0,1|11034|1,1|10003|0</v>
          </cell>
          <cell r="D2741" t="str">
            <v>精英副本 第118章 第10关道具奖励</v>
          </cell>
          <cell r="E2741" t="str">
            <v>3|44000|1|1,3|41597|1|1,3|41540|1|1</v>
          </cell>
        </row>
        <row r="2742">
          <cell r="A2742">
            <v>44352</v>
          </cell>
          <cell r="B2742">
            <v>0</v>
          </cell>
          <cell r="C2742" t="str">
            <v>1|14001|0,1|14107|0,1|10018|0</v>
          </cell>
          <cell r="D2742" t="str">
            <v>精英副本 第119章 第6关道具奖励</v>
          </cell>
          <cell r="E2742" t="str">
            <v>3|44000|1|1,3|41518|1|1</v>
          </cell>
        </row>
        <row r="2743">
          <cell r="A2743">
            <v>44353</v>
          </cell>
          <cell r="B2743">
            <v>0</v>
          </cell>
          <cell r="C2743" t="str">
            <v>1|14001|0,1|14107|0,1|11028|1,1|10006|0</v>
          </cell>
          <cell r="D2743" t="str">
            <v>精英副本 第119章 第9关道具奖励</v>
          </cell>
          <cell r="E2743" t="str">
            <v>3|44000|1|1,3|41591|1|1,3|41538|1|1</v>
          </cell>
        </row>
        <row r="2744">
          <cell r="A2744">
            <v>44354</v>
          </cell>
          <cell r="B2744">
            <v>0</v>
          </cell>
          <cell r="C2744" t="str">
            <v>1|14001|0,1|14107|0,1|11027|1,1|10119|0</v>
          </cell>
          <cell r="D2744" t="str">
            <v>精英副本 第119章 第10关道具奖励</v>
          </cell>
          <cell r="E2744" t="str">
            <v>3|44000|1|1,3|41590|1|1,3|41541|1|1</v>
          </cell>
        </row>
        <row r="2745">
          <cell r="A2745">
            <v>44355</v>
          </cell>
          <cell r="B2745">
            <v>0</v>
          </cell>
          <cell r="C2745" t="str">
            <v>1|14001|0,1|14107|0,1|10126|0</v>
          </cell>
          <cell r="D2745" t="str">
            <v>精英副本 第120章 第6关道具奖励</v>
          </cell>
          <cell r="E2745" t="str">
            <v>3|44000|1|1,3|41502|1|1</v>
          </cell>
        </row>
        <row r="2746">
          <cell r="A2746">
            <v>44356</v>
          </cell>
          <cell r="B2746">
            <v>0</v>
          </cell>
          <cell r="C2746" t="str">
            <v>1|14001|0,1|14107|0,1|11025|1,1|10102|0</v>
          </cell>
          <cell r="D2746" t="str">
            <v>精英副本 第120章 第9关道具奖励</v>
          </cell>
          <cell r="E2746" t="str">
            <v>3|44000|1|1,3|41588|1|1,3|41522|1|1</v>
          </cell>
        </row>
        <row r="2747">
          <cell r="A2747">
            <v>44357</v>
          </cell>
          <cell r="B2747">
            <v>0</v>
          </cell>
          <cell r="C2747" t="str">
            <v>1|14001|0,1|14107|0,1|11026|1,1|10015|0</v>
          </cell>
          <cell r="D2747" t="str">
            <v>精英副本 第120章 第10关道具奖励</v>
          </cell>
          <cell r="E2747" t="str">
            <v>3|44000|1|1,3|41589|1|1,3|41542|1|1</v>
          </cell>
        </row>
        <row r="2748">
          <cell r="A2748">
            <v>44358</v>
          </cell>
          <cell r="B2748">
            <v>0</v>
          </cell>
          <cell r="C2748" t="str">
            <v>1|14001|0,1|14107|0,1|10104|0</v>
          </cell>
          <cell r="D2748" t="str">
            <v>精英副本 第121章 第6关道具奖励</v>
          </cell>
          <cell r="E2748" t="str">
            <v>3|44000|1|1,3|41505|1|1</v>
          </cell>
        </row>
        <row r="2749">
          <cell r="A2749">
            <v>44359</v>
          </cell>
          <cell r="B2749">
            <v>0</v>
          </cell>
          <cell r="C2749" t="str">
            <v>1|14001|0,1|14107|0,1|11032|1,1|10023|0</v>
          </cell>
          <cell r="D2749" t="str">
            <v>精英副本 第121章 第9关道具奖励</v>
          </cell>
          <cell r="E2749" t="str">
            <v>3|44000|1|1,3|41595|1|1,3|41530|1|1</v>
          </cell>
        </row>
        <row r="2750">
          <cell r="A2750">
            <v>44360</v>
          </cell>
          <cell r="B2750">
            <v>0</v>
          </cell>
          <cell r="C2750" t="str">
            <v>1|14001|0,1|14107|0,1|11031|1,1|10115|0</v>
          </cell>
          <cell r="D2750" t="str">
            <v>精英副本 第121章 第10关道具奖励</v>
          </cell>
          <cell r="E2750" t="str">
            <v>3|44000|1|1,3|41594|1|1,3|41543|1|1</v>
          </cell>
        </row>
        <row r="2751">
          <cell r="A2751">
            <v>44361</v>
          </cell>
          <cell r="B2751">
            <v>0</v>
          </cell>
          <cell r="C2751" t="str">
            <v>1|14001|0,1|14107|0,1|10103|0</v>
          </cell>
          <cell r="D2751" t="str">
            <v>精英副本 第122章 第6关道具奖励</v>
          </cell>
          <cell r="E2751" t="str">
            <v>3|44000|1|1,3|41506|1|1</v>
          </cell>
        </row>
        <row r="2752">
          <cell r="A2752">
            <v>44362</v>
          </cell>
          <cell r="B2752">
            <v>0</v>
          </cell>
          <cell r="C2752" t="str">
            <v>1|14001|0,1|14107|0,1|11029|1,1|10017|0</v>
          </cell>
          <cell r="D2752" t="str">
            <v>精英副本 第122章 第9关道具奖励</v>
          </cell>
          <cell r="E2752" t="str">
            <v>3|44000|1|1,3|41592|1|1,3|41532|1|1</v>
          </cell>
        </row>
        <row r="2753">
          <cell r="A2753">
            <v>44363</v>
          </cell>
          <cell r="B2753">
            <v>0</v>
          </cell>
          <cell r="C2753" t="str">
            <v>1|14001|0,1|14107|0,1|11030|1,1|10012|0</v>
          </cell>
          <cell r="D2753" t="str">
            <v>精英副本 第122章 第10关道具奖励</v>
          </cell>
          <cell r="E2753" t="str">
            <v>3|44000|1|1,3|41593|1|1,3|41544|1|1</v>
          </cell>
        </row>
        <row r="2754">
          <cell r="A2754">
            <v>44364</v>
          </cell>
          <cell r="B2754">
            <v>0</v>
          </cell>
          <cell r="C2754" t="str">
            <v>1|14001|0,1|14107|0,1|10092|0</v>
          </cell>
          <cell r="D2754" t="str">
            <v>精英副本 第123章 第6关道具奖励</v>
          </cell>
          <cell r="E2754" t="str">
            <v>3|44000|1|1,3|41507|1|1</v>
          </cell>
        </row>
        <row r="2755">
          <cell r="A2755">
            <v>44365</v>
          </cell>
          <cell r="B2755">
            <v>0</v>
          </cell>
          <cell r="C2755" t="str">
            <v>1|14001|0,1|14107|0,1|11036|1,1|10014|0</v>
          </cell>
          <cell r="D2755" t="str">
            <v>精英副本 第123章 第9关道具奖励</v>
          </cell>
          <cell r="E2755" t="str">
            <v>3|44000|1|1,3|41599|1|1,3|41534|1|1</v>
          </cell>
        </row>
        <row r="2756">
          <cell r="A2756">
            <v>44366</v>
          </cell>
          <cell r="B2756">
            <v>0</v>
          </cell>
          <cell r="C2756" t="str">
            <v>1|14001|0,1|14107|0,1|11035|1,1|10113|0</v>
          </cell>
          <cell r="D2756" t="str">
            <v>精英副本 第123章 第10关道具奖励</v>
          </cell>
          <cell r="E2756" t="str">
            <v>3|44000|1|1,3|41598|1|1,3|41545|1|1</v>
          </cell>
        </row>
        <row r="2757">
          <cell r="A2757">
            <v>44367</v>
          </cell>
          <cell r="B2757">
            <v>0</v>
          </cell>
          <cell r="C2757" t="str">
            <v>1|14001|0,1|14107|0,1|10041|0</v>
          </cell>
          <cell r="D2757" t="str">
            <v>精英副本 第124章 第6关道具奖励</v>
          </cell>
          <cell r="E2757" t="str">
            <v>3|44000|1|1,3|41509|1|1</v>
          </cell>
        </row>
        <row r="2758">
          <cell r="A2758">
            <v>44368</v>
          </cell>
          <cell r="B2758">
            <v>0</v>
          </cell>
          <cell r="C2758" t="str">
            <v>1|14001|0,1|14107|0,1|11033|1,1|10025|0</v>
          </cell>
          <cell r="D2758" t="str">
            <v>精英副本 第124章 第9关道具奖励</v>
          </cell>
          <cell r="E2758" t="str">
            <v>3|44000|1|1,3|41596|1|1,3|41529|1|1</v>
          </cell>
        </row>
        <row r="2759">
          <cell r="A2759">
            <v>44369</v>
          </cell>
          <cell r="B2759">
            <v>0</v>
          </cell>
          <cell r="C2759" t="str">
            <v>1|14001|0,1|14107|0,1|11034|1,1|10020|0</v>
          </cell>
          <cell r="D2759" t="str">
            <v>精英副本 第124章 第10关道具奖励</v>
          </cell>
          <cell r="E2759" t="str">
            <v>3|44000|1|1,3|41597|1|1,3|41546|1|1</v>
          </cell>
        </row>
        <row r="2760">
          <cell r="A2760">
            <v>44370</v>
          </cell>
          <cell r="B2760">
            <v>0</v>
          </cell>
          <cell r="C2760" t="str">
            <v>1|14001|0,1|14107|0,1|10038|0</v>
          </cell>
          <cell r="D2760" t="str">
            <v>精英副本 第125章 第6关道具奖励</v>
          </cell>
          <cell r="E2760" t="str">
            <v>3|44000|1|1,3|41512|1|1</v>
          </cell>
        </row>
        <row r="2761">
          <cell r="A2761">
            <v>44371</v>
          </cell>
          <cell r="B2761">
            <v>0</v>
          </cell>
          <cell r="C2761" t="str">
            <v>1|14001|0,1|14107|0,1|11028|1,1|10007|0</v>
          </cell>
          <cell r="D2761" t="str">
            <v>精英副本 第125章 第9关道具奖励</v>
          </cell>
          <cell r="E2761" t="str">
            <v>3|44000|1|1,3|41591|1|1,3|41537|1|1</v>
          </cell>
        </row>
        <row r="2762">
          <cell r="A2762">
            <v>44372</v>
          </cell>
          <cell r="B2762">
            <v>0</v>
          </cell>
          <cell r="C2762" t="str">
            <v>1|14001|0,1|14107|0,1|11027|1,1|10013|0</v>
          </cell>
          <cell r="D2762" t="str">
            <v>精英副本 第125章 第10关道具奖励</v>
          </cell>
          <cell r="E2762" t="str">
            <v>3|44000|1|1,3|41590|1|1,3|41547|1|1</v>
          </cell>
        </row>
        <row r="2763">
          <cell r="A2763">
            <v>44373</v>
          </cell>
          <cell r="B2763">
            <v>0</v>
          </cell>
          <cell r="C2763" t="str">
            <v>1|14001|0,1|14107|0,1|10036|0</v>
          </cell>
          <cell r="D2763" t="str">
            <v>精英副本 第126章 第6关道具奖励</v>
          </cell>
          <cell r="E2763" t="str">
            <v>3|44000|1|1,3|41513|1|1</v>
          </cell>
        </row>
        <row r="2764">
          <cell r="A2764">
            <v>44374</v>
          </cell>
          <cell r="B2764">
            <v>0</v>
          </cell>
          <cell r="C2764" t="str">
            <v>1|14001|0,1|14107|0,1|11025|1,1|10032|0</v>
          </cell>
          <cell r="D2764" t="str">
            <v>精英副本 第126章 第9关道具奖励</v>
          </cell>
          <cell r="E2764" t="str">
            <v>3|44000|1|1,3|41588|1|1,3|41526|1|1</v>
          </cell>
        </row>
        <row r="2765">
          <cell r="A2765">
            <v>44375</v>
          </cell>
          <cell r="B2765">
            <v>0</v>
          </cell>
          <cell r="C2765" t="str">
            <v>1|14001|0,1|14107|0,1|11026|1,1|10008|0</v>
          </cell>
          <cell r="D2765" t="str">
            <v>精英副本 第126章 第10关道具奖励</v>
          </cell>
          <cell r="E2765" t="str">
            <v>3|44000|1|1,3|41589|1|1,3|41548|1|1</v>
          </cell>
        </row>
        <row r="2766">
          <cell r="A2766">
            <v>44376</v>
          </cell>
          <cell r="B2766">
            <v>0</v>
          </cell>
          <cell r="C2766" t="str">
            <v>1|14001|0,1|14107|0,1|10033|0</v>
          </cell>
          <cell r="D2766" t="str">
            <v>精英副本 第127章 第6关道具奖励</v>
          </cell>
          <cell r="E2766" t="str">
            <v>3|44000|1|1,3|41515|1|1</v>
          </cell>
        </row>
        <row r="2767">
          <cell r="A2767">
            <v>44377</v>
          </cell>
          <cell r="B2767">
            <v>0</v>
          </cell>
          <cell r="C2767" t="str">
            <v>1|14001|0,1|14107|0,1|11032|1,1|10035|0</v>
          </cell>
          <cell r="D2767" t="str">
            <v>精英副本 第127章 第9关道具奖励</v>
          </cell>
          <cell r="E2767" t="str">
            <v>3|44000|1|1,3|41595|1|1,3|41525|1|1</v>
          </cell>
        </row>
        <row r="2768">
          <cell r="A2768">
            <v>44378</v>
          </cell>
          <cell r="B2768">
            <v>0</v>
          </cell>
          <cell r="C2768" t="str">
            <v>1|14001|0,1|14107|0,1|11031|1,1|10027|0</v>
          </cell>
          <cell r="D2768" t="str">
            <v>精英副本 第127章 第10关道具奖励</v>
          </cell>
          <cell r="E2768" t="str">
            <v>3|44000|1|1,3|41594|1|1,3|41549|1|1</v>
          </cell>
        </row>
        <row r="2769">
          <cell r="A2769">
            <v>44379</v>
          </cell>
          <cell r="B2769">
            <v>0</v>
          </cell>
          <cell r="C2769" t="str">
            <v>1|14001|0,1|14107|0,1|10028|0</v>
          </cell>
          <cell r="D2769" t="str">
            <v>精英副本 第128章 第6关道具奖励</v>
          </cell>
          <cell r="E2769" t="str">
            <v>3|44000|1|1,3|41517|1|1</v>
          </cell>
        </row>
        <row r="2770">
          <cell r="A2770">
            <v>44380</v>
          </cell>
          <cell r="B2770">
            <v>0</v>
          </cell>
          <cell r="C2770" t="str">
            <v>1|14001|0,1|14107|0,1|11029|1,1|10037|0</v>
          </cell>
          <cell r="D2770" t="str">
            <v>精英副本 第128章 第9关道具奖励</v>
          </cell>
          <cell r="E2770" t="str">
            <v>3|44000|1|1,3|41592|1|1,3|41524|1|1</v>
          </cell>
        </row>
        <row r="2771">
          <cell r="A2771">
            <v>44381</v>
          </cell>
          <cell r="B2771">
            <v>0</v>
          </cell>
          <cell r="C2771" t="str">
            <v>1|14001|0,1|14107|0,1|11030|1,1|10118|0</v>
          </cell>
          <cell r="D2771" t="str">
            <v>精英副本 第128章 第10关道具奖励</v>
          </cell>
          <cell r="E2771" t="str">
            <v>3|44000|1|1,3|41593|1|1,3|41550|1|1</v>
          </cell>
        </row>
        <row r="2772">
          <cell r="A2772">
            <v>44382</v>
          </cell>
          <cell r="B2772">
            <v>0</v>
          </cell>
          <cell r="C2772" t="str">
            <v>1|14001|0,1|14107|0,1|10041|0</v>
          </cell>
          <cell r="D2772" t="str">
            <v>精英副本 第129章 第6关道具奖励</v>
          </cell>
          <cell r="E2772" t="str">
            <v>3|44000|1|1,3|41509|1|1</v>
          </cell>
        </row>
        <row r="2773">
          <cell r="A2773">
            <v>44383</v>
          </cell>
          <cell r="B2773">
            <v>0</v>
          </cell>
          <cell r="C2773" t="str">
            <v>1|14001|0,1|14107|0,1|11036|1,1|10016|0</v>
          </cell>
          <cell r="D2773" t="str">
            <v>精英副本 第129章 第9关道具奖励</v>
          </cell>
          <cell r="E2773" t="str">
            <v>3|44000|1|1,3|41599|1|1,3|41533|1|1</v>
          </cell>
        </row>
        <row r="2774">
          <cell r="A2774">
            <v>44384</v>
          </cell>
          <cell r="B2774">
            <v>0</v>
          </cell>
          <cell r="C2774" t="str">
            <v>1|14001|0,1|14107|0,1|11035|1,1|10002|0</v>
          </cell>
          <cell r="D2774" t="str">
            <v>精英副本 第129章 第10关道具奖励</v>
          </cell>
          <cell r="E2774" t="str">
            <v>3|44000|1|1,3|41598|1|1,3|41551|1|1</v>
          </cell>
        </row>
        <row r="2775">
          <cell r="A2775">
            <v>44385</v>
          </cell>
          <cell r="B2775">
            <v>0</v>
          </cell>
          <cell r="C2775" t="str">
            <v>1|14001|0,1|14107|0,1|10404|0</v>
          </cell>
          <cell r="D2775" t="str">
            <v>精英副本 第130章 第6关道具奖励</v>
          </cell>
          <cell r="E2775" t="str">
            <v>3|44000|1|1,3|41501|1|1</v>
          </cell>
        </row>
        <row r="2776">
          <cell r="A2776">
            <v>44386</v>
          </cell>
          <cell r="B2776">
            <v>0</v>
          </cell>
          <cell r="C2776" t="str">
            <v>1|14001|0,1|14107|0,1|11033|1,1|10004|0</v>
          </cell>
          <cell r="D2776" t="str">
            <v>精英副本 第130章 第9关道具奖励</v>
          </cell>
          <cell r="E2776" t="str">
            <v>3|44000|1|1,3|41596|1|1,3|41539|1|1</v>
          </cell>
        </row>
        <row r="2777">
          <cell r="A2777">
            <v>44387</v>
          </cell>
          <cell r="B2777">
            <v>0</v>
          </cell>
          <cell r="C2777" t="str">
            <v>1|14001|0,1|14107|0,1|11034|1,1|10112|0</v>
          </cell>
          <cell r="D2777" t="str">
            <v>精英副本 第130章 第10关道具奖励</v>
          </cell>
          <cell r="E2777" t="str">
            <v>3|44000|1|1,3|41597|1|1,3|41552|1|1</v>
          </cell>
        </row>
        <row r="2778">
          <cell r="A2778">
            <v>44388</v>
          </cell>
          <cell r="B2778">
            <v>0</v>
          </cell>
          <cell r="C2778" t="str">
            <v>1|14001|0,1|14107|0,1|10106|0</v>
          </cell>
          <cell r="D2778" t="str">
            <v>精英副本 第131章 第6关道具奖励</v>
          </cell>
          <cell r="E2778" t="str">
            <v>3|44000|1|1,3|41503|1|1</v>
          </cell>
        </row>
        <row r="2779">
          <cell r="A2779">
            <v>44389</v>
          </cell>
          <cell r="B2779">
            <v>0</v>
          </cell>
          <cell r="C2779" t="str">
            <v>1|14001|0,1|14107|0,1|11028|1,1|10116|0</v>
          </cell>
          <cell r="D2779" t="str">
            <v>精英副本 第131章 第9关道具奖励</v>
          </cell>
          <cell r="E2779" t="str">
            <v>3|44000|1|1,3|41591|1|1,3|41519|1|1</v>
          </cell>
        </row>
        <row r="2780">
          <cell r="A2780">
            <v>44390</v>
          </cell>
          <cell r="B2780">
            <v>0</v>
          </cell>
          <cell r="C2780" t="str">
            <v>1|14001|0,1|14107|0,1|11027|1,1|10114|0</v>
          </cell>
          <cell r="D2780" t="str">
            <v>精英副本 第131章 第10关道具奖励</v>
          </cell>
          <cell r="E2780" t="str">
            <v>3|44000|1|1,3|41590|1|1,3|41553|1|1</v>
          </cell>
        </row>
        <row r="2781">
          <cell r="A2781">
            <v>44391</v>
          </cell>
          <cell r="B2781">
            <v>0</v>
          </cell>
          <cell r="C2781" t="str">
            <v>1|14001|0,1|14107|0,1|10105|0</v>
          </cell>
          <cell r="D2781" t="str">
            <v>精英副本 第132章 第6关道具奖励</v>
          </cell>
          <cell r="E2781" t="str">
            <v>3|44000|1|1,3|41504|1|1</v>
          </cell>
        </row>
        <row r="2782">
          <cell r="A2782">
            <v>44392</v>
          </cell>
          <cell r="B2782">
            <v>0</v>
          </cell>
          <cell r="C2782" t="str">
            <v>1|14001|0,1|14107|0,1|11025|1,1|10026|0</v>
          </cell>
          <cell r="D2782" t="str">
            <v>精英副本 第132章 第9关道具奖励</v>
          </cell>
          <cell r="E2782" t="str">
            <v>3|44000|1|1,3|41588|1|1,3|41528|1|1</v>
          </cell>
        </row>
        <row r="2783">
          <cell r="A2783">
            <v>44393</v>
          </cell>
          <cell r="B2783">
            <v>0</v>
          </cell>
          <cell r="C2783" t="str">
            <v>1|14001|0,1|14107|0,1|11026|1,1|10011|0</v>
          </cell>
          <cell r="D2783" t="str">
            <v>精英副本 第132章 第10关道具奖励</v>
          </cell>
          <cell r="E2783" t="str">
            <v>3|44000|1|1,3|41589|1|1,3|41554|1|1</v>
          </cell>
        </row>
        <row r="2784">
          <cell r="A2784">
            <v>44901</v>
          </cell>
          <cell r="B2784">
            <v>0</v>
          </cell>
          <cell r="C2784" t="str">
            <v>1|14001|0,1|14322|5</v>
          </cell>
          <cell r="D2784" t="str">
            <v>精英副本 1-9章掉落 初级经验药和聚魂珠</v>
          </cell>
          <cell r="E2784" t="str">
            <v>3|44911|1|1,1|14322|5|1</v>
          </cell>
        </row>
        <row r="2785">
          <cell r="A2785">
            <v>44902</v>
          </cell>
          <cell r="B2785">
            <v>0</v>
          </cell>
          <cell r="C2785" t="str">
            <v>1|14001|0,1|14322|9</v>
          </cell>
          <cell r="D2785" t="str">
            <v>精英副本 10-19章掉落 初级经验药和聚魂珠</v>
          </cell>
          <cell r="E2785" t="str">
            <v>3|44912|1|1,1|14322|9|1</v>
          </cell>
        </row>
        <row r="2786">
          <cell r="A2786">
            <v>44903</v>
          </cell>
          <cell r="B2786">
            <v>0</v>
          </cell>
          <cell r="C2786" t="str">
            <v>1|14001|0,1|14322|14</v>
          </cell>
          <cell r="D2786" t="str">
            <v>精英副本 20-29章掉落 初级经验药和聚魂珠</v>
          </cell>
          <cell r="E2786" t="str">
            <v>3|44913|1|1,1|14322|14|1</v>
          </cell>
        </row>
        <row r="2787">
          <cell r="A2787">
            <v>44904</v>
          </cell>
          <cell r="B2787">
            <v>0</v>
          </cell>
          <cell r="C2787" t="str">
            <v>1|14001|0,1|14322|20</v>
          </cell>
          <cell r="D2787" t="str">
            <v>精英副本 30-39章掉落 初级经验药和聚魂珠</v>
          </cell>
          <cell r="E2787" t="str">
            <v>3|44914|1|1,1|14322|20|1</v>
          </cell>
        </row>
        <row r="2788">
          <cell r="A2788">
            <v>44905</v>
          </cell>
          <cell r="B2788">
            <v>0</v>
          </cell>
          <cell r="C2788" t="str">
            <v>1|14001|0,1|14322|27</v>
          </cell>
          <cell r="D2788" t="str">
            <v>精英副本 40-49章掉落 初级经验药和聚魂珠</v>
          </cell>
          <cell r="E2788" t="str">
            <v>3|44915|1|1,1|14322|27|1</v>
          </cell>
        </row>
        <row r="2789">
          <cell r="A2789">
            <v>44906</v>
          </cell>
          <cell r="B2789">
            <v>0</v>
          </cell>
          <cell r="C2789" t="str">
            <v>1|14001|0,1|14322|35</v>
          </cell>
          <cell r="D2789" t="str">
            <v>精英副本 59章之后掉落 初级经验药和聚魂珠</v>
          </cell>
          <cell r="E2789" t="str">
            <v>3|44916|1|1,1|14322|35|1</v>
          </cell>
        </row>
        <row r="2790">
          <cell r="A2790">
            <v>44911</v>
          </cell>
          <cell r="B2790">
            <v>1</v>
          </cell>
          <cell r="C2790" t="str">
            <v>[]</v>
          </cell>
          <cell r="D2790" t="str">
            <v>精英副本 1-9章掉落 初级经验药</v>
          </cell>
          <cell r="E2790" t="str">
            <v>1|14001|2|50,1|14001|3|50</v>
          </cell>
        </row>
        <row r="2791">
          <cell r="A2791">
            <v>44912</v>
          </cell>
          <cell r="B2791">
            <v>1</v>
          </cell>
          <cell r="C2791" t="str">
            <v>[]</v>
          </cell>
          <cell r="D2791" t="str">
            <v>精英副本 10-19章掉落 初级经验药</v>
          </cell>
          <cell r="E2791" t="str">
            <v>1|14001|3|65,1|14001|4|35</v>
          </cell>
        </row>
        <row r="2792">
          <cell r="A2792">
            <v>44913</v>
          </cell>
          <cell r="B2792">
            <v>1</v>
          </cell>
          <cell r="C2792" t="str">
            <v>[]</v>
          </cell>
          <cell r="D2792" t="str">
            <v>精英副本 20-29章掉落 初级经验药</v>
          </cell>
          <cell r="E2792" t="str">
            <v>1|14001|3|30,1|14001|4|40,1|14001|5|30</v>
          </cell>
        </row>
        <row r="2793">
          <cell r="A2793">
            <v>44914</v>
          </cell>
          <cell r="B2793">
            <v>1</v>
          </cell>
          <cell r="C2793" t="str">
            <v>[]</v>
          </cell>
          <cell r="D2793" t="str">
            <v>精英副本 30-39章掉落 初级经验药</v>
          </cell>
          <cell r="E2793" t="str">
            <v>1|14001|3|20,1|14001|4|30,1|14001|5|50</v>
          </cell>
        </row>
        <row r="2794">
          <cell r="A2794">
            <v>44915</v>
          </cell>
          <cell r="B2794">
            <v>1</v>
          </cell>
          <cell r="C2794" t="str">
            <v>[]</v>
          </cell>
          <cell r="D2794" t="str">
            <v>精英副本 40-49章掉落 初级经验药</v>
          </cell>
          <cell r="E2794" t="str">
            <v>1|14001|3|20,1|14001|4|30,1|14001|5|30,1|14001|6|20</v>
          </cell>
        </row>
        <row r="2795">
          <cell r="A2795">
            <v>44916</v>
          </cell>
          <cell r="B2795">
            <v>1</v>
          </cell>
          <cell r="C2795" t="str">
            <v>[]</v>
          </cell>
          <cell r="D2795" t="str">
            <v>精英副本 59章之后掉落 初级经验药</v>
          </cell>
          <cell r="E2795" t="str">
            <v>1|14001|3|20,1|14001|4|30,1|14001|5|30,1|14001|6|20</v>
          </cell>
        </row>
        <row r="2796">
          <cell r="A2796">
            <v>45001</v>
          </cell>
          <cell r="B2796">
            <v>1</v>
          </cell>
          <cell r="C2796" t="str">
            <v>4|1|2500</v>
          </cell>
          <cell r="D2796" t="str">
            <v>主线副本进度宝箱-金币奖励</v>
          </cell>
          <cell r="E2796" t="str">
            <v>4|1|2500|1</v>
          </cell>
        </row>
        <row r="2797">
          <cell r="A2797">
            <v>45002</v>
          </cell>
          <cell r="B2797">
            <v>1</v>
          </cell>
          <cell r="C2797" t="str">
            <v>4|1|3750</v>
          </cell>
          <cell r="D2797" t="str">
            <v>主线副本进度宝箱-金币奖励</v>
          </cell>
          <cell r="E2797" t="str">
            <v>4|1|3750|1</v>
          </cell>
        </row>
        <row r="2798">
          <cell r="A2798">
            <v>45003</v>
          </cell>
          <cell r="B2798">
            <v>1</v>
          </cell>
          <cell r="C2798" t="str">
            <v>4|1|5000</v>
          </cell>
          <cell r="D2798" t="str">
            <v>主线副本进度宝箱-金币奖励</v>
          </cell>
          <cell r="E2798" t="str">
            <v>4|1|5000|1</v>
          </cell>
        </row>
        <row r="2799">
          <cell r="A2799">
            <v>45004</v>
          </cell>
          <cell r="B2799">
            <v>1</v>
          </cell>
          <cell r="C2799" t="str">
            <v>4|1|6250</v>
          </cell>
          <cell r="D2799" t="str">
            <v>主线副本进度宝箱-金币奖励</v>
          </cell>
          <cell r="E2799" t="str">
            <v>4|1|6250|1</v>
          </cell>
        </row>
        <row r="2800">
          <cell r="A2800">
            <v>45005</v>
          </cell>
          <cell r="B2800">
            <v>1</v>
          </cell>
          <cell r="C2800" t="str">
            <v>4|1|7500</v>
          </cell>
          <cell r="D2800" t="str">
            <v>主线副本进度宝箱-金币奖励</v>
          </cell>
          <cell r="E2800" t="str">
            <v>4|1|7500|1</v>
          </cell>
        </row>
        <row r="2801">
          <cell r="A2801">
            <v>45006</v>
          </cell>
          <cell r="B2801">
            <v>1</v>
          </cell>
          <cell r="C2801" t="str">
            <v>4|1|5000</v>
          </cell>
          <cell r="D2801" t="str">
            <v>主线副本进度宝箱-金币奖励</v>
          </cell>
          <cell r="E2801" t="str">
            <v>4|1|5000|1</v>
          </cell>
        </row>
        <row r="2802">
          <cell r="A2802">
            <v>45007</v>
          </cell>
          <cell r="B2802">
            <v>1</v>
          </cell>
          <cell r="C2802" t="str">
            <v>4|1|7500</v>
          </cell>
          <cell r="D2802" t="str">
            <v>主线副本进度宝箱-金币奖励</v>
          </cell>
          <cell r="E2802" t="str">
            <v>4|1|7500|1</v>
          </cell>
        </row>
        <row r="2803">
          <cell r="A2803">
            <v>45008</v>
          </cell>
          <cell r="B2803">
            <v>1</v>
          </cell>
          <cell r="C2803" t="str">
            <v>4|1|10000</v>
          </cell>
          <cell r="D2803" t="str">
            <v>主线副本进度宝箱-金币奖励</v>
          </cell>
          <cell r="E2803" t="str">
            <v>4|1|10000|1</v>
          </cell>
        </row>
        <row r="2804">
          <cell r="A2804">
            <v>45009</v>
          </cell>
          <cell r="B2804">
            <v>1</v>
          </cell>
          <cell r="C2804" t="str">
            <v>4|1|12500</v>
          </cell>
          <cell r="D2804" t="str">
            <v>主线副本进度宝箱-金币奖励</v>
          </cell>
          <cell r="E2804" t="str">
            <v>4|1|12500|1</v>
          </cell>
        </row>
        <row r="2805">
          <cell r="A2805">
            <v>45010</v>
          </cell>
          <cell r="B2805">
            <v>1</v>
          </cell>
          <cell r="C2805" t="str">
            <v>4|1|15000</v>
          </cell>
          <cell r="D2805" t="str">
            <v>主线副本进度宝箱-金币奖励</v>
          </cell>
          <cell r="E2805" t="str">
            <v>4|1|15000|1</v>
          </cell>
        </row>
        <row r="2806">
          <cell r="A2806">
            <v>45011</v>
          </cell>
          <cell r="B2806">
            <v>1</v>
          </cell>
          <cell r="C2806" t="str">
            <v>4|1|7500</v>
          </cell>
          <cell r="D2806" t="str">
            <v>主线副本进度宝箱-金币奖励</v>
          </cell>
          <cell r="E2806" t="str">
            <v>4|1|7500|1</v>
          </cell>
        </row>
        <row r="2807">
          <cell r="A2807">
            <v>45012</v>
          </cell>
          <cell r="B2807">
            <v>1</v>
          </cell>
          <cell r="C2807" t="str">
            <v>4|1|11250</v>
          </cell>
          <cell r="D2807" t="str">
            <v>主线副本进度宝箱-金币奖励</v>
          </cell>
          <cell r="E2807" t="str">
            <v>4|1|11250|1</v>
          </cell>
        </row>
        <row r="2808">
          <cell r="A2808">
            <v>45013</v>
          </cell>
          <cell r="B2808">
            <v>1</v>
          </cell>
          <cell r="C2808" t="str">
            <v>4|1|15000</v>
          </cell>
          <cell r="D2808" t="str">
            <v>主线副本进度宝箱-金币奖励</v>
          </cell>
          <cell r="E2808" t="str">
            <v>4|1|15000|1</v>
          </cell>
        </row>
        <row r="2809">
          <cell r="A2809">
            <v>45014</v>
          </cell>
          <cell r="B2809">
            <v>1</v>
          </cell>
          <cell r="C2809" t="str">
            <v>4|1|18750</v>
          </cell>
          <cell r="D2809" t="str">
            <v>主线副本进度宝箱-金币奖励</v>
          </cell>
          <cell r="E2809" t="str">
            <v>4|1|18750|1</v>
          </cell>
        </row>
        <row r="2810">
          <cell r="A2810">
            <v>45015</v>
          </cell>
          <cell r="B2810">
            <v>1</v>
          </cell>
          <cell r="C2810" t="str">
            <v>4|1|22500</v>
          </cell>
          <cell r="D2810" t="str">
            <v>主线副本进度宝箱-金币奖励</v>
          </cell>
          <cell r="E2810" t="str">
            <v>4|1|22500|1</v>
          </cell>
        </row>
        <row r="2811">
          <cell r="A2811">
            <v>45016</v>
          </cell>
          <cell r="B2811">
            <v>1</v>
          </cell>
          <cell r="C2811" t="str">
            <v>4|1|10000</v>
          </cell>
          <cell r="D2811" t="str">
            <v>主线副本进度宝箱-金币奖励</v>
          </cell>
          <cell r="E2811" t="str">
            <v>4|1|10000|1</v>
          </cell>
        </row>
        <row r="2812">
          <cell r="A2812">
            <v>45017</v>
          </cell>
          <cell r="B2812">
            <v>1</v>
          </cell>
          <cell r="C2812" t="str">
            <v>4|1|15000</v>
          </cell>
          <cell r="D2812" t="str">
            <v>主线副本进度宝箱-金币奖励</v>
          </cell>
          <cell r="E2812" t="str">
            <v>4|1|15000|1</v>
          </cell>
        </row>
        <row r="2813">
          <cell r="A2813">
            <v>45018</v>
          </cell>
          <cell r="B2813">
            <v>1</v>
          </cell>
          <cell r="C2813" t="str">
            <v>4|1|20000</v>
          </cell>
          <cell r="D2813" t="str">
            <v>主线副本进度宝箱-金币奖励</v>
          </cell>
          <cell r="E2813" t="str">
            <v>4|1|20000|1</v>
          </cell>
        </row>
        <row r="2814">
          <cell r="A2814">
            <v>45019</v>
          </cell>
          <cell r="B2814">
            <v>1</v>
          </cell>
          <cell r="C2814" t="str">
            <v>4|1|25000</v>
          </cell>
          <cell r="D2814" t="str">
            <v>主线副本进度宝箱-金币奖励</v>
          </cell>
          <cell r="E2814" t="str">
            <v>4|1|25000|1</v>
          </cell>
        </row>
        <row r="2815">
          <cell r="A2815">
            <v>45020</v>
          </cell>
          <cell r="B2815">
            <v>1</v>
          </cell>
          <cell r="C2815" t="str">
            <v>4|1|30000</v>
          </cell>
          <cell r="D2815" t="str">
            <v>主线副本进度宝箱-金币奖励</v>
          </cell>
          <cell r="E2815" t="str">
            <v>4|1|30000|1</v>
          </cell>
        </row>
        <row r="2816">
          <cell r="A2816">
            <v>45021</v>
          </cell>
          <cell r="B2816">
            <v>1</v>
          </cell>
          <cell r="C2816" t="str">
            <v>4|1|12500</v>
          </cell>
          <cell r="D2816" t="str">
            <v>主线副本进度宝箱-金币奖励</v>
          </cell>
          <cell r="E2816" t="str">
            <v>4|1|12500|1</v>
          </cell>
        </row>
        <row r="2817">
          <cell r="A2817">
            <v>45022</v>
          </cell>
          <cell r="B2817">
            <v>1</v>
          </cell>
          <cell r="C2817" t="str">
            <v>4|1|18750</v>
          </cell>
          <cell r="D2817" t="str">
            <v>主线副本进度宝箱-金币奖励</v>
          </cell>
          <cell r="E2817" t="str">
            <v>4|1|18750|1</v>
          </cell>
        </row>
        <row r="2818">
          <cell r="A2818">
            <v>45023</v>
          </cell>
          <cell r="B2818">
            <v>1</v>
          </cell>
          <cell r="C2818" t="str">
            <v>4|1|25000</v>
          </cell>
          <cell r="D2818" t="str">
            <v>主线副本进度宝箱-金币奖励</v>
          </cell>
          <cell r="E2818" t="str">
            <v>4|1|25000|1</v>
          </cell>
        </row>
        <row r="2819">
          <cell r="A2819">
            <v>45024</v>
          </cell>
          <cell r="B2819">
            <v>1</v>
          </cell>
          <cell r="C2819" t="str">
            <v>4|1|31250</v>
          </cell>
          <cell r="D2819" t="str">
            <v>主线副本进度宝箱-金币奖励</v>
          </cell>
          <cell r="E2819" t="str">
            <v>4|1|31250|1</v>
          </cell>
        </row>
        <row r="2820">
          <cell r="A2820">
            <v>45025</v>
          </cell>
          <cell r="B2820">
            <v>1</v>
          </cell>
          <cell r="C2820" t="str">
            <v>4|1|37500</v>
          </cell>
          <cell r="D2820" t="str">
            <v>主线副本进度宝箱-金币奖励</v>
          </cell>
          <cell r="E2820" t="str">
            <v>4|1|37500|1</v>
          </cell>
        </row>
        <row r="2821">
          <cell r="A2821">
            <v>45026</v>
          </cell>
          <cell r="B2821">
            <v>1</v>
          </cell>
          <cell r="C2821" t="str">
            <v>4|1|15000</v>
          </cell>
          <cell r="D2821" t="str">
            <v>主线副本进度宝箱-金币奖励</v>
          </cell>
          <cell r="E2821" t="str">
            <v>4|1|15000|1</v>
          </cell>
        </row>
        <row r="2822">
          <cell r="A2822">
            <v>45027</v>
          </cell>
          <cell r="B2822">
            <v>1</v>
          </cell>
          <cell r="C2822" t="str">
            <v>4|1|22500</v>
          </cell>
          <cell r="D2822" t="str">
            <v>主线副本进度宝箱-金币奖励</v>
          </cell>
          <cell r="E2822" t="str">
            <v>4|1|22500|1</v>
          </cell>
        </row>
        <row r="2823">
          <cell r="A2823">
            <v>45028</v>
          </cell>
          <cell r="B2823">
            <v>1</v>
          </cell>
          <cell r="C2823" t="str">
            <v>4|1|30000</v>
          </cell>
          <cell r="D2823" t="str">
            <v>主线副本进度宝箱-金币奖励</v>
          </cell>
          <cell r="E2823" t="str">
            <v>4|1|30000|1</v>
          </cell>
        </row>
        <row r="2824">
          <cell r="A2824">
            <v>45029</v>
          </cell>
          <cell r="B2824">
            <v>1</v>
          </cell>
          <cell r="C2824" t="str">
            <v>4|1|37500</v>
          </cell>
          <cell r="D2824" t="str">
            <v>主线副本进度宝箱-金币奖励</v>
          </cell>
          <cell r="E2824" t="str">
            <v>4|1|37500|1</v>
          </cell>
        </row>
        <row r="2825">
          <cell r="A2825">
            <v>45030</v>
          </cell>
          <cell r="B2825">
            <v>1</v>
          </cell>
          <cell r="C2825" t="str">
            <v>4|1|45000</v>
          </cell>
          <cell r="D2825" t="str">
            <v>主线副本进度宝箱-金币奖励</v>
          </cell>
          <cell r="E2825" t="str">
            <v>4|1|45000|1</v>
          </cell>
        </row>
        <row r="2826">
          <cell r="A2826">
            <v>45031</v>
          </cell>
          <cell r="B2826">
            <v>1</v>
          </cell>
          <cell r="C2826" t="str">
            <v>4|1|17500</v>
          </cell>
          <cell r="D2826" t="str">
            <v>主线副本进度宝箱-金币奖励</v>
          </cell>
          <cell r="E2826" t="str">
            <v>4|1|17500|1</v>
          </cell>
        </row>
        <row r="2827">
          <cell r="A2827">
            <v>45032</v>
          </cell>
          <cell r="B2827">
            <v>1</v>
          </cell>
          <cell r="C2827" t="str">
            <v>4|1|26250</v>
          </cell>
          <cell r="D2827" t="str">
            <v>主线副本进度宝箱-金币奖励</v>
          </cell>
          <cell r="E2827" t="str">
            <v>4|1|26250|1</v>
          </cell>
        </row>
        <row r="2828">
          <cell r="A2828">
            <v>45033</v>
          </cell>
          <cell r="B2828">
            <v>1</v>
          </cell>
          <cell r="C2828" t="str">
            <v>4|1|35000</v>
          </cell>
          <cell r="D2828" t="str">
            <v>主线副本进度宝箱-金币奖励</v>
          </cell>
          <cell r="E2828" t="str">
            <v>4|1|35000|1</v>
          </cell>
        </row>
        <row r="2829">
          <cell r="A2829">
            <v>45034</v>
          </cell>
          <cell r="B2829">
            <v>1</v>
          </cell>
          <cell r="C2829" t="str">
            <v>4|1|43750</v>
          </cell>
          <cell r="D2829" t="str">
            <v>主线副本进度宝箱-金币奖励</v>
          </cell>
          <cell r="E2829" t="str">
            <v>4|1|43750|1</v>
          </cell>
        </row>
        <row r="2830">
          <cell r="A2830">
            <v>45035</v>
          </cell>
          <cell r="B2830">
            <v>1</v>
          </cell>
          <cell r="C2830" t="str">
            <v>4|1|52500</v>
          </cell>
          <cell r="D2830" t="str">
            <v>主线副本进度宝箱-金币奖励</v>
          </cell>
          <cell r="E2830" t="str">
            <v>4|1|52500|1</v>
          </cell>
        </row>
        <row r="2831">
          <cell r="A2831">
            <v>45036</v>
          </cell>
          <cell r="B2831">
            <v>1</v>
          </cell>
          <cell r="C2831" t="str">
            <v>4|1|20000</v>
          </cell>
          <cell r="D2831" t="str">
            <v>主线副本进度宝箱-金币奖励</v>
          </cell>
          <cell r="E2831" t="str">
            <v>4|1|20000|1</v>
          </cell>
        </row>
        <row r="2832">
          <cell r="A2832">
            <v>45037</v>
          </cell>
          <cell r="B2832">
            <v>1</v>
          </cell>
          <cell r="C2832" t="str">
            <v>4|1|30000</v>
          </cell>
          <cell r="D2832" t="str">
            <v>主线副本进度宝箱-金币奖励</v>
          </cell>
          <cell r="E2832" t="str">
            <v>4|1|30000|1</v>
          </cell>
        </row>
        <row r="2833">
          <cell r="A2833">
            <v>45038</v>
          </cell>
          <cell r="B2833">
            <v>1</v>
          </cell>
          <cell r="C2833" t="str">
            <v>4|1|40000</v>
          </cell>
          <cell r="D2833" t="str">
            <v>主线副本进度宝箱-金币奖励</v>
          </cell>
          <cell r="E2833" t="str">
            <v>4|1|40000|1</v>
          </cell>
        </row>
        <row r="2834">
          <cell r="A2834">
            <v>45039</v>
          </cell>
          <cell r="B2834">
            <v>1</v>
          </cell>
          <cell r="C2834" t="str">
            <v>4|1|50000</v>
          </cell>
          <cell r="D2834" t="str">
            <v>主线副本进度宝箱-金币奖励</v>
          </cell>
          <cell r="E2834" t="str">
            <v>4|1|50000|1</v>
          </cell>
        </row>
        <row r="2835">
          <cell r="A2835">
            <v>45040</v>
          </cell>
          <cell r="B2835">
            <v>1</v>
          </cell>
          <cell r="C2835" t="str">
            <v>4|1|60000</v>
          </cell>
          <cell r="D2835" t="str">
            <v>主线副本进度宝箱-金币奖励</v>
          </cell>
          <cell r="E2835" t="str">
            <v>4|1|60000|1</v>
          </cell>
        </row>
        <row r="2836">
          <cell r="A2836">
            <v>45041</v>
          </cell>
          <cell r="B2836">
            <v>1</v>
          </cell>
          <cell r="C2836" t="str">
            <v>4|1|22500</v>
          </cell>
          <cell r="D2836" t="str">
            <v>主线副本进度宝箱-金币奖励</v>
          </cell>
          <cell r="E2836" t="str">
            <v>4|1|22500|1</v>
          </cell>
        </row>
        <row r="2837">
          <cell r="A2837">
            <v>45042</v>
          </cell>
          <cell r="B2837">
            <v>1</v>
          </cell>
          <cell r="C2837" t="str">
            <v>4|1|33750</v>
          </cell>
          <cell r="D2837" t="str">
            <v>主线副本进度宝箱-金币奖励</v>
          </cell>
          <cell r="E2837" t="str">
            <v>4|1|33750|1</v>
          </cell>
        </row>
        <row r="2838">
          <cell r="A2838">
            <v>45043</v>
          </cell>
          <cell r="B2838">
            <v>1</v>
          </cell>
          <cell r="C2838" t="str">
            <v>4|1|45000</v>
          </cell>
          <cell r="D2838" t="str">
            <v>主线副本进度宝箱-金币奖励</v>
          </cell>
          <cell r="E2838" t="str">
            <v>4|1|45000|1</v>
          </cell>
        </row>
        <row r="2839">
          <cell r="A2839">
            <v>45044</v>
          </cell>
          <cell r="B2839">
            <v>1</v>
          </cell>
          <cell r="C2839" t="str">
            <v>4|1|56250</v>
          </cell>
          <cell r="D2839" t="str">
            <v>主线副本进度宝箱-金币奖励</v>
          </cell>
          <cell r="E2839" t="str">
            <v>4|1|56250|1</v>
          </cell>
        </row>
        <row r="2840">
          <cell r="A2840">
            <v>45045</v>
          </cell>
          <cell r="B2840">
            <v>1</v>
          </cell>
          <cell r="C2840" t="str">
            <v>4|1|67500</v>
          </cell>
          <cell r="D2840" t="str">
            <v>主线副本进度宝箱-金币奖励</v>
          </cell>
          <cell r="E2840" t="str">
            <v>4|1|67500|1</v>
          </cell>
        </row>
        <row r="2841">
          <cell r="A2841">
            <v>45046</v>
          </cell>
          <cell r="B2841">
            <v>1</v>
          </cell>
          <cell r="C2841" t="str">
            <v>4|1|25000</v>
          </cell>
          <cell r="D2841" t="str">
            <v>主线副本进度宝箱-金币奖励</v>
          </cell>
          <cell r="E2841" t="str">
            <v>4|1|25000|1</v>
          </cell>
        </row>
        <row r="2842">
          <cell r="A2842">
            <v>45047</v>
          </cell>
          <cell r="B2842">
            <v>1</v>
          </cell>
          <cell r="C2842" t="str">
            <v>4|1|37500</v>
          </cell>
          <cell r="D2842" t="str">
            <v>主线副本进度宝箱-金币奖励</v>
          </cell>
          <cell r="E2842" t="str">
            <v>4|1|37500|1</v>
          </cell>
        </row>
        <row r="2843">
          <cell r="A2843">
            <v>45048</v>
          </cell>
          <cell r="B2843">
            <v>1</v>
          </cell>
          <cell r="C2843" t="str">
            <v>4|1|50000</v>
          </cell>
          <cell r="D2843" t="str">
            <v>主线副本进度宝箱-金币奖励</v>
          </cell>
          <cell r="E2843" t="str">
            <v>4|1|50000|1</v>
          </cell>
        </row>
        <row r="2844">
          <cell r="A2844">
            <v>45049</v>
          </cell>
          <cell r="B2844">
            <v>1</v>
          </cell>
          <cell r="C2844" t="str">
            <v>4|1|62500</v>
          </cell>
          <cell r="D2844" t="str">
            <v>主线副本进度宝箱-金币奖励</v>
          </cell>
          <cell r="E2844" t="str">
            <v>4|1|62500|1</v>
          </cell>
        </row>
        <row r="2845">
          <cell r="A2845">
            <v>45050</v>
          </cell>
          <cell r="B2845">
            <v>1</v>
          </cell>
          <cell r="C2845" t="str">
            <v>4|1|75000</v>
          </cell>
          <cell r="D2845" t="str">
            <v>主线副本进度宝箱-金币奖励</v>
          </cell>
          <cell r="E2845" t="str">
            <v>4|1|75000|1</v>
          </cell>
        </row>
        <row r="2846">
          <cell r="A2846">
            <v>45051</v>
          </cell>
          <cell r="B2846">
            <v>1</v>
          </cell>
          <cell r="C2846" t="str">
            <v>4|1|27500</v>
          </cell>
          <cell r="D2846" t="str">
            <v>主线副本进度宝箱-金币奖励</v>
          </cell>
          <cell r="E2846" t="str">
            <v>4|1|27500|1</v>
          </cell>
        </row>
        <row r="2847">
          <cell r="A2847">
            <v>45052</v>
          </cell>
          <cell r="B2847">
            <v>1</v>
          </cell>
          <cell r="C2847" t="str">
            <v>4|1|41250</v>
          </cell>
          <cell r="D2847" t="str">
            <v>主线副本进度宝箱-金币奖励</v>
          </cell>
          <cell r="E2847" t="str">
            <v>4|1|41250|1</v>
          </cell>
        </row>
        <row r="2848">
          <cell r="A2848">
            <v>45053</v>
          </cell>
          <cell r="B2848">
            <v>1</v>
          </cell>
          <cell r="C2848" t="str">
            <v>4|1|55000</v>
          </cell>
          <cell r="D2848" t="str">
            <v>主线副本进度宝箱-金币奖励</v>
          </cell>
          <cell r="E2848" t="str">
            <v>4|1|55000|1</v>
          </cell>
        </row>
        <row r="2849">
          <cell r="A2849">
            <v>45054</v>
          </cell>
          <cell r="B2849">
            <v>1</v>
          </cell>
          <cell r="C2849" t="str">
            <v>4|1|68750</v>
          </cell>
          <cell r="D2849" t="str">
            <v>主线副本进度宝箱-金币奖励</v>
          </cell>
          <cell r="E2849" t="str">
            <v>4|1|68750|1</v>
          </cell>
        </row>
        <row r="2850">
          <cell r="A2850">
            <v>45055</v>
          </cell>
          <cell r="B2850">
            <v>1</v>
          </cell>
          <cell r="C2850" t="str">
            <v>4|1|82500</v>
          </cell>
          <cell r="D2850" t="str">
            <v>主线副本进度宝箱-金币奖励</v>
          </cell>
          <cell r="E2850" t="str">
            <v>4|1|82500|1</v>
          </cell>
        </row>
        <row r="2851">
          <cell r="A2851">
            <v>45056</v>
          </cell>
          <cell r="B2851">
            <v>1</v>
          </cell>
          <cell r="C2851" t="str">
            <v>4|1|30000</v>
          </cell>
          <cell r="D2851" t="str">
            <v>主线副本进度宝箱-金币奖励</v>
          </cell>
          <cell r="E2851" t="str">
            <v>4|1|30000|1</v>
          </cell>
        </row>
        <row r="2852">
          <cell r="A2852">
            <v>45057</v>
          </cell>
          <cell r="B2852">
            <v>1</v>
          </cell>
          <cell r="C2852" t="str">
            <v>4|1|45000</v>
          </cell>
          <cell r="D2852" t="str">
            <v>主线副本进度宝箱-金币奖励</v>
          </cell>
          <cell r="E2852" t="str">
            <v>4|1|45000|1</v>
          </cell>
        </row>
        <row r="2853">
          <cell r="A2853">
            <v>45058</v>
          </cell>
          <cell r="B2853">
            <v>1</v>
          </cell>
          <cell r="C2853" t="str">
            <v>4|1|60000</v>
          </cell>
          <cell r="D2853" t="str">
            <v>主线副本进度宝箱-金币奖励</v>
          </cell>
          <cell r="E2853" t="str">
            <v>4|1|60000|1</v>
          </cell>
        </row>
        <row r="2854">
          <cell r="A2854">
            <v>45059</v>
          </cell>
          <cell r="B2854">
            <v>1</v>
          </cell>
          <cell r="C2854" t="str">
            <v>4|1|75000</v>
          </cell>
          <cell r="D2854" t="str">
            <v>主线副本进度宝箱-金币奖励</v>
          </cell>
          <cell r="E2854" t="str">
            <v>4|1|75000|1</v>
          </cell>
        </row>
        <row r="2855">
          <cell r="A2855">
            <v>45060</v>
          </cell>
          <cell r="B2855">
            <v>1</v>
          </cell>
          <cell r="C2855" t="str">
            <v>4|1|90000</v>
          </cell>
          <cell r="D2855" t="str">
            <v>主线副本进度宝箱-金币奖励</v>
          </cell>
          <cell r="E2855" t="str">
            <v>4|1|90000|1</v>
          </cell>
        </row>
        <row r="2856">
          <cell r="A2856">
            <v>45061</v>
          </cell>
          <cell r="B2856">
            <v>1</v>
          </cell>
          <cell r="C2856" t="str">
            <v>4|1|32500</v>
          </cell>
          <cell r="D2856" t="str">
            <v>主线副本进度宝箱-金币奖励</v>
          </cell>
          <cell r="E2856" t="str">
            <v>4|1|32500|1</v>
          </cell>
        </row>
        <row r="2857">
          <cell r="A2857">
            <v>45062</v>
          </cell>
          <cell r="B2857">
            <v>1</v>
          </cell>
          <cell r="C2857" t="str">
            <v>4|1|48750</v>
          </cell>
          <cell r="D2857" t="str">
            <v>主线副本进度宝箱-金币奖励</v>
          </cell>
          <cell r="E2857" t="str">
            <v>4|1|48750|1</v>
          </cell>
        </row>
        <row r="2858">
          <cell r="A2858">
            <v>45063</v>
          </cell>
          <cell r="B2858">
            <v>1</v>
          </cell>
          <cell r="C2858" t="str">
            <v>4|1|65000</v>
          </cell>
          <cell r="D2858" t="str">
            <v>主线副本进度宝箱-金币奖励</v>
          </cell>
          <cell r="E2858" t="str">
            <v>4|1|65000|1</v>
          </cell>
        </row>
        <row r="2859">
          <cell r="A2859">
            <v>45064</v>
          </cell>
          <cell r="B2859">
            <v>1</v>
          </cell>
          <cell r="C2859" t="str">
            <v>4|1|81250</v>
          </cell>
          <cell r="D2859" t="str">
            <v>主线副本进度宝箱-金币奖励</v>
          </cell>
          <cell r="E2859" t="str">
            <v>4|1|81250|1</v>
          </cell>
        </row>
        <row r="2860">
          <cell r="A2860">
            <v>45065</v>
          </cell>
          <cell r="B2860">
            <v>1</v>
          </cell>
          <cell r="C2860" t="str">
            <v>4|1|97500</v>
          </cell>
          <cell r="D2860" t="str">
            <v>主线副本进度宝箱-金币奖励</v>
          </cell>
          <cell r="E2860" t="str">
            <v>4|1|97500|1</v>
          </cell>
        </row>
        <row r="2861">
          <cell r="A2861">
            <v>45066</v>
          </cell>
          <cell r="B2861">
            <v>1</v>
          </cell>
          <cell r="C2861" t="str">
            <v>4|1|35000</v>
          </cell>
          <cell r="D2861" t="str">
            <v>主线副本进度宝箱-金币奖励</v>
          </cell>
          <cell r="E2861" t="str">
            <v>4|1|35000|1</v>
          </cell>
        </row>
        <row r="2862">
          <cell r="A2862">
            <v>45067</v>
          </cell>
          <cell r="B2862">
            <v>1</v>
          </cell>
          <cell r="C2862" t="str">
            <v>4|1|52500</v>
          </cell>
          <cell r="D2862" t="str">
            <v>主线副本进度宝箱-金币奖励</v>
          </cell>
          <cell r="E2862" t="str">
            <v>4|1|52500|1</v>
          </cell>
        </row>
        <row r="2863">
          <cell r="A2863">
            <v>45068</v>
          </cell>
          <cell r="B2863">
            <v>1</v>
          </cell>
          <cell r="C2863" t="str">
            <v>4|1|70000</v>
          </cell>
          <cell r="D2863" t="str">
            <v>主线副本进度宝箱-金币奖励</v>
          </cell>
          <cell r="E2863" t="str">
            <v>4|1|70000|1</v>
          </cell>
        </row>
        <row r="2864">
          <cell r="A2864">
            <v>45069</v>
          </cell>
          <cell r="B2864">
            <v>1</v>
          </cell>
          <cell r="C2864" t="str">
            <v>4|1|87500</v>
          </cell>
          <cell r="D2864" t="str">
            <v>主线副本进度宝箱-金币奖励</v>
          </cell>
          <cell r="E2864" t="str">
            <v>4|1|87500|1</v>
          </cell>
        </row>
        <row r="2865">
          <cell r="A2865">
            <v>45070</v>
          </cell>
          <cell r="B2865">
            <v>1</v>
          </cell>
          <cell r="C2865" t="str">
            <v>4|1|105000</v>
          </cell>
          <cell r="D2865" t="str">
            <v>主线副本进度宝箱-金币奖励</v>
          </cell>
          <cell r="E2865" t="str">
            <v>4|1|105000|1</v>
          </cell>
        </row>
        <row r="2866">
          <cell r="A2866">
            <v>45071</v>
          </cell>
          <cell r="B2866">
            <v>1</v>
          </cell>
          <cell r="C2866" t="str">
            <v>4|1|37500</v>
          </cell>
          <cell r="D2866" t="str">
            <v>主线副本进度宝箱-金币奖励</v>
          </cell>
          <cell r="E2866" t="str">
            <v>4|1|37500|1</v>
          </cell>
        </row>
        <row r="2867">
          <cell r="A2867">
            <v>45072</v>
          </cell>
          <cell r="B2867">
            <v>1</v>
          </cell>
          <cell r="C2867" t="str">
            <v>4|1|56250</v>
          </cell>
          <cell r="D2867" t="str">
            <v>主线副本进度宝箱-金币奖励</v>
          </cell>
          <cell r="E2867" t="str">
            <v>4|1|56250|1</v>
          </cell>
        </row>
        <row r="2868">
          <cell r="A2868">
            <v>45073</v>
          </cell>
          <cell r="B2868">
            <v>1</v>
          </cell>
          <cell r="C2868" t="str">
            <v>4|1|75000</v>
          </cell>
          <cell r="D2868" t="str">
            <v>主线副本进度宝箱-金币奖励</v>
          </cell>
          <cell r="E2868" t="str">
            <v>4|1|75000|1</v>
          </cell>
        </row>
        <row r="2869">
          <cell r="A2869">
            <v>45074</v>
          </cell>
          <cell r="B2869">
            <v>1</v>
          </cell>
          <cell r="C2869" t="str">
            <v>4|1|93750</v>
          </cell>
          <cell r="D2869" t="str">
            <v>主线副本进度宝箱-金币奖励</v>
          </cell>
          <cell r="E2869" t="str">
            <v>4|1|93750|1</v>
          </cell>
        </row>
        <row r="2870">
          <cell r="A2870">
            <v>45075</v>
          </cell>
          <cell r="B2870">
            <v>1</v>
          </cell>
          <cell r="C2870" t="str">
            <v>4|1|112500</v>
          </cell>
          <cell r="D2870" t="str">
            <v>主线副本进度宝箱-金币奖励</v>
          </cell>
          <cell r="E2870" t="str">
            <v>4|1|112500|1</v>
          </cell>
        </row>
        <row r="2871">
          <cell r="A2871">
            <v>45076</v>
          </cell>
          <cell r="B2871">
            <v>1</v>
          </cell>
          <cell r="C2871" t="str">
            <v>4|1|40000</v>
          </cell>
          <cell r="D2871" t="str">
            <v>主线副本进度宝箱-金币奖励</v>
          </cell>
          <cell r="E2871" t="str">
            <v>4|1|40000|1</v>
          </cell>
        </row>
        <row r="2872">
          <cell r="A2872">
            <v>45077</v>
          </cell>
          <cell r="B2872">
            <v>1</v>
          </cell>
          <cell r="C2872" t="str">
            <v>4|1|60000</v>
          </cell>
          <cell r="D2872" t="str">
            <v>主线副本进度宝箱-金币奖励</v>
          </cell>
          <cell r="E2872" t="str">
            <v>4|1|60000|1</v>
          </cell>
        </row>
        <row r="2873">
          <cell r="A2873">
            <v>45078</v>
          </cell>
          <cell r="B2873">
            <v>1</v>
          </cell>
          <cell r="C2873" t="str">
            <v>4|1|80000</v>
          </cell>
          <cell r="D2873" t="str">
            <v>主线副本进度宝箱-金币奖励</v>
          </cell>
          <cell r="E2873" t="str">
            <v>4|1|80000|1</v>
          </cell>
        </row>
        <row r="2874">
          <cell r="A2874">
            <v>45079</v>
          </cell>
          <cell r="B2874">
            <v>1</v>
          </cell>
          <cell r="C2874" t="str">
            <v>4|1|100000</v>
          </cell>
          <cell r="D2874" t="str">
            <v>主线副本进度宝箱-金币奖励</v>
          </cell>
          <cell r="E2874" t="str">
            <v>4|1|100000|1</v>
          </cell>
        </row>
        <row r="2875">
          <cell r="A2875">
            <v>45080</v>
          </cell>
          <cell r="B2875">
            <v>1</v>
          </cell>
          <cell r="C2875" t="str">
            <v>4|1|120000</v>
          </cell>
          <cell r="D2875" t="str">
            <v>主线副本进度宝箱-金币奖励</v>
          </cell>
          <cell r="E2875" t="str">
            <v>4|1|120000|1</v>
          </cell>
        </row>
        <row r="2876">
          <cell r="A2876">
            <v>45081</v>
          </cell>
          <cell r="B2876">
            <v>1</v>
          </cell>
          <cell r="C2876" t="str">
            <v>4|1|42500</v>
          </cell>
          <cell r="D2876" t="str">
            <v>主线副本进度宝箱-金币奖励</v>
          </cell>
          <cell r="E2876" t="str">
            <v>4|1|42500|1</v>
          </cell>
        </row>
        <row r="2877">
          <cell r="A2877">
            <v>45082</v>
          </cell>
          <cell r="B2877">
            <v>1</v>
          </cell>
          <cell r="C2877" t="str">
            <v>4|1|63750</v>
          </cell>
          <cell r="D2877" t="str">
            <v>主线副本进度宝箱-金币奖励</v>
          </cell>
          <cell r="E2877" t="str">
            <v>4|1|63750|1</v>
          </cell>
        </row>
        <row r="2878">
          <cell r="A2878">
            <v>45083</v>
          </cell>
          <cell r="B2878">
            <v>1</v>
          </cell>
          <cell r="C2878" t="str">
            <v>4|1|85000</v>
          </cell>
          <cell r="D2878" t="str">
            <v>主线副本进度宝箱-金币奖励</v>
          </cell>
          <cell r="E2878" t="str">
            <v>4|1|85000|1</v>
          </cell>
        </row>
        <row r="2879">
          <cell r="A2879">
            <v>45084</v>
          </cell>
          <cell r="B2879">
            <v>1</v>
          </cell>
          <cell r="C2879" t="str">
            <v>4|1|106250</v>
          </cell>
          <cell r="D2879" t="str">
            <v>主线副本进度宝箱-金币奖励</v>
          </cell>
          <cell r="E2879" t="str">
            <v>4|1|106250|1</v>
          </cell>
        </row>
        <row r="2880">
          <cell r="A2880">
            <v>45085</v>
          </cell>
          <cell r="B2880">
            <v>1</v>
          </cell>
          <cell r="C2880" t="str">
            <v>4|1|127500</v>
          </cell>
          <cell r="D2880" t="str">
            <v>主线副本进度宝箱-金币奖励</v>
          </cell>
          <cell r="E2880" t="str">
            <v>4|1|127500|1</v>
          </cell>
        </row>
        <row r="2881">
          <cell r="A2881">
            <v>45086</v>
          </cell>
          <cell r="B2881">
            <v>1</v>
          </cell>
          <cell r="C2881" t="str">
            <v>4|1|45000</v>
          </cell>
          <cell r="D2881" t="str">
            <v>主线副本进度宝箱-金币奖励</v>
          </cell>
          <cell r="E2881" t="str">
            <v>4|1|45000|1</v>
          </cell>
        </row>
        <row r="2882">
          <cell r="A2882">
            <v>45087</v>
          </cell>
          <cell r="B2882">
            <v>1</v>
          </cell>
          <cell r="C2882" t="str">
            <v>4|1|67500</v>
          </cell>
          <cell r="D2882" t="str">
            <v>主线副本进度宝箱-金币奖励</v>
          </cell>
          <cell r="E2882" t="str">
            <v>4|1|67500|1</v>
          </cell>
        </row>
        <row r="2883">
          <cell r="A2883">
            <v>45088</v>
          </cell>
          <cell r="B2883">
            <v>1</v>
          </cell>
          <cell r="C2883" t="str">
            <v>4|1|90000</v>
          </cell>
          <cell r="D2883" t="str">
            <v>主线副本进度宝箱-金币奖励</v>
          </cell>
          <cell r="E2883" t="str">
            <v>4|1|90000|1</v>
          </cell>
        </row>
        <row r="2884">
          <cell r="A2884">
            <v>45089</v>
          </cell>
          <cell r="B2884">
            <v>1</v>
          </cell>
          <cell r="C2884" t="str">
            <v>4|1|112500</v>
          </cell>
          <cell r="D2884" t="str">
            <v>主线副本进度宝箱-金币奖励</v>
          </cell>
          <cell r="E2884" t="str">
            <v>4|1|112500|1</v>
          </cell>
        </row>
        <row r="2885">
          <cell r="A2885">
            <v>45090</v>
          </cell>
          <cell r="B2885">
            <v>1</v>
          </cell>
          <cell r="C2885" t="str">
            <v>4|1|135000</v>
          </cell>
          <cell r="D2885" t="str">
            <v>主线副本进度宝箱-金币奖励</v>
          </cell>
          <cell r="E2885" t="str">
            <v>4|1|135000|1</v>
          </cell>
        </row>
        <row r="2886">
          <cell r="A2886">
            <v>45091</v>
          </cell>
          <cell r="B2886">
            <v>1</v>
          </cell>
          <cell r="C2886" t="str">
            <v>4|1|47500</v>
          </cell>
          <cell r="D2886" t="str">
            <v>主线副本进度宝箱-金币奖励</v>
          </cell>
          <cell r="E2886" t="str">
            <v>4|1|47500|1</v>
          </cell>
        </row>
        <row r="2887">
          <cell r="A2887">
            <v>45092</v>
          </cell>
          <cell r="B2887">
            <v>1</v>
          </cell>
          <cell r="C2887" t="str">
            <v>4|1|71250</v>
          </cell>
          <cell r="D2887" t="str">
            <v>主线副本进度宝箱-金币奖励</v>
          </cell>
          <cell r="E2887" t="str">
            <v>4|1|71250|1</v>
          </cell>
        </row>
        <row r="2888">
          <cell r="A2888">
            <v>45093</v>
          </cell>
          <cell r="B2888">
            <v>1</v>
          </cell>
          <cell r="C2888" t="str">
            <v>4|1|95000</v>
          </cell>
          <cell r="D2888" t="str">
            <v>主线副本进度宝箱-金币奖励</v>
          </cell>
          <cell r="E2888" t="str">
            <v>4|1|95000|1</v>
          </cell>
        </row>
        <row r="2889">
          <cell r="A2889">
            <v>45094</v>
          </cell>
          <cell r="B2889">
            <v>1</v>
          </cell>
          <cell r="C2889" t="str">
            <v>4|1|118750</v>
          </cell>
          <cell r="D2889" t="str">
            <v>主线副本进度宝箱-金币奖励</v>
          </cell>
          <cell r="E2889" t="str">
            <v>4|1|118750|1</v>
          </cell>
        </row>
        <row r="2890">
          <cell r="A2890">
            <v>45095</v>
          </cell>
          <cell r="B2890">
            <v>1</v>
          </cell>
          <cell r="C2890" t="str">
            <v>4|1|142500</v>
          </cell>
          <cell r="D2890" t="str">
            <v>主线副本进度宝箱-金币奖励</v>
          </cell>
          <cell r="E2890" t="str">
            <v>4|1|142500|1</v>
          </cell>
        </row>
        <row r="2891">
          <cell r="A2891">
            <v>45096</v>
          </cell>
          <cell r="B2891">
            <v>1</v>
          </cell>
          <cell r="C2891" t="str">
            <v>4|1|50000</v>
          </cell>
          <cell r="D2891" t="str">
            <v>主线副本进度宝箱-金币奖励</v>
          </cell>
          <cell r="E2891" t="str">
            <v>4|1|50000|1</v>
          </cell>
        </row>
        <row r="2892">
          <cell r="A2892">
            <v>45097</v>
          </cell>
          <cell r="B2892">
            <v>1</v>
          </cell>
          <cell r="C2892" t="str">
            <v>4|1|75000</v>
          </cell>
          <cell r="D2892" t="str">
            <v>主线副本进度宝箱-金币奖励</v>
          </cell>
          <cell r="E2892" t="str">
            <v>4|1|75000|1</v>
          </cell>
        </row>
        <row r="2893">
          <cell r="A2893">
            <v>45098</v>
          </cell>
          <cell r="B2893">
            <v>1</v>
          </cell>
          <cell r="C2893" t="str">
            <v>4|1|100000</v>
          </cell>
          <cell r="D2893" t="str">
            <v>主线副本进度宝箱-金币奖励</v>
          </cell>
          <cell r="E2893" t="str">
            <v>4|1|100000|1</v>
          </cell>
        </row>
        <row r="2894">
          <cell r="A2894">
            <v>45099</v>
          </cell>
          <cell r="B2894">
            <v>1</v>
          </cell>
          <cell r="C2894" t="str">
            <v>4|1|125000</v>
          </cell>
          <cell r="D2894" t="str">
            <v>主线副本进度宝箱-金币奖励</v>
          </cell>
          <cell r="E2894" t="str">
            <v>4|1|125000|1</v>
          </cell>
        </row>
        <row r="2895">
          <cell r="A2895">
            <v>45100</v>
          </cell>
          <cell r="B2895">
            <v>1</v>
          </cell>
          <cell r="C2895" t="str">
            <v>4|1|150000</v>
          </cell>
          <cell r="D2895" t="str">
            <v>主线副本进度宝箱-金币奖励</v>
          </cell>
          <cell r="E2895" t="str">
            <v>4|1|150000|1</v>
          </cell>
        </row>
        <row r="2896">
          <cell r="A2896">
            <v>45101</v>
          </cell>
          <cell r="B2896">
            <v>1</v>
          </cell>
          <cell r="C2896" t="str">
            <v>4|1|52500</v>
          </cell>
          <cell r="D2896" t="str">
            <v>主线副本进度宝箱-金币奖励</v>
          </cell>
          <cell r="E2896" t="str">
            <v>4|1|52500|1</v>
          </cell>
        </row>
        <row r="2897">
          <cell r="A2897">
            <v>45102</v>
          </cell>
          <cell r="B2897">
            <v>1</v>
          </cell>
          <cell r="C2897" t="str">
            <v>4|1|78750</v>
          </cell>
          <cell r="D2897" t="str">
            <v>主线副本进度宝箱-金币奖励</v>
          </cell>
          <cell r="E2897" t="str">
            <v>4|1|78750|1</v>
          </cell>
        </row>
        <row r="2898">
          <cell r="A2898">
            <v>45103</v>
          </cell>
          <cell r="B2898">
            <v>1</v>
          </cell>
          <cell r="C2898" t="str">
            <v>4|1|105000</v>
          </cell>
          <cell r="D2898" t="str">
            <v>主线副本进度宝箱-金币奖励</v>
          </cell>
          <cell r="E2898" t="str">
            <v>4|1|105000|1</v>
          </cell>
        </row>
        <row r="2899">
          <cell r="A2899">
            <v>45104</v>
          </cell>
          <cell r="B2899">
            <v>1</v>
          </cell>
          <cell r="C2899" t="str">
            <v>4|1|131250</v>
          </cell>
          <cell r="D2899" t="str">
            <v>主线副本进度宝箱-金币奖励</v>
          </cell>
          <cell r="E2899" t="str">
            <v>4|1|131250|1</v>
          </cell>
        </row>
        <row r="2900">
          <cell r="A2900">
            <v>45105</v>
          </cell>
          <cell r="B2900">
            <v>1</v>
          </cell>
          <cell r="C2900" t="str">
            <v>4|1|157500</v>
          </cell>
          <cell r="D2900" t="str">
            <v>主线副本进度宝箱-金币奖励</v>
          </cell>
          <cell r="E2900" t="str">
            <v>4|1|157500|1</v>
          </cell>
        </row>
        <row r="2901">
          <cell r="A2901">
            <v>45106</v>
          </cell>
          <cell r="B2901">
            <v>1</v>
          </cell>
          <cell r="C2901" t="str">
            <v>4|1|55000</v>
          </cell>
          <cell r="D2901" t="str">
            <v>主线副本进度宝箱-金币奖励</v>
          </cell>
          <cell r="E2901" t="str">
            <v>4|1|55000|1</v>
          </cell>
        </row>
        <row r="2902">
          <cell r="A2902">
            <v>45107</v>
          </cell>
          <cell r="B2902">
            <v>1</v>
          </cell>
          <cell r="C2902" t="str">
            <v>4|1|82500</v>
          </cell>
          <cell r="D2902" t="str">
            <v>主线副本进度宝箱-金币奖励</v>
          </cell>
          <cell r="E2902" t="str">
            <v>4|1|82500|1</v>
          </cell>
        </row>
        <row r="2903">
          <cell r="A2903">
            <v>45108</v>
          </cell>
          <cell r="B2903">
            <v>1</v>
          </cell>
          <cell r="C2903" t="str">
            <v>4|1|110000</v>
          </cell>
          <cell r="D2903" t="str">
            <v>主线副本进度宝箱-金币奖励</v>
          </cell>
          <cell r="E2903" t="str">
            <v>4|1|110000|1</v>
          </cell>
        </row>
        <row r="2904">
          <cell r="A2904">
            <v>45109</v>
          </cell>
          <cell r="B2904">
            <v>1</v>
          </cell>
          <cell r="C2904" t="str">
            <v>4|1|137500</v>
          </cell>
          <cell r="D2904" t="str">
            <v>主线副本进度宝箱-金币奖励</v>
          </cell>
          <cell r="E2904" t="str">
            <v>4|1|137500|1</v>
          </cell>
        </row>
        <row r="2905">
          <cell r="A2905">
            <v>45110</v>
          </cell>
          <cell r="B2905">
            <v>1</v>
          </cell>
          <cell r="C2905" t="str">
            <v>4|1|165000</v>
          </cell>
          <cell r="D2905" t="str">
            <v>主线副本进度宝箱-金币奖励</v>
          </cell>
          <cell r="E2905" t="str">
            <v>4|1|165000|1</v>
          </cell>
        </row>
        <row r="2906">
          <cell r="A2906">
            <v>45111</v>
          </cell>
          <cell r="B2906">
            <v>1</v>
          </cell>
          <cell r="C2906" t="str">
            <v>4|1|57500</v>
          </cell>
          <cell r="D2906" t="str">
            <v>主线副本进度宝箱-金币奖励</v>
          </cell>
          <cell r="E2906" t="str">
            <v>4|1|57500|1</v>
          </cell>
        </row>
        <row r="2907">
          <cell r="A2907">
            <v>45112</v>
          </cell>
          <cell r="B2907">
            <v>1</v>
          </cell>
          <cell r="C2907" t="str">
            <v>4|1|86250</v>
          </cell>
          <cell r="D2907" t="str">
            <v>主线副本进度宝箱-金币奖励</v>
          </cell>
          <cell r="E2907" t="str">
            <v>4|1|86250|1</v>
          </cell>
        </row>
        <row r="2908">
          <cell r="A2908">
            <v>45113</v>
          </cell>
          <cell r="B2908">
            <v>1</v>
          </cell>
          <cell r="C2908" t="str">
            <v>4|1|115000</v>
          </cell>
          <cell r="D2908" t="str">
            <v>主线副本进度宝箱-金币奖励</v>
          </cell>
          <cell r="E2908" t="str">
            <v>4|1|115000|1</v>
          </cell>
        </row>
        <row r="2909">
          <cell r="A2909">
            <v>45114</v>
          </cell>
          <cell r="B2909">
            <v>1</v>
          </cell>
          <cell r="C2909" t="str">
            <v>4|1|143750</v>
          </cell>
          <cell r="D2909" t="str">
            <v>主线副本进度宝箱-金币奖励</v>
          </cell>
          <cell r="E2909" t="str">
            <v>4|1|143750|1</v>
          </cell>
        </row>
        <row r="2910">
          <cell r="A2910">
            <v>45115</v>
          </cell>
          <cell r="B2910">
            <v>1</v>
          </cell>
          <cell r="C2910" t="str">
            <v>4|1|172500</v>
          </cell>
          <cell r="D2910" t="str">
            <v>主线副本进度宝箱-金币奖励</v>
          </cell>
          <cell r="E2910" t="str">
            <v>4|1|172500|1</v>
          </cell>
        </row>
        <row r="2911">
          <cell r="A2911">
            <v>45116</v>
          </cell>
          <cell r="B2911">
            <v>1</v>
          </cell>
          <cell r="C2911" t="str">
            <v>4|1|60000</v>
          </cell>
          <cell r="D2911" t="str">
            <v>主线副本进度宝箱-金币奖励</v>
          </cell>
          <cell r="E2911" t="str">
            <v>4|1|60000|1</v>
          </cell>
        </row>
        <row r="2912">
          <cell r="A2912">
            <v>45117</v>
          </cell>
          <cell r="B2912">
            <v>1</v>
          </cell>
          <cell r="C2912" t="str">
            <v>4|1|90000</v>
          </cell>
          <cell r="D2912" t="str">
            <v>主线副本进度宝箱-金币奖励</v>
          </cell>
          <cell r="E2912" t="str">
            <v>4|1|90000|1</v>
          </cell>
        </row>
        <row r="2913">
          <cell r="A2913">
            <v>45118</v>
          </cell>
          <cell r="B2913">
            <v>1</v>
          </cell>
          <cell r="C2913" t="str">
            <v>4|1|120000</v>
          </cell>
          <cell r="D2913" t="str">
            <v>主线副本进度宝箱-金币奖励</v>
          </cell>
          <cell r="E2913" t="str">
            <v>4|1|120000|1</v>
          </cell>
        </row>
        <row r="2914">
          <cell r="A2914">
            <v>45119</v>
          </cell>
          <cell r="B2914">
            <v>1</v>
          </cell>
          <cell r="C2914" t="str">
            <v>4|1|150000</v>
          </cell>
          <cell r="D2914" t="str">
            <v>主线副本进度宝箱-金币奖励</v>
          </cell>
          <cell r="E2914" t="str">
            <v>4|1|150000|1</v>
          </cell>
        </row>
        <row r="2915">
          <cell r="A2915">
            <v>45120</v>
          </cell>
          <cell r="B2915">
            <v>1</v>
          </cell>
          <cell r="C2915" t="str">
            <v>4|1|180000</v>
          </cell>
          <cell r="D2915" t="str">
            <v>主线副本进度宝箱-金币奖励</v>
          </cell>
          <cell r="E2915" t="str">
            <v>4|1|180000|1</v>
          </cell>
        </row>
        <row r="2916">
          <cell r="A2916">
            <v>45121</v>
          </cell>
          <cell r="B2916">
            <v>1</v>
          </cell>
          <cell r="C2916" t="str">
            <v>4|1|62500</v>
          </cell>
          <cell r="D2916" t="str">
            <v>主线副本进度宝箱-金币奖励</v>
          </cell>
          <cell r="E2916" t="str">
            <v>4|1|62500|1</v>
          </cell>
        </row>
        <row r="2917">
          <cell r="A2917">
            <v>45122</v>
          </cell>
          <cell r="B2917">
            <v>1</v>
          </cell>
          <cell r="C2917" t="str">
            <v>4|1|93750</v>
          </cell>
          <cell r="D2917" t="str">
            <v>主线副本进度宝箱-金币奖励</v>
          </cell>
          <cell r="E2917" t="str">
            <v>4|1|93750|1</v>
          </cell>
        </row>
        <row r="2918">
          <cell r="A2918">
            <v>45123</v>
          </cell>
          <cell r="B2918">
            <v>1</v>
          </cell>
          <cell r="C2918" t="str">
            <v>4|1|125000</v>
          </cell>
          <cell r="D2918" t="str">
            <v>主线副本进度宝箱-金币奖励</v>
          </cell>
          <cell r="E2918" t="str">
            <v>4|1|125000|1</v>
          </cell>
        </row>
        <row r="2919">
          <cell r="A2919">
            <v>45124</v>
          </cell>
          <cell r="B2919">
            <v>1</v>
          </cell>
          <cell r="C2919" t="str">
            <v>4|1|156250</v>
          </cell>
          <cell r="D2919" t="str">
            <v>主线副本进度宝箱-金币奖励</v>
          </cell>
          <cell r="E2919" t="str">
            <v>4|1|156250|1</v>
          </cell>
        </row>
        <row r="2920">
          <cell r="A2920">
            <v>45125</v>
          </cell>
          <cell r="B2920">
            <v>1</v>
          </cell>
          <cell r="C2920" t="str">
            <v>4|1|187500</v>
          </cell>
          <cell r="D2920" t="str">
            <v>主线副本进度宝箱-金币奖励</v>
          </cell>
          <cell r="E2920" t="str">
            <v>4|1|187500|1</v>
          </cell>
        </row>
        <row r="2921">
          <cell r="A2921">
            <v>45126</v>
          </cell>
          <cell r="B2921">
            <v>1</v>
          </cell>
          <cell r="C2921" t="str">
            <v>4|1|65000</v>
          </cell>
          <cell r="D2921" t="str">
            <v>主线副本进度宝箱-金币奖励</v>
          </cell>
          <cell r="E2921" t="str">
            <v>4|1|65000|1</v>
          </cell>
        </row>
        <row r="2922">
          <cell r="A2922">
            <v>45127</v>
          </cell>
          <cell r="B2922">
            <v>1</v>
          </cell>
          <cell r="C2922" t="str">
            <v>4|1|97500</v>
          </cell>
          <cell r="D2922" t="str">
            <v>主线副本进度宝箱-金币奖励</v>
          </cell>
          <cell r="E2922" t="str">
            <v>4|1|97500|1</v>
          </cell>
        </row>
        <row r="2923">
          <cell r="A2923">
            <v>45128</v>
          </cell>
          <cell r="B2923">
            <v>1</v>
          </cell>
          <cell r="C2923" t="str">
            <v>4|1|130000</v>
          </cell>
          <cell r="D2923" t="str">
            <v>主线副本进度宝箱-金币奖励</v>
          </cell>
          <cell r="E2923" t="str">
            <v>4|1|130000|1</v>
          </cell>
        </row>
        <row r="2924">
          <cell r="A2924">
            <v>45129</v>
          </cell>
          <cell r="B2924">
            <v>1</v>
          </cell>
          <cell r="C2924" t="str">
            <v>4|1|162500</v>
          </cell>
          <cell r="D2924" t="str">
            <v>主线副本进度宝箱-金币奖励</v>
          </cell>
          <cell r="E2924" t="str">
            <v>4|1|162500|1</v>
          </cell>
        </row>
        <row r="2925">
          <cell r="A2925">
            <v>45130</v>
          </cell>
          <cell r="B2925">
            <v>1</v>
          </cell>
          <cell r="C2925" t="str">
            <v>4|1|195000</v>
          </cell>
          <cell r="D2925" t="str">
            <v>主线副本进度宝箱-金币奖励</v>
          </cell>
          <cell r="E2925" t="str">
            <v>4|1|195000|1</v>
          </cell>
        </row>
        <row r="2926">
          <cell r="A2926">
            <v>45131</v>
          </cell>
          <cell r="B2926">
            <v>1</v>
          </cell>
          <cell r="C2926" t="str">
            <v>4|1|67500</v>
          </cell>
          <cell r="D2926" t="str">
            <v>主线副本进度宝箱-金币奖励</v>
          </cell>
          <cell r="E2926" t="str">
            <v>4|1|67500|1</v>
          </cell>
        </row>
        <row r="2927">
          <cell r="A2927">
            <v>45132</v>
          </cell>
          <cell r="B2927">
            <v>1</v>
          </cell>
          <cell r="C2927" t="str">
            <v>4|1|101250</v>
          </cell>
          <cell r="D2927" t="str">
            <v>主线副本进度宝箱-金币奖励</v>
          </cell>
          <cell r="E2927" t="str">
            <v>4|1|101250|1</v>
          </cell>
        </row>
        <row r="2928">
          <cell r="A2928">
            <v>45133</v>
          </cell>
          <cell r="B2928">
            <v>1</v>
          </cell>
          <cell r="C2928" t="str">
            <v>4|1|135000</v>
          </cell>
          <cell r="D2928" t="str">
            <v>主线副本进度宝箱-金币奖励</v>
          </cell>
          <cell r="E2928" t="str">
            <v>4|1|135000|1</v>
          </cell>
        </row>
        <row r="2929">
          <cell r="A2929">
            <v>45134</v>
          </cell>
          <cell r="B2929">
            <v>1</v>
          </cell>
          <cell r="C2929" t="str">
            <v>4|1|168750</v>
          </cell>
          <cell r="D2929" t="str">
            <v>主线副本进度宝箱-金币奖励</v>
          </cell>
          <cell r="E2929" t="str">
            <v>4|1|168750|1</v>
          </cell>
        </row>
        <row r="2930">
          <cell r="A2930">
            <v>45135</v>
          </cell>
          <cell r="B2930">
            <v>1</v>
          </cell>
          <cell r="C2930" t="str">
            <v>4|1|202500</v>
          </cell>
          <cell r="D2930" t="str">
            <v>主线副本进度宝箱-金币奖励</v>
          </cell>
          <cell r="E2930" t="str">
            <v>4|1|202500|1</v>
          </cell>
        </row>
        <row r="2931">
          <cell r="A2931">
            <v>45136</v>
          </cell>
          <cell r="B2931">
            <v>1</v>
          </cell>
          <cell r="C2931" t="str">
            <v>4|1|70000</v>
          </cell>
          <cell r="D2931" t="str">
            <v>主线副本进度宝箱-金币奖励</v>
          </cell>
          <cell r="E2931" t="str">
            <v>4|1|70000|1</v>
          </cell>
        </row>
        <row r="2932">
          <cell r="A2932">
            <v>45137</v>
          </cell>
          <cell r="B2932">
            <v>1</v>
          </cell>
          <cell r="C2932" t="str">
            <v>4|1|105000</v>
          </cell>
          <cell r="D2932" t="str">
            <v>主线副本进度宝箱-金币奖励</v>
          </cell>
          <cell r="E2932" t="str">
            <v>4|1|105000|1</v>
          </cell>
        </row>
        <row r="2933">
          <cell r="A2933">
            <v>45138</v>
          </cell>
          <cell r="B2933">
            <v>1</v>
          </cell>
          <cell r="C2933" t="str">
            <v>4|1|140000</v>
          </cell>
          <cell r="D2933" t="str">
            <v>主线副本进度宝箱-金币奖励</v>
          </cell>
          <cell r="E2933" t="str">
            <v>4|1|140000|1</v>
          </cell>
        </row>
        <row r="2934">
          <cell r="A2934">
            <v>45139</v>
          </cell>
          <cell r="B2934">
            <v>1</v>
          </cell>
          <cell r="C2934" t="str">
            <v>4|1|175000</v>
          </cell>
          <cell r="D2934" t="str">
            <v>主线副本进度宝箱-金币奖励</v>
          </cell>
          <cell r="E2934" t="str">
            <v>4|1|175000|1</v>
          </cell>
        </row>
        <row r="2935">
          <cell r="A2935">
            <v>45140</v>
          </cell>
          <cell r="B2935">
            <v>1</v>
          </cell>
          <cell r="C2935" t="str">
            <v>4|1|210000</v>
          </cell>
          <cell r="D2935" t="str">
            <v>主线副本进度宝箱-金币奖励</v>
          </cell>
          <cell r="E2935" t="str">
            <v>4|1|210000|1</v>
          </cell>
        </row>
        <row r="2936">
          <cell r="A2936">
            <v>45141</v>
          </cell>
          <cell r="B2936">
            <v>1</v>
          </cell>
          <cell r="C2936" t="str">
            <v>4|1|72500</v>
          </cell>
          <cell r="D2936" t="str">
            <v>主线副本进度宝箱-金币奖励</v>
          </cell>
          <cell r="E2936" t="str">
            <v>4|1|72500|1</v>
          </cell>
        </row>
        <row r="2937">
          <cell r="A2937">
            <v>45142</v>
          </cell>
          <cell r="B2937">
            <v>1</v>
          </cell>
          <cell r="C2937" t="str">
            <v>4|1|108750</v>
          </cell>
          <cell r="D2937" t="str">
            <v>主线副本进度宝箱-金币奖励</v>
          </cell>
          <cell r="E2937" t="str">
            <v>4|1|108750|1</v>
          </cell>
        </row>
        <row r="2938">
          <cell r="A2938">
            <v>45143</v>
          </cell>
          <cell r="B2938">
            <v>1</v>
          </cell>
          <cell r="C2938" t="str">
            <v>4|1|145000</v>
          </cell>
          <cell r="D2938" t="str">
            <v>主线副本进度宝箱-金币奖励</v>
          </cell>
          <cell r="E2938" t="str">
            <v>4|1|145000|1</v>
          </cell>
        </row>
        <row r="2939">
          <cell r="A2939">
            <v>45144</v>
          </cell>
          <cell r="B2939">
            <v>1</v>
          </cell>
          <cell r="C2939" t="str">
            <v>4|1|181250</v>
          </cell>
          <cell r="D2939" t="str">
            <v>主线副本进度宝箱-金币奖励</v>
          </cell>
          <cell r="E2939" t="str">
            <v>4|1|181250|1</v>
          </cell>
        </row>
        <row r="2940">
          <cell r="A2940">
            <v>45145</v>
          </cell>
          <cell r="B2940">
            <v>1</v>
          </cell>
          <cell r="C2940" t="str">
            <v>4|1|217500</v>
          </cell>
          <cell r="D2940" t="str">
            <v>主线副本进度宝箱-金币奖励</v>
          </cell>
          <cell r="E2940" t="str">
            <v>4|1|217500|1</v>
          </cell>
        </row>
        <row r="2941">
          <cell r="A2941">
            <v>45146</v>
          </cell>
          <cell r="B2941">
            <v>1</v>
          </cell>
          <cell r="C2941" t="str">
            <v>4|1|75000</v>
          </cell>
          <cell r="D2941" t="str">
            <v>主线副本进度宝箱-金币奖励</v>
          </cell>
          <cell r="E2941" t="str">
            <v>4|1|75000|1</v>
          </cell>
        </row>
        <row r="2942">
          <cell r="A2942">
            <v>45147</v>
          </cell>
          <cell r="B2942">
            <v>1</v>
          </cell>
          <cell r="C2942" t="str">
            <v>4|1|112500</v>
          </cell>
          <cell r="D2942" t="str">
            <v>主线副本进度宝箱-金币奖励</v>
          </cell>
          <cell r="E2942" t="str">
            <v>4|1|112500|1</v>
          </cell>
        </row>
        <row r="2943">
          <cell r="A2943">
            <v>45148</v>
          </cell>
          <cell r="B2943">
            <v>1</v>
          </cell>
          <cell r="C2943" t="str">
            <v>4|1|150000</v>
          </cell>
          <cell r="D2943" t="str">
            <v>主线副本进度宝箱-金币奖励</v>
          </cell>
          <cell r="E2943" t="str">
            <v>4|1|150000|1</v>
          </cell>
        </row>
        <row r="2944">
          <cell r="A2944">
            <v>45149</v>
          </cell>
          <cell r="B2944">
            <v>1</v>
          </cell>
          <cell r="C2944" t="str">
            <v>4|1|187500</v>
          </cell>
          <cell r="D2944" t="str">
            <v>主线副本进度宝箱-金币奖励</v>
          </cell>
          <cell r="E2944" t="str">
            <v>4|1|187500|1</v>
          </cell>
        </row>
        <row r="2945">
          <cell r="A2945">
            <v>45150</v>
          </cell>
          <cell r="B2945">
            <v>1</v>
          </cell>
          <cell r="C2945" t="str">
            <v>4|1|225000</v>
          </cell>
          <cell r="D2945" t="str">
            <v>主线副本进度宝箱-金币奖励</v>
          </cell>
          <cell r="E2945" t="str">
            <v>4|1|225000|1</v>
          </cell>
        </row>
        <row r="2946">
          <cell r="A2946">
            <v>45151</v>
          </cell>
          <cell r="B2946">
            <v>1</v>
          </cell>
          <cell r="C2946" t="str">
            <v>4|1|77500</v>
          </cell>
          <cell r="D2946" t="str">
            <v>主线副本进度宝箱-金币奖励</v>
          </cell>
          <cell r="E2946" t="str">
            <v>4|1|77500|1</v>
          </cell>
        </row>
        <row r="2947">
          <cell r="A2947">
            <v>45152</v>
          </cell>
          <cell r="B2947">
            <v>1</v>
          </cell>
          <cell r="C2947" t="str">
            <v>4|1|116250</v>
          </cell>
          <cell r="D2947" t="str">
            <v>主线副本进度宝箱-金币奖励</v>
          </cell>
          <cell r="E2947" t="str">
            <v>4|1|116250|1</v>
          </cell>
        </row>
        <row r="2948">
          <cell r="A2948">
            <v>45153</v>
          </cell>
          <cell r="B2948">
            <v>1</v>
          </cell>
          <cell r="C2948" t="str">
            <v>4|1|155000</v>
          </cell>
          <cell r="D2948" t="str">
            <v>主线副本进度宝箱-金币奖励</v>
          </cell>
          <cell r="E2948" t="str">
            <v>4|1|155000|1</v>
          </cell>
        </row>
        <row r="2949">
          <cell r="A2949">
            <v>45154</v>
          </cell>
          <cell r="B2949">
            <v>1</v>
          </cell>
          <cell r="C2949" t="str">
            <v>4|1|193750</v>
          </cell>
          <cell r="D2949" t="str">
            <v>主线副本进度宝箱-金币奖励</v>
          </cell>
          <cell r="E2949" t="str">
            <v>4|1|193750|1</v>
          </cell>
        </row>
        <row r="2950">
          <cell r="A2950">
            <v>45155</v>
          </cell>
          <cell r="B2950">
            <v>1</v>
          </cell>
          <cell r="C2950" t="str">
            <v>4|1|232500</v>
          </cell>
          <cell r="D2950" t="str">
            <v>主线副本进度宝箱-金币奖励</v>
          </cell>
          <cell r="E2950" t="str">
            <v>4|1|232500|1</v>
          </cell>
        </row>
        <row r="2951">
          <cell r="A2951">
            <v>45156</v>
          </cell>
          <cell r="B2951">
            <v>1</v>
          </cell>
          <cell r="C2951" t="str">
            <v>4|1|80000</v>
          </cell>
          <cell r="D2951" t="str">
            <v>主线副本进度宝箱-金币奖励</v>
          </cell>
          <cell r="E2951" t="str">
            <v>4|1|80000|1</v>
          </cell>
        </row>
        <row r="2952">
          <cell r="A2952">
            <v>45157</v>
          </cell>
          <cell r="B2952">
            <v>1</v>
          </cell>
          <cell r="C2952" t="str">
            <v>4|1|120000</v>
          </cell>
          <cell r="D2952" t="str">
            <v>主线副本进度宝箱-金币奖励</v>
          </cell>
          <cell r="E2952" t="str">
            <v>4|1|120000|1</v>
          </cell>
        </row>
        <row r="2953">
          <cell r="A2953">
            <v>45158</v>
          </cell>
          <cell r="B2953">
            <v>1</v>
          </cell>
          <cell r="C2953" t="str">
            <v>4|1|160000</v>
          </cell>
          <cell r="D2953" t="str">
            <v>主线副本进度宝箱-金币奖励</v>
          </cell>
          <cell r="E2953" t="str">
            <v>4|1|160000|1</v>
          </cell>
        </row>
        <row r="2954">
          <cell r="A2954">
            <v>45159</v>
          </cell>
          <cell r="B2954">
            <v>1</v>
          </cell>
          <cell r="C2954" t="str">
            <v>4|1|200000</v>
          </cell>
          <cell r="D2954" t="str">
            <v>主线副本进度宝箱-金币奖励</v>
          </cell>
          <cell r="E2954" t="str">
            <v>4|1|200000|1</v>
          </cell>
        </row>
        <row r="2955">
          <cell r="A2955">
            <v>45160</v>
          </cell>
          <cell r="B2955">
            <v>1</v>
          </cell>
          <cell r="C2955" t="str">
            <v>4|1|240000</v>
          </cell>
          <cell r="D2955" t="str">
            <v>主线副本进度宝箱-金币奖励</v>
          </cell>
          <cell r="E2955" t="str">
            <v>4|1|240000|1</v>
          </cell>
        </row>
        <row r="2956">
          <cell r="A2956">
            <v>45161</v>
          </cell>
          <cell r="B2956">
            <v>1</v>
          </cell>
          <cell r="C2956" t="str">
            <v>4|1|82500</v>
          </cell>
          <cell r="D2956" t="str">
            <v>主线副本进度宝箱-金币奖励</v>
          </cell>
          <cell r="E2956" t="str">
            <v>4|1|82500|1</v>
          </cell>
        </row>
        <row r="2957">
          <cell r="A2957">
            <v>45162</v>
          </cell>
          <cell r="B2957">
            <v>1</v>
          </cell>
          <cell r="C2957" t="str">
            <v>4|1|123750</v>
          </cell>
          <cell r="D2957" t="str">
            <v>主线副本进度宝箱-金币奖励</v>
          </cell>
          <cell r="E2957" t="str">
            <v>4|1|123750|1</v>
          </cell>
        </row>
        <row r="2958">
          <cell r="A2958">
            <v>45163</v>
          </cell>
          <cell r="B2958">
            <v>1</v>
          </cell>
          <cell r="C2958" t="str">
            <v>4|1|165000</v>
          </cell>
          <cell r="D2958" t="str">
            <v>主线副本进度宝箱-金币奖励</v>
          </cell>
          <cell r="E2958" t="str">
            <v>4|1|165000|1</v>
          </cell>
        </row>
        <row r="2959">
          <cell r="A2959">
            <v>45164</v>
          </cell>
          <cell r="B2959">
            <v>1</v>
          </cell>
          <cell r="C2959" t="str">
            <v>4|1|206250</v>
          </cell>
          <cell r="D2959" t="str">
            <v>主线副本进度宝箱-金币奖励</v>
          </cell>
          <cell r="E2959" t="str">
            <v>4|1|206250|1</v>
          </cell>
        </row>
        <row r="2960">
          <cell r="A2960">
            <v>45165</v>
          </cell>
          <cell r="B2960">
            <v>1</v>
          </cell>
          <cell r="C2960" t="str">
            <v>4|1|247500</v>
          </cell>
          <cell r="D2960" t="str">
            <v>主线副本进度宝箱-金币奖励</v>
          </cell>
          <cell r="E2960" t="str">
            <v>4|1|247500|1</v>
          </cell>
        </row>
        <row r="2961">
          <cell r="A2961">
            <v>45166</v>
          </cell>
          <cell r="B2961">
            <v>1</v>
          </cell>
          <cell r="C2961" t="str">
            <v>4|1|85000</v>
          </cell>
          <cell r="D2961" t="str">
            <v>主线副本进度宝箱-金币奖励</v>
          </cell>
          <cell r="E2961" t="str">
            <v>4|1|85000|1</v>
          </cell>
        </row>
        <row r="2962">
          <cell r="A2962">
            <v>45167</v>
          </cell>
          <cell r="B2962">
            <v>1</v>
          </cell>
          <cell r="C2962" t="str">
            <v>4|1|127500</v>
          </cell>
          <cell r="D2962" t="str">
            <v>主线副本进度宝箱-金币奖励</v>
          </cell>
          <cell r="E2962" t="str">
            <v>4|1|127500|1</v>
          </cell>
        </row>
        <row r="2963">
          <cell r="A2963">
            <v>45168</v>
          </cell>
          <cell r="B2963">
            <v>1</v>
          </cell>
          <cell r="C2963" t="str">
            <v>4|1|170000</v>
          </cell>
          <cell r="D2963" t="str">
            <v>主线副本进度宝箱-金币奖励</v>
          </cell>
          <cell r="E2963" t="str">
            <v>4|1|170000|1</v>
          </cell>
        </row>
        <row r="2964">
          <cell r="A2964">
            <v>45169</v>
          </cell>
          <cell r="B2964">
            <v>1</v>
          </cell>
          <cell r="C2964" t="str">
            <v>4|1|212500</v>
          </cell>
          <cell r="D2964" t="str">
            <v>主线副本进度宝箱-金币奖励</v>
          </cell>
          <cell r="E2964" t="str">
            <v>4|1|212500|1</v>
          </cell>
        </row>
        <row r="2965">
          <cell r="A2965">
            <v>45170</v>
          </cell>
          <cell r="B2965">
            <v>1</v>
          </cell>
          <cell r="C2965" t="str">
            <v>4|1|255000</v>
          </cell>
          <cell r="D2965" t="str">
            <v>主线副本进度宝箱-金币奖励</v>
          </cell>
          <cell r="E2965" t="str">
            <v>4|1|255000|1</v>
          </cell>
        </row>
        <row r="2966">
          <cell r="A2966">
            <v>45171</v>
          </cell>
          <cell r="B2966">
            <v>1</v>
          </cell>
          <cell r="C2966" t="str">
            <v>4|1|87500</v>
          </cell>
          <cell r="D2966" t="str">
            <v>主线副本进度宝箱-金币奖励</v>
          </cell>
          <cell r="E2966" t="str">
            <v>4|1|87500|1</v>
          </cell>
        </row>
        <row r="2967">
          <cell r="A2967">
            <v>45172</v>
          </cell>
          <cell r="B2967">
            <v>1</v>
          </cell>
          <cell r="C2967" t="str">
            <v>4|1|131250</v>
          </cell>
          <cell r="D2967" t="str">
            <v>主线副本进度宝箱-金币奖励</v>
          </cell>
          <cell r="E2967" t="str">
            <v>4|1|131250|1</v>
          </cell>
        </row>
        <row r="2968">
          <cell r="A2968">
            <v>45173</v>
          </cell>
          <cell r="B2968">
            <v>1</v>
          </cell>
          <cell r="C2968" t="str">
            <v>4|1|175000</v>
          </cell>
          <cell r="D2968" t="str">
            <v>主线副本进度宝箱-金币奖励</v>
          </cell>
          <cell r="E2968" t="str">
            <v>4|1|175000|1</v>
          </cell>
        </row>
        <row r="2969">
          <cell r="A2969">
            <v>45174</v>
          </cell>
          <cell r="B2969">
            <v>1</v>
          </cell>
          <cell r="C2969" t="str">
            <v>4|1|218750</v>
          </cell>
          <cell r="D2969" t="str">
            <v>主线副本进度宝箱-金币奖励</v>
          </cell>
          <cell r="E2969" t="str">
            <v>4|1|218750|1</v>
          </cell>
        </row>
        <row r="2970">
          <cell r="A2970">
            <v>45175</v>
          </cell>
          <cell r="B2970">
            <v>1</v>
          </cell>
          <cell r="C2970" t="str">
            <v>4|1|262500</v>
          </cell>
          <cell r="D2970" t="str">
            <v>主线副本进度宝箱-金币奖励</v>
          </cell>
          <cell r="E2970" t="str">
            <v>4|1|262500|1</v>
          </cell>
        </row>
        <row r="2971">
          <cell r="A2971">
            <v>45176</v>
          </cell>
          <cell r="B2971">
            <v>1</v>
          </cell>
          <cell r="C2971" t="str">
            <v>4|1|90000</v>
          </cell>
          <cell r="D2971" t="str">
            <v>主线副本进度宝箱-金币奖励</v>
          </cell>
          <cell r="E2971" t="str">
            <v>4|1|90000|1</v>
          </cell>
        </row>
        <row r="2972">
          <cell r="A2972">
            <v>45177</v>
          </cell>
          <cell r="B2972">
            <v>1</v>
          </cell>
          <cell r="C2972" t="str">
            <v>4|1|135000</v>
          </cell>
          <cell r="D2972" t="str">
            <v>主线副本进度宝箱-金币奖励</v>
          </cell>
          <cell r="E2972" t="str">
            <v>4|1|135000|1</v>
          </cell>
        </row>
        <row r="2973">
          <cell r="A2973">
            <v>45178</v>
          </cell>
          <cell r="B2973">
            <v>1</v>
          </cell>
          <cell r="C2973" t="str">
            <v>4|1|180000</v>
          </cell>
          <cell r="D2973" t="str">
            <v>主线副本进度宝箱-金币奖励</v>
          </cell>
          <cell r="E2973" t="str">
            <v>4|1|180000|1</v>
          </cell>
        </row>
        <row r="2974">
          <cell r="A2974">
            <v>45179</v>
          </cell>
          <cell r="B2974">
            <v>1</v>
          </cell>
          <cell r="C2974" t="str">
            <v>4|1|225000</v>
          </cell>
          <cell r="D2974" t="str">
            <v>主线副本进度宝箱-金币奖励</v>
          </cell>
          <cell r="E2974" t="str">
            <v>4|1|225000|1</v>
          </cell>
        </row>
        <row r="2975">
          <cell r="A2975">
            <v>45180</v>
          </cell>
          <cell r="B2975">
            <v>1</v>
          </cell>
          <cell r="C2975" t="str">
            <v>4|1|270000</v>
          </cell>
          <cell r="D2975" t="str">
            <v>主线副本进度宝箱-金币奖励</v>
          </cell>
          <cell r="E2975" t="str">
            <v>4|1|270000|1</v>
          </cell>
        </row>
        <row r="2976">
          <cell r="A2976">
            <v>45181</v>
          </cell>
          <cell r="B2976">
            <v>1</v>
          </cell>
          <cell r="C2976" t="str">
            <v>4|1|92500</v>
          </cell>
          <cell r="D2976" t="str">
            <v>主线副本进度宝箱-金币奖励</v>
          </cell>
          <cell r="E2976" t="str">
            <v>4|1|92500|1</v>
          </cell>
        </row>
        <row r="2977">
          <cell r="A2977">
            <v>45182</v>
          </cell>
          <cell r="B2977">
            <v>1</v>
          </cell>
          <cell r="C2977" t="str">
            <v>4|1|138750</v>
          </cell>
          <cell r="D2977" t="str">
            <v>主线副本进度宝箱-金币奖励</v>
          </cell>
          <cell r="E2977" t="str">
            <v>4|1|138750|1</v>
          </cell>
        </row>
        <row r="2978">
          <cell r="A2978">
            <v>45183</v>
          </cell>
          <cell r="B2978">
            <v>1</v>
          </cell>
          <cell r="C2978" t="str">
            <v>4|1|185000</v>
          </cell>
          <cell r="D2978" t="str">
            <v>主线副本进度宝箱-金币奖励</v>
          </cell>
          <cell r="E2978" t="str">
            <v>4|1|185000|1</v>
          </cell>
        </row>
        <row r="2979">
          <cell r="A2979">
            <v>45184</v>
          </cell>
          <cell r="B2979">
            <v>1</v>
          </cell>
          <cell r="C2979" t="str">
            <v>4|1|231250</v>
          </cell>
          <cell r="D2979" t="str">
            <v>主线副本进度宝箱-金币奖励</v>
          </cell>
          <cell r="E2979" t="str">
            <v>4|1|231250|1</v>
          </cell>
        </row>
        <row r="2980">
          <cell r="A2980">
            <v>45185</v>
          </cell>
          <cell r="B2980">
            <v>1</v>
          </cell>
          <cell r="C2980" t="str">
            <v>4|1|277500</v>
          </cell>
          <cell r="D2980" t="str">
            <v>主线副本进度宝箱-金币奖励</v>
          </cell>
          <cell r="E2980" t="str">
            <v>4|1|277500|1</v>
          </cell>
        </row>
        <row r="2981">
          <cell r="A2981">
            <v>45186</v>
          </cell>
          <cell r="B2981">
            <v>1</v>
          </cell>
          <cell r="C2981" t="str">
            <v>4|1|95000</v>
          </cell>
          <cell r="D2981" t="str">
            <v>主线副本进度宝箱-金币奖励</v>
          </cell>
          <cell r="E2981" t="str">
            <v>4|1|95000|1</v>
          </cell>
        </row>
        <row r="2982">
          <cell r="A2982">
            <v>45187</v>
          </cell>
          <cell r="B2982">
            <v>1</v>
          </cell>
          <cell r="C2982" t="str">
            <v>4|1|142500</v>
          </cell>
          <cell r="D2982" t="str">
            <v>主线副本进度宝箱-金币奖励</v>
          </cell>
          <cell r="E2982" t="str">
            <v>4|1|142500|1</v>
          </cell>
        </row>
        <row r="2983">
          <cell r="A2983">
            <v>45188</v>
          </cell>
          <cell r="B2983">
            <v>1</v>
          </cell>
          <cell r="C2983" t="str">
            <v>4|1|190000</v>
          </cell>
          <cell r="D2983" t="str">
            <v>主线副本进度宝箱-金币奖励</v>
          </cell>
          <cell r="E2983" t="str">
            <v>4|1|190000|1</v>
          </cell>
        </row>
        <row r="2984">
          <cell r="A2984">
            <v>45189</v>
          </cell>
          <cell r="B2984">
            <v>1</v>
          </cell>
          <cell r="C2984" t="str">
            <v>4|1|237500</v>
          </cell>
          <cell r="D2984" t="str">
            <v>主线副本进度宝箱-金币奖励</v>
          </cell>
          <cell r="E2984" t="str">
            <v>4|1|237500|1</v>
          </cell>
        </row>
        <row r="2985">
          <cell r="A2985">
            <v>45190</v>
          </cell>
          <cell r="B2985">
            <v>1</v>
          </cell>
          <cell r="C2985" t="str">
            <v>4|1|285000</v>
          </cell>
          <cell r="D2985" t="str">
            <v>主线副本进度宝箱-金币奖励</v>
          </cell>
          <cell r="E2985" t="str">
            <v>4|1|285000|1</v>
          </cell>
        </row>
        <row r="2986">
          <cell r="A2986">
            <v>45191</v>
          </cell>
          <cell r="B2986">
            <v>1</v>
          </cell>
          <cell r="C2986" t="str">
            <v>4|1|97500</v>
          </cell>
          <cell r="D2986" t="str">
            <v>主线副本进度宝箱-金币奖励</v>
          </cell>
          <cell r="E2986" t="str">
            <v>4|1|97500|1</v>
          </cell>
        </row>
        <row r="2987">
          <cell r="A2987">
            <v>45192</v>
          </cell>
          <cell r="B2987">
            <v>1</v>
          </cell>
          <cell r="C2987" t="str">
            <v>4|1|146250</v>
          </cell>
          <cell r="D2987" t="str">
            <v>主线副本进度宝箱-金币奖励</v>
          </cell>
          <cell r="E2987" t="str">
            <v>4|1|146250|1</v>
          </cell>
        </row>
        <row r="2988">
          <cell r="A2988">
            <v>45193</v>
          </cell>
          <cell r="B2988">
            <v>1</v>
          </cell>
          <cell r="C2988" t="str">
            <v>4|1|195000</v>
          </cell>
          <cell r="D2988" t="str">
            <v>主线副本进度宝箱-金币奖励</v>
          </cell>
          <cell r="E2988" t="str">
            <v>4|1|195000|1</v>
          </cell>
        </row>
        <row r="2989">
          <cell r="A2989">
            <v>45194</v>
          </cell>
          <cell r="B2989">
            <v>1</v>
          </cell>
          <cell r="C2989" t="str">
            <v>4|1|243750</v>
          </cell>
          <cell r="D2989" t="str">
            <v>主线副本进度宝箱-金币奖励</v>
          </cell>
          <cell r="E2989" t="str">
            <v>4|1|243750|1</v>
          </cell>
        </row>
        <row r="2990">
          <cell r="A2990">
            <v>45195</v>
          </cell>
          <cell r="B2990">
            <v>1</v>
          </cell>
          <cell r="C2990" t="str">
            <v>4|1|292500</v>
          </cell>
          <cell r="D2990" t="str">
            <v>主线副本进度宝箱-金币奖励</v>
          </cell>
          <cell r="E2990" t="str">
            <v>4|1|292500|1</v>
          </cell>
        </row>
        <row r="2991">
          <cell r="A2991">
            <v>45196</v>
          </cell>
          <cell r="B2991">
            <v>1</v>
          </cell>
          <cell r="C2991" t="str">
            <v>4|1|100000</v>
          </cell>
          <cell r="D2991" t="str">
            <v>主线副本进度宝箱-金币奖励</v>
          </cell>
          <cell r="E2991" t="str">
            <v>4|1|100000|1</v>
          </cell>
        </row>
        <row r="2992">
          <cell r="A2992">
            <v>45197</v>
          </cell>
          <cell r="B2992">
            <v>1</v>
          </cell>
          <cell r="C2992" t="str">
            <v>4|1|150000</v>
          </cell>
          <cell r="D2992" t="str">
            <v>主线副本进度宝箱-金币奖励</v>
          </cell>
          <cell r="E2992" t="str">
            <v>4|1|150000|1</v>
          </cell>
        </row>
        <row r="2993">
          <cell r="A2993">
            <v>45198</v>
          </cell>
          <cell r="B2993">
            <v>1</v>
          </cell>
          <cell r="C2993" t="str">
            <v>4|1|200000</v>
          </cell>
          <cell r="D2993" t="str">
            <v>主线副本进度宝箱-金币奖励</v>
          </cell>
          <cell r="E2993" t="str">
            <v>4|1|200000|1</v>
          </cell>
        </row>
        <row r="2994">
          <cell r="A2994">
            <v>45199</v>
          </cell>
          <cell r="B2994">
            <v>1</v>
          </cell>
          <cell r="C2994" t="str">
            <v>4|1|250000</v>
          </cell>
          <cell r="D2994" t="str">
            <v>主线副本进度宝箱-金币奖励</v>
          </cell>
          <cell r="E2994" t="str">
            <v>4|1|250000|1</v>
          </cell>
        </row>
        <row r="2995">
          <cell r="A2995">
            <v>45200</v>
          </cell>
          <cell r="B2995">
            <v>1</v>
          </cell>
          <cell r="C2995" t="str">
            <v>4|1|300000</v>
          </cell>
          <cell r="D2995" t="str">
            <v>主线副本进度宝箱-金币奖励</v>
          </cell>
          <cell r="E2995" t="str">
            <v>4|1|300000|1</v>
          </cell>
        </row>
        <row r="2996">
          <cell r="A2996">
            <v>45201</v>
          </cell>
          <cell r="B2996">
            <v>1</v>
          </cell>
          <cell r="C2996" t="str">
            <v>4|1|102500</v>
          </cell>
          <cell r="D2996" t="str">
            <v>主线副本进度宝箱-金币奖励</v>
          </cell>
          <cell r="E2996" t="str">
            <v>4|1|102500|1</v>
          </cell>
        </row>
        <row r="2997">
          <cell r="A2997">
            <v>45202</v>
          </cell>
          <cell r="B2997">
            <v>1</v>
          </cell>
          <cell r="C2997" t="str">
            <v>4|1|153750</v>
          </cell>
          <cell r="D2997" t="str">
            <v>主线副本进度宝箱-金币奖励</v>
          </cell>
          <cell r="E2997" t="str">
            <v>4|1|153750|1</v>
          </cell>
        </row>
        <row r="2998">
          <cell r="A2998">
            <v>45203</v>
          </cell>
          <cell r="B2998">
            <v>1</v>
          </cell>
          <cell r="C2998" t="str">
            <v>4|1|205000</v>
          </cell>
          <cell r="D2998" t="str">
            <v>主线副本进度宝箱-金币奖励</v>
          </cell>
          <cell r="E2998" t="str">
            <v>4|1|205000|1</v>
          </cell>
        </row>
        <row r="2999">
          <cell r="A2999">
            <v>45204</v>
          </cell>
          <cell r="B2999">
            <v>1</v>
          </cell>
          <cell r="C2999" t="str">
            <v>4|1|256250</v>
          </cell>
          <cell r="D2999" t="str">
            <v>主线副本进度宝箱-金币奖励</v>
          </cell>
          <cell r="E2999" t="str">
            <v>4|1|256250|1</v>
          </cell>
        </row>
        <row r="3000">
          <cell r="A3000">
            <v>45205</v>
          </cell>
          <cell r="B3000">
            <v>1</v>
          </cell>
          <cell r="C3000" t="str">
            <v>4|1|307500</v>
          </cell>
          <cell r="D3000" t="str">
            <v>主线副本进度宝箱-金币奖励</v>
          </cell>
          <cell r="E3000" t="str">
            <v>4|1|307500|1</v>
          </cell>
        </row>
        <row r="3001">
          <cell r="A3001">
            <v>45206</v>
          </cell>
          <cell r="B3001">
            <v>1</v>
          </cell>
          <cell r="C3001" t="str">
            <v>4|1|105000</v>
          </cell>
          <cell r="D3001" t="str">
            <v>主线副本进度宝箱-金币奖励</v>
          </cell>
          <cell r="E3001" t="str">
            <v>4|1|105000|1</v>
          </cell>
        </row>
        <row r="3002">
          <cell r="A3002">
            <v>45207</v>
          </cell>
          <cell r="B3002">
            <v>1</v>
          </cell>
          <cell r="C3002" t="str">
            <v>4|1|157500</v>
          </cell>
          <cell r="D3002" t="str">
            <v>主线副本进度宝箱-金币奖励</v>
          </cell>
          <cell r="E3002" t="str">
            <v>4|1|157500|1</v>
          </cell>
        </row>
        <row r="3003">
          <cell r="A3003">
            <v>45208</v>
          </cell>
          <cell r="B3003">
            <v>1</v>
          </cell>
          <cell r="C3003" t="str">
            <v>4|1|210000</v>
          </cell>
          <cell r="D3003" t="str">
            <v>主线副本进度宝箱-金币奖励</v>
          </cell>
          <cell r="E3003" t="str">
            <v>4|1|210000|1</v>
          </cell>
        </row>
        <row r="3004">
          <cell r="A3004">
            <v>45209</v>
          </cell>
          <cell r="B3004">
            <v>1</v>
          </cell>
          <cell r="C3004" t="str">
            <v>4|1|262500</v>
          </cell>
          <cell r="D3004" t="str">
            <v>主线副本进度宝箱-金币奖励</v>
          </cell>
          <cell r="E3004" t="str">
            <v>4|1|262500|1</v>
          </cell>
        </row>
        <row r="3005">
          <cell r="A3005">
            <v>45210</v>
          </cell>
          <cell r="B3005">
            <v>1</v>
          </cell>
          <cell r="C3005" t="str">
            <v>4|1|315000</v>
          </cell>
          <cell r="D3005" t="str">
            <v>主线副本进度宝箱-金币奖励</v>
          </cell>
          <cell r="E3005" t="str">
            <v>4|1|315000|1</v>
          </cell>
        </row>
        <row r="3006">
          <cell r="A3006">
            <v>45211</v>
          </cell>
          <cell r="B3006">
            <v>1</v>
          </cell>
          <cell r="C3006" t="str">
            <v>4|1|107500</v>
          </cell>
          <cell r="D3006" t="str">
            <v>主线副本进度宝箱-金币奖励</v>
          </cell>
          <cell r="E3006" t="str">
            <v>4|1|107500|1</v>
          </cell>
        </row>
        <row r="3007">
          <cell r="A3007">
            <v>45212</v>
          </cell>
          <cell r="B3007">
            <v>1</v>
          </cell>
          <cell r="C3007" t="str">
            <v>4|1|161250</v>
          </cell>
          <cell r="D3007" t="str">
            <v>主线副本进度宝箱-金币奖励</v>
          </cell>
          <cell r="E3007" t="str">
            <v>4|1|161250|1</v>
          </cell>
        </row>
        <row r="3008">
          <cell r="A3008">
            <v>45213</v>
          </cell>
          <cell r="B3008">
            <v>1</v>
          </cell>
          <cell r="C3008" t="str">
            <v>4|1|215000</v>
          </cell>
          <cell r="D3008" t="str">
            <v>主线副本进度宝箱-金币奖励</v>
          </cell>
          <cell r="E3008" t="str">
            <v>4|1|215000|1</v>
          </cell>
        </row>
        <row r="3009">
          <cell r="A3009">
            <v>45214</v>
          </cell>
          <cell r="B3009">
            <v>1</v>
          </cell>
          <cell r="C3009" t="str">
            <v>4|1|268750</v>
          </cell>
          <cell r="D3009" t="str">
            <v>主线副本进度宝箱-金币奖励</v>
          </cell>
          <cell r="E3009" t="str">
            <v>4|1|268750|1</v>
          </cell>
        </row>
        <row r="3010">
          <cell r="A3010">
            <v>45215</v>
          </cell>
          <cell r="B3010">
            <v>1</v>
          </cell>
          <cell r="C3010" t="str">
            <v>4|1|322500</v>
          </cell>
          <cell r="D3010" t="str">
            <v>主线副本进度宝箱-金币奖励</v>
          </cell>
          <cell r="E3010" t="str">
            <v>4|1|322500|1</v>
          </cell>
        </row>
        <row r="3011">
          <cell r="A3011">
            <v>45216</v>
          </cell>
          <cell r="B3011">
            <v>1</v>
          </cell>
          <cell r="C3011" t="str">
            <v>4|1|110000</v>
          </cell>
          <cell r="D3011" t="str">
            <v>主线副本进度宝箱-金币奖励</v>
          </cell>
          <cell r="E3011" t="str">
            <v>4|1|110000|1</v>
          </cell>
        </row>
        <row r="3012">
          <cell r="A3012">
            <v>45217</v>
          </cell>
          <cell r="B3012">
            <v>1</v>
          </cell>
          <cell r="C3012" t="str">
            <v>4|1|165000</v>
          </cell>
          <cell r="D3012" t="str">
            <v>主线副本进度宝箱-金币奖励</v>
          </cell>
          <cell r="E3012" t="str">
            <v>4|1|165000|1</v>
          </cell>
        </row>
        <row r="3013">
          <cell r="A3013">
            <v>45218</v>
          </cell>
          <cell r="B3013">
            <v>1</v>
          </cell>
          <cell r="C3013" t="str">
            <v>4|1|220000</v>
          </cell>
          <cell r="D3013" t="str">
            <v>主线副本进度宝箱-金币奖励</v>
          </cell>
          <cell r="E3013" t="str">
            <v>4|1|220000|1</v>
          </cell>
        </row>
        <row r="3014">
          <cell r="A3014">
            <v>45219</v>
          </cell>
          <cell r="B3014">
            <v>1</v>
          </cell>
          <cell r="C3014" t="str">
            <v>4|1|275000</v>
          </cell>
          <cell r="D3014" t="str">
            <v>主线副本进度宝箱-金币奖励</v>
          </cell>
          <cell r="E3014" t="str">
            <v>4|1|275000|1</v>
          </cell>
        </row>
        <row r="3015">
          <cell r="A3015">
            <v>45220</v>
          </cell>
          <cell r="B3015">
            <v>1</v>
          </cell>
          <cell r="C3015" t="str">
            <v>4|1|330000</v>
          </cell>
          <cell r="D3015" t="str">
            <v>主线副本进度宝箱-金币奖励</v>
          </cell>
          <cell r="E3015" t="str">
            <v>4|1|330000|1</v>
          </cell>
        </row>
        <row r="3016">
          <cell r="A3016">
            <v>45221</v>
          </cell>
          <cell r="B3016">
            <v>1</v>
          </cell>
          <cell r="C3016" t="str">
            <v>4|1|112500</v>
          </cell>
          <cell r="D3016" t="str">
            <v>主线副本进度宝箱-金币奖励</v>
          </cell>
          <cell r="E3016" t="str">
            <v>4|1|112500|1</v>
          </cell>
        </row>
        <row r="3017">
          <cell r="A3017">
            <v>45222</v>
          </cell>
          <cell r="B3017">
            <v>1</v>
          </cell>
          <cell r="C3017" t="str">
            <v>4|1|168750</v>
          </cell>
          <cell r="D3017" t="str">
            <v>主线副本进度宝箱-金币奖励</v>
          </cell>
          <cell r="E3017" t="str">
            <v>4|1|168750|1</v>
          </cell>
        </row>
        <row r="3018">
          <cell r="A3018">
            <v>45223</v>
          </cell>
          <cell r="B3018">
            <v>1</v>
          </cell>
          <cell r="C3018" t="str">
            <v>4|1|225000</v>
          </cell>
          <cell r="D3018" t="str">
            <v>主线副本进度宝箱-金币奖励</v>
          </cell>
          <cell r="E3018" t="str">
            <v>4|1|225000|1</v>
          </cell>
        </row>
        <row r="3019">
          <cell r="A3019">
            <v>45224</v>
          </cell>
          <cell r="B3019">
            <v>1</v>
          </cell>
          <cell r="C3019" t="str">
            <v>4|1|281250</v>
          </cell>
          <cell r="D3019" t="str">
            <v>主线副本进度宝箱-金币奖励</v>
          </cell>
          <cell r="E3019" t="str">
            <v>4|1|281250|1</v>
          </cell>
        </row>
        <row r="3020">
          <cell r="A3020">
            <v>45225</v>
          </cell>
          <cell r="B3020">
            <v>1</v>
          </cell>
          <cell r="C3020" t="str">
            <v>4|1|337500</v>
          </cell>
          <cell r="D3020" t="str">
            <v>主线副本进度宝箱-金币奖励</v>
          </cell>
          <cell r="E3020" t="str">
            <v>4|1|337500|1</v>
          </cell>
        </row>
        <row r="3021">
          <cell r="A3021">
            <v>45226</v>
          </cell>
          <cell r="B3021">
            <v>1</v>
          </cell>
          <cell r="C3021" t="str">
            <v>4|1|115000</v>
          </cell>
          <cell r="D3021" t="str">
            <v>主线副本进度宝箱-金币奖励</v>
          </cell>
          <cell r="E3021" t="str">
            <v>4|1|115000|1</v>
          </cell>
        </row>
        <row r="3022">
          <cell r="A3022">
            <v>45227</v>
          </cell>
          <cell r="B3022">
            <v>1</v>
          </cell>
          <cell r="C3022" t="str">
            <v>4|1|172500</v>
          </cell>
          <cell r="D3022" t="str">
            <v>主线副本进度宝箱-金币奖励</v>
          </cell>
          <cell r="E3022" t="str">
            <v>4|1|172500|1</v>
          </cell>
        </row>
        <row r="3023">
          <cell r="A3023">
            <v>45228</v>
          </cell>
          <cell r="B3023">
            <v>1</v>
          </cell>
          <cell r="C3023" t="str">
            <v>4|1|230000</v>
          </cell>
          <cell r="D3023" t="str">
            <v>主线副本进度宝箱-金币奖励</v>
          </cell>
          <cell r="E3023" t="str">
            <v>4|1|230000|1</v>
          </cell>
        </row>
        <row r="3024">
          <cell r="A3024">
            <v>45229</v>
          </cell>
          <cell r="B3024">
            <v>1</v>
          </cell>
          <cell r="C3024" t="str">
            <v>4|1|287500</v>
          </cell>
          <cell r="D3024" t="str">
            <v>主线副本进度宝箱-金币奖励</v>
          </cell>
          <cell r="E3024" t="str">
            <v>4|1|287500|1</v>
          </cell>
        </row>
        <row r="3025">
          <cell r="A3025">
            <v>45230</v>
          </cell>
          <cell r="B3025">
            <v>1</v>
          </cell>
          <cell r="C3025" t="str">
            <v>4|1|345000</v>
          </cell>
          <cell r="D3025" t="str">
            <v>主线副本进度宝箱-金币奖励</v>
          </cell>
          <cell r="E3025" t="str">
            <v>4|1|345000|1</v>
          </cell>
        </row>
        <row r="3026">
          <cell r="A3026">
            <v>45231</v>
          </cell>
          <cell r="B3026">
            <v>1</v>
          </cell>
          <cell r="C3026" t="str">
            <v>4|1|117500</v>
          </cell>
          <cell r="D3026" t="str">
            <v>主线副本进度宝箱-金币奖励</v>
          </cell>
          <cell r="E3026" t="str">
            <v>4|1|117500|1</v>
          </cell>
        </row>
        <row r="3027">
          <cell r="A3027">
            <v>45232</v>
          </cell>
          <cell r="B3027">
            <v>1</v>
          </cell>
          <cell r="C3027" t="str">
            <v>4|1|176250</v>
          </cell>
          <cell r="D3027" t="str">
            <v>主线副本进度宝箱-金币奖励</v>
          </cell>
          <cell r="E3027" t="str">
            <v>4|1|176250|1</v>
          </cell>
        </row>
        <row r="3028">
          <cell r="A3028">
            <v>45233</v>
          </cell>
          <cell r="B3028">
            <v>1</v>
          </cell>
          <cell r="C3028" t="str">
            <v>4|1|235000</v>
          </cell>
          <cell r="D3028" t="str">
            <v>主线副本进度宝箱-金币奖励</v>
          </cell>
          <cell r="E3028" t="str">
            <v>4|1|235000|1</v>
          </cell>
        </row>
        <row r="3029">
          <cell r="A3029">
            <v>45234</v>
          </cell>
          <cell r="B3029">
            <v>1</v>
          </cell>
          <cell r="C3029" t="str">
            <v>4|1|293750</v>
          </cell>
          <cell r="D3029" t="str">
            <v>主线副本进度宝箱-金币奖励</v>
          </cell>
          <cell r="E3029" t="str">
            <v>4|1|293750|1</v>
          </cell>
        </row>
        <row r="3030">
          <cell r="A3030">
            <v>45235</v>
          </cell>
          <cell r="B3030">
            <v>1</v>
          </cell>
          <cell r="C3030" t="str">
            <v>4|1|352500</v>
          </cell>
          <cell r="D3030" t="str">
            <v>主线副本进度宝箱-金币奖励</v>
          </cell>
          <cell r="E3030" t="str">
            <v>4|1|352500|1</v>
          </cell>
        </row>
        <row r="3031">
          <cell r="A3031">
            <v>45236</v>
          </cell>
          <cell r="B3031">
            <v>1</v>
          </cell>
          <cell r="C3031" t="str">
            <v>4|1|120000</v>
          </cell>
          <cell r="D3031" t="str">
            <v>主线副本进度宝箱-金币奖励</v>
          </cell>
          <cell r="E3031" t="str">
            <v>4|1|120000|1</v>
          </cell>
        </row>
        <row r="3032">
          <cell r="A3032">
            <v>45237</v>
          </cell>
          <cell r="B3032">
            <v>1</v>
          </cell>
          <cell r="C3032" t="str">
            <v>4|1|180000</v>
          </cell>
          <cell r="D3032" t="str">
            <v>主线副本进度宝箱-金币奖励</v>
          </cell>
          <cell r="E3032" t="str">
            <v>4|1|180000|1</v>
          </cell>
        </row>
        <row r="3033">
          <cell r="A3033">
            <v>45238</v>
          </cell>
          <cell r="B3033">
            <v>1</v>
          </cell>
          <cell r="C3033" t="str">
            <v>4|1|240000</v>
          </cell>
          <cell r="D3033" t="str">
            <v>主线副本进度宝箱-金币奖励</v>
          </cell>
          <cell r="E3033" t="str">
            <v>4|1|240000|1</v>
          </cell>
        </row>
        <row r="3034">
          <cell r="A3034">
            <v>45239</v>
          </cell>
          <cell r="B3034">
            <v>1</v>
          </cell>
          <cell r="C3034" t="str">
            <v>4|1|300000</v>
          </cell>
          <cell r="D3034" t="str">
            <v>主线副本进度宝箱-金币奖励</v>
          </cell>
          <cell r="E3034" t="str">
            <v>4|1|300000|1</v>
          </cell>
        </row>
        <row r="3035">
          <cell r="A3035">
            <v>45240</v>
          </cell>
          <cell r="B3035">
            <v>1</v>
          </cell>
          <cell r="C3035" t="str">
            <v>4|1|360000</v>
          </cell>
          <cell r="D3035" t="str">
            <v>主线副本进度宝箱-金币奖励</v>
          </cell>
          <cell r="E3035" t="str">
            <v>4|1|360000|1</v>
          </cell>
        </row>
        <row r="3036">
          <cell r="A3036">
            <v>45241</v>
          </cell>
          <cell r="B3036">
            <v>1</v>
          </cell>
          <cell r="C3036" t="str">
            <v>4|1|122500</v>
          </cell>
          <cell r="D3036" t="str">
            <v>主线副本进度宝箱-金币奖励</v>
          </cell>
          <cell r="E3036" t="str">
            <v>4|1|122500|1</v>
          </cell>
        </row>
        <row r="3037">
          <cell r="A3037">
            <v>45242</v>
          </cell>
          <cell r="B3037">
            <v>1</v>
          </cell>
          <cell r="C3037" t="str">
            <v>4|1|183750</v>
          </cell>
          <cell r="D3037" t="str">
            <v>主线副本进度宝箱-金币奖励</v>
          </cell>
          <cell r="E3037" t="str">
            <v>4|1|183750|1</v>
          </cell>
        </row>
        <row r="3038">
          <cell r="A3038">
            <v>45243</v>
          </cell>
          <cell r="B3038">
            <v>1</v>
          </cell>
          <cell r="C3038" t="str">
            <v>4|1|245000</v>
          </cell>
          <cell r="D3038" t="str">
            <v>主线副本进度宝箱-金币奖励</v>
          </cell>
          <cell r="E3038" t="str">
            <v>4|1|245000|1</v>
          </cell>
        </row>
        <row r="3039">
          <cell r="A3039">
            <v>45244</v>
          </cell>
          <cell r="B3039">
            <v>1</v>
          </cell>
          <cell r="C3039" t="str">
            <v>4|1|306250</v>
          </cell>
          <cell r="D3039" t="str">
            <v>主线副本进度宝箱-金币奖励</v>
          </cell>
          <cell r="E3039" t="str">
            <v>4|1|306250|1</v>
          </cell>
        </row>
        <row r="3040">
          <cell r="A3040">
            <v>45245</v>
          </cell>
          <cell r="B3040">
            <v>1</v>
          </cell>
          <cell r="C3040" t="str">
            <v>4|1|367500</v>
          </cell>
          <cell r="D3040" t="str">
            <v>主线副本进度宝箱-金币奖励</v>
          </cell>
          <cell r="E3040" t="str">
            <v>4|1|367500|1</v>
          </cell>
        </row>
        <row r="3041">
          <cell r="A3041">
            <v>45246</v>
          </cell>
          <cell r="B3041">
            <v>1</v>
          </cell>
          <cell r="C3041" t="str">
            <v>4|1|125000</v>
          </cell>
          <cell r="D3041" t="str">
            <v>主线副本进度宝箱-金币奖励</v>
          </cell>
          <cell r="E3041" t="str">
            <v>4|1|125000|1</v>
          </cell>
        </row>
        <row r="3042">
          <cell r="A3042">
            <v>45247</v>
          </cell>
          <cell r="B3042">
            <v>1</v>
          </cell>
          <cell r="C3042" t="str">
            <v>4|1|187500</v>
          </cell>
          <cell r="D3042" t="str">
            <v>主线副本进度宝箱-金币奖励</v>
          </cell>
          <cell r="E3042" t="str">
            <v>4|1|187500|1</v>
          </cell>
        </row>
        <row r="3043">
          <cell r="A3043">
            <v>45248</v>
          </cell>
          <cell r="B3043">
            <v>1</v>
          </cell>
          <cell r="C3043" t="str">
            <v>4|1|250000</v>
          </cell>
          <cell r="D3043" t="str">
            <v>主线副本进度宝箱-金币奖励</v>
          </cell>
          <cell r="E3043" t="str">
            <v>4|1|250000|1</v>
          </cell>
        </row>
        <row r="3044">
          <cell r="A3044">
            <v>45249</v>
          </cell>
          <cell r="B3044">
            <v>1</v>
          </cell>
          <cell r="C3044" t="str">
            <v>4|1|312500</v>
          </cell>
          <cell r="D3044" t="str">
            <v>主线副本进度宝箱-金币奖励</v>
          </cell>
          <cell r="E3044" t="str">
            <v>4|1|312500|1</v>
          </cell>
        </row>
        <row r="3045">
          <cell r="A3045">
            <v>45250</v>
          </cell>
          <cell r="B3045">
            <v>1</v>
          </cell>
          <cell r="C3045" t="str">
            <v>4|1|375000</v>
          </cell>
          <cell r="D3045" t="str">
            <v>主线副本进度宝箱-金币奖励</v>
          </cell>
          <cell r="E3045" t="str">
            <v>4|1|375000|1</v>
          </cell>
        </row>
        <row r="3046">
          <cell r="A3046">
            <v>45501</v>
          </cell>
          <cell r="B3046">
            <v>1</v>
          </cell>
          <cell r="C3046" t="str">
            <v>4|2|100</v>
          </cell>
          <cell r="D3046" t="str">
            <v>主线副本进度宝箱-钻石奖励</v>
          </cell>
          <cell r="E3046" t="str">
            <v>4|2|100|1</v>
          </cell>
        </row>
        <row r="3047">
          <cell r="A3047">
            <v>45502</v>
          </cell>
          <cell r="B3047">
            <v>1</v>
          </cell>
          <cell r="C3047" t="str">
            <v>4|2|150</v>
          </cell>
          <cell r="D3047" t="str">
            <v>主线副本进度宝箱-钻石奖励</v>
          </cell>
          <cell r="E3047" t="str">
            <v>4|2|150|1</v>
          </cell>
        </row>
        <row r="3048">
          <cell r="A3048">
            <v>45503</v>
          </cell>
          <cell r="B3048">
            <v>1</v>
          </cell>
          <cell r="C3048" t="str">
            <v>4|2|200</v>
          </cell>
          <cell r="D3048" t="str">
            <v>主线副本进度宝箱-钻石奖励</v>
          </cell>
          <cell r="E3048" t="str">
            <v>4|2|200|1</v>
          </cell>
        </row>
        <row r="3049">
          <cell r="A3049">
            <v>45504</v>
          </cell>
          <cell r="B3049">
            <v>1</v>
          </cell>
          <cell r="C3049" t="str">
            <v>4|2|250</v>
          </cell>
          <cell r="D3049" t="str">
            <v>主线副本进度宝箱-钻石奖励</v>
          </cell>
          <cell r="E3049" t="str">
            <v>4|2|250|1</v>
          </cell>
        </row>
        <row r="3050">
          <cell r="A3050">
            <v>45505</v>
          </cell>
          <cell r="B3050">
            <v>1</v>
          </cell>
          <cell r="C3050" t="str">
            <v>4|2|300</v>
          </cell>
          <cell r="D3050" t="str">
            <v>主线副本进度宝箱-钻石奖励</v>
          </cell>
          <cell r="E3050" t="str">
            <v>4|2|300|1</v>
          </cell>
        </row>
        <row r="3051">
          <cell r="A3051">
            <v>45506</v>
          </cell>
          <cell r="B3051">
            <v>1</v>
          </cell>
          <cell r="C3051" t="str">
            <v>4|2|100</v>
          </cell>
          <cell r="D3051" t="str">
            <v>主线副本进度宝箱-钻石奖励</v>
          </cell>
          <cell r="E3051" t="str">
            <v>4|2|100|1</v>
          </cell>
        </row>
        <row r="3052">
          <cell r="A3052">
            <v>45507</v>
          </cell>
          <cell r="B3052">
            <v>1</v>
          </cell>
          <cell r="C3052" t="str">
            <v>4|2|150</v>
          </cell>
          <cell r="D3052" t="str">
            <v>主线副本进度宝箱-钻石奖励</v>
          </cell>
          <cell r="E3052" t="str">
            <v>4|2|150|1</v>
          </cell>
        </row>
        <row r="3053">
          <cell r="A3053">
            <v>45508</v>
          </cell>
          <cell r="B3053">
            <v>1</v>
          </cell>
          <cell r="C3053" t="str">
            <v>4|2|200</v>
          </cell>
          <cell r="D3053" t="str">
            <v>主线副本进度宝箱-钻石奖励</v>
          </cell>
          <cell r="E3053" t="str">
            <v>4|2|200|1</v>
          </cell>
        </row>
        <row r="3054">
          <cell r="A3054">
            <v>45509</v>
          </cell>
          <cell r="B3054">
            <v>1</v>
          </cell>
          <cell r="C3054" t="str">
            <v>4|2|250</v>
          </cell>
          <cell r="D3054" t="str">
            <v>主线副本进度宝箱-钻石奖励</v>
          </cell>
          <cell r="E3054" t="str">
            <v>4|2|250|1</v>
          </cell>
        </row>
        <row r="3055">
          <cell r="A3055">
            <v>45510</v>
          </cell>
          <cell r="B3055">
            <v>1</v>
          </cell>
          <cell r="C3055" t="str">
            <v>4|2|300</v>
          </cell>
          <cell r="D3055" t="str">
            <v>主线副本进度宝箱-钻石奖励</v>
          </cell>
          <cell r="E3055" t="str">
            <v>4|2|300|1</v>
          </cell>
        </row>
        <row r="3056">
          <cell r="A3056">
            <v>45511</v>
          </cell>
          <cell r="B3056">
            <v>1</v>
          </cell>
          <cell r="C3056" t="str">
            <v>4|2|100</v>
          </cell>
          <cell r="D3056" t="str">
            <v>主线副本进度宝箱-钻石奖励</v>
          </cell>
          <cell r="E3056" t="str">
            <v>4|2|100|1</v>
          </cell>
        </row>
        <row r="3057">
          <cell r="A3057">
            <v>45512</v>
          </cell>
          <cell r="B3057">
            <v>1</v>
          </cell>
          <cell r="C3057" t="str">
            <v>4|2|150</v>
          </cell>
          <cell r="D3057" t="str">
            <v>主线副本进度宝箱-钻石奖励</v>
          </cell>
          <cell r="E3057" t="str">
            <v>4|2|150|1</v>
          </cell>
        </row>
        <row r="3058">
          <cell r="A3058">
            <v>45513</v>
          </cell>
          <cell r="B3058">
            <v>1</v>
          </cell>
          <cell r="C3058" t="str">
            <v>4|2|200</v>
          </cell>
          <cell r="D3058" t="str">
            <v>主线副本进度宝箱-钻石奖励</v>
          </cell>
          <cell r="E3058" t="str">
            <v>4|2|200|1</v>
          </cell>
        </row>
        <row r="3059">
          <cell r="A3059">
            <v>45514</v>
          </cell>
          <cell r="B3059">
            <v>1</v>
          </cell>
          <cell r="C3059" t="str">
            <v>4|2|250</v>
          </cell>
          <cell r="D3059" t="str">
            <v>主线副本进度宝箱-钻石奖励</v>
          </cell>
          <cell r="E3059" t="str">
            <v>4|2|250|1</v>
          </cell>
        </row>
        <row r="3060">
          <cell r="A3060">
            <v>45515</v>
          </cell>
          <cell r="B3060">
            <v>1</v>
          </cell>
          <cell r="C3060" t="str">
            <v>4|2|300</v>
          </cell>
          <cell r="D3060" t="str">
            <v>主线副本进度宝箱-钻石奖励</v>
          </cell>
          <cell r="E3060" t="str">
            <v>4|2|300|1</v>
          </cell>
        </row>
        <row r="3061">
          <cell r="A3061">
            <v>45516</v>
          </cell>
          <cell r="B3061">
            <v>1</v>
          </cell>
          <cell r="C3061" t="str">
            <v>4|2|100</v>
          </cell>
          <cell r="D3061" t="str">
            <v>主线副本进度宝箱-钻石奖励</v>
          </cell>
          <cell r="E3061" t="str">
            <v>4|2|100|1</v>
          </cell>
        </row>
        <row r="3062">
          <cell r="A3062">
            <v>45517</v>
          </cell>
          <cell r="B3062">
            <v>1</v>
          </cell>
          <cell r="C3062" t="str">
            <v>4|2|150</v>
          </cell>
          <cell r="D3062" t="str">
            <v>主线副本进度宝箱-钻石奖励</v>
          </cell>
          <cell r="E3062" t="str">
            <v>4|2|150|1</v>
          </cell>
        </row>
        <row r="3063">
          <cell r="A3063">
            <v>45518</v>
          </cell>
          <cell r="B3063">
            <v>1</v>
          </cell>
          <cell r="C3063" t="str">
            <v>4|2|200</v>
          </cell>
          <cell r="D3063" t="str">
            <v>主线副本进度宝箱-钻石奖励</v>
          </cell>
          <cell r="E3063" t="str">
            <v>4|2|200|1</v>
          </cell>
        </row>
        <row r="3064">
          <cell r="A3064">
            <v>45519</v>
          </cell>
          <cell r="B3064">
            <v>1</v>
          </cell>
          <cell r="C3064" t="str">
            <v>4|2|250</v>
          </cell>
          <cell r="D3064" t="str">
            <v>主线副本进度宝箱-钻石奖励</v>
          </cell>
          <cell r="E3064" t="str">
            <v>4|2|250|1</v>
          </cell>
        </row>
        <row r="3065">
          <cell r="A3065">
            <v>45520</v>
          </cell>
          <cell r="B3065">
            <v>1</v>
          </cell>
          <cell r="C3065" t="str">
            <v>4|2|300</v>
          </cell>
          <cell r="D3065" t="str">
            <v>主线副本进度宝箱-钻石奖励</v>
          </cell>
          <cell r="E3065" t="str">
            <v>4|2|300|1</v>
          </cell>
        </row>
        <row r="3066">
          <cell r="A3066">
            <v>45521</v>
          </cell>
          <cell r="B3066">
            <v>1</v>
          </cell>
          <cell r="C3066" t="str">
            <v>4|2|100</v>
          </cell>
          <cell r="D3066" t="str">
            <v>主线副本进度宝箱-钻石奖励</v>
          </cell>
          <cell r="E3066" t="str">
            <v>4|2|100|1</v>
          </cell>
        </row>
        <row r="3067">
          <cell r="A3067">
            <v>45522</v>
          </cell>
          <cell r="B3067">
            <v>1</v>
          </cell>
          <cell r="C3067" t="str">
            <v>4|2|150</v>
          </cell>
          <cell r="D3067" t="str">
            <v>主线副本进度宝箱-钻石奖励</v>
          </cell>
          <cell r="E3067" t="str">
            <v>4|2|150|1</v>
          </cell>
        </row>
        <row r="3068">
          <cell r="A3068">
            <v>45523</v>
          </cell>
          <cell r="B3068">
            <v>1</v>
          </cell>
          <cell r="C3068" t="str">
            <v>4|2|200</v>
          </cell>
          <cell r="D3068" t="str">
            <v>主线副本进度宝箱-钻石奖励</v>
          </cell>
          <cell r="E3068" t="str">
            <v>4|2|200|1</v>
          </cell>
        </row>
        <row r="3069">
          <cell r="A3069">
            <v>45524</v>
          </cell>
          <cell r="B3069">
            <v>1</v>
          </cell>
          <cell r="C3069" t="str">
            <v>4|2|250</v>
          </cell>
          <cell r="D3069" t="str">
            <v>主线副本进度宝箱-钻石奖励</v>
          </cell>
          <cell r="E3069" t="str">
            <v>4|2|250|1</v>
          </cell>
        </row>
        <row r="3070">
          <cell r="A3070">
            <v>45525</v>
          </cell>
          <cell r="B3070">
            <v>1</v>
          </cell>
          <cell r="C3070" t="str">
            <v>4|2|300</v>
          </cell>
          <cell r="D3070" t="str">
            <v>主线副本进度宝箱-钻石奖励</v>
          </cell>
          <cell r="E3070" t="str">
            <v>4|2|300|1</v>
          </cell>
        </row>
        <row r="3071">
          <cell r="A3071">
            <v>45526</v>
          </cell>
          <cell r="B3071">
            <v>1</v>
          </cell>
          <cell r="C3071" t="str">
            <v>4|2|100</v>
          </cell>
          <cell r="D3071" t="str">
            <v>主线副本进度宝箱-钻石奖励</v>
          </cell>
          <cell r="E3071" t="str">
            <v>4|2|100|1</v>
          </cell>
        </row>
        <row r="3072">
          <cell r="A3072">
            <v>45527</v>
          </cell>
          <cell r="B3072">
            <v>1</v>
          </cell>
          <cell r="C3072" t="str">
            <v>4|2|150</v>
          </cell>
          <cell r="D3072" t="str">
            <v>主线副本进度宝箱-钻石奖励</v>
          </cell>
          <cell r="E3072" t="str">
            <v>4|2|150|1</v>
          </cell>
        </row>
        <row r="3073">
          <cell r="A3073">
            <v>45528</v>
          </cell>
          <cell r="B3073">
            <v>1</v>
          </cell>
          <cell r="C3073" t="str">
            <v>4|2|200</v>
          </cell>
          <cell r="D3073" t="str">
            <v>主线副本进度宝箱-钻石奖励</v>
          </cell>
          <cell r="E3073" t="str">
            <v>4|2|200|1</v>
          </cell>
        </row>
        <row r="3074">
          <cell r="A3074">
            <v>45529</v>
          </cell>
          <cell r="B3074">
            <v>1</v>
          </cell>
          <cell r="C3074" t="str">
            <v>4|2|250</v>
          </cell>
          <cell r="D3074" t="str">
            <v>主线副本进度宝箱-钻石奖励</v>
          </cell>
          <cell r="E3074" t="str">
            <v>4|2|250|1</v>
          </cell>
        </row>
        <row r="3075">
          <cell r="A3075">
            <v>45530</v>
          </cell>
          <cell r="B3075">
            <v>1</v>
          </cell>
          <cell r="C3075" t="str">
            <v>4|2|300</v>
          </cell>
          <cell r="D3075" t="str">
            <v>主线副本进度宝箱-钻石奖励</v>
          </cell>
          <cell r="E3075" t="str">
            <v>4|2|300|1</v>
          </cell>
        </row>
        <row r="3076">
          <cell r="A3076">
            <v>45531</v>
          </cell>
          <cell r="B3076">
            <v>1</v>
          </cell>
          <cell r="C3076" t="str">
            <v>4|2|100</v>
          </cell>
          <cell r="D3076" t="str">
            <v>主线副本进度宝箱-钻石奖励</v>
          </cell>
          <cell r="E3076" t="str">
            <v>4|2|100|1</v>
          </cell>
        </row>
        <row r="3077">
          <cell r="A3077">
            <v>45532</v>
          </cell>
          <cell r="B3077">
            <v>1</v>
          </cell>
          <cell r="C3077" t="str">
            <v>4|2|150</v>
          </cell>
          <cell r="D3077" t="str">
            <v>主线副本进度宝箱-钻石奖励</v>
          </cell>
          <cell r="E3077" t="str">
            <v>4|2|150|1</v>
          </cell>
        </row>
        <row r="3078">
          <cell r="A3078">
            <v>45533</v>
          </cell>
          <cell r="B3078">
            <v>1</v>
          </cell>
          <cell r="C3078" t="str">
            <v>4|2|200</v>
          </cell>
          <cell r="D3078" t="str">
            <v>主线副本进度宝箱-钻石奖励</v>
          </cell>
          <cell r="E3078" t="str">
            <v>4|2|200|1</v>
          </cell>
        </row>
        <row r="3079">
          <cell r="A3079">
            <v>45534</v>
          </cell>
          <cell r="B3079">
            <v>1</v>
          </cell>
          <cell r="C3079" t="str">
            <v>4|2|250</v>
          </cell>
          <cell r="D3079" t="str">
            <v>主线副本进度宝箱-钻石奖励</v>
          </cell>
          <cell r="E3079" t="str">
            <v>4|2|250|1</v>
          </cell>
        </row>
        <row r="3080">
          <cell r="A3080">
            <v>45535</v>
          </cell>
          <cell r="B3080">
            <v>1</v>
          </cell>
          <cell r="C3080" t="str">
            <v>4|2|300</v>
          </cell>
          <cell r="D3080" t="str">
            <v>主线副本进度宝箱-钻石奖励</v>
          </cell>
          <cell r="E3080" t="str">
            <v>4|2|300|1</v>
          </cell>
        </row>
        <row r="3081">
          <cell r="A3081">
            <v>45536</v>
          </cell>
          <cell r="B3081">
            <v>1</v>
          </cell>
          <cell r="C3081" t="str">
            <v>4|2|100</v>
          </cell>
          <cell r="D3081" t="str">
            <v>主线副本进度宝箱-钻石奖励</v>
          </cell>
          <cell r="E3081" t="str">
            <v>4|2|100|1</v>
          </cell>
        </row>
        <row r="3082">
          <cell r="A3082">
            <v>45537</v>
          </cell>
          <cell r="B3082">
            <v>1</v>
          </cell>
          <cell r="C3082" t="str">
            <v>4|2|150</v>
          </cell>
          <cell r="D3082" t="str">
            <v>主线副本进度宝箱-钻石奖励</v>
          </cell>
          <cell r="E3082" t="str">
            <v>4|2|150|1</v>
          </cell>
        </row>
        <row r="3083">
          <cell r="A3083">
            <v>45538</v>
          </cell>
          <cell r="B3083">
            <v>1</v>
          </cell>
          <cell r="C3083" t="str">
            <v>4|2|200</v>
          </cell>
          <cell r="D3083" t="str">
            <v>主线副本进度宝箱-钻石奖励</v>
          </cell>
          <cell r="E3083" t="str">
            <v>4|2|200|1</v>
          </cell>
        </row>
        <row r="3084">
          <cell r="A3084">
            <v>45539</v>
          </cell>
          <cell r="B3084">
            <v>1</v>
          </cell>
          <cell r="C3084" t="str">
            <v>4|2|250</v>
          </cell>
          <cell r="D3084" t="str">
            <v>主线副本进度宝箱-钻石奖励</v>
          </cell>
          <cell r="E3084" t="str">
            <v>4|2|250|1</v>
          </cell>
        </row>
        <row r="3085">
          <cell r="A3085">
            <v>45540</v>
          </cell>
          <cell r="B3085">
            <v>1</v>
          </cell>
          <cell r="C3085" t="str">
            <v>4|2|300</v>
          </cell>
          <cell r="D3085" t="str">
            <v>主线副本进度宝箱-钻石奖励</v>
          </cell>
          <cell r="E3085" t="str">
            <v>4|2|300|1</v>
          </cell>
        </row>
        <row r="3086">
          <cell r="A3086">
            <v>45541</v>
          </cell>
          <cell r="B3086">
            <v>1</v>
          </cell>
          <cell r="C3086" t="str">
            <v>4|2|100</v>
          </cell>
          <cell r="D3086" t="str">
            <v>主线副本进度宝箱-钻石奖励</v>
          </cell>
          <cell r="E3086" t="str">
            <v>4|2|100|1</v>
          </cell>
        </row>
        <row r="3087">
          <cell r="A3087">
            <v>45542</v>
          </cell>
          <cell r="B3087">
            <v>1</v>
          </cell>
          <cell r="C3087" t="str">
            <v>4|2|150</v>
          </cell>
          <cell r="D3087" t="str">
            <v>主线副本进度宝箱-钻石奖励</v>
          </cell>
          <cell r="E3087" t="str">
            <v>4|2|150|1</v>
          </cell>
        </row>
        <row r="3088">
          <cell r="A3088">
            <v>45543</v>
          </cell>
          <cell r="B3088">
            <v>1</v>
          </cell>
          <cell r="C3088" t="str">
            <v>4|2|200</v>
          </cell>
          <cell r="D3088" t="str">
            <v>主线副本进度宝箱-钻石奖励</v>
          </cell>
          <cell r="E3088" t="str">
            <v>4|2|200|1</v>
          </cell>
        </row>
        <row r="3089">
          <cell r="A3089">
            <v>45544</v>
          </cell>
          <cell r="B3089">
            <v>1</v>
          </cell>
          <cell r="C3089" t="str">
            <v>4|2|250</v>
          </cell>
          <cell r="D3089" t="str">
            <v>主线副本进度宝箱-钻石奖励</v>
          </cell>
          <cell r="E3089" t="str">
            <v>4|2|250|1</v>
          </cell>
        </row>
        <row r="3090">
          <cell r="A3090">
            <v>45545</v>
          </cell>
          <cell r="B3090">
            <v>1</v>
          </cell>
          <cell r="C3090" t="str">
            <v>4|2|300</v>
          </cell>
          <cell r="D3090" t="str">
            <v>主线副本进度宝箱-钻石奖励</v>
          </cell>
          <cell r="E3090" t="str">
            <v>4|2|300|1</v>
          </cell>
        </row>
        <row r="3091">
          <cell r="A3091">
            <v>45546</v>
          </cell>
          <cell r="B3091">
            <v>1</v>
          </cell>
          <cell r="C3091" t="str">
            <v>4|2|100</v>
          </cell>
          <cell r="D3091" t="str">
            <v>主线副本进度宝箱-钻石奖励</v>
          </cell>
          <cell r="E3091" t="str">
            <v>4|2|100|1</v>
          </cell>
        </row>
        <row r="3092">
          <cell r="A3092">
            <v>45547</v>
          </cell>
          <cell r="B3092">
            <v>1</v>
          </cell>
          <cell r="C3092" t="str">
            <v>4|2|150</v>
          </cell>
          <cell r="D3092" t="str">
            <v>主线副本进度宝箱-钻石奖励</v>
          </cell>
          <cell r="E3092" t="str">
            <v>4|2|150|1</v>
          </cell>
        </row>
        <row r="3093">
          <cell r="A3093">
            <v>45548</v>
          </cell>
          <cell r="B3093">
            <v>1</v>
          </cell>
          <cell r="C3093" t="str">
            <v>4|2|200</v>
          </cell>
          <cell r="D3093" t="str">
            <v>主线副本进度宝箱-钻石奖励</v>
          </cell>
          <cell r="E3093" t="str">
            <v>4|2|200|1</v>
          </cell>
        </row>
        <row r="3094">
          <cell r="A3094">
            <v>45549</v>
          </cell>
          <cell r="B3094">
            <v>1</v>
          </cell>
          <cell r="C3094" t="str">
            <v>4|2|250</v>
          </cell>
          <cell r="D3094" t="str">
            <v>主线副本进度宝箱-钻石奖励</v>
          </cell>
          <cell r="E3094" t="str">
            <v>4|2|250|1</v>
          </cell>
        </row>
        <row r="3095">
          <cell r="A3095">
            <v>45550</v>
          </cell>
          <cell r="B3095">
            <v>1</v>
          </cell>
          <cell r="C3095" t="str">
            <v>4|2|300</v>
          </cell>
          <cell r="D3095" t="str">
            <v>主线副本进度宝箱-钻石奖励</v>
          </cell>
          <cell r="E3095" t="str">
            <v>4|2|300|1</v>
          </cell>
        </row>
        <row r="3096">
          <cell r="A3096">
            <v>45551</v>
          </cell>
          <cell r="B3096">
            <v>1</v>
          </cell>
          <cell r="C3096" t="str">
            <v>4|2|100</v>
          </cell>
          <cell r="D3096" t="str">
            <v>主线副本进度宝箱-钻石奖励</v>
          </cell>
          <cell r="E3096" t="str">
            <v>4|2|100|1</v>
          </cell>
        </row>
        <row r="3097">
          <cell r="A3097">
            <v>45552</v>
          </cell>
          <cell r="B3097">
            <v>1</v>
          </cell>
          <cell r="C3097" t="str">
            <v>4|2|150</v>
          </cell>
          <cell r="D3097" t="str">
            <v>主线副本进度宝箱-钻石奖励</v>
          </cell>
          <cell r="E3097" t="str">
            <v>4|2|150|1</v>
          </cell>
        </row>
        <row r="3098">
          <cell r="A3098">
            <v>45553</v>
          </cell>
          <cell r="B3098">
            <v>1</v>
          </cell>
          <cell r="C3098" t="str">
            <v>4|2|200</v>
          </cell>
          <cell r="D3098" t="str">
            <v>主线副本进度宝箱-钻石奖励</v>
          </cell>
          <cell r="E3098" t="str">
            <v>4|2|200|1</v>
          </cell>
        </row>
        <row r="3099">
          <cell r="A3099">
            <v>45554</v>
          </cell>
          <cell r="B3099">
            <v>1</v>
          </cell>
          <cell r="C3099" t="str">
            <v>4|2|250</v>
          </cell>
          <cell r="D3099" t="str">
            <v>主线副本进度宝箱-钻石奖励</v>
          </cell>
          <cell r="E3099" t="str">
            <v>4|2|250|1</v>
          </cell>
        </row>
        <row r="3100">
          <cell r="A3100">
            <v>45555</v>
          </cell>
          <cell r="B3100">
            <v>1</v>
          </cell>
          <cell r="C3100" t="str">
            <v>4|2|300</v>
          </cell>
          <cell r="D3100" t="str">
            <v>主线副本进度宝箱-钻石奖励</v>
          </cell>
          <cell r="E3100" t="str">
            <v>4|2|300|1</v>
          </cell>
        </row>
        <row r="3101">
          <cell r="A3101">
            <v>45556</v>
          </cell>
          <cell r="B3101">
            <v>1</v>
          </cell>
          <cell r="C3101" t="str">
            <v>4|2|100</v>
          </cell>
          <cell r="D3101" t="str">
            <v>主线副本进度宝箱-钻石奖励</v>
          </cell>
          <cell r="E3101" t="str">
            <v>4|2|100|1</v>
          </cell>
        </row>
        <row r="3102">
          <cell r="A3102">
            <v>45557</v>
          </cell>
          <cell r="B3102">
            <v>1</v>
          </cell>
          <cell r="C3102" t="str">
            <v>4|2|150</v>
          </cell>
          <cell r="D3102" t="str">
            <v>主线副本进度宝箱-钻石奖励</v>
          </cell>
          <cell r="E3102" t="str">
            <v>4|2|150|1</v>
          </cell>
        </row>
        <row r="3103">
          <cell r="A3103">
            <v>45558</v>
          </cell>
          <cell r="B3103">
            <v>1</v>
          </cell>
          <cell r="C3103" t="str">
            <v>4|2|200</v>
          </cell>
          <cell r="D3103" t="str">
            <v>主线副本进度宝箱-钻石奖励</v>
          </cell>
          <cell r="E3103" t="str">
            <v>4|2|200|1</v>
          </cell>
        </row>
        <row r="3104">
          <cell r="A3104">
            <v>45559</v>
          </cell>
          <cell r="B3104">
            <v>1</v>
          </cell>
          <cell r="C3104" t="str">
            <v>4|2|250</v>
          </cell>
          <cell r="D3104" t="str">
            <v>主线副本进度宝箱-钻石奖励</v>
          </cell>
          <cell r="E3104" t="str">
            <v>4|2|250|1</v>
          </cell>
        </row>
        <row r="3105">
          <cell r="A3105">
            <v>45560</v>
          </cell>
          <cell r="B3105">
            <v>1</v>
          </cell>
          <cell r="C3105" t="str">
            <v>4|2|300</v>
          </cell>
          <cell r="D3105" t="str">
            <v>主线副本进度宝箱-钻石奖励</v>
          </cell>
          <cell r="E3105" t="str">
            <v>4|2|300|1</v>
          </cell>
        </row>
        <row r="3106">
          <cell r="A3106">
            <v>45561</v>
          </cell>
          <cell r="B3106">
            <v>1</v>
          </cell>
          <cell r="C3106" t="str">
            <v>4|2|100</v>
          </cell>
          <cell r="D3106" t="str">
            <v>主线副本进度宝箱-钻石奖励</v>
          </cell>
          <cell r="E3106" t="str">
            <v>4|2|100|1</v>
          </cell>
        </row>
        <row r="3107">
          <cell r="A3107">
            <v>45562</v>
          </cell>
          <cell r="B3107">
            <v>1</v>
          </cell>
          <cell r="C3107" t="str">
            <v>4|2|150</v>
          </cell>
          <cell r="D3107" t="str">
            <v>主线副本进度宝箱-钻石奖励</v>
          </cell>
          <cell r="E3107" t="str">
            <v>4|2|150|1</v>
          </cell>
        </row>
        <row r="3108">
          <cell r="A3108">
            <v>45563</v>
          </cell>
          <cell r="B3108">
            <v>1</v>
          </cell>
          <cell r="C3108" t="str">
            <v>4|2|200</v>
          </cell>
          <cell r="D3108" t="str">
            <v>主线副本进度宝箱-钻石奖励</v>
          </cell>
          <cell r="E3108" t="str">
            <v>4|2|200|1</v>
          </cell>
        </row>
        <row r="3109">
          <cell r="A3109">
            <v>45564</v>
          </cell>
          <cell r="B3109">
            <v>1</v>
          </cell>
          <cell r="C3109" t="str">
            <v>4|2|250</v>
          </cell>
          <cell r="D3109" t="str">
            <v>主线副本进度宝箱-钻石奖励</v>
          </cell>
          <cell r="E3109" t="str">
            <v>4|2|250|1</v>
          </cell>
        </row>
        <row r="3110">
          <cell r="A3110">
            <v>45565</v>
          </cell>
          <cell r="B3110">
            <v>1</v>
          </cell>
          <cell r="C3110" t="str">
            <v>4|2|300</v>
          </cell>
          <cell r="D3110" t="str">
            <v>主线副本进度宝箱-钻石奖励</v>
          </cell>
          <cell r="E3110" t="str">
            <v>4|2|300|1</v>
          </cell>
        </row>
        <row r="3111">
          <cell r="A3111">
            <v>45566</v>
          </cell>
          <cell r="B3111">
            <v>1</v>
          </cell>
          <cell r="C3111" t="str">
            <v>4|2|100</v>
          </cell>
          <cell r="D3111" t="str">
            <v>主线副本进度宝箱-钻石奖励</v>
          </cell>
          <cell r="E3111" t="str">
            <v>4|2|100|1</v>
          </cell>
        </row>
        <row r="3112">
          <cell r="A3112">
            <v>45567</v>
          </cell>
          <cell r="B3112">
            <v>1</v>
          </cell>
          <cell r="C3112" t="str">
            <v>4|2|150</v>
          </cell>
          <cell r="D3112" t="str">
            <v>主线副本进度宝箱-钻石奖励</v>
          </cell>
          <cell r="E3112" t="str">
            <v>4|2|150|1</v>
          </cell>
        </row>
        <row r="3113">
          <cell r="A3113">
            <v>45568</v>
          </cell>
          <cell r="B3113">
            <v>1</v>
          </cell>
          <cell r="C3113" t="str">
            <v>4|2|200</v>
          </cell>
          <cell r="D3113" t="str">
            <v>主线副本进度宝箱-钻石奖励</v>
          </cell>
          <cell r="E3113" t="str">
            <v>4|2|200|1</v>
          </cell>
        </row>
        <row r="3114">
          <cell r="A3114">
            <v>45569</v>
          </cell>
          <cell r="B3114">
            <v>1</v>
          </cell>
          <cell r="C3114" t="str">
            <v>4|2|250</v>
          </cell>
          <cell r="D3114" t="str">
            <v>主线副本进度宝箱-钻石奖励</v>
          </cell>
          <cell r="E3114" t="str">
            <v>4|2|250|1</v>
          </cell>
        </row>
        <row r="3115">
          <cell r="A3115">
            <v>45570</v>
          </cell>
          <cell r="B3115">
            <v>1</v>
          </cell>
          <cell r="C3115" t="str">
            <v>4|2|300</v>
          </cell>
          <cell r="D3115" t="str">
            <v>主线副本进度宝箱-钻石奖励</v>
          </cell>
          <cell r="E3115" t="str">
            <v>4|2|300|1</v>
          </cell>
        </row>
        <row r="3116">
          <cell r="A3116">
            <v>45571</v>
          </cell>
          <cell r="B3116">
            <v>1</v>
          </cell>
          <cell r="C3116" t="str">
            <v>4|2|100</v>
          </cell>
          <cell r="D3116" t="str">
            <v>主线副本进度宝箱-钻石奖励</v>
          </cell>
          <cell r="E3116" t="str">
            <v>4|2|100|1</v>
          </cell>
        </row>
        <row r="3117">
          <cell r="A3117">
            <v>45572</v>
          </cell>
          <cell r="B3117">
            <v>1</v>
          </cell>
          <cell r="C3117" t="str">
            <v>4|2|150</v>
          </cell>
          <cell r="D3117" t="str">
            <v>主线副本进度宝箱-钻石奖励</v>
          </cell>
          <cell r="E3117" t="str">
            <v>4|2|150|1</v>
          </cell>
        </row>
        <row r="3118">
          <cell r="A3118">
            <v>45573</v>
          </cell>
          <cell r="B3118">
            <v>1</v>
          </cell>
          <cell r="C3118" t="str">
            <v>4|2|200</v>
          </cell>
          <cell r="D3118" t="str">
            <v>主线副本进度宝箱-钻石奖励</v>
          </cell>
          <cell r="E3118" t="str">
            <v>4|2|200|1</v>
          </cell>
        </row>
        <row r="3119">
          <cell r="A3119">
            <v>45574</v>
          </cell>
          <cell r="B3119">
            <v>1</v>
          </cell>
          <cell r="C3119" t="str">
            <v>4|2|250</v>
          </cell>
          <cell r="D3119" t="str">
            <v>主线副本进度宝箱-钻石奖励</v>
          </cell>
          <cell r="E3119" t="str">
            <v>4|2|250|1</v>
          </cell>
        </row>
        <row r="3120">
          <cell r="A3120">
            <v>45575</v>
          </cell>
          <cell r="B3120">
            <v>1</v>
          </cell>
          <cell r="C3120" t="str">
            <v>4|2|300</v>
          </cell>
          <cell r="D3120" t="str">
            <v>主线副本进度宝箱-钻石奖励</v>
          </cell>
          <cell r="E3120" t="str">
            <v>4|2|300|1</v>
          </cell>
        </row>
        <row r="3121">
          <cell r="A3121">
            <v>45576</v>
          </cell>
          <cell r="B3121">
            <v>1</v>
          </cell>
          <cell r="C3121" t="str">
            <v>4|2|100</v>
          </cell>
          <cell r="D3121" t="str">
            <v>主线副本进度宝箱-钻石奖励</v>
          </cell>
          <cell r="E3121" t="str">
            <v>4|2|100|1</v>
          </cell>
        </row>
        <row r="3122">
          <cell r="A3122">
            <v>45577</v>
          </cell>
          <cell r="B3122">
            <v>1</v>
          </cell>
          <cell r="C3122" t="str">
            <v>4|2|150</v>
          </cell>
          <cell r="D3122" t="str">
            <v>主线副本进度宝箱-钻石奖励</v>
          </cell>
          <cell r="E3122" t="str">
            <v>4|2|150|1</v>
          </cell>
        </row>
        <row r="3123">
          <cell r="A3123">
            <v>45578</v>
          </cell>
          <cell r="B3123">
            <v>1</v>
          </cell>
          <cell r="C3123" t="str">
            <v>4|2|200</v>
          </cell>
          <cell r="D3123" t="str">
            <v>主线副本进度宝箱-钻石奖励</v>
          </cell>
          <cell r="E3123" t="str">
            <v>4|2|200|1</v>
          </cell>
        </row>
        <row r="3124">
          <cell r="A3124">
            <v>45579</v>
          </cell>
          <cell r="B3124">
            <v>1</v>
          </cell>
          <cell r="C3124" t="str">
            <v>4|2|250</v>
          </cell>
          <cell r="D3124" t="str">
            <v>主线副本进度宝箱-钻石奖励</v>
          </cell>
          <cell r="E3124" t="str">
            <v>4|2|250|1</v>
          </cell>
        </row>
        <row r="3125">
          <cell r="A3125">
            <v>45580</v>
          </cell>
          <cell r="B3125">
            <v>1</v>
          </cell>
          <cell r="C3125" t="str">
            <v>4|2|300</v>
          </cell>
          <cell r="D3125" t="str">
            <v>主线副本进度宝箱-钻石奖励</v>
          </cell>
          <cell r="E3125" t="str">
            <v>4|2|300|1</v>
          </cell>
        </row>
        <row r="3126">
          <cell r="A3126">
            <v>45581</v>
          </cell>
          <cell r="B3126">
            <v>1</v>
          </cell>
          <cell r="C3126" t="str">
            <v>4|2|100</v>
          </cell>
          <cell r="D3126" t="str">
            <v>主线副本进度宝箱-钻石奖励</v>
          </cell>
          <cell r="E3126" t="str">
            <v>4|2|100|1</v>
          </cell>
        </row>
        <row r="3127">
          <cell r="A3127">
            <v>45582</v>
          </cell>
          <cell r="B3127">
            <v>1</v>
          </cell>
          <cell r="C3127" t="str">
            <v>4|2|150</v>
          </cell>
          <cell r="D3127" t="str">
            <v>主线副本进度宝箱-钻石奖励</v>
          </cell>
          <cell r="E3127" t="str">
            <v>4|2|150|1</v>
          </cell>
        </row>
        <row r="3128">
          <cell r="A3128">
            <v>45583</v>
          </cell>
          <cell r="B3128">
            <v>1</v>
          </cell>
          <cell r="C3128" t="str">
            <v>4|2|200</v>
          </cell>
          <cell r="D3128" t="str">
            <v>主线副本进度宝箱-钻石奖励</v>
          </cell>
          <cell r="E3128" t="str">
            <v>4|2|200|1</v>
          </cell>
        </row>
        <row r="3129">
          <cell r="A3129">
            <v>45584</v>
          </cell>
          <cell r="B3129">
            <v>1</v>
          </cell>
          <cell r="C3129" t="str">
            <v>4|2|250</v>
          </cell>
          <cell r="D3129" t="str">
            <v>主线副本进度宝箱-钻石奖励</v>
          </cell>
          <cell r="E3129" t="str">
            <v>4|2|250|1</v>
          </cell>
        </row>
        <row r="3130">
          <cell r="A3130">
            <v>45585</v>
          </cell>
          <cell r="B3130">
            <v>1</v>
          </cell>
          <cell r="C3130" t="str">
            <v>4|2|300</v>
          </cell>
          <cell r="D3130" t="str">
            <v>主线副本进度宝箱-钻石奖励</v>
          </cell>
          <cell r="E3130" t="str">
            <v>4|2|300|1</v>
          </cell>
        </row>
        <row r="3131">
          <cell r="A3131">
            <v>45586</v>
          </cell>
          <cell r="B3131">
            <v>1</v>
          </cell>
          <cell r="C3131" t="str">
            <v>4|2|100</v>
          </cell>
          <cell r="D3131" t="str">
            <v>主线副本进度宝箱-钻石奖励</v>
          </cell>
          <cell r="E3131" t="str">
            <v>4|2|100|1</v>
          </cell>
        </row>
        <row r="3132">
          <cell r="A3132">
            <v>45587</v>
          </cell>
          <cell r="B3132">
            <v>1</v>
          </cell>
          <cell r="C3132" t="str">
            <v>4|2|150</v>
          </cell>
          <cell r="D3132" t="str">
            <v>主线副本进度宝箱-钻石奖励</v>
          </cell>
          <cell r="E3132" t="str">
            <v>4|2|150|1</v>
          </cell>
        </row>
        <row r="3133">
          <cell r="A3133">
            <v>45588</v>
          </cell>
          <cell r="B3133">
            <v>1</v>
          </cell>
          <cell r="C3133" t="str">
            <v>4|2|200</v>
          </cell>
          <cell r="D3133" t="str">
            <v>主线副本进度宝箱-钻石奖励</v>
          </cell>
          <cell r="E3133" t="str">
            <v>4|2|200|1</v>
          </cell>
        </row>
        <row r="3134">
          <cell r="A3134">
            <v>45589</v>
          </cell>
          <cell r="B3134">
            <v>1</v>
          </cell>
          <cell r="C3134" t="str">
            <v>4|2|250</v>
          </cell>
          <cell r="D3134" t="str">
            <v>主线副本进度宝箱-钻石奖励</v>
          </cell>
          <cell r="E3134" t="str">
            <v>4|2|250|1</v>
          </cell>
        </row>
        <row r="3135">
          <cell r="A3135">
            <v>45590</v>
          </cell>
          <cell r="B3135">
            <v>1</v>
          </cell>
          <cell r="C3135" t="str">
            <v>4|2|300</v>
          </cell>
          <cell r="D3135" t="str">
            <v>主线副本进度宝箱-钻石奖励</v>
          </cell>
          <cell r="E3135" t="str">
            <v>4|2|300|1</v>
          </cell>
        </row>
        <row r="3136">
          <cell r="A3136">
            <v>45591</v>
          </cell>
          <cell r="B3136">
            <v>1</v>
          </cell>
          <cell r="C3136" t="str">
            <v>4|2|100</v>
          </cell>
          <cell r="D3136" t="str">
            <v>主线副本进度宝箱-钻石奖励</v>
          </cell>
          <cell r="E3136" t="str">
            <v>4|2|100|1</v>
          </cell>
        </row>
        <row r="3137">
          <cell r="A3137">
            <v>45592</v>
          </cell>
          <cell r="B3137">
            <v>1</v>
          </cell>
          <cell r="C3137" t="str">
            <v>4|2|150</v>
          </cell>
          <cell r="D3137" t="str">
            <v>主线副本进度宝箱-钻石奖励</v>
          </cell>
          <cell r="E3137" t="str">
            <v>4|2|150|1</v>
          </cell>
        </row>
        <row r="3138">
          <cell r="A3138">
            <v>45593</v>
          </cell>
          <cell r="B3138">
            <v>1</v>
          </cell>
          <cell r="C3138" t="str">
            <v>4|2|200</v>
          </cell>
          <cell r="D3138" t="str">
            <v>主线副本进度宝箱-钻石奖励</v>
          </cell>
          <cell r="E3138" t="str">
            <v>4|2|200|1</v>
          </cell>
        </row>
        <row r="3139">
          <cell r="A3139">
            <v>45594</v>
          </cell>
          <cell r="B3139">
            <v>1</v>
          </cell>
          <cell r="C3139" t="str">
            <v>4|2|250</v>
          </cell>
          <cell r="D3139" t="str">
            <v>主线副本进度宝箱-钻石奖励</v>
          </cell>
          <cell r="E3139" t="str">
            <v>4|2|250|1</v>
          </cell>
        </row>
        <row r="3140">
          <cell r="A3140">
            <v>45595</v>
          </cell>
          <cell r="B3140">
            <v>1</v>
          </cell>
          <cell r="C3140" t="str">
            <v>4|2|300</v>
          </cell>
          <cell r="D3140" t="str">
            <v>主线副本进度宝箱-钻石奖励</v>
          </cell>
          <cell r="E3140" t="str">
            <v>4|2|300|1</v>
          </cell>
        </row>
        <row r="3141">
          <cell r="A3141">
            <v>45596</v>
          </cell>
          <cell r="B3141">
            <v>1</v>
          </cell>
          <cell r="C3141" t="str">
            <v>4|2|100</v>
          </cell>
          <cell r="D3141" t="str">
            <v>主线副本进度宝箱-钻石奖励</v>
          </cell>
          <cell r="E3141" t="str">
            <v>4|2|100|1</v>
          </cell>
        </row>
        <row r="3142">
          <cell r="A3142">
            <v>45597</v>
          </cell>
          <cell r="B3142">
            <v>1</v>
          </cell>
          <cell r="C3142" t="str">
            <v>4|2|150</v>
          </cell>
          <cell r="D3142" t="str">
            <v>主线副本进度宝箱-钻石奖励</v>
          </cell>
          <cell r="E3142" t="str">
            <v>4|2|150|1</v>
          </cell>
        </row>
        <row r="3143">
          <cell r="A3143">
            <v>45598</v>
          </cell>
          <cell r="B3143">
            <v>1</v>
          </cell>
          <cell r="C3143" t="str">
            <v>4|2|200</v>
          </cell>
          <cell r="D3143" t="str">
            <v>主线副本进度宝箱-钻石奖励</v>
          </cell>
          <cell r="E3143" t="str">
            <v>4|2|200|1</v>
          </cell>
        </row>
        <row r="3144">
          <cell r="A3144">
            <v>45599</v>
          </cell>
          <cell r="B3144">
            <v>1</v>
          </cell>
          <cell r="C3144" t="str">
            <v>4|2|250</v>
          </cell>
          <cell r="D3144" t="str">
            <v>主线副本进度宝箱-钻石奖励</v>
          </cell>
          <cell r="E3144" t="str">
            <v>4|2|250|1</v>
          </cell>
        </row>
        <row r="3145">
          <cell r="A3145">
            <v>45600</v>
          </cell>
          <cell r="B3145">
            <v>1</v>
          </cell>
          <cell r="C3145" t="str">
            <v>4|2|300</v>
          </cell>
          <cell r="D3145" t="str">
            <v>主线副本进度宝箱-钻石奖励</v>
          </cell>
          <cell r="E3145" t="str">
            <v>4|2|300|1</v>
          </cell>
        </row>
        <row r="3146">
          <cell r="A3146">
            <v>45601</v>
          </cell>
          <cell r="B3146">
            <v>1</v>
          </cell>
          <cell r="C3146" t="str">
            <v>4|2|100</v>
          </cell>
          <cell r="D3146" t="str">
            <v>主线副本进度宝箱-钻石奖励</v>
          </cell>
          <cell r="E3146" t="str">
            <v>4|2|100|1</v>
          </cell>
        </row>
        <row r="3147">
          <cell r="A3147">
            <v>45602</v>
          </cell>
          <cell r="B3147">
            <v>1</v>
          </cell>
          <cell r="C3147" t="str">
            <v>4|2|150</v>
          </cell>
          <cell r="D3147" t="str">
            <v>主线副本进度宝箱-钻石奖励</v>
          </cell>
          <cell r="E3147" t="str">
            <v>4|2|150|1</v>
          </cell>
        </row>
        <row r="3148">
          <cell r="A3148">
            <v>45603</v>
          </cell>
          <cell r="B3148">
            <v>1</v>
          </cell>
          <cell r="C3148" t="str">
            <v>4|2|200</v>
          </cell>
          <cell r="D3148" t="str">
            <v>主线副本进度宝箱-钻石奖励</v>
          </cell>
          <cell r="E3148" t="str">
            <v>4|2|200|1</v>
          </cell>
        </row>
        <row r="3149">
          <cell r="A3149">
            <v>45604</v>
          </cell>
          <cell r="B3149">
            <v>1</v>
          </cell>
          <cell r="C3149" t="str">
            <v>4|2|250</v>
          </cell>
          <cell r="D3149" t="str">
            <v>主线副本进度宝箱-钻石奖励</v>
          </cell>
          <cell r="E3149" t="str">
            <v>4|2|250|1</v>
          </cell>
        </row>
        <row r="3150">
          <cell r="A3150">
            <v>45605</v>
          </cell>
          <cell r="B3150">
            <v>1</v>
          </cell>
          <cell r="C3150" t="str">
            <v>4|2|300</v>
          </cell>
          <cell r="D3150" t="str">
            <v>主线副本进度宝箱-钻石奖励</v>
          </cell>
          <cell r="E3150" t="str">
            <v>4|2|300|1</v>
          </cell>
        </row>
        <row r="3151">
          <cell r="A3151">
            <v>45606</v>
          </cell>
          <cell r="B3151">
            <v>1</v>
          </cell>
          <cell r="C3151" t="str">
            <v>4|2|100</v>
          </cell>
          <cell r="D3151" t="str">
            <v>主线副本进度宝箱-钻石奖励</v>
          </cell>
          <cell r="E3151" t="str">
            <v>4|2|100|1</v>
          </cell>
        </row>
        <row r="3152">
          <cell r="A3152">
            <v>45607</v>
          </cell>
          <cell r="B3152">
            <v>1</v>
          </cell>
          <cell r="C3152" t="str">
            <v>4|2|150</v>
          </cell>
          <cell r="D3152" t="str">
            <v>主线副本进度宝箱-钻石奖励</v>
          </cell>
          <cell r="E3152" t="str">
            <v>4|2|150|1</v>
          </cell>
        </row>
        <row r="3153">
          <cell r="A3153">
            <v>45608</v>
          </cell>
          <cell r="B3153">
            <v>1</v>
          </cell>
          <cell r="C3153" t="str">
            <v>4|2|200</v>
          </cell>
          <cell r="D3153" t="str">
            <v>主线副本进度宝箱-钻石奖励</v>
          </cell>
          <cell r="E3153" t="str">
            <v>4|2|200|1</v>
          </cell>
        </row>
        <row r="3154">
          <cell r="A3154">
            <v>45609</v>
          </cell>
          <cell r="B3154">
            <v>1</v>
          </cell>
          <cell r="C3154" t="str">
            <v>4|2|250</v>
          </cell>
          <cell r="D3154" t="str">
            <v>主线副本进度宝箱-钻石奖励</v>
          </cell>
          <cell r="E3154" t="str">
            <v>4|2|250|1</v>
          </cell>
        </row>
        <row r="3155">
          <cell r="A3155">
            <v>45610</v>
          </cell>
          <cell r="B3155">
            <v>1</v>
          </cell>
          <cell r="C3155" t="str">
            <v>4|2|300</v>
          </cell>
          <cell r="D3155" t="str">
            <v>主线副本进度宝箱-钻石奖励</v>
          </cell>
          <cell r="E3155" t="str">
            <v>4|2|300|1</v>
          </cell>
        </row>
        <row r="3156">
          <cell r="A3156">
            <v>45611</v>
          </cell>
          <cell r="B3156">
            <v>1</v>
          </cell>
          <cell r="C3156" t="str">
            <v>4|2|100</v>
          </cell>
          <cell r="D3156" t="str">
            <v>主线副本进度宝箱-钻石奖励</v>
          </cell>
          <cell r="E3156" t="str">
            <v>4|2|100|1</v>
          </cell>
        </row>
        <row r="3157">
          <cell r="A3157">
            <v>45612</v>
          </cell>
          <cell r="B3157">
            <v>1</v>
          </cell>
          <cell r="C3157" t="str">
            <v>4|2|150</v>
          </cell>
          <cell r="D3157" t="str">
            <v>主线副本进度宝箱-钻石奖励</v>
          </cell>
          <cell r="E3157" t="str">
            <v>4|2|150|1</v>
          </cell>
        </row>
        <row r="3158">
          <cell r="A3158">
            <v>45613</v>
          </cell>
          <cell r="B3158">
            <v>1</v>
          </cell>
          <cell r="C3158" t="str">
            <v>4|2|200</v>
          </cell>
          <cell r="D3158" t="str">
            <v>主线副本进度宝箱-钻石奖励</v>
          </cell>
          <cell r="E3158" t="str">
            <v>4|2|200|1</v>
          </cell>
        </row>
        <row r="3159">
          <cell r="A3159">
            <v>45614</v>
          </cell>
          <cell r="B3159">
            <v>1</v>
          </cell>
          <cell r="C3159" t="str">
            <v>4|2|250</v>
          </cell>
          <cell r="D3159" t="str">
            <v>主线副本进度宝箱-钻石奖励</v>
          </cell>
          <cell r="E3159" t="str">
            <v>4|2|250|1</v>
          </cell>
        </row>
        <row r="3160">
          <cell r="A3160">
            <v>45615</v>
          </cell>
          <cell r="B3160">
            <v>1</v>
          </cell>
          <cell r="C3160" t="str">
            <v>4|2|300</v>
          </cell>
          <cell r="D3160" t="str">
            <v>主线副本进度宝箱-钻石奖励</v>
          </cell>
          <cell r="E3160" t="str">
            <v>4|2|300|1</v>
          </cell>
        </row>
        <row r="3161">
          <cell r="A3161">
            <v>45616</v>
          </cell>
          <cell r="B3161">
            <v>1</v>
          </cell>
          <cell r="C3161" t="str">
            <v>4|2|100</v>
          </cell>
          <cell r="D3161" t="str">
            <v>主线副本进度宝箱-钻石奖励</v>
          </cell>
          <cell r="E3161" t="str">
            <v>4|2|100|1</v>
          </cell>
        </row>
        <row r="3162">
          <cell r="A3162">
            <v>45617</v>
          </cell>
          <cell r="B3162">
            <v>1</v>
          </cell>
          <cell r="C3162" t="str">
            <v>4|2|150</v>
          </cell>
          <cell r="D3162" t="str">
            <v>主线副本进度宝箱-钻石奖励</v>
          </cell>
          <cell r="E3162" t="str">
            <v>4|2|150|1</v>
          </cell>
        </row>
        <row r="3163">
          <cell r="A3163">
            <v>45618</v>
          </cell>
          <cell r="B3163">
            <v>1</v>
          </cell>
          <cell r="C3163" t="str">
            <v>4|2|200</v>
          </cell>
          <cell r="D3163" t="str">
            <v>主线副本进度宝箱-钻石奖励</v>
          </cell>
          <cell r="E3163" t="str">
            <v>4|2|200|1</v>
          </cell>
        </row>
        <row r="3164">
          <cell r="A3164">
            <v>45619</v>
          </cell>
          <cell r="B3164">
            <v>1</v>
          </cell>
          <cell r="C3164" t="str">
            <v>4|2|250</v>
          </cell>
          <cell r="D3164" t="str">
            <v>主线副本进度宝箱-钻石奖励</v>
          </cell>
          <cell r="E3164" t="str">
            <v>4|2|250|1</v>
          </cell>
        </row>
        <row r="3165">
          <cell r="A3165">
            <v>45620</v>
          </cell>
          <cell r="B3165">
            <v>1</v>
          </cell>
          <cell r="C3165" t="str">
            <v>4|2|300</v>
          </cell>
          <cell r="D3165" t="str">
            <v>主线副本进度宝箱-钻石奖励</v>
          </cell>
          <cell r="E3165" t="str">
            <v>4|2|300|1</v>
          </cell>
        </row>
        <row r="3166">
          <cell r="A3166">
            <v>45621</v>
          </cell>
          <cell r="B3166">
            <v>1</v>
          </cell>
          <cell r="C3166" t="str">
            <v>4|2|100</v>
          </cell>
          <cell r="D3166" t="str">
            <v>主线副本进度宝箱-钻石奖励</v>
          </cell>
          <cell r="E3166" t="str">
            <v>4|2|100|1</v>
          </cell>
        </row>
        <row r="3167">
          <cell r="A3167">
            <v>45622</v>
          </cell>
          <cell r="B3167">
            <v>1</v>
          </cell>
          <cell r="C3167" t="str">
            <v>4|2|150</v>
          </cell>
          <cell r="D3167" t="str">
            <v>主线副本进度宝箱-钻石奖励</v>
          </cell>
          <cell r="E3167" t="str">
            <v>4|2|150|1</v>
          </cell>
        </row>
        <row r="3168">
          <cell r="A3168">
            <v>45623</v>
          </cell>
          <cell r="B3168">
            <v>1</v>
          </cell>
          <cell r="C3168" t="str">
            <v>4|2|200</v>
          </cell>
          <cell r="D3168" t="str">
            <v>主线副本进度宝箱-钻石奖励</v>
          </cell>
          <cell r="E3168" t="str">
            <v>4|2|200|1</v>
          </cell>
        </row>
        <row r="3169">
          <cell r="A3169">
            <v>45624</v>
          </cell>
          <cell r="B3169">
            <v>1</v>
          </cell>
          <cell r="C3169" t="str">
            <v>4|2|250</v>
          </cell>
          <cell r="D3169" t="str">
            <v>主线副本进度宝箱-钻石奖励</v>
          </cell>
          <cell r="E3169" t="str">
            <v>4|2|250|1</v>
          </cell>
        </row>
        <row r="3170">
          <cell r="A3170">
            <v>45625</v>
          </cell>
          <cell r="B3170">
            <v>1</v>
          </cell>
          <cell r="C3170" t="str">
            <v>4|2|300</v>
          </cell>
          <cell r="D3170" t="str">
            <v>主线副本进度宝箱-钻石奖励</v>
          </cell>
          <cell r="E3170" t="str">
            <v>4|2|300|1</v>
          </cell>
        </row>
        <row r="3171">
          <cell r="A3171">
            <v>45626</v>
          </cell>
          <cell r="B3171">
            <v>1</v>
          </cell>
          <cell r="C3171" t="str">
            <v>4|2|100</v>
          </cell>
          <cell r="D3171" t="str">
            <v>主线副本进度宝箱-钻石奖励</v>
          </cell>
          <cell r="E3171" t="str">
            <v>4|2|100|1</v>
          </cell>
        </row>
        <row r="3172">
          <cell r="A3172">
            <v>45627</v>
          </cell>
          <cell r="B3172">
            <v>1</v>
          </cell>
          <cell r="C3172" t="str">
            <v>4|2|150</v>
          </cell>
          <cell r="D3172" t="str">
            <v>主线副本进度宝箱-钻石奖励</v>
          </cell>
          <cell r="E3172" t="str">
            <v>4|2|150|1</v>
          </cell>
        </row>
        <row r="3173">
          <cell r="A3173">
            <v>45628</v>
          </cell>
          <cell r="B3173">
            <v>1</v>
          </cell>
          <cell r="C3173" t="str">
            <v>4|2|200</v>
          </cell>
          <cell r="D3173" t="str">
            <v>主线副本进度宝箱-钻石奖励</v>
          </cell>
          <cell r="E3173" t="str">
            <v>4|2|200|1</v>
          </cell>
        </row>
        <row r="3174">
          <cell r="A3174">
            <v>45629</v>
          </cell>
          <cell r="B3174">
            <v>1</v>
          </cell>
          <cell r="C3174" t="str">
            <v>4|2|250</v>
          </cell>
          <cell r="D3174" t="str">
            <v>主线副本进度宝箱-钻石奖励</v>
          </cell>
          <cell r="E3174" t="str">
            <v>4|2|250|1</v>
          </cell>
        </row>
        <row r="3175">
          <cell r="A3175">
            <v>45630</v>
          </cell>
          <cell r="B3175">
            <v>1</v>
          </cell>
          <cell r="C3175" t="str">
            <v>4|2|300</v>
          </cell>
          <cell r="D3175" t="str">
            <v>主线副本进度宝箱-钻石奖励</v>
          </cell>
          <cell r="E3175" t="str">
            <v>4|2|300|1</v>
          </cell>
        </row>
        <row r="3176">
          <cell r="A3176">
            <v>45631</v>
          </cell>
          <cell r="B3176">
            <v>1</v>
          </cell>
          <cell r="C3176" t="str">
            <v>4|2|100</v>
          </cell>
          <cell r="D3176" t="str">
            <v>主线副本进度宝箱-钻石奖励</v>
          </cell>
          <cell r="E3176" t="str">
            <v>4|2|100|1</v>
          </cell>
        </row>
        <row r="3177">
          <cell r="A3177">
            <v>45632</v>
          </cell>
          <cell r="B3177">
            <v>1</v>
          </cell>
          <cell r="C3177" t="str">
            <v>4|2|150</v>
          </cell>
          <cell r="D3177" t="str">
            <v>主线副本进度宝箱-钻石奖励</v>
          </cell>
          <cell r="E3177" t="str">
            <v>4|2|150|1</v>
          </cell>
        </row>
        <row r="3178">
          <cell r="A3178">
            <v>45633</v>
          </cell>
          <cell r="B3178">
            <v>1</v>
          </cell>
          <cell r="C3178" t="str">
            <v>4|2|200</v>
          </cell>
          <cell r="D3178" t="str">
            <v>主线副本进度宝箱-钻石奖励</v>
          </cell>
          <cell r="E3178" t="str">
            <v>4|2|200|1</v>
          </cell>
        </row>
        <row r="3179">
          <cell r="A3179">
            <v>45634</v>
          </cell>
          <cell r="B3179">
            <v>1</v>
          </cell>
          <cell r="C3179" t="str">
            <v>4|2|250</v>
          </cell>
          <cell r="D3179" t="str">
            <v>主线副本进度宝箱-钻石奖励</v>
          </cell>
          <cell r="E3179" t="str">
            <v>4|2|250|1</v>
          </cell>
        </row>
        <row r="3180">
          <cell r="A3180">
            <v>45635</v>
          </cell>
          <cell r="B3180">
            <v>1</v>
          </cell>
          <cell r="C3180" t="str">
            <v>4|2|300</v>
          </cell>
          <cell r="D3180" t="str">
            <v>主线副本进度宝箱-钻石奖励</v>
          </cell>
          <cell r="E3180" t="str">
            <v>4|2|300|1</v>
          </cell>
        </row>
        <row r="3181">
          <cell r="A3181">
            <v>45636</v>
          </cell>
          <cell r="B3181">
            <v>1</v>
          </cell>
          <cell r="C3181" t="str">
            <v>4|2|100</v>
          </cell>
          <cell r="D3181" t="str">
            <v>主线副本进度宝箱-钻石奖励</v>
          </cell>
          <cell r="E3181" t="str">
            <v>4|2|100|1</v>
          </cell>
        </row>
        <row r="3182">
          <cell r="A3182">
            <v>45637</v>
          </cell>
          <cell r="B3182">
            <v>1</v>
          </cell>
          <cell r="C3182" t="str">
            <v>4|2|150</v>
          </cell>
          <cell r="D3182" t="str">
            <v>主线副本进度宝箱-钻石奖励</v>
          </cell>
          <cell r="E3182" t="str">
            <v>4|2|150|1</v>
          </cell>
        </row>
        <row r="3183">
          <cell r="A3183">
            <v>45638</v>
          </cell>
          <cell r="B3183">
            <v>1</v>
          </cell>
          <cell r="C3183" t="str">
            <v>4|2|200</v>
          </cell>
          <cell r="D3183" t="str">
            <v>主线副本进度宝箱-钻石奖励</v>
          </cell>
          <cell r="E3183" t="str">
            <v>4|2|200|1</v>
          </cell>
        </row>
        <row r="3184">
          <cell r="A3184">
            <v>45639</v>
          </cell>
          <cell r="B3184">
            <v>1</v>
          </cell>
          <cell r="C3184" t="str">
            <v>4|2|250</v>
          </cell>
          <cell r="D3184" t="str">
            <v>主线副本进度宝箱-钻石奖励</v>
          </cell>
          <cell r="E3184" t="str">
            <v>4|2|250|1</v>
          </cell>
        </row>
        <row r="3185">
          <cell r="A3185">
            <v>45640</v>
          </cell>
          <cell r="B3185">
            <v>1</v>
          </cell>
          <cell r="C3185" t="str">
            <v>4|2|300</v>
          </cell>
          <cell r="D3185" t="str">
            <v>主线副本进度宝箱-钻石奖励</v>
          </cell>
          <cell r="E3185" t="str">
            <v>4|2|300|1</v>
          </cell>
        </row>
        <row r="3186">
          <cell r="A3186">
            <v>45641</v>
          </cell>
          <cell r="B3186">
            <v>1</v>
          </cell>
          <cell r="C3186" t="str">
            <v>4|2|100</v>
          </cell>
          <cell r="D3186" t="str">
            <v>主线副本进度宝箱-钻石奖励</v>
          </cell>
          <cell r="E3186" t="str">
            <v>4|2|100|1</v>
          </cell>
        </row>
        <row r="3187">
          <cell r="A3187">
            <v>45642</v>
          </cell>
          <cell r="B3187">
            <v>1</v>
          </cell>
          <cell r="C3187" t="str">
            <v>4|2|150</v>
          </cell>
          <cell r="D3187" t="str">
            <v>主线副本进度宝箱-钻石奖励</v>
          </cell>
          <cell r="E3187" t="str">
            <v>4|2|150|1</v>
          </cell>
        </row>
        <row r="3188">
          <cell r="A3188">
            <v>45643</v>
          </cell>
          <cell r="B3188">
            <v>1</v>
          </cell>
          <cell r="C3188" t="str">
            <v>4|2|200</v>
          </cell>
          <cell r="D3188" t="str">
            <v>主线副本进度宝箱-钻石奖励</v>
          </cell>
          <cell r="E3188" t="str">
            <v>4|2|200|1</v>
          </cell>
        </row>
        <row r="3189">
          <cell r="A3189">
            <v>45644</v>
          </cell>
          <cell r="B3189">
            <v>1</v>
          </cell>
          <cell r="C3189" t="str">
            <v>4|2|250</v>
          </cell>
          <cell r="D3189" t="str">
            <v>主线副本进度宝箱-钻石奖励</v>
          </cell>
          <cell r="E3189" t="str">
            <v>4|2|250|1</v>
          </cell>
        </row>
        <row r="3190">
          <cell r="A3190">
            <v>45645</v>
          </cell>
          <cell r="B3190">
            <v>1</v>
          </cell>
          <cell r="C3190" t="str">
            <v>4|2|300</v>
          </cell>
          <cell r="D3190" t="str">
            <v>主线副本进度宝箱-钻石奖励</v>
          </cell>
          <cell r="E3190" t="str">
            <v>4|2|300|1</v>
          </cell>
        </row>
        <row r="3191">
          <cell r="A3191">
            <v>45646</v>
          </cell>
          <cell r="B3191">
            <v>1</v>
          </cell>
          <cell r="C3191" t="str">
            <v>4|2|100</v>
          </cell>
          <cell r="D3191" t="str">
            <v>主线副本进度宝箱-钻石奖励</v>
          </cell>
          <cell r="E3191" t="str">
            <v>4|2|100|1</v>
          </cell>
        </row>
        <row r="3192">
          <cell r="A3192">
            <v>45647</v>
          </cell>
          <cell r="B3192">
            <v>1</v>
          </cell>
          <cell r="C3192" t="str">
            <v>4|2|150</v>
          </cell>
          <cell r="D3192" t="str">
            <v>主线副本进度宝箱-钻石奖励</v>
          </cell>
          <cell r="E3192" t="str">
            <v>4|2|150|1</v>
          </cell>
        </row>
        <row r="3193">
          <cell r="A3193">
            <v>45648</v>
          </cell>
          <cell r="B3193">
            <v>1</v>
          </cell>
          <cell r="C3193" t="str">
            <v>4|2|200</v>
          </cell>
          <cell r="D3193" t="str">
            <v>主线副本进度宝箱-钻石奖励</v>
          </cell>
          <cell r="E3193" t="str">
            <v>4|2|200|1</v>
          </cell>
        </row>
        <row r="3194">
          <cell r="A3194">
            <v>45649</v>
          </cell>
          <cell r="B3194">
            <v>1</v>
          </cell>
          <cell r="C3194" t="str">
            <v>4|2|250</v>
          </cell>
          <cell r="D3194" t="str">
            <v>主线副本进度宝箱-钻石奖励</v>
          </cell>
          <cell r="E3194" t="str">
            <v>4|2|250|1</v>
          </cell>
        </row>
        <row r="3195">
          <cell r="A3195">
            <v>45650</v>
          </cell>
          <cell r="B3195">
            <v>1</v>
          </cell>
          <cell r="C3195" t="str">
            <v>4|2|300</v>
          </cell>
          <cell r="D3195" t="str">
            <v>主线副本进度宝箱-钻石奖励</v>
          </cell>
          <cell r="E3195" t="str">
            <v>4|2|300|1</v>
          </cell>
        </row>
        <row r="3196">
          <cell r="A3196">
            <v>45651</v>
          </cell>
          <cell r="B3196">
            <v>1</v>
          </cell>
          <cell r="C3196" t="str">
            <v>4|2|100</v>
          </cell>
          <cell r="D3196" t="str">
            <v>主线副本进度宝箱-钻石奖励</v>
          </cell>
          <cell r="E3196" t="str">
            <v>4|2|100|1</v>
          </cell>
        </row>
        <row r="3197">
          <cell r="A3197">
            <v>45652</v>
          </cell>
          <cell r="B3197">
            <v>1</v>
          </cell>
          <cell r="C3197" t="str">
            <v>4|2|150</v>
          </cell>
          <cell r="D3197" t="str">
            <v>主线副本进度宝箱-钻石奖励</v>
          </cell>
          <cell r="E3197" t="str">
            <v>4|2|150|1</v>
          </cell>
        </row>
        <row r="3198">
          <cell r="A3198">
            <v>45653</v>
          </cell>
          <cell r="B3198">
            <v>1</v>
          </cell>
          <cell r="C3198" t="str">
            <v>4|2|200</v>
          </cell>
          <cell r="D3198" t="str">
            <v>主线副本进度宝箱-钻石奖励</v>
          </cell>
          <cell r="E3198" t="str">
            <v>4|2|200|1</v>
          </cell>
        </row>
        <row r="3199">
          <cell r="A3199">
            <v>45654</v>
          </cell>
          <cell r="B3199">
            <v>1</v>
          </cell>
          <cell r="C3199" t="str">
            <v>4|2|250</v>
          </cell>
          <cell r="D3199" t="str">
            <v>主线副本进度宝箱-钻石奖励</v>
          </cell>
          <cell r="E3199" t="str">
            <v>4|2|250|1</v>
          </cell>
        </row>
        <row r="3200">
          <cell r="A3200">
            <v>45655</v>
          </cell>
          <cell r="B3200">
            <v>1</v>
          </cell>
          <cell r="C3200" t="str">
            <v>4|2|300</v>
          </cell>
          <cell r="D3200" t="str">
            <v>主线副本进度宝箱-钻石奖励</v>
          </cell>
          <cell r="E3200" t="str">
            <v>4|2|300|1</v>
          </cell>
        </row>
        <row r="3201">
          <cell r="A3201">
            <v>45656</v>
          </cell>
          <cell r="B3201">
            <v>1</v>
          </cell>
          <cell r="C3201" t="str">
            <v>4|2|100</v>
          </cell>
          <cell r="D3201" t="str">
            <v>主线副本进度宝箱-钻石奖励</v>
          </cell>
          <cell r="E3201" t="str">
            <v>4|2|100|1</v>
          </cell>
        </row>
        <row r="3202">
          <cell r="A3202">
            <v>45657</v>
          </cell>
          <cell r="B3202">
            <v>1</v>
          </cell>
          <cell r="C3202" t="str">
            <v>4|2|150</v>
          </cell>
          <cell r="D3202" t="str">
            <v>主线副本进度宝箱-钻石奖励</v>
          </cell>
          <cell r="E3202" t="str">
            <v>4|2|150|1</v>
          </cell>
        </row>
        <row r="3203">
          <cell r="A3203">
            <v>45658</v>
          </cell>
          <cell r="B3203">
            <v>1</v>
          </cell>
          <cell r="C3203" t="str">
            <v>4|2|200</v>
          </cell>
          <cell r="D3203" t="str">
            <v>主线副本进度宝箱-钻石奖励</v>
          </cell>
          <cell r="E3203" t="str">
            <v>4|2|200|1</v>
          </cell>
        </row>
        <row r="3204">
          <cell r="A3204">
            <v>45659</v>
          </cell>
          <cell r="B3204">
            <v>1</v>
          </cell>
          <cell r="C3204" t="str">
            <v>4|2|250</v>
          </cell>
          <cell r="D3204" t="str">
            <v>主线副本进度宝箱-钻石奖励</v>
          </cell>
          <cell r="E3204" t="str">
            <v>4|2|250|1</v>
          </cell>
        </row>
        <row r="3205">
          <cell r="A3205">
            <v>45660</v>
          </cell>
          <cell r="B3205">
            <v>1</v>
          </cell>
          <cell r="C3205" t="str">
            <v>4|2|300</v>
          </cell>
          <cell r="D3205" t="str">
            <v>主线副本进度宝箱-钻石奖励</v>
          </cell>
          <cell r="E3205" t="str">
            <v>4|2|300|1</v>
          </cell>
        </row>
        <row r="3206">
          <cell r="A3206">
            <v>45661</v>
          </cell>
          <cell r="B3206">
            <v>1</v>
          </cell>
          <cell r="C3206" t="str">
            <v>4|2|100</v>
          </cell>
          <cell r="D3206" t="str">
            <v>主线副本进度宝箱-钻石奖励</v>
          </cell>
          <cell r="E3206" t="str">
            <v>4|2|100|1</v>
          </cell>
        </row>
        <row r="3207">
          <cell r="A3207">
            <v>45662</v>
          </cell>
          <cell r="B3207">
            <v>1</v>
          </cell>
          <cell r="C3207" t="str">
            <v>4|2|150</v>
          </cell>
          <cell r="D3207" t="str">
            <v>主线副本进度宝箱-钻石奖励</v>
          </cell>
          <cell r="E3207" t="str">
            <v>4|2|150|1</v>
          </cell>
        </row>
        <row r="3208">
          <cell r="A3208">
            <v>45663</v>
          </cell>
          <cell r="B3208">
            <v>1</v>
          </cell>
          <cell r="C3208" t="str">
            <v>4|2|200</v>
          </cell>
          <cell r="D3208" t="str">
            <v>主线副本进度宝箱-钻石奖励</v>
          </cell>
          <cell r="E3208" t="str">
            <v>4|2|200|1</v>
          </cell>
        </row>
        <row r="3209">
          <cell r="A3209">
            <v>45664</v>
          </cell>
          <cell r="B3209">
            <v>1</v>
          </cell>
          <cell r="C3209" t="str">
            <v>4|2|250</v>
          </cell>
          <cell r="D3209" t="str">
            <v>主线副本进度宝箱-钻石奖励</v>
          </cell>
          <cell r="E3209" t="str">
            <v>4|2|250|1</v>
          </cell>
        </row>
        <row r="3210">
          <cell r="A3210">
            <v>45665</v>
          </cell>
          <cell r="B3210">
            <v>1</v>
          </cell>
          <cell r="C3210" t="str">
            <v>4|2|300</v>
          </cell>
          <cell r="D3210" t="str">
            <v>主线副本进度宝箱-钻石奖励</v>
          </cell>
          <cell r="E3210" t="str">
            <v>4|2|300|1</v>
          </cell>
        </row>
        <row r="3211">
          <cell r="A3211">
            <v>45666</v>
          </cell>
          <cell r="B3211">
            <v>1</v>
          </cell>
          <cell r="C3211" t="str">
            <v>4|2|100</v>
          </cell>
          <cell r="D3211" t="str">
            <v>主线副本进度宝箱-钻石奖励</v>
          </cell>
          <cell r="E3211" t="str">
            <v>4|2|100|1</v>
          </cell>
        </row>
        <row r="3212">
          <cell r="A3212">
            <v>45667</v>
          </cell>
          <cell r="B3212">
            <v>1</v>
          </cell>
          <cell r="C3212" t="str">
            <v>4|2|150</v>
          </cell>
          <cell r="D3212" t="str">
            <v>主线副本进度宝箱-钻石奖励</v>
          </cell>
          <cell r="E3212" t="str">
            <v>4|2|150|1</v>
          </cell>
        </row>
        <row r="3213">
          <cell r="A3213">
            <v>45668</v>
          </cell>
          <cell r="B3213">
            <v>1</v>
          </cell>
          <cell r="C3213" t="str">
            <v>4|2|200</v>
          </cell>
          <cell r="D3213" t="str">
            <v>主线副本进度宝箱-钻石奖励</v>
          </cell>
          <cell r="E3213" t="str">
            <v>4|2|200|1</v>
          </cell>
        </row>
        <row r="3214">
          <cell r="A3214">
            <v>45669</v>
          </cell>
          <cell r="B3214">
            <v>1</v>
          </cell>
          <cell r="C3214" t="str">
            <v>4|2|250</v>
          </cell>
          <cell r="D3214" t="str">
            <v>主线副本进度宝箱-钻石奖励</v>
          </cell>
          <cell r="E3214" t="str">
            <v>4|2|250|1</v>
          </cell>
        </row>
        <row r="3215">
          <cell r="A3215">
            <v>45670</v>
          </cell>
          <cell r="B3215">
            <v>1</v>
          </cell>
          <cell r="C3215" t="str">
            <v>4|2|300</v>
          </cell>
          <cell r="D3215" t="str">
            <v>主线副本进度宝箱-钻石奖励</v>
          </cell>
          <cell r="E3215" t="str">
            <v>4|2|300|1</v>
          </cell>
        </row>
        <row r="3216">
          <cell r="A3216">
            <v>45671</v>
          </cell>
          <cell r="B3216">
            <v>1</v>
          </cell>
          <cell r="C3216" t="str">
            <v>4|2|100</v>
          </cell>
          <cell r="D3216" t="str">
            <v>主线副本进度宝箱-钻石奖励</v>
          </cell>
          <cell r="E3216" t="str">
            <v>4|2|100|1</v>
          </cell>
        </row>
        <row r="3217">
          <cell r="A3217">
            <v>45672</v>
          </cell>
          <cell r="B3217">
            <v>1</v>
          </cell>
          <cell r="C3217" t="str">
            <v>4|2|150</v>
          </cell>
          <cell r="D3217" t="str">
            <v>主线副本进度宝箱-钻石奖励</v>
          </cell>
          <cell r="E3217" t="str">
            <v>4|2|150|1</v>
          </cell>
        </row>
        <row r="3218">
          <cell r="A3218">
            <v>45673</v>
          </cell>
          <cell r="B3218">
            <v>1</v>
          </cell>
          <cell r="C3218" t="str">
            <v>4|2|200</v>
          </cell>
          <cell r="D3218" t="str">
            <v>主线副本进度宝箱-钻石奖励</v>
          </cell>
          <cell r="E3218" t="str">
            <v>4|2|200|1</v>
          </cell>
        </row>
        <row r="3219">
          <cell r="A3219">
            <v>45674</v>
          </cell>
          <cell r="B3219">
            <v>1</v>
          </cell>
          <cell r="C3219" t="str">
            <v>4|2|250</v>
          </cell>
          <cell r="D3219" t="str">
            <v>主线副本进度宝箱-钻石奖励</v>
          </cell>
          <cell r="E3219" t="str">
            <v>4|2|250|1</v>
          </cell>
        </row>
        <row r="3220">
          <cell r="A3220">
            <v>45675</v>
          </cell>
          <cell r="B3220">
            <v>1</v>
          </cell>
          <cell r="C3220" t="str">
            <v>4|2|300</v>
          </cell>
          <cell r="D3220" t="str">
            <v>主线副本进度宝箱-钻石奖励</v>
          </cell>
          <cell r="E3220" t="str">
            <v>4|2|300|1</v>
          </cell>
        </row>
        <row r="3221">
          <cell r="A3221">
            <v>45676</v>
          </cell>
          <cell r="B3221">
            <v>1</v>
          </cell>
          <cell r="C3221" t="str">
            <v>4|2|100</v>
          </cell>
          <cell r="D3221" t="str">
            <v>主线副本进度宝箱-钻石奖励</v>
          </cell>
          <cell r="E3221" t="str">
            <v>4|2|100|1</v>
          </cell>
        </row>
        <row r="3222">
          <cell r="A3222">
            <v>45677</v>
          </cell>
          <cell r="B3222">
            <v>1</v>
          </cell>
          <cell r="C3222" t="str">
            <v>4|2|150</v>
          </cell>
          <cell r="D3222" t="str">
            <v>主线副本进度宝箱-钻石奖励</v>
          </cell>
          <cell r="E3222" t="str">
            <v>4|2|150|1</v>
          </cell>
        </row>
        <row r="3223">
          <cell r="A3223">
            <v>45678</v>
          </cell>
          <cell r="B3223">
            <v>1</v>
          </cell>
          <cell r="C3223" t="str">
            <v>4|2|200</v>
          </cell>
          <cell r="D3223" t="str">
            <v>主线副本进度宝箱-钻石奖励</v>
          </cell>
          <cell r="E3223" t="str">
            <v>4|2|200|1</v>
          </cell>
        </row>
        <row r="3224">
          <cell r="A3224">
            <v>45679</v>
          </cell>
          <cell r="B3224">
            <v>1</v>
          </cell>
          <cell r="C3224" t="str">
            <v>4|2|250</v>
          </cell>
          <cell r="D3224" t="str">
            <v>主线副本进度宝箱-钻石奖励</v>
          </cell>
          <cell r="E3224" t="str">
            <v>4|2|250|1</v>
          </cell>
        </row>
        <row r="3225">
          <cell r="A3225">
            <v>45680</v>
          </cell>
          <cell r="B3225">
            <v>1</v>
          </cell>
          <cell r="C3225" t="str">
            <v>4|2|300</v>
          </cell>
          <cell r="D3225" t="str">
            <v>主线副本进度宝箱-钻石奖励</v>
          </cell>
          <cell r="E3225" t="str">
            <v>4|2|300|1</v>
          </cell>
        </row>
        <row r="3226">
          <cell r="A3226">
            <v>45681</v>
          </cell>
          <cell r="B3226">
            <v>1</v>
          </cell>
          <cell r="C3226" t="str">
            <v>4|2|100</v>
          </cell>
          <cell r="D3226" t="str">
            <v>主线副本进度宝箱-钻石奖励</v>
          </cell>
          <cell r="E3226" t="str">
            <v>4|2|100|1</v>
          </cell>
        </row>
        <row r="3227">
          <cell r="A3227">
            <v>45682</v>
          </cell>
          <cell r="B3227">
            <v>1</v>
          </cell>
          <cell r="C3227" t="str">
            <v>4|2|150</v>
          </cell>
          <cell r="D3227" t="str">
            <v>主线副本进度宝箱-钻石奖励</v>
          </cell>
          <cell r="E3227" t="str">
            <v>4|2|150|1</v>
          </cell>
        </row>
        <row r="3228">
          <cell r="A3228">
            <v>45683</v>
          </cell>
          <cell r="B3228">
            <v>1</v>
          </cell>
          <cell r="C3228" t="str">
            <v>4|2|200</v>
          </cell>
          <cell r="D3228" t="str">
            <v>主线副本进度宝箱-钻石奖励</v>
          </cell>
          <cell r="E3228" t="str">
            <v>4|2|200|1</v>
          </cell>
        </row>
        <row r="3229">
          <cell r="A3229">
            <v>45684</v>
          </cell>
          <cell r="B3229">
            <v>1</v>
          </cell>
          <cell r="C3229" t="str">
            <v>4|2|250</v>
          </cell>
          <cell r="D3229" t="str">
            <v>主线副本进度宝箱-钻石奖励</v>
          </cell>
          <cell r="E3229" t="str">
            <v>4|2|250|1</v>
          </cell>
        </row>
        <row r="3230">
          <cell r="A3230">
            <v>45685</v>
          </cell>
          <cell r="B3230">
            <v>1</v>
          </cell>
          <cell r="C3230" t="str">
            <v>4|2|300</v>
          </cell>
          <cell r="D3230" t="str">
            <v>主线副本进度宝箱-钻石奖励</v>
          </cell>
          <cell r="E3230" t="str">
            <v>4|2|300|1</v>
          </cell>
        </row>
        <row r="3231">
          <cell r="A3231">
            <v>45686</v>
          </cell>
          <cell r="B3231">
            <v>1</v>
          </cell>
          <cell r="C3231" t="str">
            <v>4|2|100</v>
          </cell>
          <cell r="D3231" t="str">
            <v>主线副本进度宝箱-钻石奖励</v>
          </cell>
          <cell r="E3231" t="str">
            <v>4|2|100|1</v>
          </cell>
        </row>
        <row r="3232">
          <cell r="A3232">
            <v>45687</v>
          </cell>
          <cell r="B3232">
            <v>1</v>
          </cell>
          <cell r="C3232" t="str">
            <v>4|2|150</v>
          </cell>
          <cell r="D3232" t="str">
            <v>主线副本进度宝箱-钻石奖励</v>
          </cell>
          <cell r="E3232" t="str">
            <v>4|2|150|1</v>
          </cell>
        </row>
        <row r="3233">
          <cell r="A3233">
            <v>45688</v>
          </cell>
          <cell r="B3233">
            <v>1</v>
          </cell>
          <cell r="C3233" t="str">
            <v>4|2|200</v>
          </cell>
          <cell r="D3233" t="str">
            <v>主线副本进度宝箱-钻石奖励</v>
          </cell>
          <cell r="E3233" t="str">
            <v>4|2|200|1</v>
          </cell>
        </row>
        <row r="3234">
          <cell r="A3234">
            <v>45689</v>
          </cell>
          <cell r="B3234">
            <v>1</v>
          </cell>
          <cell r="C3234" t="str">
            <v>4|2|250</v>
          </cell>
          <cell r="D3234" t="str">
            <v>主线副本进度宝箱-钻石奖励</v>
          </cell>
          <cell r="E3234" t="str">
            <v>4|2|250|1</v>
          </cell>
        </row>
        <row r="3235">
          <cell r="A3235">
            <v>45690</v>
          </cell>
          <cell r="B3235">
            <v>1</v>
          </cell>
          <cell r="C3235" t="str">
            <v>4|2|300</v>
          </cell>
          <cell r="D3235" t="str">
            <v>主线副本进度宝箱-钻石奖励</v>
          </cell>
          <cell r="E3235" t="str">
            <v>4|2|300|1</v>
          </cell>
        </row>
        <row r="3236">
          <cell r="A3236">
            <v>45691</v>
          </cell>
          <cell r="B3236">
            <v>1</v>
          </cell>
          <cell r="C3236" t="str">
            <v>4|2|100</v>
          </cell>
          <cell r="D3236" t="str">
            <v>主线副本进度宝箱-钻石奖励</v>
          </cell>
          <cell r="E3236" t="str">
            <v>4|2|100|1</v>
          </cell>
        </row>
        <row r="3237">
          <cell r="A3237">
            <v>45692</v>
          </cell>
          <cell r="B3237">
            <v>1</v>
          </cell>
          <cell r="C3237" t="str">
            <v>4|2|150</v>
          </cell>
          <cell r="D3237" t="str">
            <v>主线副本进度宝箱-钻石奖励</v>
          </cell>
          <cell r="E3237" t="str">
            <v>4|2|150|1</v>
          </cell>
        </row>
        <row r="3238">
          <cell r="A3238">
            <v>45693</v>
          </cell>
          <cell r="B3238">
            <v>1</v>
          </cell>
          <cell r="C3238" t="str">
            <v>4|2|200</v>
          </cell>
          <cell r="D3238" t="str">
            <v>主线副本进度宝箱-钻石奖励</v>
          </cell>
          <cell r="E3238" t="str">
            <v>4|2|200|1</v>
          </cell>
        </row>
        <row r="3239">
          <cell r="A3239">
            <v>45694</v>
          </cell>
          <cell r="B3239">
            <v>1</v>
          </cell>
          <cell r="C3239" t="str">
            <v>4|2|250</v>
          </cell>
          <cell r="D3239" t="str">
            <v>主线副本进度宝箱-钻石奖励</v>
          </cell>
          <cell r="E3239" t="str">
            <v>4|2|250|1</v>
          </cell>
        </row>
        <row r="3240">
          <cell r="A3240">
            <v>45695</v>
          </cell>
          <cell r="B3240">
            <v>1</v>
          </cell>
          <cell r="C3240" t="str">
            <v>4|2|300</v>
          </cell>
          <cell r="D3240" t="str">
            <v>主线副本进度宝箱-钻石奖励</v>
          </cell>
          <cell r="E3240" t="str">
            <v>4|2|300|1</v>
          </cell>
        </row>
        <row r="3241">
          <cell r="A3241">
            <v>45696</v>
          </cell>
          <cell r="B3241">
            <v>1</v>
          </cell>
          <cell r="C3241" t="str">
            <v>4|2|100</v>
          </cell>
          <cell r="D3241" t="str">
            <v>主线副本进度宝箱-钻石奖励</v>
          </cell>
          <cell r="E3241" t="str">
            <v>4|2|100|1</v>
          </cell>
        </row>
        <row r="3242">
          <cell r="A3242">
            <v>45697</v>
          </cell>
          <cell r="B3242">
            <v>1</v>
          </cell>
          <cell r="C3242" t="str">
            <v>4|2|150</v>
          </cell>
          <cell r="D3242" t="str">
            <v>主线副本进度宝箱-钻石奖励</v>
          </cell>
          <cell r="E3242" t="str">
            <v>4|2|150|1</v>
          </cell>
        </row>
        <row r="3243">
          <cell r="A3243">
            <v>45698</v>
          </cell>
          <cell r="B3243">
            <v>1</v>
          </cell>
          <cell r="C3243" t="str">
            <v>4|2|200</v>
          </cell>
          <cell r="D3243" t="str">
            <v>主线副本进度宝箱-钻石奖励</v>
          </cell>
          <cell r="E3243" t="str">
            <v>4|2|200|1</v>
          </cell>
        </row>
        <row r="3244">
          <cell r="A3244">
            <v>45699</v>
          </cell>
          <cell r="B3244">
            <v>1</v>
          </cell>
          <cell r="C3244" t="str">
            <v>4|2|250</v>
          </cell>
          <cell r="D3244" t="str">
            <v>主线副本进度宝箱-钻石奖励</v>
          </cell>
          <cell r="E3244" t="str">
            <v>4|2|250|1</v>
          </cell>
        </row>
        <row r="3245">
          <cell r="A3245">
            <v>45700</v>
          </cell>
          <cell r="B3245">
            <v>1</v>
          </cell>
          <cell r="C3245" t="str">
            <v>4|2|300</v>
          </cell>
          <cell r="D3245" t="str">
            <v>主线副本进度宝箱-钻石奖励</v>
          </cell>
          <cell r="E3245" t="str">
            <v>4|2|300|1</v>
          </cell>
        </row>
        <row r="3246">
          <cell r="A3246">
            <v>45701</v>
          </cell>
          <cell r="B3246">
            <v>1</v>
          </cell>
          <cell r="C3246" t="str">
            <v>4|2|100</v>
          </cell>
          <cell r="D3246" t="str">
            <v>主线副本进度宝箱-钻石奖励</v>
          </cell>
          <cell r="E3246" t="str">
            <v>4|2|100|1</v>
          </cell>
        </row>
        <row r="3247">
          <cell r="A3247">
            <v>45702</v>
          </cell>
          <cell r="B3247">
            <v>1</v>
          </cell>
          <cell r="C3247" t="str">
            <v>4|2|150</v>
          </cell>
          <cell r="D3247" t="str">
            <v>主线副本进度宝箱-钻石奖励</v>
          </cell>
          <cell r="E3247" t="str">
            <v>4|2|150|1</v>
          </cell>
        </row>
        <row r="3248">
          <cell r="A3248">
            <v>45703</v>
          </cell>
          <cell r="B3248">
            <v>1</v>
          </cell>
          <cell r="C3248" t="str">
            <v>4|2|200</v>
          </cell>
          <cell r="D3248" t="str">
            <v>主线副本进度宝箱-钻石奖励</v>
          </cell>
          <cell r="E3248" t="str">
            <v>4|2|200|1</v>
          </cell>
        </row>
        <row r="3249">
          <cell r="A3249">
            <v>45704</v>
          </cell>
          <cell r="B3249">
            <v>1</v>
          </cell>
          <cell r="C3249" t="str">
            <v>4|2|250</v>
          </cell>
          <cell r="D3249" t="str">
            <v>主线副本进度宝箱-钻石奖励</v>
          </cell>
          <cell r="E3249" t="str">
            <v>4|2|250|1</v>
          </cell>
        </row>
        <row r="3250">
          <cell r="A3250">
            <v>45705</v>
          </cell>
          <cell r="B3250">
            <v>1</v>
          </cell>
          <cell r="C3250" t="str">
            <v>4|2|300</v>
          </cell>
          <cell r="D3250" t="str">
            <v>主线副本进度宝箱-钻石奖励</v>
          </cell>
          <cell r="E3250" t="str">
            <v>4|2|300|1</v>
          </cell>
        </row>
        <row r="3251">
          <cell r="A3251">
            <v>45706</v>
          </cell>
          <cell r="B3251">
            <v>1</v>
          </cell>
          <cell r="C3251" t="str">
            <v>4|2|100</v>
          </cell>
          <cell r="D3251" t="str">
            <v>主线副本进度宝箱-钻石奖励</v>
          </cell>
          <cell r="E3251" t="str">
            <v>4|2|100|1</v>
          </cell>
        </row>
        <row r="3252">
          <cell r="A3252">
            <v>45707</v>
          </cell>
          <cell r="B3252">
            <v>1</v>
          </cell>
          <cell r="C3252" t="str">
            <v>4|2|150</v>
          </cell>
          <cell r="D3252" t="str">
            <v>主线副本进度宝箱-钻石奖励</v>
          </cell>
          <cell r="E3252" t="str">
            <v>4|2|150|1</v>
          </cell>
        </row>
        <row r="3253">
          <cell r="A3253">
            <v>45708</v>
          </cell>
          <cell r="B3253">
            <v>1</v>
          </cell>
          <cell r="C3253" t="str">
            <v>4|2|200</v>
          </cell>
          <cell r="D3253" t="str">
            <v>主线副本进度宝箱-钻石奖励</v>
          </cell>
          <cell r="E3253" t="str">
            <v>4|2|200|1</v>
          </cell>
        </row>
        <row r="3254">
          <cell r="A3254">
            <v>45709</v>
          </cell>
          <cell r="B3254">
            <v>1</v>
          </cell>
          <cell r="C3254" t="str">
            <v>4|2|250</v>
          </cell>
          <cell r="D3254" t="str">
            <v>主线副本进度宝箱-钻石奖励</v>
          </cell>
          <cell r="E3254" t="str">
            <v>4|2|250|1</v>
          </cell>
        </row>
        <row r="3255">
          <cell r="A3255">
            <v>45710</v>
          </cell>
          <cell r="B3255">
            <v>1</v>
          </cell>
          <cell r="C3255" t="str">
            <v>4|2|300</v>
          </cell>
          <cell r="D3255" t="str">
            <v>主线副本进度宝箱-钻石奖励</v>
          </cell>
          <cell r="E3255" t="str">
            <v>4|2|300|1</v>
          </cell>
        </row>
        <row r="3256">
          <cell r="A3256">
            <v>45711</v>
          </cell>
          <cell r="B3256">
            <v>1</v>
          </cell>
          <cell r="C3256" t="str">
            <v>4|2|100</v>
          </cell>
          <cell r="D3256" t="str">
            <v>主线副本进度宝箱-钻石奖励</v>
          </cell>
          <cell r="E3256" t="str">
            <v>4|2|100|1</v>
          </cell>
        </row>
        <row r="3257">
          <cell r="A3257">
            <v>45712</v>
          </cell>
          <cell r="B3257">
            <v>1</v>
          </cell>
          <cell r="C3257" t="str">
            <v>4|2|150</v>
          </cell>
          <cell r="D3257" t="str">
            <v>主线副本进度宝箱-钻石奖励</v>
          </cell>
          <cell r="E3257" t="str">
            <v>4|2|150|1</v>
          </cell>
        </row>
        <row r="3258">
          <cell r="A3258">
            <v>45713</v>
          </cell>
          <cell r="B3258">
            <v>1</v>
          </cell>
          <cell r="C3258" t="str">
            <v>4|2|200</v>
          </cell>
          <cell r="D3258" t="str">
            <v>主线副本进度宝箱-钻石奖励</v>
          </cell>
          <cell r="E3258" t="str">
            <v>4|2|200|1</v>
          </cell>
        </row>
        <row r="3259">
          <cell r="A3259">
            <v>45714</v>
          </cell>
          <cell r="B3259">
            <v>1</v>
          </cell>
          <cell r="C3259" t="str">
            <v>4|2|250</v>
          </cell>
          <cell r="D3259" t="str">
            <v>主线副本进度宝箱-钻石奖励</v>
          </cell>
          <cell r="E3259" t="str">
            <v>4|2|250|1</v>
          </cell>
        </row>
        <row r="3260">
          <cell r="A3260">
            <v>45715</v>
          </cell>
          <cell r="B3260">
            <v>1</v>
          </cell>
          <cell r="C3260" t="str">
            <v>4|2|300</v>
          </cell>
          <cell r="D3260" t="str">
            <v>主线副本进度宝箱-钻石奖励</v>
          </cell>
          <cell r="E3260" t="str">
            <v>4|2|300|1</v>
          </cell>
        </row>
        <row r="3261">
          <cell r="A3261">
            <v>45716</v>
          </cell>
          <cell r="B3261">
            <v>1</v>
          </cell>
          <cell r="C3261" t="str">
            <v>4|2|100</v>
          </cell>
          <cell r="D3261" t="str">
            <v>主线副本进度宝箱-钻石奖励</v>
          </cell>
          <cell r="E3261" t="str">
            <v>4|2|100|1</v>
          </cell>
        </row>
        <row r="3262">
          <cell r="A3262">
            <v>45717</v>
          </cell>
          <cell r="B3262">
            <v>1</v>
          </cell>
          <cell r="C3262" t="str">
            <v>4|2|150</v>
          </cell>
          <cell r="D3262" t="str">
            <v>主线副本进度宝箱-钻石奖励</v>
          </cell>
          <cell r="E3262" t="str">
            <v>4|2|150|1</v>
          </cell>
        </row>
        <row r="3263">
          <cell r="A3263">
            <v>45718</v>
          </cell>
          <cell r="B3263">
            <v>1</v>
          </cell>
          <cell r="C3263" t="str">
            <v>4|2|200</v>
          </cell>
          <cell r="D3263" t="str">
            <v>主线副本进度宝箱-钻石奖励</v>
          </cell>
          <cell r="E3263" t="str">
            <v>4|2|200|1</v>
          </cell>
        </row>
        <row r="3264">
          <cell r="A3264">
            <v>45719</v>
          </cell>
          <cell r="B3264">
            <v>1</v>
          </cell>
          <cell r="C3264" t="str">
            <v>4|2|250</v>
          </cell>
          <cell r="D3264" t="str">
            <v>主线副本进度宝箱-钻石奖励</v>
          </cell>
          <cell r="E3264" t="str">
            <v>4|2|250|1</v>
          </cell>
        </row>
        <row r="3265">
          <cell r="A3265">
            <v>45720</v>
          </cell>
          <cell r="B3265">
            <v>1</v>
          </cell>
          <cell r="C3265" t="str">
            <v>4|2|300</v>
          </cell>
          <cell r="D3265" t="str">
            <v>主线副本进度宝箱-钻石奖励</v>
          </cell>
          <cell r="E3265" t="str">
            <v>4|2|300|1</v>
          </cell>
        </row>
        <row r="3266">
          <cell r="A3266">
            <v>45721</v>
          </cell>
          <cell r="B3266">
            <v>1</v>
          </cell>
          <cell r="C3266" t="str">
            <v>4|2|100</v>
          </cell>
          <cell r="D3266" t="str">
            <v>主线副本进度宝箱-钻石奖励</v>
          </cell>
          <cell r="E3266" t="str">
            <v>4|2|100|1</v>
          </cell>
        </row>
        <row r="3267">
          <cell r="A3267">
            <v>45722</v>
          </cell>
          <cell r="B3267">
            <v>1</v>
          </cell>
          <cell r="C3267" t="str">
            <v>4|2|150</v>
          </cell>
          <cell r="D3267" t="str">
            <v>主线副本进度宝箱-钻石奖励</v>
          </cell>
          <cell r="E3267" t="str">
            <v>4|2|150|1</v>
          </cell>
        </row>
        <row r="3268">
          <cell r="A3268">
            <v>45723</v>
          </cell>
          <cell r="B3268">
            <v>1</v>
          </cell>
          <cell r="C3268" t="str">
            <v>4|2|200</v>
          </cell>
          <cell r="D3268" t="str">
            <v>主线副本进度宝箱-钻石奖励</v>
          </cell>
          <cell r="E3268" t="str">
            <v>4|2|200|1</v>
          </cell>
        </row>
        <row r="3269">
          <cell r="A3269">
            <v>45724</v>
          </cell>
          <cell r="B3269">
            <v>1</v>
          </cell>
          <cell r="C3269" t="str">
            <v>4|2|250</v>
          </cell>
          <cell r="D3269" t="str">
            <v>主线副本进度宝箱-钻石奖励</v>
          </cell>
          <cell r="E3269" t="str">
            <v>4|2|250|1</v>
          </cell>
        </row>
        <row r="3270">
          <cell r="A3270">
            <v>45725</v>
          </cell>
          <cell r="B3270">
            <v>1</v>
          </cell>
          <cell r="C3270" t="str">
            <v>4|2|300</v>
          </cell>
          <cell r="D3270" t="str">
            <v>主线副本进度宝箱-钻石奖励</v>
          </cell>
          <cell r="E3270" t="str">
            <v>4|2|300|1</v>
          </cell>
        </row>
        <row r="3271">
          <cell r="A3271">
            <v>45726</v>
          </cell>
          <cell r="B3271">
            <v>1</v>
          </cell>
          <cell r="C3271" t="str">
            <v>4|2|100</v>
          </cell>
          <cell r="D3271" t="str">
            <v>主线副本进度宝箱-钻石奖励</v>
          </cell>
          <cell r="E3271" t="str">
            <v>4|2|100|1</v>
          </cell>
        </row>
        <row r="3272">
          <cell r="A3272">
            <v>45727</v>
          </cell>
          <cell r="B3272">
            <v>1</v>
          </cell>
          <cell r="C3272" t="str">
            <v>4|2|150</v>
          </cell>
          <cell r="D3272" t="str">
            <v>主线副本进度宝箱-钻石奖励</v>
          </cell>
          <cell r="E3272" t="str">
            <v>4|2|150|1</v>
          </cell>
        </row>
        <row r="3273">
          <cell r="A3273">
            <v>45728</v>
          </cell>
          <cell r="B3273">
            <v>1</v>
          </cell>
          <cell r="C3273" t="str">
            <v>4|2|200</v>
          </cell>
          <cell r="D3273" t="str">
            <v>主线副本进度宝箱-钻石奖励</v>
          </cell>
          <cell r="E3273" t="str">
            <v>4|2|200|1</v>
          </cell>
        </row>
        <row r="3274">
          <cell r="A3274">
            <v>45729</v>
          </cell>
          <cell r="B3274">
            <v>1</v>
          </cell>
          <cell r="C3274" t="str">
            <v>4|2|250</v>
          </cell>
          <cell r="D3274" t="str">
            <v>主线副本进度宝箱-钻石奖励</v>
          </cell>
          <cell r="E3274" t="str">
            <v>4|2|250|1</v>
          </cell>
        </row>
        <row r="3275">
          <cell r="A3275">
            <v>45730</v>
          </cell>
          <cell r="B3275">
            <v>1</v>
          </cell>
          <cell r="C3275" t="str">
            <v>4|2|300</v>
          </cell>
          <cell r="D3275" t="str">
            <v>主线副本进度宝箱-钻石奖励</v>
          </cell>
          <cell r="E3275" t="str">
            <v>4|2|300|1</v>
          </cell>
        </row>
        <row r="3276">
          <cell r="A3276">
            <v>45731</v>
          </cell>
          <cell r="B3276">
            <v>1</v>
          </cell>
          <cell r="C3276" t="str">
            <v>4|2|100</v>
          </cell>
          <cell r="D3276" t="str">
            <v>主线副本进度宝箱-钻石奖励</v>
          </cell>
          <cell r="E3276" t="str">
            <v>4|2|100|1</v>
          </cell>
        </row>
        <row r="3277">
          <cell r="A3277">
            <v>45732</v>
          </cell>
          <cell r="B3277">
            <v>1</v>
          </cell>
          <cell r="C3277" t="str">
            <v>4|2|150</v>
          </cell>
          <cell r="D3277" t="str">
            <v>主线副本进度宝箱-钻石奖励</v>
          </cell>
          <cell r="E3277" t="str">
            <v>4|2|150|1</v>
          </cell>
        </row>
        <row r="3278">
          <cell r="A3278">
            <v>45733</v>
          </cell>
          <cell r="B3278">
            <v>1</v>
          </cell>
          <cell r="C3278" t="str">
            <v>4|2|200</v>
          </cell>
          <cell r="D3278" t="str">
            <v>主线副本进度宝箱-钻石奖励</v>
          </cell>
          <cell r="E3278" t="str">
            <v>4|2|200|1</v>
          </cell>
        </row>
        <row r="3279">
          <cell r="A3279">
            <v>45734</v>
          </cell>
          <cell r="B3279">
            <v>1</v>
          </cell>
          <cell r="C3279" t="str">
            <v>4|2|250</v>
          </cell>
          <cell r="D3279" t="str">
            <v>主线副本进度宝箱-钻石奖励</v>
          </cell>
          <cell r="E3279" t="str">
            <v>4|2|250|1</v>
          </cell>
        </row>
        <row r="3280">
          <cell r="A3280">
            <v>45735</v>
          </cell>
          <cell r="B3280">
            <v>1</v>
          </cell>
          <cell r="C3280" t="str">
            <v>4|2|300</v>
          </cell>
          <cell r="D3280" t="str">
            <v>主线副本进度宝箱-钻石奖励</v>
          </cell>
          <cell r="E3280" t="str">
            <v>4|2|300|1</v>
          </cell>
        </row>
        <row r="3281">
          <cell r="A3281">
            <v>45736</v>
          </cell>
          <cell r="B3281">
            <v>1</v>
          </cell>
          <cell r="C3281" t="str">
            <v>4|2|100</v>
          </cell>
          <cell r="D3281" t="str">
            <v>主线副本进度宝箱-钻石奖励</v>
          </cell>
          <cell r="E3281" t="str">
            <v>4|2|100|1</v>
          </cell>
        </row>
        <row r="3282">
          <cell r="A3282">
            <v>45737</v>
          </cell>
          <cell r="B3282">
            <v>1</v>
          </cell>
          <cell r="C3282" t="str">
            <v>4|2|150</v>
          </cell>
          <cell r="D3282" t="str">
            <v>主线副本进度宝箱-钻石奖励</v>
          </cell>
          <cell r="E3282" t="str">
            <v>4|2|150|1</v>
          </cell>
        </row>
        <row r="3283">
          <cell r="A3283">
            <v>45738</v>
          </cell>
          <cell r="B3283">
            <v>1</v>
          </cell>
          <cell r="C3283" t="str">
            <v>4|2|200</v>
          </cell>
          <cell r="D3283" t="str">
            <v>主线副本进度宝箱-钻石奖励</v>
          </cell>
          <cell r="E3283" t="str">
            <v>4|2|200|1</v>
          </cell>
        </row>
        <row r="3284">
          <cell r="A3284">
            <v>45739</v>
          </cell>
          <cell r="B3284">
            <v>1</v>
          </cell>
          <cell r="C3284" t="str">
            <v>4|2|250</v>
          </cell>
          <cell r="D3284" t="str">
            <v>主线副本进度宝箱-钻石奖励</v>
          </cell>
          <cell r="E3284" t="str">
            <v>4|2|250|1</v>
          </cell>
        </row>
        <row r="3285">
          <cell r="A3285">
            <v>45740</v>
          </cell>
          <cell r="B3285">
            <v>1</v>
          </cell>
          <cell r="C3285" t="str">
            <v>4|2|300</v>
          </cell>
          <cell r="D3285" t="str">
            <v>主线副本进度宝箱-钻石奖励</v>
          </cell>
          <cell r="E3285" t="str">
            <v>4|2|300|1</v>
          </cell>
        </row>
        <row r="3286">
          <cell r="A3286">
            <v>45741</v>
          </cell>
          <cell r="B3286">
            <v>1</v>
          </cell>
          <cell r="C3286" t="str">
            <v>4|2|100</v>
          </cell>
          <cell r="D3286" t="str">
            <v>主线副本进度宝箱-钻石奖励</v>
          </cell>
          <cell r="E3286" t="str">
            <v>4|2|100|1</v>
          </cell>
        </row>
        <row r="3287">
          <cell r="A3287">
            <v>45742</v>
          </cell>
          <cell r="B3287">
            <v>1</v>
          </cell>
          <cell r="C3287" t="str">
            <v>4|2|150</v>
          </cell>
          <cell r="D3287" t="str">
            <v>主线副本进度宝箱-钻石奖励</v>
          </cell>
          <cell r="E3287" t="str">
            <v>4|2|150|1</v>
          </cell>
        </row>
        <row r="3288">
          <cell r="A3288">
            <v>45743</v>
          </cell>
          <cell r="B3288">
            <v>1</v>
          </cell>
          <cell r="C3288" t="str">
            <v>4|2|200</v>
          </cell>
          <cell r="D3288" t="str">
            <v>主线副本进度宝箱-钻石奖励</v>
          </cell>
          <cell r="E3288" t="str">
            <v>4|2|200|1</v>
          </cell>
        </row>
        <row r="3289">
          <cell r="A3289">
            <v>45744</v>
          </cell>
          <cell r="B3289">
            <v>1</v>
          </cell>
          <cell r="C3289" t="str">
            <v>4|2|250</v>
          </cell>
          <cell r="D3289" t="str">
            <v>主线副本进度宝箱-钻石奖励</v>
          </cell>
          <cell r="E3289" t="str">
            <v>4|2|250|1</v>
          </cell>
        </row>
        <row r="3290">
          <cell r="A3290">
            <v>45745</v>
          </cell>
          <cell r="B3290">
            <v>1</v>
          </cell>
          <cell r="C3290" t="str">
            <v>4|2|300</v>
          </cell>
          <cell r="D3290" t="str">
            <v>主线副本进度宝箱-钻石奖励</v>
          </cell>
          <cell r="E3290" t="str">
            <v>4|2|300|1</v>
          </cell>
        </row>
        <row r="3291">
          <cell r="A3291">
            <v>45746</v>
          </cell>
          <cell r="B3291">
            <v>1</v>
          </cell>
          <cell r="C3291" t="str">
            <v>4|2|100</v>
          </cell>
          <cell r="D3291" t="str">
            <v>主线副本进度宝箱-钻石奖励</v>
          </cell>
          <cell r="E3291" t="str">
            <v>4|2|100|1</v>
          </cell>
        </row>
        <row r="3292">
          <cell r="A3292">
            <v>45747</v>
          </cell>
          <cell r="B3292">
            <v>1</v>
          </cell>
          <cell r="C3292" t="str">
            <v>4|2|150</v>
          </cell>
          <cell r="D3292" t="str">
            <v>主线副本进度宝箱-钻石奖励</v>
          </cell>
          <cell r="E3292" t="str">
            <v>4|2|150|1</v>
          </cell>
        </row>
        <row r="3293">
          <cell r="A3293">
            <v>45748</v>
          </cell>
          <cell r="B3293">
            <v>1</v>
          </cell>
          <cell r="C3293" t="str">
            <v>4|2|200</v>
          </cell>
          <cell r="D3293" t="str">
            <v>主线副本进度宝箱-钻石奖励</v>
          </cell>
          <cell r="E3293" t="str">
            <v>4|2|200|1</v>
          </cell>
        </row>
        <row r="3294">
          <cell r="A3294">
            <v>45749</v>
          </cell>
          <cell r="B3294">
            <v>1</v>
          </cell>
          <cell r="C3294" t="str">
            <v>4|2|250</v>
          </cell>
          <cell r="D3294" t="str">
            <v>主线副本进度宝箱-钻石奖励</v>
          </cell>
          <cell r="E3294" t="str">
            <v>4|2|250|1</v>
          </cell>
        </row>
        <row r="3295">
          <cell r="A3295">
            <v>45750</v>
          </cell>
          <cell r="B3295">
            <v>1</v>
          </cell>
          <cell r="C3295" t="str">
            <v>4|2|300</v>
          </cell>
          <cell r="D3295" t="str">
            <v>主线副本进度宝箱-钻石奖励</v>
          </cell>
          <cell r="E3295" t="str">
            <v>4|2|300|1</v>
          </cell>
        </row>
        <row r="3296">
          <cell r="A3296">
            <v>46001</v>
          </cell>
          <cell r="B3296">
            <v>1</v>
          </cell>
          <cell r="C3296" t="str">
            <v>1|14107|20</v>
          </cell>
          <cell r="D3296" t="str">
            <v>主线副本进度宝箱-进阶石奖励</v>
          </cell>
          <cell r="E3296" t="str">
            <v>1|14107|20|1</v>
          </cell>
        </row>
        <row r="3297">
          <cell r="A3297">
            <v>46002</v>
          </cell>
          <cell r="B3297">
            <v>1</v>
          </cell>
          <cell r="C3297" t="str">
            <v>1|14107|40</v>
          </cell>
          <cell r="D3297" t="str">
            <v>主线副本进度宝箱-进阶石奖励</v>
          </cell>
          <cell r="E3297" t="str">
            <v>1|14107|40|1</v>
          </cell>
        </row>
        <row r="3298">
          <cell r="A3298">
            <v>46003</v>
          </cell>
          <cell r="B3298">
            <v>1</v>
          </cell>
          <cell r="C3298" t="str">
            <v>1|14107|60</v>
          </cell>
          <cell r="D3298" t="str">
            <v>主线副本进度宝箱-进阶石奖励</v>
          </cell>
          <cell r="E3298" t="str">
            <v>1|14107|60|1</v>
          </cell>
        </row>
        <row r="3299">
          <cell r="A3299">
            <v>46004</v>
          </cell>
          <cell r="B3299">
            <v>1</v>
          </cell>
          <cell r="C3299" t="str">
            <v>1|14107|80</v>
          </cell>
          <cell r="D3299" t="str">
            <v>主线副本进度宝箱-进阶石奖励</v>
          </cell>
          <cell r="E3299" t="str">
            <v>1|14107|80|1</v>
          </cell>
        </row>
        <row r="3300">
          <cell r="A3300">
            <v>46005</v>
          </cell>
          <cell r="B3300">
            <v>1</v>
          </cell>
          <cell r="C3300" t="str">
            <v>1|14107|100</v>
          </cell>
          <cell r="D3300" t="str">
            <v>主线副本进度宝箱-进阶石奖励</v>
          </cell>
          <cell r="E3300" t="str">
            <v>1|14107|100|1</v>
          </cell>
        </row>
        <row r="3301">
          <cell r="A3301">
            <v>46006</v>
          </cell>
          <cell r="B3301">
            <v>1</v>
          </cell>
          <cell r="C3301" t="str">
            <v>2|2002|1</v>
          </cell>
          <cell r="D3301" t="str">
            <v>第一章进度宝箱（绿色武器）</v>
          </cell>
          <cell r="E3301" t="str">
            <v>2|2002|1|1</v>
          </cell>
        </row>
        <row r="3302">
          <cell r="A3302">
            <v>46007</v>
          </cell>
          <cell r="B3302">
            <v>1</v>
          </cell>
          <cell r="C3302" t="str">
            <v>2|2001|1</v>
          </cell>
          <cell r="D3302" t="str">
            <v>第一章进度宝箱（绿色衣服）</v>
          </cell>
          <cell r="E3302" t="str">
            <v>2|2001|1|1</v>
          </cell>
        </row>
        <row r="3303">
          <cell r="A3303">
            <v>46008</v>
          </cell>
          <cell r="B3303">
            <v>1</v>
          </cell>
          <cell r="C3303" t="str">
            <v>2|2003|1</v>
          </cell>
          <cell r="D3303" t="str">
            <v>第一章进度宝箱（绿色头盔）</v>
          </cell>
          <cell r="E3303" t="str">
            <v>2|2003|1|1</v>
          </cell>
        </row>
        <row r="3304">
          <cell r="A3304">
            <v>46009</v>
          </cell>
          <cell r="B3304">
            <v>1</v>
          </cell>
          <cell r="C3304" t="str">
            <v>2|2004|1</v>
          </cell>
          <cell r="D3304" t="str">
            <v>第一章进度宝箱（绿色鞋子）</v>
          </cell>
          <cell r="E3304" t="str">
            <v>2|2004|1|1</v>
          </cell>
        </row>
        <row r="3305">
          <cell r="A3305">
            <v>46010</v>
          </cell>
          <cell r="B3305">
            <v>1</v>
          </cell>
          <cell r="C3305" t="str">
            <v>2|2025|1</v>
          </cell>
          <cell r="D3305" t="str">
            <v>第一章进度宝箱（蓝色衣服）</v>
          </cell>
          <cell r="E3305" t="str">
            <v>2|2025|1|1</v>
          </cell>
        </row>
        <row r="3306">
          <cell r="A3306">
            <v>46011</v>
          </cell>
          <cell r="B3306">
            <v>1</v>
          </cell>
          <cell r="C3306" t="str">
            <v>2|2027|1</v>
          </cell>
          <cell r="D3306" t="str">
            <v>第一章进度宝箱（蓝色头盔）</v>
          </cell>
          <cell r="E3306" t="str">
            <v>2|2027|1|1</v>
          </cell>
        </row>
        <row r="3307">
          <cell r="A3307">
            <v>46012</v>
          </cell>
          <cell r="B3307">
            <v>1</v>
          </cell>
          <cell r="C3307" t="str">
            <v>2|2028|1</v>
          </cell>
          <cell r="D3307" t="str">
            <v>第一章进度宝箱（蓝色鞋子）</v>
          </cell>
          <cell r="E3307" t="str">
            <v>2|2028|1|1</v>
          </cell>
        </row>
        <row r="3308">
          <cell r="A3308">
            <v>46013</v>
          </cell>
          <cell r="B3308">
            <v>1</v>
          </cell>
          <cell r="C3308" t="str">
            <v>2|2026|1</v>
          </cell>
          <cell r="D3308" t="str">
            <v>第一章进度宝箱（蓝色武器）</v>
          </cell>
          <cell r="E3308" t="str">
            <v>2|2026|1|1</v>
          </cell>
        </row>
        <row r="3309">
          <cell r="A3309">
            <v>47000</v>
          </cell>
          <cell r="B3309">
            <v>1</v>
          </cell>
          <cell r="C3309" t="str">
            <v>4|3|500</v>
          </cell>
          <cell r="D3309" t="str">
            <v>大雁塔每5层器魂额外奖励</v>
          </cell>
          <cell r="E3309" t="str">
            <v>4|3|500|1</v>
          </cell>
        </row>
        <row r="3310">
          <cell r="A3310">
            <v>47001</v>
          </cell>
          <cell r="B3310">
            <v>1</v>
          </cell>
          <cell r="C3310" t="str">
            <v>4|1|8000</v>
          </cell>
          <cell r="D3310" t="str">
            <v>大雁塔5层奖励</v>
          </cell>
          <cell r="E3310" t="str">
            <v>4|1|8000|1</v>
          </cell>
        </row>
        <row r="3311">
          <cell r="A3311">
            <v>47002</v>
          </cell>
          <cell r="B3311">
            <v>1</v>
          </cell>
          <cell r="C3311" t="str">
            <v>4|1|11000</v>
          </cell>
          <cell r="D3311" t="str">
            <v>大雁塔10层奖励</v>
          </cell>
          <cell r="E3311" t="str">
            <v>4|1|11000|1</v>
          </cell>
        </row>
        <row r="3312">
          <cell r="A3312">
            <v>47003</v>
          </cell>
          <cell r="B3312">
            <v>1</v>
          </cell>
          <cell r="C3312" t="str">
            <v>4|1|14000</v>
          </cell>
          <cell r="D3312" t="str">
            <v>大雁塔15层奖励</v>
          </cell>
          <cell r="E3312" t="str">
            <v>4|1|14000|1</v>
          </cell>
        </row>
        <row r="3313">
          <cell r="A3313">
            <v>47004</v>
          </cell>
          <cell r="B3313">
            <v>1</v>
          </cell>
          <cell r="C3313" t="str">
            <v>4|1|17000</v>
          </cell>
          <cell r="D3313" t="str">
            <v>大雁塔20层奖励</v>
          </cell>
          <cell r="E3313" t="str">
            <v>4|1|17000|1</v>
          </cell>
        </row>
        <row r="3314">
          <cell r="A3314">
            <v>47005</v>
          </cell>
          <cell r="B3314">
            <v>1</v>
          </cell>
          <cell r="C3314" t="str">
            <v>4|1|20000</v>
          </cell>
          <cell r="D3314" t="str">
            <v>大雁塔25层奖励</v>
          </cell>
          <cell r="E3314" t="str">
            <v>4|1|20000|1</v>
          </cell>
        </row>
        <row r="3315">
          <cell r="A3315">
            <v>47006</v>
          </cell>
          <cell r="B3315">
            <v>1</v>
          </cell>
          <cell r="C3315" t="str">
            <v>4|1|23000</v>
          </cell>
          <cell r="D3315" t="str">
            <v>大雁塔30层奖励</v>
          </cell>
          <cell r="E3315" t="str">
            <v>4|1|23000|1</v>
          </cell>
        </row>
        <row r="3316">
          <cell r="A3316">
            <v>47007</v>
          </cell>
          <cell r="B3316">
            <v>1</v>
          </cell>
          <cell r="C3316" t="str">
            <v>4|1|26000</v>
          </cell>
          <cell r="D3316" t="str">
            <v>大雁塔35层奖励</v>
          </cell>
          <cell r="E3316" t="str">
            <v>4|1|26000|1</v>
          </cell>
        </row>
        <row r="3317">
          <cell r="A3317">
            <v>47008</v>
          </cell>
          <cell r="B3317">
            <v>1</v>
          </cell>
          <cell r="C3317" t="str">
            <v>4|1|29000</v>
          </cell>
          <cell r="D3317" t="str">
            <v>大雁塔40层奖励</v>
          </cell>
          <cell r="E3317" t="str">
            <v>4|1|29000|1</v>
          </cell>
        </row>
        <row r="3318">
          <cell r="A3318">
            <v>47009</v>
          </cell>
          <cell r="B3318">
            <v>1</v>
          </cell>
          <cell r="C3318" t="str">
            <v>4|1|32000</v>
          </cell>
          <cell r="D3318" t="str">
            <v>大雁塔45层奖励</v>
          </cell>
          <cell r="E3318" t="str">
            <v>4|1|32000|1</v>
          </cell>
        </row>
        <row r="3319">
          <cell r="A3319">
            <v>47010</v>
          </cell>
          <cell r="B3319">
            <v>1</v>
          </cell>
          <cell r="C3319" t="str">
            <v>4|1|35000</v>
          </cell>
          <cell r="D3319" t="str">
            <v>大雁塔50层奖励</v>
          </cell>
          <cell r="E3319" t="str">
            <v>4|1|35000|1</v>
          </cell>
        </row>
        <row r="3320">
          <cell r="A3320">
            <v>47011</v>
          </cell>
          <cell r="B3320">
            <v>1</v>
          </cell>
          <cell r="C3320" t="str">
            <v>4|1|38000</v>
          </cell>
          <cell r="D3320" t="str">
            <v>大雁塔55层奖励</v>
          </cell>
          <cell r="E3320" t="str">
            <v>4|1|38000|1</v>
          </cell>
        </row>
        <row r="3321">
          <cell r="A3321">
            <v>47012</v>
          </cell>
          <cell r="B3321">
            <v>1</v>
          </cell>
          <cell r="C3321" t="str">
            <v>4|1|41000</v>
          </cell>
          <cell r="D3321" t="str">
            <v>大雁塔60层奖励</v>
          </cell>
          <cell r="E3321" t="str">
            <v>4|1|41000|1</v>
          </cell>
        </row>
        <row r="3322">
          <cell r="A3322">
            <v>47013</v>
          </cell>
          <cell r="B3322">
            <v>1</v>
          </cell>
          <cell r="C3322" t="str">
            <v>4|1|44000</v>
          </cell>
          <cell r="D3322" t="str">
            <v>大雁塔65层奖励</v>
          </cell>
          <cell r="E3322" t="str">
            <v>4|1|44000|1</v>
          </cell>
        </row>
        <row r="3323">
          <cell r="A3323">
            <v>47014</v>
          </cell>
          <cell r="B3323">
            <v>1</v>
          </cell>
          <cell r="C3323" t="str">
            <v>4|1|47000</v>
          </cell>
          <cell r="D3323" t="str">
            <v>大雁塔70层奖励</v>
          </cell>
          <cell r="E3323" t="str">
            <v>4|1|47000|1</v>
          </cell>
        </row>
        <row r="3324">
          <cell r="A3324">
            <v>47015</v>
          </cell>
          <cell r="B3324">
            <v>1</v>
          </cell>
          <cell r="C3324" t="str">
            <v>4|1|50000</v>
          </cell>
          <cell r="D3324" t="str">
            <v>大雁塔75层奖励</v>
          </cell>
          <cell r="E3324" t="str">
            <v>4|1|50000|1</v>
          </cell>
        </row>
        <row r="3325">
          <cell r="A3325">
            <v>47016</v>
          </cell>
          <cell r="B3325">
            <v>1</v>
          </cell>
          <cell r="C3325" t="str">
            <v>4|1|53000</v>
          </cell>
          <cell r="D3325" t="str">
            <v>大雁塔80层奖励</v>
          </cell>
          <cell r="E3325" t="str">
            <v>4|1|53000|1</v>
          </cell>
        </row>
        <row r="3326">
          <cell r="A3326">
            <v>47017</v>
          </cell>
          <cell r="B3326">
            <v>1</v>
          </cell>
          <cell r="C3326" t="str">
            <v>4|1|56000</v>
          </cell>
          <cell r="D3326" t="str">
            <v>大雁塔85层奖励</v>
          </cell>
          <cell r="E3326" t="str">
            <v>4|1|56000|1</v>
          </cell>
        </row>
        <row r="3327">
          <cell r="A3327">
            <v>47018</v>
          </cell>
          <cell r="B3327">
            <v>1</v>
          </cell>
          <cell r="C3327" t="str">
            <v>4|1|59000</v>
          </cell>
          <cell r="D3327" t="str">
            <v>大雁塔90层奖励</v>
          </cell>
          <cell r="E3327" t="str">
            <v>4|1|59000|1</v>
          </cell>
        </row>
        <row r="3328">
          <cell r="A3328">
            <v>47019</v>
          </cell>
          <cell r="B3328">
            <v>1</v>
          </cell>
          <cell r="C3328" t="str">
            <v>4|1|62000</v>
          </cell>
          <cell r="D3328" t="str">
            <v>大雁塔95层奖励</v>
          </cell>
          <cell r="E3328" t="str">
            <v>4|1|62000|1</v>
          </cell>
        </row>
        <row r="3329">
          <cell r="A3329">
            <v>47020</v>
          </cell>
          <cell r="B3329">
            <v>1</v>
          </cell>
          <cell r="C3329" t="str">
            <v>4|1|65000</v>
          </cell>
          <cell r="D3329" t="str">
            <v>大雁塔100层奖励</v>
          </cell>
          <cell r="E3329" t="str">
            <v>4|1|65000|1</v>
          </cell>
        </row>
        <row r="3330">
          <cell r="A3330">
            <v>47021</v>
          </cell>
          <cell r="B3330">
            <v>1</v>
          </cell>
          <cell r="C3330" t="str">
            <v>4|3|550</v>
          </cell>
          <cell r="D3330" t="str">
            <v>大雁塔1层奖励</v>
          </cell>
          <cell r="E3330" t="str">
            <v>4|3|550|1</v>
          </cell>
        </row>
        <row r="3331">
          <cell r="A3331">
            <v>47022</v>
          </cell>
          <cell r="B3331">
            <v>1</v>
          </cell>
          <cell r="C3331" t="str">
            <v>4|3|550</v>
          </cell>
          <cell r="D3331" t="str">
            <v>大雁塔1层奖励</v>
          </cell>
          <cell r="E3331" t="str">
            <v>4|3|550|1</v>
          </cell>
        </row>
        <row r="3332">
          <cell r="A3332">
            <v>47023</v>
          </cell>
          <cell r="B3332">
            <v>1</v>
          </cell>
          <cell r="C3332" t="str">
            <v>1|14203|10</v>
          </cell>
          <cell r="D3332" t="str">
            <v>大雁塔40层奖励</v>
          </cell>
          <cell r="E3332" t="str">
            <v>1|14203|10|1</v>
          </cell>
        </row>
        <row r="3333">
          <cell r="A3333">
            <v>47024</v>
          </cell>
          <cell r="B3333">
            <v>1</v>
          </cell>
          <cell r="C3333" t="str">
            <v>1|14301|1</v>
          </cell>
          <cell r="D3333" t="str">
            <v>大雁塔40层奖励</v>
          </cell>
          <cell r="E3333" t="str">
            <v>1|14301|1|1</v>
          </cell>
        </row>
        <row r="3334">
          <cell r="A3334">
            <v>47025</v>
          </cell>
          <cell r="B3334">
            <v>1</v>
          </cell>
          <cell r="C3334" t="str">
            <v>4|3|600</v>
          </cell>
          <cell r="D3334" t="str">
            <v>大雁塔45层奖励</v>
          </cell>
          <cell r="E3334" t="str">
            <v>4|3|600|1</v>
          </cell>
        </row>
        <row r="3335">
          <cell r="A3335">
            <v>47026</v>
          </cell>
          <cell r="B3335">
            <v>1</v>
          </cell>
          <cell r="C3335" t="str">
            <v>1|14203|15</v>
          </cell>
          <cell r="D3335" t="str">
            <v>大雁塔45层奖励</v>
          </cell>
          <cell r="E3335" t="str">
            <v>1|14203|15|1</v>
          </cell>
        </row>
        <row r="3336">
          <cell r="A3336">
            <v>47027</v>
          </cell>
          <cell r="B3336">
            <v>1</v>
          </cell>
          <cell r="C3336" t="str">
            <v>1|14301|1</v>
          </cell>
          <cell r="D3336" t="str">
            <v>大雁塔45层奖励</v>
          </cell>
          <cell r="E3336" t="str">
            <v>1|14301|1|1</v>
          </cell>
        </row>
        <row r="3337">
          <cell r="A3337">
            <v>47028</v>
          </cell>
          <cell r="B3337">
            <v>1</v>
          </cell>
          <cell r="C3337" t="str">
            <v>4|3|650</v>
          </cell>
          <cell r="D3337" t="str">
            <v>大雁塔50层奖励</v>
          </cell>
          <cell r="E3337" t="str">
            <v>4|3|650|1</v>
          </cell>
        </row>
        <row r="3338">
          <cell r="A3338">
            <v>47029</v>
          </cell>
          <cell r="B3338">
            <v>1</v>
          </cell>
          <cell r="C3338" t="str">
            <v>1|14203|20</v>
          </cell>
          <cell r="D3338" t="str">
            <v>大雁塔50层奖励</v>
          </cell>
          <cell r="E3338" t="str">
            <v>1|14203|20|1</v>
          </cell>
        </row>
        <row r="3339">
          <cell r="A3339">
            <v>47030</v>
          </cell>
          <cell r="B3339">
            <v>1</v>
          </cell>
          <cell r="C3339" t="str">
            <v>1|14302|1</v>
          </cell>
          <cell r="D3339" t="str">
            <v>大雁塔50层奖励</v>
          </cell>
          <cell r="E3339" t="str">
            <v>1|14302|1|1</v>
          </cell>
        </row>
        <row r="3340">
          <cell r="A3340">
            <v>47031</v>
          </cell>
          <cell r="B3340">
            <v>1</v>
          </cell>
          <cell r="C3340" t="str">
            <v>4|3|700</v>
          </cell>
          <cell r="D3340" t="str">
            <v>大雁塔55层奖励</v>
          </cell>
          <cell r="E3340" t="str">
            <v>4|3|700|1</v>
          </cell>
        </row>
        <row r="3341">
          <cell r="A3341">
            <v>47032</v>
          </cell>
          <cell r="B3341">
            <v>1</v>
          </cell>
          <cell r="C3341" t="str">
            <v>1|14203|25</v>
          </cell>
          <cell r="D3341" t="str">
            <v>大雁塔55层奖励</v>
          </cell>
          <cell r="E3341" t="str">
            <v>1|14203|25|1</v>
          </cell>
        </row>
        <row r="3342">
          <cell r="A3342">
            <v>47033</v>
          </cell>
          <cell r="B3342">
            <v>1</v>
          </cell>
          <cell r="C3342" t="str">
            <v>1|14302|1</v>
          </cell>
          <cell r="D3342" t="str">
            <v>大雁塔55层奖励</v>
          </cell>
          <cell r="E3342" t="str">
            <v>1|14302|1|1</v>
          </cell>
        </row>
        <row r="3343">
          <cell r="A3343">
            <v>47034</v>
          </cell>
          <cell r="B3343">
            <v>1</v>
          </cell>
          <cell r="C3343" t="str">
            <v>4|3|750</v>
          </cell>
          <cell r="D3343" t="str">
            <v>大雁塔60层奖励</v>
          </cell>
          <cell r="E3343" t="str">
            <v>4|3|750|1</v>
          </cell>
        </row>
        <row r="3344">
          <cell r="A3344">
            <v>47035</v>
          </cell>
          <cell r="B3344">
            <v>1</v>
          </cell>
          <cell r="C3344" t="str">
            <v>1|14203|30</v>
          </cell>
          <cell r="D3344" t="str">
            <v>大雁塔60层奖励</v>
          </cell>
          <cell r="E3344" t="str">
            <v>1|14203|30|1</v>
          </cell>
        </row>
        <row r="3345">
          <cell r="A3345">
            <v>47036</v>
          </cell>
          <cell r="B3345">
            <v>1</v>
          </cell>
          <cell r="C3345" t="str">
            <v>1|14302|1</v>
          </cell>
          <cell r="D3345" t="str">
            <v>大雁塔60层奖励</v>
          </cell>
          <cell r="E3345" t="str">
            <v>1|14302|1|1</v>
          </cell>
        </row>
        <row r="3346">
          <cell r="A3346">
            <v>47037</v>
          </cell>
          <cell r="B3346">
            <v>1</v>
          </cell>
          <cell r="C3346" t="str">
            <v>4|3|800</v>
          </cell>
          <cell r="D3346" t="str">
            <v>大雁塔65层奖励</v>
          </cell>
          <cell r="E3346" t="str">
            <v>4|3|800|1</v>
          </cell>
        </row>
        <row r="3347">
          <cell r="A3347">
            <v>47038</v>
          </cell>
          <cell r="B3347">
            <v>1</v>
          </cell>
          <cell r="C3347" t="str">
            <v>1|14204|5</v>
          </cell>
          <cell r="D3347" t="str">
            <v>大雁塔65层奖励</v>
          </cell>
          <cell r="E3347" t="str">
            <v>1|14204|5|1</v>
          </cell>
        </row>
        <row r="3348">
          <cell r="A3348">
            <v>47039</v>
          </cell>
          <cell r="B3348">
            <v>1</v>
          </cell>
          <cell r="C3348" t="str">
            <v>1|14302|1</v>
          </cell>
          <cell r="D3348" t="str">
            <v>大雁塔65层奖励</v>
          </cell>
          <cell r="E3348" t="str">
            <v>1|14302|1|1</v>
          </cell>
        </row>
        <row r="3349">
          <cell r="A3349">
            <v>47040</v>
          </cell>
          <cell r="B3349">
            <v>1</v>
          </cell>
          <cell r="C3349" t="str">
            <v>4|3|900</v>
          </cell>
          <cell r="D3349" t="str">
            <v>大雁塔70层奖励</v>
          </cell>
          <cell r="E3349" t="str">
            <v>4|3|900|1</v>
          </cell>
        </row>
        <row r="3350">
          <cell r="A3350">
            <v>47041</v>
          </cell>
          <cell r="B3350">
            <v>1</v>
          </cell>
          <cell r="C3350" t="str">
            <v>1|14204|10</v>
          </cell>
          <cell r="D3350" t="str">
            <v>大雁塔70层奖励</v>
          </cell>
          <cell r="E3350" t="str">
            <v>1|14204|10|1</v>
          </cell>
        </row>
        <row r="3351">
          <cell r="A3351">
            <v>47042</v>
          </cell>
          <cell r="B3351">
            <v>1</v>
          </cell>
          <cell r="C3351" t="str">
            <v>1|14302|1</v>
          </cell>
          <cell r="D3351" t="str">
            <v>大雁塔70层奖励</v>
          </cell>
          <cell r="E3351" t="str">
            <v>1|14302|1|1</v>
          </cell>
        </row>
        <row r="3352">
          <cell r="A3352">
            <v>47043</v>
          </cell>
          <cell r="B3352">
            <v>1</v>
          </cell>
          <cell r="C3352" t="str">
            <v>4|3|1000</v>
          </cell>
          <cell r="D3352" t="str">
            <v>大雁塔75层奖励</v>
          </cell>
          <cell r="E3352" t="str">
            <v>4|3|1000|1</v>
          </cell>
        </row>
        <row r="3353">
          <cell r="A3353">
            <v>47044</v>
          </cell>
          <cell r="B3353">
            <v>1</v>
          </cell>
          <cell r="C3353" t="str">
            <v>1|14204|15</v>
          </cell>
          <cell r="D3353" t="str">
            <v>大雁塔75层奖励</v>
          </cell>
          <cell r="E3353" t="str">
            <v>1|14204|15|1</v>
          </cell>
        </row>
        <row r="3354">
          <cell r="A3354">
            <v>47045</v>
          </cell>
          <cell r="B3354">
            <v>1</v>
          </cell>
          <cell r="C3354" t="str">
            <v>1|14302|1</v>
          </cell>
          <cell r="D3354" t="str">
            <v>大雁塔75层奖励</v>
          </cell>
          <cell r="E3354" t="str">
            <v>1|14302|1|1</v>
          </cell>
        </row>
        <row r="3355">
          <cell r="A3355">
            <v>47046</v>
          </cell>
          <cell r="B3355">
            <v>1</v>
          </cell>
          <cell r="C3355" t="str">
            <v>4|3|1100</v>
          </cell>
          <cell r="D3355" t="str">
            <v>大雁塔80层奖励</v>
          </cell>
          <cell r="E3355" t="str">
            <v>4|3|1100|1</v>
          </cell>
        </row>
        <row r="3356">
          <cell r="A3356">
            <v>47047</v>
          </cell>
          <cell r="B3356">
            <v>1</v>
          </cell>
          <cell r="C3356" t="str">
            <v>1|14204|20</v>
          </cell>
          <cell r="D3356" t="str">
            <v>大雁塔80层奖励</v>
          </cell>
          <cell r="E3356" t="str">
            <v>1|14204|20|1</v>
          </cell>
        </row>
        <row r="3357">
          <cell r="A3357">
            <v>47048</v>
          </cell>
          <cell r="B3357">
            <v>1</v>
          </cell>
          <cell r="C3357" t="str">
            <v>1|14302|1</v>
          </cell>
          <cell r="D3357" t="str">
            <v>大雁塔80层奖励</v>
          </cell>
          <cell r="E3357" t="str">
            <v>1|14302|1|1</v>
          </cell>
        </row>
        <row r="3358">
          <cell r="A3358">
            <v>47049</v>
          </cell>
          <cell r="B3358">
            <v>1</v>
          </cell>
          <cell r="C3358" t="str">
            <v>4|3|1200</v>
          </cell>
          <cell r="D3358" t="str">
            <v>大雁塔85层奖励</v>
          </cell>
          <cell r="E3358" t="str">
            <v>4|3|1200|1</v>
          </cell>
        </row>
        <row r="3359">
          <cell r="A3359">
            <v>47050</v>
          </cell>
          <cell r="B3359">
            <v>1</v>
          </cell>
          <cell r="C3359" t="str">
            <v>1|14204|25</v>
          </cell>
          <cell r="D3359" t="str">
            <v>大雁塔85层奖励</v>
          </cell>
          <cell r="E3359" t="str">
            <v>1|14204|25|1</v>
          </cell>
        </row>
        <row r="3360">
          <cell r="A3360">
            <v>47051</v>
          </cell>
          <cell r="B3360">
            <v>1</v>
          </cell>
          <cell r="C3360" t="str">
            <v>1|14302|1</v>
          </cell>
          <cell r="D3360" t="str">
            <v>大雁塔85层奖励</v>
          </cell>
          <cell r="E3360" t="str">
            <v>1|14302|1|1</v>
          </cell>
        </row>
        <row r="3361">
          <cell r="A3361">
            <v>47052</v>
          </cell>
          <cell r="B3361">
            <v>1</v>
          </cell>
          <cell r="C3361" t="str">
            <v>4|3|1300</v>
          </cell>
          <cell r="D3361" t="str">
            <v>大雁塔90层奖励</v>
          </cell>
          <cell r="E3361" t="str">
            <v>4|3|1300|1</v>
          </cell>
        </row>
        <row r="3362">
          <cell r="A3362">
            <v>47053</v>
          </cell>
          <cell r="B3362">
            <v>1</v>
          </cell>
          <cell r="C3362" t="str">
            <v>1|14204|30</v>
          </cell>
          <cell r="D3362" t="str">
            <v>大雁塔90层奖励</v>
          </cell>
          <cell r="E3362" t="str">
            <v>1|14204|30|1</v>
          </cell>
        </row>
        <row r="3363">
          <cell r="A3363">
            <v>47054</v>
          </cell>
          <cell r="B3363">
            <v>1</v>
          </cell>
          <cell r="C3363" t="str">
            <v>1|14302|1</v>
          </cell>
          <cell r="D3363" t="str">
            <v>大雁塔90层奖励</v>
          </cell>
          <cell r="E3363" t="str">
            <v>1|14302|1|1</v>
          </cell>
        </row>
        <row r="3364">
          <cell r="A3364">
            <v>47055</v>
          </cell>
          <cell r="B3364">
            <v>1</v>
          </cell>
          <cell r="C3364" t="str">
            <v>4|3|1400</v>
          </cell>
          <cell r="D3364" t="str">
            <v>大雁塔95层奖励</v>
          </cell>
          <cell r="E3364" t="str">
            <v>4|3|1400|1</v>
          </cell>
        </row>
        <row r="3365">
          <cell r="A3365">
            <v>47056</v>
          </cell>
          <cell r="B3365">
            <v>1</v>
          </cell>
          <cell r="C3365" t="str">
            <v>1|14204|35</v>
          </cell>
          <cell r="D3365" t="str">
            <v>大雁塔95层奖励</v>
          </cell>
          <cell r="E3365" t="str">
            <v>1|14204|35|1</v>
          </cell>
        </row>
        <row r="3366">
          <cell r="A3366">
            <v>47057</v>
          </cell>
          <cell r="B3366">
            <v>1</v>
          </cell>
          <cell r="C3366" t="str">
            <v>1|14302|1</v>
          </cell>
          <cell r="D3366" t="str">
            <v>大雁塔95层奖励</v>
          </cell>
          <cell r="E3366" t="str">
            <v>1|14302|1|1</v>
          </cell>
        </row>
        <row r="3367">
          <cell r="A3367">
            <v>47058</v>
          </cell>
          <cell r="B3367">
            <v>1</v>
          </cell>
          <cell r="C3367" t="str">
            <v>4|3|1500</v>
          </cell>
          <cell r="D3367" t="str">
            <v>大雁塔100层奖励</v>
          </cell>
          <cell r="E3367" t="str">
            <v>4|3|1500|1</v>
          </cell>
        </row>
        <row r="3368">
          <cell r="A3368">
            <v>47059</v>
          </cell>
          <cell r="B3368">
            <v>1</v>
          </cell>
          <cell r="C3368" t="str">
            <v>1|14204|40</v>
          </cell>
          <cell r="D3368" t="str">
            <v>大雁塔100层奖励</v>
          </cell>
          <cell r="E3368" t="str">
            <v>1|14204|40|1</v>
          </cell>
        </row>
        <row r="3369">
          <cell r="A3369">
            <v>47060</v>
          </cell>
          <cell r="B3369">
            <v>1</v>
          </cell>
          <cell r="C3369" t="str">
            <v>1|14302|1</v>
          </cell>
          <cell r="D3369" t="str">
            <v>大雁塔100层奖励</v>
          </cell>
          <cell r="E3369" t="str">
            <v>1|14302|1|1</v>
          </cell>
        </row>
        <row r="3370">
          <cell r="A3370">
            <v>49001</v>
          </cell>
          <cell r="B3370">
            <v>0</v>
          </cell>
          <cell r="C3370" t="str">
            <v>4|12|25</v>
          </cell>
          <cell r="D3370" t="str">
            <v>恢复25点体力</v>
          </cell>
          <cell r="E3370" t="str">
            <v>4|12|25|1</v>
          </cell>
        </row>
        <row r="3371">
          <cell r="A3371">
            <v>49002</v>
          </cell>
          <cell r="B3371">
            <v>0</v>
          </cell>
          <cell r="C3371" t="str">
            <v>4|13|10</v>
          </cell>
          <cell r="D3371" t="str">
            <v>恢复10点精力</v>
          </cell>
          <cell r="E3371" t="str">
            <v>4|13|10|1</v>
          </cell>
        </row>
        <row r="3372">
          <cell r="A3372">
            <v>49003</v>
          </cell>
          <cell r="B3372">
            <v>0</v>
          </cell>
          <cell r="C3372" t="str">
            <v>4|14|1</v>
          </cell>
          <cell r="D3372" t="str">
            <v>获得1个迎战券</v>
          </cell>
          <cell r="E3372" t="str">
            <v>4|14|1|1</v>
          </cell>
        </row>
        <row r="3373">
          <cell r="A3373">
            <v>49004</v>
          </cell>
          <cell r="B3373">
            <v>0</v>
          </cell>
          <cell r="C3373" t="str">
            <v>4|33|1</v>
          </cell>
          <cell r="D3373" t="str">
            <v>挑战令开启获得挑战次数</v>
          </cell>
          <cell r="E3373" t="str">
            <v>4|33|1|1</v>
          </cell>
        </row>
        <row r="3374">
          <cell r="A3374">
            <v>49005</v>
          </cell>
          <cell r="B3374">
            <v>1</v>
          </cell>
          <cell r="C3374" t="str">
            <v>4|1|10000</v>
          </cell>
          <cell r="D3374" t="str">
            <v>1万金币宝箱</v>
          </cell>
          <cell r="E3374" t="str">
            <v>4|1|10000|1</v>
          </cell>
        </row>
        <row r="3375">
          <cell r="A3375">
            <v>49006</v>
          </cell>
          <cell r="B3375">
            <v>1</v>
          </cell>
          <cell r="C3375" t="str">
            <v>4|1|50000</v>
          </cell>
          <cell r="D3375" t="str">
            <v>货币</v>
          </cell>
          <cell r="E3375" t="str">
            <v>4|1|50000|4,4|1|800000|3,4|1|100000|2,4|1|200000|1</v>
          </cell>
        </row>
        <row r="3376">
          <cell r="A3376">
            <v>49007</v>
          </cell>
          <cell r="B3376">
            <v>1</v>
          </cell>
          <cell r="C3376" t="str">
            <v>1|14107|50</v>
          </cell>
          <cell r="D3376" t="str">
            <v>精炼石</v>
          </cell>
          <cell r="E3376" t="str">
            <v>1|14107|50|4,1|14107|100|4,1|14107|400|2</v>
          </cell>
        </row>
        <row r="3377">
          <cell r="A3377">
            <v>49008</v>
          </cell>
          <cell r="B3377">
            <v>1</v>
          </cell>
          <cell r="C3377" t="str">
            <v>1|14201|50</v>
          </cell>
          <cell r="D3377" t="str">
            <v>法宝精炼</v>
          </cell>
          <cell r="E3377" t="str">
            <v>1|14201|50|4,1|14201|100|4,1|14201|400|2</v>
          </cell>
        </row>
        <row r="3378">
          <cell r="A3378">
            <v>49009</v>
          </cell>
          <cell r="B3378">
            <v>1</v>
          </cell>
          <cell r="C3378" t="str">
            <v>1|14104|50</v>
          </cell>
          <cell r="D3378" t="str">
            <v>技能书</v>
          </cell>
          <cell r="E3378" t="str">
            <v>1|14104|50|4,1|14104|100|4,1|14104|400|2</v>
          </cell>
        </row>
        <row r="3379">
          <cell r="A3379">
            <v>49010</v>
          </cell>
          <cell r="B3379">
            <v>0</v>
          </cell>
          <cell r="C3379" t="str">
            <v>4|26|100</v>
          </cell>
          <cell r="D3379" t="str">
            <v>VIP经验卡-获得100点VIP经验值</v>
          </cell>
          <cell r="E3379" t="str">
            <v>4|26|100|1</v>
          </cell>
        </row>
        <row r="3380">
          <cell r="A3380">
            <v>49011</v>
          </cell>
          <cell r="B3380">
            <v>0</v>
          </cell>
          <cell r="C3380" t="str">
            <v>4|10|10000</v>
          </cell>
          <cell r="D3380" t="str">
            <v>玩家经验-获得10000点玩家经验值</v>
          </cell>
          <cell r="E3380" t="str">
            <v>4|10|10000|1</v>
          </cell>
        </row>
        <row r="3381">
          <cell r="A3381">
            <v>49012</v>
          </cell>
          <cell r="B3381">
            <v>1</v>
          </cell>
          <cell r="C3381" t="str">
            <v>[]</v>
          </cell>
          <cell r="D3381" t="str">
            <v>大闹三界宝箱奖励</v>
          </cell>
          <cell r="E3381" t="str">
            <v>3|49015|1|70,3|49016|1|20,3|49017|1|10</v>
          </cell>
        </row>
        <row r="3382">
          <cell r="A3382">
            <v>49013</v>
          </cell>
          <cell r="B3382">
            <v>1</v>
          </cell>
          <cell r="C3382" t="str">
            <v>4|1|2000000</v>
          </cell>
          <cell r="D3382" t="str">
            <v>钱宝</v>
          </cell>
          <cell r="E3382" t="str">
            <v>4|1|2000000|1</v>
          </cell>
        </row>
        <row r="3383">
          <cell r="A3383">
            <v>49014</v>
          </cell>
          <cell r="B3383">
            <v>1</v>
          </cell>
          <cell r="C3383" t="str">
            <v>4|2|10000</v>
          </cell>
          <cell r="D3383" t="str">
            <v>阿里巴巴</v>
          </cell>
          <cell r="E3383" t="str">
            <v>4|2|10000|1</v>
          </cell>
        </row>
        <row r="3384">
          <cell r="A3384">
            <v>49015</v>
          </cell>
          <cell r="B3384">
            <v>1</v>
          </cell>
          <cell r="C3384" t="str">
            <v>[]</v>
          </cell>
          <cell r="D3384" t="str">
            <v>大闹三界宝箱奖励-铜钱</v>
          </cell>
          <cell r="E3384" t="str">
            <v>4|1|1000|1,4|1|2000|1,4|1|3000|1,4|1|4000|1,4|1|5000|1</v>
          </cell>
        </row>
        <row r="3385">
          <cell r="A3385">
            <v>49016</v>
          </cell>
          <cell r="B3385">
            <v>1</v>
          </cell>
          <cell r="C3385" t="str">
            <v>[]</v>
          </cell>
          <cell r="D3385" t="str">
            <v>大闹三界宝箱奖励-洗炼丹</v>
          </cell>
          <cell r="E3385" t="str">
            <v>1|14106|10|1,1|14106|12|1,1|14106|15|1,1|14106|18|1,1|14106|20|1</v>
          </cell>
        </row>
        <row r="3386">
          <cell r="A3386">
            <v>49017</v>
          </cell>
          <cell r="B3386">
            <v>1</v>
          </cell>
          <cell r="C3386" t="str">
            <v>[]</v>
          </cell>
          <cell r="D3386" t="str">
            <v>大闹三界宝箱奖励-洗炼突破丹</v>
          </cell>
          <cell r="E3386" t="str">
            <v>1|16010|2|1,1|16010|3|1,1|16010|4|1,1|16010|5|1,1|16010|6|1</v>
          </cell>
        </row>
        <row r="3387">
          <cell r="A3387">
            <v>49018</v>
          </cell>
          <cell r="B3387">
            <v>1</v>
          </cell>
          <cell r="C3387" t="str">
            <v>[]</v>
          </cell>
          <cell r="D3387" t="str">
            <v>橙色套装碎片</v>
          </cell>
          <cell r="E3387" t="str">
            <v>1|11029|1|1,1|11030|1|1,1|11031|1|1,1|11032|1|1</v>
          </cell>
        </row>
        <row r="3388">
          <cell r="A3388">
            <v>49019</v>
          </cell>
          <cell r="B3388">
            <v>1</v>
          </cell>
          <cell r="C3388" t="str">
            <v>[]</v>
          </cell>
          <cell r="D3388" t="str">
            <v>橙色散装碎片</v>
          </cell>
          <cell r="E3388" t="str">
            <v>1|11025|1|1,1|11026|1|1,1|11027|1|1,1|11028|1|1</v>
          </cell>
        </row>
        <row r="3389">
          <cell r="A3389">
            <v>49020</v>
          </cell>
          <cell r="B3389">
            <v>1</v>
          </cell>
          <cell r="C3389" t="str">
            <v>[]</v>
          </cell>
          <cell r="D3389" t="str">
            <v>紫色套装碎片</v>
          </cell>
          <cell r="E3389" t="str">
            <v>1|11017|1|1,1|11018|1|1,1|11019|1|1,1|11020|1|1,1|11021|1|1,1|11022|1|1,1|11023|1|1,1|11024|1|1</v>
          </cell>
        </row>
        <row r="3390">
          <cell r="A3390">
            <v>49021</v>
          </cell>
          <cell r="B3390">
            <v>1</v>
          </cell>
          <cell r="C3390" t="str">
            <v>[]</v>
          </cell>
          <cell r="D3390" t="str">
            <v>紫色散装碎片</v>
          </cell>
          <cell r="E3390" t="str">
            <v>1|11013|1|1,1|11014|1|1,1|11015|1|1,1|11016|1|1</v>
          </cell>
        </row>
        <row r="3391">
          <cell r="A3391">
            <v>49022</v>
          </cell>
          <cell r="B3391">
            <v>1</v>
          </cell>
          <cell r="C3391" t="str">
            <v>[]</v>
          </cell>
          <cell r="D3391" t="str">
            <v>蓝色套装碎片</v>
          </cell>
          <cell r="E3391" t="str">
            <v>1|11005|1|1,1|11006|1|1,1|11007|1|1,1|11008|1|1,1|11009|1|1,1|11010|1|1,1|11011|1|1,1|11012|1|1</v>
          </cell>
        </row>
        <row r="3392">
          <cell r="A3392">
            <v>49023</v>
          </cell>
          <cell r="B3392">
            <v>1</v>
          </cell>
          <cell r="C3392" t="str">
            <v>[]</v>
          </cell>
          <cell r="D3392" t="str">
            <v>蓝色散装碎片</v>
          </cell>
          <cell r="E3392" t="str">
            <v>1|11001|1|1,1|11002|1|1,1|11003|1|1,1|11004|1|1</v>
          </cell>
        </row>
        <row r="3393">
          <cell r="A3393">
            <v>49024</v>
          </cell>
          <cell r="B3393">
            <v>1</v>
          </cell>
          <cell r="C3393" t="str">
            <v>[]</v>
          </cell>
          <cell r="D3393" t="str">
            <v>蓝色套装</v>
          </cell>
          <cell r="E3393" t="str">
            <v>2|2025|1|1,2|2026|1|1,2|2027|1|1,2|2028|1|1,2|2029|1|1,2|2030|1|1,2|2031|1|1,2|2032|1|1</v>
          </cell>
        </row>
        <row r="3394">
          <cell r="A3394">
            <v>49025</v>
          </cell>
          <cell r="B3394">
            <v>1</v>
          </cell>
          <cell r="C3394" t="str">
            <v>[]</v>
          </cell>
          <cell r="D3394" t="str">
            <v>蓝色散装</v>
          </cell>
          <cell r="E3394" t="str">
            <v>2|2021|1|1,2|2022|1|1,2|2023|1|1,2|2024|1|1</v>
          </cell>
        </row>
        <row r="3395">
          <cell r="A3395">
            <v>49101</v>
          </cell>
          <cell r="B3395">
            <v>1</v>
          </cell>
          <cell r="C3395" t="str">
            <v>[]</v>
          </cell>
          <cell r="D3395" t="str">
            <v>初级装备碎片宝箱</v>
          </cell>
          <cell r="E3395" t="str">
            <v>3|49021|1|50,3|49022|1|45,3|49021|1|5</v>
          </cell>
        </row>
        <row r="3396">
          <cell r="A3396">
            <v>49102</v>
          </cell>
          <cell r="B3396">
            <v>1</v>
          </cell>
          <cell r="C3396" t="str">
            <v>[]</v>
          </cell>
          <cell r="D3396" t="str">
            <v>中级装备碎片宝箱</v>
          </cell>
          <cell r="E3396" t="str">
            <v>3|49018|1|5,3|49019|1|15,3|49020|1|20,3|49021|1|30,3|49022|1|30</v>
          </cell>
        </row>
        <row r="3397">
          <cell r="A3397">
            <v>49103</v>
          </cell>
          <cell r="B3397">
            <v>1</v>
          </cell>
          <cell r="C3397" t="str">
            <v>[]</v>
          </cell>
          <cell r="D3397" t="str">
            <v>高级装备碎片宝箱</v>
          </cell>
          <cell r="E3397" t="str">
            <v>3|49018|1|5,3|49019|1|10,3|49020|1|30,3|49021|1|40,3|49024|1|5,3|49025|1|10</v>
          </cell>
        </row>
        <row r="3398">
          <cell r="A3398">
            <v>49104</v>
          </cell>
          <cell r="B3398">
            <v>0</v>
          </cell>
          <cell r="C3398" t="str">
            <v>[]</v>
          </cell>
          <cell r="D3398" t="str">
            <v>雁虞套装宝箱</v>
          </cell>
          <cell r="E3398" t="str">
            <v>2|2021|1|1,2|2022|1|1,2|2023|1|1,2|2024|1|1</v>
          </cell>
        </row>
        <row r="3399">
          <cell r="A3399">
            <v>49105</v>
          </cell>
          <cell r="B3399">
            <v>1</v>
          </cell>
          <cell r="C3399" t="str">
            <v>[]</v>
          </cell>
          <cell r="D3399" t="str">
            <v>蓝色装备碎片宝箱</v>
          </cell>
          <cell r="E3399" t="str">
            <v>1|11001|1|3,1|11002|1|3,1|11003|1|3,1|11004|1|3,1|11005|1|3,1|11006|1|3,1|11007|1|3,1|11008|1|3,1|11009|1|3,1|11010|1|3,1|11011|1|3,1|11012|1|3</v>
          </cell>
        </row>
        <row r="3400">
          <cell r="A3400">
            <v>49106</v>
          </cell>
          <cell r="B3400">
            <v>1</v>
          </cell>
          <cell r="C3400" t="str">
            <v>[]</v>
          </cell>
          <cell r="D3400" t="str">
            <v>紫色装备碎片宝箱</v>
          </cell>
          <cell r="E3400" t="str">
            <v>1|11013|1|10,1|11014|1|10,1|11015|1|10,1|11016|1|10,1|11017|1|10,1|11018|1|10,1|11019|1|10,1|11020|1|10,1|11021|1|10,1|11022|1|10,1|11023|1|10,1|11024|1|10</v>
          </cell>
        </row>
        <row r="3401">
          <cell r="A3401">
            <v>49107</v>
          </cell>
          <cell r="B3401">
            <v>1</v>
          </cell>
          <cell r="C3401" t="str">
            <v>[]</v>
          </cell>
          <cell r="D3401" t="str">
            <v>橙色装备碎片宝箱</v>
          </cell>
          <cell r="E3401" t="str">
            <v>1|11025|1|10,1|11026|1|10,1|11027|1|10,1|11028|1|10,1|11029|1|10,1|11030|1|10,1|11031|1|10,1|11032|1|10,1|11033|1|10,1|11034|1|10,1|11035|1|10,1|11036|1|10</v>
          </cell>
        </row>
        <row r="3402">
          <cell r="A3402">
            <v>49108</v>
          </cell>
          <cell r="B3402">
            <v>1</v>
          </cell>
          <cell r="C3402" t="str">
            <v>[]</v>
          </cell>
          <cell r="D3402" t="str">
            <v>蓝色装备碎片宝箱</v>
          </cell>
          <cell r="E3402" t="str">
            <v>1|11001|1|3,1|11002|1|3,1|11003|1|3,1|11004|1|3,1|11005|1|3,1|11006|1|3,1|11007|1|3,1|11008|1|3,1|11009|1|3,1|11010|1|3,1|11011|1|3,1|11012|1|3</v>
          </cell>
        </row>
        <row r="3403">
          <cell r="A3403">
            <v>49109</v>
          </cell>
          <cell r="B3403">
            <v>1</v>
          </cell>
          <cell r="C3403" t="str">
            <v>3|50000|1</v>
          </cell>
          <cell r="D3403" t="str">
            <v>初级法宝碎片宝箱</v>
          </cell>
          <cell r="E3403" t="str">
            <v>3|49112|1|95,3|49113|1|5</v>
          </cell>
        </row>
        <row r="3404">
          <cell r="A3404">
            <v>49110</v>
          </cell>
          <cell r="B3404">
            <v>1</v>
          </cell>
          <cell r="C3404" t="str">
            <v>3|50018|1</v>
          </cell>
          <cell r="D3404" t="str">
            <v>中级法宝碎片宝箱</v>
          </cell>
          <cell r="E3404" t="str">
            <v>3|49112|1|75,3|49113|1|20,3|49114|1|5</v>
          </cell>
        </row>
        <row r="3405">
          <cell r="A3405">
            <v>49111</v>
          </cell>
          <cell r="B3405">
            <v>1</v>
          </cell>
          <cell r="C3405" t="str">
            <v>3|50018|1</v>
          </cell>
          <cell r="D3405" t="str">
            <v>高级法宝碎片宝箱</v>
          </cell>
          <cell r="E3405" t="str">
            <v>3|49112|1|20,3|49113|1|40,3|49114|1|40</v>
          </cell>
        </row>
        <row r="3406">
          <cell r="A3406">
            <v>49112</v>
          </cell>
          <cell r="B3406">
            <v>1</v>
          </cell>
          <cell r="C3406" t="str">
            <v>1|12001|1</v>
          </cell>
          <cell r="D3406" t="str">
            <v>蓝色法宝碎片</v>
          </cell>
          <cell r="E3406" t="str">
            <v>1|12001|1|1,1|12002|1|1,1|12003|1|1,1|12004|1|1,1|12005|1|1,1|12006|1|1</v>
          </cell>
        </row>
        <row r="3407">
          <cell r="A3407">
            <v>49113</v>
          </cell>
          <cell r="B3407">
            <v>1</v>
          </cell>
          <cell r="C3407" t="str">
            <v>1|12013|1</v>
          </cell>
          <cell r="D3407" t="str">
            <v>紫色法宝碎片</v>
          </cell>
          <cell r="E3407" t="str">
            <v>1|12013|1|1,1|12014|1|1,1|12015|1|1,1|12016|1|1,1|12017|1|1,1|12018|1|1,1|12019|1|1,1|12020|1|1,1|12021|1|1,1|12022|1|1,1|12023|1|1,1|12024|1|1,1|12025|1|1,1|12026|1|1,1|12027|1|1,1|12028|1|1,1|12070|1|1,1|12071|1|1,1|12072|1|1,1|12073|1|1</v>
          </cell>
        </row>
        <row r="3408">
          <cell r="A3408">
            <v>49114</v>
          </cell>
          <cell r="B3408">
            <v>1</v>
          </cell>
          <cell r="C3408" t="str">
            <v>1|12037|1</v>
          </cell>
          <cell r="D3408" t="str">
            <v>橙色法宝碎片</v>
          </cell>
          <cell r="E3408" t="str">
            <v>1|12037|1|1,1|12038|1|1,1|12039|1|1,1|12040|1|1,1|12041|1|1,1|12042|1|1,1|12043|1|1,1|12044|1|1,1|12045|1|1,1|12046|1|1,1|12047|1|1,1|12048|1|1,1|12049|1|1,1|12050|1|1,1|12051|1|1,1|12052|1|1,1|12053|1|1,1|12054|1|1,1|12055|1|1,1|12056|1|1,1|12074|1|1,1|12075|1|1,1|12076|1|1,1|12077|1|1,1|12078|1|1</v>
          </cell>
        </row>
        <row r="3409">
          <cell r="A3409">
            <v>49115</v>
          </cell>
          <cell r="B3409">
            <v>1</v>
          </cell>
          <cell r="C3409" t="str">
            <v>1|12067|1</v>
          </cell>
          <cell r="D3409" t="str">
            <v>蓝色经验法宝碎片</v>
          </cell>
          <cell r="E3409" t="str">
            <v>1|12067|1|1,1|12068|1|1,1|12069|1|1</v>
          </cell>
        </row>
        <row r="3410">
          <cell r="A3410">
            <v>49116</v>
          </cell>
          <cell r="B3410">
            <v>1</v>
          </cell>
          <cell r="C3410" t="str">
            <v>1|12070|1</v>
          </cell>
          <cell r="D3410" t="str">
            <v>紫色经验法宝碎片</v>
          </cell>
          <cell r="E3410" t="str">
            <v>1|12070|1|1,1|12071|1|1,1|12072|1|1,1|12073|1|1</v>
          </cell>
        </row>
        <row r="3411">
          <cell r="A3411">
            <v>49117</v>
          </cell>
          <cell r="B3411">
            <v>1</v>
          </cell>
          <cell r="C3411" t="str">
            <v>1|12074|1</v>
          </cell>
          <cell r="D3411" t="str">
            <v>橙色经验法宝碎片</v>
          </cell>
          <cell r="E3411" t="str">
            <v>1|12074|1|1,1|12075|1|1,1|12076|1|1,1|12077|1|1,1|12078|1|1</v>
          </cell>
        </row>
        <row r="3412">
          <cell r="A3412">
            <v>49118</v>
          </cell>
          <cell r="B3412">
            <v>1</v>
          </cell>
          <cell r="C3412" t="str">
            <v>1|12037|1</v>
          </cell>
          <cell r="D3412" t="str">
            <v>橙色攻击法宝碎片宝箱</v>
          </cell>
          <cell r="E3412" t="str">
            <v>1|12037|1|1,1|12038|1|1,1|12039|1|1,1|12040|1|1,1|12041|1|1,1|12047|1|1,1|12048|1|1,1|12049|1|1,1|12050|1|1,1|12051|1|1</v>
          </cell>
        </row>
        <row r="3413">
          <cell r="A3413">
            <v>49119</v>
          </cell>
          <cell r="B3413">
            <v>1</v>
          </cell>
          <cell r="C3413" t="str">
            <v>1|12042|1</v>
          </cell>
          <cell r="D3413" t="str">
            <v>橙色防御法宝碎片宝箱</v>
          </cell>
          <cell r="E3413" t="str">
            <v>1|12042|1|1,1|12043|1|1,1|12044|1|1,1|12045|1|1,1|12046|1|1,1|12052|1|1,1|12053|1|1,1|12054|1|1,1|12055|1|1,1|12056|1|1</v>
          </cell>
        </row>
        <row r="3414">
          <cell r="A3414">
            <v>49200</v>
          </cell>
          <cell r="B3414">
            <v>1</v>
          </cell>
          <cell r="C3414" t="str">
            <v>[]</v>
          </cell>
          <cell r="D3414" t="str">
            <v>聚魂珠</v>
          </cell>
          <cell r="E3414" t="str">
            <v>4|45|5|1,4|45|6|1,4|45|7|1,4|45|8|1,4|45|9|1,4|45|10|1,4|45|11|1,4|45|12|1,4|45|13|1,4|45|14|1,4|45|15|1</v>
          </cell>
        </row>
        <row r="3415">
          <cell r="A3415">
            <v>49201</v>
          </cell>
          <cell r="B3415">
            <v>1</v>
          </cell>
          <cell r="C3415" t="str">
            <v>[]</v>
          </cell>
          <cell r="D3415" t="str">
            <v>蓝色伙伴碎片箱（给的紫色将，不给蓝的，这个不要用）</v>
          </cell>
          <cell r="E3415" t="str">
            <v>1|10108|1|1,1|10018|1|1,1|10036|1|1,1|10028|1|1,1|10092|1|1,1|10052|1|1,1|10034|1|1,1|10033|1|1,1|10103|1|1,1|10104|1|1,1|10106|1|1,1|10105|1|1,1|10039|1|1,1|10040|1|1,1|10038|1|1,1|10126|1|1,1|10041|1|1,1|10404|1|1</v>
          </cell>
        </row>
        <row r="3416">
          <cell r="A3416">
            <v>49202</v>
          </cell>
          <cell r="B3416">
            <v>1</v>
          </cell>
          <cell r="C3416" t="str">
            <v>[]</v>
          </cell>
          <cell r="D3416" t="str">
            <v>紫色伙伴碎片箱</v>
          </cell>
          <cell r="E3416" t="str">
            <v>1|10108|1|1,1|10018|1|1,1|10036|1|1,1|10028|1|1,1|10092|1|1,1|10052|1|1,1|10034|1|1,1|10033|1|1,1|10103|1|1,1|10104|1|1,1|10106|1|1,1|10105|1|1,1|10039|1|1,1|10040|1|1,1|10038|1|1,1|10126|1|1,1|10041|1|1,1|10404|1|1</v>
          </cell>
        </row>
        <row r="3417">
          <cell r="A3417">
            <v>49203</v>
          </cell>
          <cell r="B3417">
            <v>1</v>
          </cell>
          <cell r="C3417" t="str">
            <v>[]</v>
          </cell>
          <cell r="D3417" t="str">
            <v>橙13伙伴碎片箱</v>
          </cell>
          <cell r="E3417" t="str">
            <v>1|10015|1|1,1|10022|1|1,1|10025|1|1,1|10010|1|1,1|10116|1|1,1|10102|1|1,1|10107|1|1,1|10009|1|1,1|10004|1|1,1|10007|1|1,1|10035|1|1,1|10023|1|1,1|10101|1|1,1|10006|1|1,1|10016|1|1,1|10017|1|1,1|10014|1|1,1|10032|1|1,1|10031|1|1,1|10037|1|1,1|10108|1|1</v>
          </cell>
        </row>
        <row r="3418">
          <cell r="A3418">
            <v>49204</v>
          </cell>
          <cell r="B3418">
            <v>1</v>
          </cell>
          <cell r="C3418" t="str">
            <v>[]</v>
          </cell>
          <cell r="D3418" t="str">
            <v>橙16伙伴碎片箱</v>
          </cell>
          <cell r="E3418" t="str">
            <v>1|10027|1|1,1|10112|1|1,1|10113|1|1,1|10114|1|1,1|10115|1|1,1|10008|1|1,1|10119|1|1,1|10002|1|1,1|10118|1|1,1|10003|1|1,1|10011|1|1,1|10012|1|1,1|10013|1|1,1|10020|1|1,1|10015|1|1</v>
          </cell>
        </row>
        <row r="3419">
          <cell r="A3419">
            <v>49205</v>
          </cell>
          <cell r="B3419">
            <v>1</v>
          </cell>
          <cell r="C3419" t="str">
            <v>[]</v>
          </cell>
          <cell r="D3419" t="str">
            <v>橙色伙伴碎片箱</v>
          </cell>
          <cell r="E3419" t="str">
            <v>3|49203|1|90,3|49204|1|10</v>
          </cell>
        </row>
        <row r="3420">
          <cell r="A3420">
            <v>49206</v>
          </cell>
          <cell r="B3420">
            <v>1</v>
          </cell>
          <cell r="C3420" t="str">
            <v>[]</v>
          </cell>
          <cell r="D3420" t="str">
            <v>紫色伙伴宝箱</v>
          </cell>
          <cell r="E3420" t="str">
            <v>5|1130|1|1,5|1118|1|1,5|1136|1|1,5|1128|1|1,5|1192|1|1,5|1152|1|1,5|1134|1|1,5|1133|1|1,5|1203|1|1,5|1204|1|1,5|1206|1|1,5|1205|1|1,5|1139|1|1,5|1140|1|1,5|1138|1|1,5|1226|1|1,5|1141|1|1,5|1504|1|1</v>
          </cell>
        </row>
        <row r="3421">
          <cell r="A3421">
            <v>49207</v>
          </cell>
          <cell r="B3421">
            <v>1</v>
          </cell>
          <cell r="C3421" t="str">
            <v>[]</v>
          </cell>
          <cell r="D3421" t="str">
            <v>橙色伙伴宝箱</v>
          </cell>
          <cell r="E3421" t="str">
            <v>5|1126|1|1,5|1122|1|1,5|1125|1|1,5|1110|1|1,5|1216|1|1,5|1202|1|1,5|1207|1|1,5|1109|1|1,5|1104|1|1,5|1107|1|1,5|1135|1|1,5|1123|1|1,5|1201|1|1,5|1106|1|1,5|1116|1|1,5|1117|1|1,5|1114|1|1,5|1132|1|1,5|1131|1|1,5|1137|1|1,5|1208|1|1</v>
          </cell>
        </row>
        <row r="3422">
          <cell r="A3422">
            <v>49208</v>
          </cell>
          <cell r="B3422">
            <v>1</v>
          </cell>
          <cell r="C3422" t="str">
            <v>[]</v>
          </cell>
          <cell r="D3422" t="str">
            <v>极品橙色伙伴宝箱</v>
          </cell>
          <cell r="E3422" t="str">
            <v>5|1127|1|1,5|1212|1|1,5|1213|1|1,5|1214|1|1,5|1215|1|1,5|1108|1|1,5|1219|1|1,5|1102|1|1,5|1218|1|1,5|1103|1|1,5|1111|1|1,5|1112|1|1,5|1113|1|1,5|1120|1|1,5|1115|1|1</v>
          </cell>
        </row>
        <row r="3423">
          <cell r="A3423">
            <v>49209</v>
          </cell>
          <cell r="B3423">
            <v>3</v>
          </cell>
          <cell r="C3423" t="str">
            <v>1|10009|1,1|10004|1,1|10007|1,1|10035|1,1|10023|1,1|10101|1,1|10006|1</v>
          </cell>
          <cell r="D3423" t="str">
            <v>橙13仙将碎片选择箱</v>
          </cell>
          <cell r="E3423" t="str">
            <v>1|10009|1|1,1|10004|1|1,1|10007|1|1,1|10035|1|1,1|10023|1|1,1|10101|1|1,1|10006|1|1</v>
          </cell>
        </row>
        <row r="3424">
          <cell r="A3424">
            <v>49210</v>
          </cell>
          <cell r="B3424">
            <v>3</v>
          </cell>
          <cell r="C3424" t="str">
            <v>1|10026|1,1|10022|1,1|10025|1,1|10010|1,1|10116|1,1|10102|1,1|10107|1</v>
          </cell>
          <cell r="D3424" t="str">
            <v>橙13佛将碎片选择箱</v>
          </cell>
          <cell r="E3424" t="str">
            <v>1|10026|1|1,1|10022|1|1,1|10025|1|1,1|10010|1|1,1|10116|1|1,1|10102|1|1,1|10107|1|1</v>
          </cell>
        </row>
        <row r="3425">
          <cell r="A3425">
            <v>49211</v>
          </cell>
          <cell r="B3425">
            <v>3</v>
          </cell>
          <cell r="C3425" t="str">
            <v>1|10016|1,1|10017|1,1|10014|1,1|10032|1,1|10031|1,1|10037|1,1|10108|1</v>
          </cell>
          <cell r="D3425" t="str">
            <v>橙13妖将碎片选择箱</v>
          </cell>
          <cell r="E3425" t="str">
            <v>1|10016|1|1,1|10017|1|1,1|10014|1|1,1|10032|1|1,1|10031|1|1,1|10037|1|1,1|10108|1|1</v>
          </cell>
        </row>
        <row r="3426">
          <cell r="A3426">
            <v>49212</v>
          </cell>
          <cell r="B3426">
            <v>3</v>
          </cell>
          <cell r="C3426" t="str">
            <v>1|14510|1,1|14511|1,1|14512|1</v>
          </cell>
          <cell r="D3426" t="str">
            <v>橙13伙伴碎片选择箱</v>
          </cell>
          <cell r="E3426" t="str">
            <v>1|14510|1|1,1|14511|1|1,1|14512|1|1</v>
          </cell>
        </row>
        <row r="3427">
          <cell r="A3427">
            <v>49213</v>
          </cell>
          <cell r="B3427">
            <v>3</v>
          </cell>
          <cell r="C3427" t="str">
            <v>1|10008|1,1|10119|1,1|10002|1,1|10118|1,1|10003|1</v>
          </cell>
          <cell r="D3427" t="str">
            <v>橙16仙将碎片选择箱</v>
          </cell>
          <cell r="E3427" t="str">
            <v>1|10008|1|1,1|10119|1|1,1|10002|1|1,1|10118|1|1,1|10003|1|1</v>
          </cell>
        </row>
        <row r="3428">
          <cell r="A3428">
            <v>49214</v>
          </cell>
          <cell r="B3428">
            <v>3</v>
          </cell>
          <cell r="C3428" t="str">
            <v>1|10027|1,1|10112|1,1|10113|1,1|10114|1,1|10115|1</v>
          </cell>
          <cell r="D3428" t="str">
            <v>橙16佛将碎片选择箱</v>
          </cell>
          <cell r="E3428" t="str">
            <v>1|10027|1|1,1|10112|1|1,1|10113|1|1,1|10114|1|1,1|10115|1|1</v>
          </cell>
        </row>
        <row r="3429">
          <cell r="A3429">
            <v>49215</v>
          </cell>
          <cell r="B3429">
            <v>3</v>
          </cell>
          <cell r="C3429" t="str">
            <v>1|10011|1,1|10012|1,1|10013|1,1|10020|1,1|10015|1</v>
          </cell>
          <cell r="D3429" t="str">
            <v>橙16妖将碎片选择箱</v>
          </cell>
          <cell r="E3429" t="str">
            <v>1|10011|1|1,1|10012|1|1,1|10013|1|1,1|10020|1|1,1|10015|1|1</v>
          </cell>
        </row>
        <row r="3430">
          <cell r="A3430">
            <v>49216</v>
          </cell>
          <cell r="B3430">
            <v>3</v>
          </cell>
          <cell r="C3430" t="str">
            <v>1|14507|1,1|14508|1,1|14509|1</v>
          </cell>
          <cell r="D3430" t="str">
            <v>橙16伙伴碎片选择箱</v>
          </cell>
          <cell r="E3430" t="str">
            <v>1|14507|1|1,1|14508|1|1,1|14509|1|1</v>
          </cell>
        </row>
        <row r="3431">
          <cell r="A3431">
            <v>49217</v>
          </cell>
          <cell r="B3431">
            <v>3</v>
          </cell>
          <cell r="C3431" t="str">
            <v>1|11025|1,1|11026|1,1|11027|1,1|11028|1,1|11029|1,1|11030|1,1|11031|1,1|11032|1,1|11033|1,1|11034|1,1|11035|1,1|11036|1</v>
          </cell>
          <cell r="D3431" t="str">
            <v>橙色装备碎片选择箱</v>
          </cell>
          <cell r="E3431" t="str">
            <v>1|11025|1|1,1|11026|1|1,1|11027|1|1,1|11028|1|1,1|11029|1|1,1|11030|1|1,1|11031|1|1,1|11032|1|1,1|11033|1|1,1|11034|1|1,1|11035|1|1,1|11036|1|1</v>
          </cell>
        </row>
        <row r="3432">
          <cell r="A3432">
            <v>49218</v>
          </cell>
          <cell r="B3432">
            <v>3</v>
          </cell>
          <cell r="C3432" t="str">
            <v>1|12037|1,1|12042|1,1|12047|1,1|12052|1</v>
          </cell>
          <cell r="D3432" t="str">
            <v>橙色法宝碎片选择箱</v>
          </cell>
          <cell r="E3432" t="str">
            <v>1|12037|1|1,1|12042|1|1,1|12047|1|1,1|12052|1|1</v>
          </cell>
        </row>
        <row r="3433">
          <cell r="A3433">
            <v>49219</v>
          </cell>
          <cell r="B3433">
            <v>1</v>
          </cell>
          <cell r="C3433" t="str">
            <v>[]</v>
          </cell>
          <cell r="D3433" t="str">
            <v>元旦彩蛋</v>
          </cell>
          <cell r="E3433" t="str">
            <v>4|2|18|13,4|2|188|2,1|14106|5|10,1|16010|5|10,1|16005|5|10,1|14201|5|10,1|17001|5|10,1|14584|5|2,1|14505|5|15,1|14315|1|18</v>
          </cell>
        </row>
        <row r="3434">
          <cell r="A3434">
            <v>49220</v>
          </cell>
          <cell r="B3434">
            <v>1</v>
          </cell>
          <cell r="C3434" t="str">
            <v>[]</v>
          </cell>
          <cell r="D3434" t="str">
            <v>新服彩蛋</v>
          </cell>
          <cell r="E3434" t="str">
            <v>1|14302|5|13,4|2|688|2,1|14106|5|10,1|16010|5|10,1|16005|5|10,1|14201|5|10,1|17001|5|10,1|14584|5|2,1|14505|5|15,1|14315|1|18</v>
          </cell>
        </row>
        <row r="3435">
          <cell r="A3435">
            <v>49221</v>
          </cell>
          <cell r="B3435">
            <v>1</v>
          </cell>
          <cell r="C3435" t="str">
            <v>[]</v>
          </cell>
          <cell r="D3435" t="str">
            <v>小拳拳</v>
          </cell>
          <cell r="E3435" t="str">
            <v>4|2|18|13,4|2|188|2,1|14106|5|10,1|16010|5|10,1|16005|5|10,1|14201|5|10,1|17001|5|10,1|14567|5|2,1|14505|5|15,1|14413|1|18</v>
          </cell>
        </row>
        <row r="3436">
          <cell r="A3436">
            <v>49301</v>
          </cell>
          <cell r="B3436">
            <v>0</v>
          </cell>
          <cell r="C3436" t="str">
            <v>4|1|10000,1|14003|2,1|14102|2,1|14101|1,1|14108|1</v>
          </cell>
          <cell r="D3436" t="str">
            <v>每日礼包vip0</v>
          </cell>
          <cell r="E3436" t="str">
            <v>4|1|10000|1,1|14003|2|1,1|14102|2|1,1|14101|1|1,1|14108|1|1</v>
          </cell>
        </row>
        <row r="3437">
          <cell r="A3437">
            <v>49302</v>
          </cell>
          <cell r="B3437">
            <v>0</v>
          </cell>
          <cell r="C3437" t="str">
            <v>4|1|20000,1|14003|2,1|14102|2,1|14101|2,1|14108|2</v>
          </cell>
          <cell r="D3437" t="str">
            <v>每日礼包vip1</v>
          </cell>
          <cell r="E3437" t="str">
            <v>4|1|20000|1,1|14003|2|1,1|14102|2|1,1|14101|2|1,1|14108|2|1</v>
          </cell>
        </row>
        <row r="3438">
          <cell r="A3438">
            <v>49303</v>
          </cell>
          <cell r="B3438">
            <v>0</v>
          </cell>
          <cell r="C3438" t="str">
            <v>4|1|30000,1|14003|2,1|14102|2,1|14101|2,1|14108|2</v>
          </cell>
          <cell r="D3438" t="str">
            <v>每日礼包vip2</v>
          </cell>
          <cell r="E3438" t="str">
            <v>4|1|30000|1,1|14003|2|1,1|14102|2|1,1|14101|2|1,1|14108|2|1</v>
          </cell>
        </row>
        <row r="3439">
          <cell r="A3439">
            <v>49304</v>
          </cell>
          <cell r="B3439">
            <v>0</v>
          </cell>
          <cell r="C3439" t="str">
            <v>4|1|40000,1|14003|3,1|14102|4,1|14101|2,1|14108|2</v>
          </cell>
          <cell r="D3439" t="str">
            <v>每日礼包vip3</v>
          </cell>
          <cell r="E3439" t="str">
            <v>4|1|40000|1,1|14003|3|1,1|14102|4|1,1|14101|2|1,1|14108|2|1</v>
          </cell>
        </row>
        <row r="3440">
          <cell r="A3440">
            <v>49305</v>
          </cell>
          <cell r="B3440">
            <v>0</v>
          </cell>
          <cell r="C3440" t="str">
            <v>4|1|50000,1|14003|3,1|14102|4,1|14101|3,1|14108|3</v>
          </cell>
          <cell r="D3440" t="str">
            <v>每日礼包vip4</v>
          </cell>
          <cell r="E3440" t="str">
            <v>4|1|50000|1,1|14003|3|1,1|14102|4|1,1|14101|3|1,1|14108|3|1</v>
          </cell>
        </row>
        <row r="3441">
          <cell r="A3441">
            <v>49306</v>
          </cell>
          <cell r="B3441">
            <v>0</v>
          </cell>
          <cell r="C3441" t="str">
            <v>4|1|60000,1|14003|3,1|14102|4,1|14101|3,1|14108|3</v>
          </cell>
          <cell r="D3441" t="str">
            <v>每日礼包vip5</v>
          </cell>
          <cell r="E3441" t="str">
            <v>4|1|60000|1,1|14003|3|1,1|14102|4|1,1|14101|3|1,1|14108|3|1</v>
          </cell>
        </row>
        <row r="3442">
          <cell r="A3442">
            <v>49307</v>
          </cell>
          <cell r="B3442">
            <v>0</v>
          </cell>
          <cell r="C3442" t="str">
            <v>4|1|70000,1|14003|4,1|14102|6,1|14101|3,1|14108|3</v>
          </cell>
          <cell r="D3442" t="str">
            <v>每日礼包vip6</v>
          </cell>
          <cell r="E3442" t="str">
            <v>4|1|70000|1,1|14003|4|1,1|14102|6|1,1|14101|3|1,1|14108|3|1</v>
          </cell>
        </row>
        <row r="3443">
          <cell r="A3443">
            <v>49308</v>
          </cell>
          <cell r="B3443">
            <v>0</v>
          </cell>
          <cell r="C3443" t="str">
            <v>4|1|80000,1|14003|4,1|14102|6,1|14101|4,1|14108|4</v>
          </cell>
          <cell r="D3443" t="str">
            <v>每日礼包vip7</v>
          </cell>
          <cell r="E3443" t="str">
            <v>4|1|80000|1,1|14003|4|1,1|14102|6|1,1|14101|4|1,1|14108|4|1</v>
          </cell>
        </row>
        <row r="3444">
          <cell r="A3444">
            <v>49309</v>
          </cell>
          <cell r="B3444">
            <v>0</v>
          </cell>
          <cell r="C3444" t="str">
            <v>4|1|90000,1|14003|4,1|14102|6,1|14101|4,1|14108|4</v>
          </cell>
          <cell r="D3444" t="str">
            <v>每日礼包vip8</v>
          </cell>
          <cell r="E3444" t="str">
            <v>4|1|90000|1,1|14003|4|1,1|14102|6|1,1|14101|4|1,1|14108|4|1</v>
          </cell>
        </row>
        <row r="3445">
          <cell r="A3445">
            <v>49310</v>
          </cell>
          <cell r="B3445">
            <v>0</v>
          </cell>
          <cell r="C3445" t="str">
            <v>4|1|100000,1|14003|4,1|14102|6,1|14101|4,1|14108|4</v>
          </cell>
          <cell r="D3445" t="str">
            <v>每日礼包vip9</v>
          </cell>
          <cell r="E3445" t="str">
            <v>4|1|100000|1,1|14003|4|1,1|14102|6|1,1|14101|4|1,1|14108|4|1</v>
          </cell>
        </row>
        <row r="3446">
          <cell r="A3446">
            <v>49311</v>
          </cell>
          <cell r="B3446">
            <v>0</v>
          </cell>
          <cell r="C3446" t="str">
            <v>4|1|110000,1|14003|5,1|14102|8,1|14101|5,1|14108|5</v>
          </cell>
          <cell r="D3446" t="str">
            <v>每日礼包vip10</v>
          </cell>
          <cell r="E3446" t="str">
            <v>4|1|110000|1,1|14003|5|1,1|14102|8|1,1|14101|5|1,1|14108|5|1</v>
          </cell>
        </row>
        <row r="3447">
          <cell r="A3447">
            <v>49312</v>
          </cell>
          <cell r="B3447">
            <v>0</v>
          </cell>
          <cell r="C3447" t="str">
            <v>4|1|120000,1|14003|5,1|14102|8,1|14101|5,1|14108|5</v>
          </cell>
          <cell r="D3447" t="str">
            <v>每日礼包vip11</v>
          </cell>
          <cell r="E3447" t="str">
            <v>4|1|120000|1,1|14003|5|1,1|14102|8|1,1|14101|5|1,1|14108|5|1</v>
          </cell>
        </row>
        <row r="3448">
          <cell r="A3448">
            <v>49313</v>
          </cell>
          <cell r="B3448">
            <v>0</v>
          </cell>
          <cell r="C3448" t="str">
            <v>4|1|140000,1|14003|5,1|14102|8,1|14101|5,1|14108|5</v>
          </cell>
          <cell r="D3448" t="str">
            <v>每日礼包vip12</v>
          </cell>
          <cell r="E3448" t="str">
            <v>4|1|140000|1,1|14003|5|1,1|14102|8|1,1|14101|5|1,1|14108|5|1</v>
          </cell>
        </row>
        <row r="3449">
          <cell r="A3449">
            <v>49314</v>
          </cell>
          <cell r="B3449">
            <v>0</v>
          </cell>
          <cell r="C3449" t="str">
            <v>4|1|160000,1|14003|6,1|14102|10,1|14101|6,1|14108|6</v>
          </cell>
          <cell r="D3449" t="str">
            <v>每日礼包vip13</v>
          </cell>
          <cell r="E3449" t="str">
            <v>4|1|160000|1,1|14003|6|1,1|14102|10|1,1|14101|6|1,1|14108|6|1</v>
          </cell>
        </row>
        <row r="3450">
          <cell r="A3450">
            <v>49315</v>
          </cell>
          <cell r="B3450">
            <v>0</v>
          </cell>
          <cell r="C3450" t="str">
            <v>4|1|180000,1|14003|6,1|14102|10,1|14101|6,1|14108|6</v>
          </cell>
          <cell r="D3450" t="str">
            <v>每日礼包vip14</v>
          </cell>
          <cell r="E3450" t="str">
            <v>4|1|180000|1,1|14003|6|1,1|14102|10|1,1|14101|6|1,1|14108|6|1</v>
          </cell>
        </row>
        <row r="3451">
          <cell r="A3451">
            <v>49316</v>
          </cell>
          <cell r="B3451">
            <v>0</v>
          </cell>
          <cell r="C3451" t="str">
            <v>4|1|200000,1|14003|6,1|14102|10,1|14101|6,1|14108|6</v>
          </cell>
          <cell r="D3451" t="str">
            <v>每日礼包vip15</v>
          </cell>
          <cell r="E3451" t="str">
            <v>4|1|200000|1,1|14003|6|1,1|14102|10|1,1|14101|6|1,1|14108|6|1</v>
          </cell>
        </row>
        <row r="3452">
          <cell r="A3452">
            <v>50000</v>
          </cell>
          <cell r="B3452">
            <v>1</v>
          </cell>
          <cell r="C3452" t="str">
            <v>1|11001|1</v>
          </cell>
          <cell r="D3452" t="str">
            <v>蓝色装备碎片</v>
          </cell>
          <cell r="E3452" t="str">
            <v>1|11001|1|10,1|11002|1|10,1|11003|1|10,1|11004|1|10,1|11005|1|10,1|11006|1|10,1|11007|1|10,1|11008|1|10,1|11009|1|10,1|11010|1|10,1|11011|1|10,1|11012|1|10</v>
          </cell>
        </row>
        <row r="3453">
          <cell r="A3453">
            <v>50001</v>
          </cell>
          <cell r="B3453">
            <v>1</v>
          </cell>
          <cell r="C3453" t="str">
            <v>1|11001|1</v>
          </cell>
          <cell r="D3453" t="str">
            <v>蓝色装备碎片宝箱</v>
          </cell>
          <cell r="E3453" t="str">
            <v>1|11001|1|3,1|11002|1|3,1|11003|1|3,1|11004|1|3,1|11005|1|3,1|11006|1|3,1|11007|1|3,1|11008|1|3,1|11009|1|3,1|11010|1|3,1|11011|1|3,1|11012|1|3</v>
          </cell>
        </row>
        <row r="3454">
          <cell r="A3454">
            <v>50002</v>
          </cell>
          <cell r="B3454">
            <v>1</v>
          </cell>
          <cell r="C3454" t="str">
            <v>1|11013|1</v>
          </cell>
          <cell r="D3454" t="str">
            <v>紫色装备碎片宝箱</v>
          </cell>
          <cell r="E3454" t="str">
            <v>1|11013|1|10,1|11014|1|10,1|11015|1|10,1|11016|1|10,1|11017|1|10,1|11018|1|10,1|11019|1|10,1|11020|1|10,1|11021|1|10,1|11022|1|10,1|11023|1|10,1|11024|1|10</v>
          </cell>
        </row>
        <row r="3455">
          <cell r="A3455">
            <v>50003</v>
          </cell>
          <cell r="B3455">
            <v>1</v>
          </cell>
          <cell r="C3455" t="str">
            <v>1|11025|1</v>
          </cell>
          <cell r="D3455" t="str">
            <v>橙色装备碎片宝箱</v>
          </cell>
          <cell r="E3455" t="str">
            <v>1|11025|1|10,1|11026|1|10,1|11027|1|10,1|11028|1|10,1|11029|1|10,1|11030|1|10,1|11031|1|10,1|11032|1|10,1|11033|1|10,1|11034|1|10,1|11035|1|10,1|11036|1|10</v>
          </cell>
        </row>
        <row r="3456">
          <cell r="A3456">
            <v>50004</v>
          </cell>
          <cell r="B3456">
            <v>1</v>
          </cell>
          <cell r="C3456" t="str">
            <v>3|50018|1</v>
          </cell>
          <cell r="D3456" t="str">
            <v>中级法宝碎片宝箱</v>
          </cell>
          <cell r="E3456" t="str">
            <v>3|50018|1|75,3|50019|1|20,3|50020|1|5</v>
          </cell>
        </row>
        <row r="3457">
          <cell r="A3457">
            <v>50005</v>
          </cell>
          <cell r="B3457">
            <v>1</v>
          </cell>
          <cell r="C3457" t="str">
            <v>3|50018|1</v>
          </cell>
          <cell r="D3457" t="str">
            <v>高级法宝碎片宝箱</v>
          </cell>
          <cell r="E3457" t="str">
            <v>3|50018|1|20,3|50019|1|40,3|50020|1|40</v>
          </cell>
        </row>
        <row r="3458">
          <cell r="A3458">
            <v>50006</v>
          </cell>
          <cell r="B3458">
            <v>1</v>
          </cell>
          <cell r="C3458" t="str">
            <v>5|1142|1</v>
          </cell>
          <cell r="D3458" t="str">
            <v>蓝色伙伴碎片宝箱</v>
          </cell>
          <cell r="E3458" t="str">
            <v>1|10042|1|1,1|10043|1|1,1|10046|1|1,1|10047|1|1,1|10048|1|1,1|10055|1|1,1|10056|1|1,1|10057|1|1,1|10058|1|1,1|10059|1|1,1|10062|1|1,1|10063|1|1,1|10405|1|1,1|10406|1|1,1|10407|1|1,1|10408|1|1,1|10918|1|1</v>
          </cell>
        </row>
        <row r="3459">
          <cell r="A3459">
            <v>50007</v>
          </cell>
          <cell r="B3459">
            <v>1</v>
          </cell>
          <cell r="C3459" t="str">
            <v>3|12530|1</v>
          </cell>
          <cell r="D3459" t="str">
            <v>紫色伙伴碎片宝箱</v>
          </cell>
          <cell r="E3459" t="str">
            <v>1|10108|1|1,1|10018|1|1,1|10036|1|1,1|10028|1|1,1|10092|1|1,1|10052|1|1,1|10034|1|1,1|10033|1|1,1|10103|1|1,1|10104|1|1,1|10106|1|1,1|10105|1|1,1|10039|1|1,1|10040|1|1,1|10038|1|1,1|10126|1|1,1|10041|1|1,1|10404|1|1</v>
          </cell>
        </row>
        <row r="3460">
          <cell r="A3460">
            <v>50008</v>
          </cell>
          <cell r="B3460">
            <v>1</v>
          </cell>
          <cell r="C3460" t="str">
            <v>3|12504|1</v>
          </cell>
          <cell r="D3460" t="str">
            <v>13橙色伙伴碎片宝箱</v>
          </cell>
          <cell r="E3460" t="str">
            <v>1|10015|1|1,1|10022|1|1,1|10025|1|1,1|10010|1|1,1|10116|1|1,1|10102|1|1,1|10107|1|1,1|10009|1|1,1|10004|1|1,1|10007|1|1,1|10035|1|1,1|10023|1|1,1|10101|1|1,1|10006|1|1,1|10016|1|1,1|10017|1|1,1|10014|1|1,1|10032|1|1,1|10031|1|1,1|10037|1|1,1|10108|1|1</v>
          </cell>
        </row>
        <row r="3461">
          <cell r="A3461">
            <v>50009</v>
          </cell>
          <cell r="B3461">
            <v>1</v>
          </cell>
          <cell r="C3461" t="str">
            <v>3|12501|1</v>
          </cell>
          <cell r="D3461" t="str">
            <v>16橙色伙伴碎片宝箱</v>
          </cell>
          <cell r="E3461" t="str">
            <v>1|10011|1|1,1|10112|1|1,1|10113|1|1,1|10114|1|1,1|10115|1|1,1|10008|1|1,1|10119|1|1,1|10002|1|1,1|10118|1|1,1|10003|1|1,1|10012|1|1,1|10013|1|1,1|10020|1|1,1|10024|1|1,1|10015|1|1</v>
          </cell>
        </row>
        <row r="3462">
          <cell r="A3462">
            <v>50010</v>
          </cell>
          <cell r="B3462">
            <v>1</v>
          </cell>
          <cell r="C3462" t="str">
            <v>3|12501|1</v>
          </cell>
          <cell r="D3462" t="str">
            <v>橙色伙伴碎片宝箱</v>
          </cell>
          <cell r="E3462" t="str">
            <v>3|50008|1|80,3|50009|1|20</v>
          </cell>
        </row>
        <row r="3463">
          <cell r="A3463">
            <v>50011</v>
          </cell>
          <cell r="B3463">
            <v>1</v>
          </cell>
          <cell r="C3463" t="str">
            <v>1|12037|1</v>
          </cell>
          <cell r="D3463" t="str">
            <v>橙色攻击法宝碎片宝箱</v>
          </cell>
          <cell r="E3463" t="str">
            <v>1|12037|1|1,1|12038|1|1,1|12039|1|1,1|12040|1|1,1|12041|1|1,1|12047|1|1,1|12048|1|1,1|12049|1|1,1|12050|1|1,1|12051|1|1</v>
          </cell>
        </row>
        <row r="3464">
          <cell r="A3464">
            <v>50012</v>
          </cell>
          <cell r="B3464">
            <v>1</v>
          </cell>
          <cell r="C3464" t="str">
            <v>1|12042|1</v>
          </cell>
          <cell r="D3464" t="str">
            <v>橙色防御法宝碎片宝箱</v>
          </cell>
          <cell r="E3464" t="str">
            <v>1|12042|1|1,1|12043|1|1,1|12044|1|1,1|12045|1|1,1|12046|1|1,1|12052|1|1,1|12053|1|1,1|12054|1|1,1|12055|1|1,1|12056|1|1</v>
          </cell>
        </row>
        <row r="3465">
          <cell r="A3465">
            <v>50013</v>
          </cell>
          <cell r="B3465">
            <v>1</v>
          </cell>
          <cell r="C3465" t="str">
            <v>5|1133|1</v>
          </cell>
          <cell r="D3465" t="str">
            <v>紫色伙伴宝箱</v>
          </cell>
          <cell r="E3465" t="str">
            <v>5|1130|1|1,5|1118|1|1,5|1136|1|1,5|1128|1|1,5|1192|1|1,5|1152|1|1,5|1134|1|1,5|1133|1|1,5|1203|1|1,5|1204|1|1,5|1206|1|1,5|1205|1|1,5|1139|1|1,5|1140|1|1,5|1138|1|1,5|1226|1|1,5|1141|1|1,5|1504|1|1</v>
          </cell>
        </row>
        <row r="3466">
          <cell r="A3466">
            <v>50014</v>
          </cell>
          <cell r="B3466">
            <v>1</v>
          </cell>
          <cell r="C3466" t="str">
            <v>5|1104|1</v>
          </cell>
          <cell r="D3466" t="str">
            <v>13橙色伙伴宝箱</v>
          </cell>
          <cell r="E3466" t="str">
            <v>5|1126|1|1,5|1122|1|1,5|1125|1|1,5|1110|1|1,5|1216|1|1,5|1202|1|1,5|1207|1|1,5|1109|1|1,5|1104|1|1,5|1107|1|1,5|1135|1|1,5|1123|1|1,5|1201|1|1,5|1106|1|1,5|1116|1|1,5|1117|1|1,5|1114|1|1,5|1132|1|1,5|1131|1|1,5|1137|1|1,5|1208|1|1</v>
          </cell>
        </row>
        <row r="3467">
          <cell r="A3467">
            <v>50015</v>
          </cell>
          <cell r="B3467">
            <v>1</v>
          </cell>
          <cell r="C3467" t="str">
            <v>5|1101|1</v>
          </cell>
          <cell r="D3467" t="str">
            <v>16橙色伙伴宝箱</v>
          </cell>
          <cell r="E3467" t="str">
            <v>5|1127|1|1,5|1212|1|1,5|1213|1|1,5|1214|1|1,5|1215|1|1,5|1108|1|1,5|1219|1|1,5|1102|1|1,5|1218|1|1,5|1103|1|1,5|1111|1|1,5|1112|1|1,5|1113|1|1,5|1120|1|1,5|1115|1|1</v>
          </cell>
        </row>
        <row r="3468">
          <cell r="A3468">
            <v>50016</v>
          </cell>
          <cell r="B3468">
            <v>1</v>
          </cell>
          <cell r="C3468" t="str">
            <v>3|50000|1</v>
          </cell>
          <cell r="D3468" t="str">
            <v>中级装备碎片宝箱</v>
          </cell>
          <cell r="E3468" t="str">
            <v>3|50000|1|75,3|50002|1|20,3|50003|1|5</v>
          </cell>
        </row>
        <row r="3469">
          <cell r="A3469">
            <v>50017</v>
          </cell>
          <cell r="B3469">
            <v>1</v>
          </cell>
          <cell r="C3469" t="str">
            <v>3|50000|1</v>
          </cell>
          <cell r="D3469" t="str">
            <v>高级装备碎片宝箱</v>
          </cell>
          <cell r="E3469" t="str">
            <v>3|50000|1|30,3|50002|1|40,3|50003|1|30</v>
          </cell>
        </row>
        <row r="3470">
          <cell r="A3470">
            <v>50018</v>
          </cell>
          <cell r="B3470">
            <v>1</v>
          </cell>
          <cell r="C3470" t="str">
            <v>1|12001|1</v>
          </cell>
          <cell r="D3470" t="str">
            <v>蓝色法宝碎片</v>
          </cell>
          <cell r="E3470" t="str">
            <v>1|12001|1|1,1|12002|1|1,1|12003|1|1,1|12004|1|1,1|12005|1|1,1|12006|1|1,1|12067|1|1,1|12068|1|1,1|12069|1|1</v>
          </cell>
        </row>
        <row r="3471">
          <cell r="A3471">
            <v>50019</v>
          </cell>
          <cell r="B3471">
            <v>1</v>
          </cell>
          <cell r="C3471" t="str">
            <v>1|12013|1</v>
          </cell>
          <cell r="D3471" t="str">
            <v>紫色法宝碎片</v>
          </cell>
          <cell r="E3471" t="str">
            <v>1|12013|1|1,1|12014|1|1,1|12015|1|1,1|12016|1|1,1|12017|1|1,1|12018|1|1,1|12019|1|1,1|12020|1|1,1|12021|1|1,1|12022|1|1,1|12023|1|1,1|12024|1|1,1|12025|1|1,1|12026|1|1,1|12027|1|1,1|12028|1|1,1|12070|1|1,1|12071|1|1,1|12072|1|1,1|12073|1|1</v>
          </cell>
        </row>
        <row r="3472">
          <cell r="A3472">
            <v>50020</v>
          </cell>
          <cell r="B3472">
            <v>1</v>
          </cell>
          <cell r="C3472" t="str">
            <v>1|12037|1</v>
          </cell>
          <cell r="D3472" t="str">
            <v>橙色法宝碎片</v>
          </cell>
          <cell r="E3472" t="str">
            <v>1|12037|1|1,1|12038|1|1,1|12039|1|1,1|12040|1|1,1|12041|1|1,1|12042|1|1,1|12043|1|1,1|12044|1|1,1|12045|1|1,1|12046|1|1,1|12047|1|1,1|12048|1|1,1|12049|1|1,1|12050|1|1,1|12051|1|1,1|12052|1|1,1|12053|1|1,1|12054|1|1,1|12055|1|1,1|12056|1|1,1|12074|1|1,1|12075|1|1,1|12076|1|1,1|12077|1|1,1|12078|1|1</v>
          </cell>
        </row>
        <row r="3473">
          <cell r="A3473">
            <v>50021</v>
          </cell>
          <cell r="B3473">
            <v>1</v>
          </cell>
          <cell r="C3473" t="str">
            <v>1|12067|1</v>
          </cell>
          <cell r="D3473" t="str">
            <v>蓝色经验法宝碎片</v>
          </cell>
          <cell r="E3473" t="str">
            <v>1|12067|1|1,1|12068|1|1,1|12069|1|1</v>
          </cell>
        </row>
        <row r="3474">
          <cell r="A3474">
            <v>50022</v>
          </cell>
          <cell r="B3474">
            <v>1</v>
          </cell>
          <cell r="C3474" t="str">
            <v>1|12070|1</v>
          </cell>
          <cell r="D3474" t="str">
            <v>紫色经验法宝碎片</v>
          </cell>
          <cell r="E3474" t="str">
            <v>1|12070|1|1,1|12071|1|1,1|12072|1|1,1|12073|1|1</v>
          </cell>
        </row>
        <row r="3475">
          <cell r="A3475">
            <v>50023</v>
          </cell>
          <cell r="B3475">
            <v>1</v>
          </cell>
          <cell r="C3475" t="str">
            <v>1|12074|1</v>
          </cell>
          <cell r="D3475" t="str">
            <v>橙色经验法宝碎片</v>
          </cell>
          <cell r="E3475" t="str">
            <v>1|12074|1|1,1|12075|1|1,1|12076|1|1,1|12077|1|1,1|12078|1|1</v>
          </cell>
        </row>
        <row r="3476">
          <cell r="A3476">
            <v>50024</v>
          </cell>
          <cell r="B3476">
            <v>1</v>
          </cell>
          <cell r="C3476" t="str">
            <v>3|50000|1</v>
          </cell>
          <cell r="D3476" t="str">
            <v>初级装备碎片宝箱</v>
          </cell>
          <cell r="E3476" t="str">
            <v>3|50000|1|95,3|50002|1|5</v>
          </cell>
        </row>
        <row r="3477">
          <cell r="A3477">
            <v>50025</v>
          </cell>
          <cell r="B3477">
            <v>1</v>
          </cell>
          <cell r="C3477" t="str">
            <v>3|50000|1</v>
          </cell>
          <cell r="D3477" t="str">
            <v>初级法宝碎片宝箱</v>
          </cell>
          <cell r="E3477" t="str">
            <v>3|50018|1|95,3|50019|1|5</v>
          </cell>
        </row>
        <row r="3478">
          <cell r="A3478">
            <v>50026</v>
          </cell>
          <cell r="B3478">
            <v>0</v>
          </cell>
          <cell r="C3478" t="str">
            <v>2|2021|1,2|2022|1,2|2023|1,2|2024|1</v>
          </cell>
          <cell r="D3478" t="str">
            <v>雁虞套装宝箱</v>
          </cell>
          <cell r="E3478" t="str">
            <v>2|2021|1|1,2|2022|1|1,2|2023|1|1,2|2024|1|1</v>
          </cell>
        </row>
        <row r="3479">
          <cell r="A3479">
            <v>50090</v>
          </cell>
          <cell r="B3479">
            <v>0</v>
          </cell>
          <cell r="C3479" t="str">
            <v>4|1|2000000</v>
          </cell>
          <cell r="D3479" t="str">
            <v>钱宝</v>
          </cell>
          <cell r="E3479" t="str">
            <v>4|1|2000000|1</v>
          </cell>
        </row>
        <row r="3480">
          <cell r="A3480">
            <v>50091</v>
          </cell>
          <cell r="B3480">
            <v>0</v>
          </cell>
          <cell r="C3480" t="str">
            <v>4|2|10000</v>
          </cell>
          <cell r="D3480" t="str">
            <v>阿里巴巴</v>
          </cell>
          <cell r="E3480" t="str">
            <v>4|2|10000|1</v>
          </cell>
        </row>
        <row r="3481">
          <cell r="A3481">
            <v>50092</v>
          </cell>
          <cell r="B3481">
            <v>0</v>
          </cell>
          <cell r="C3481" t="str">
            <v>4|1|10000</v>
          </cell>
          <cell r="D3481" t="str">
            <v>1万金币宝箱</v>
          </cell>
          <cell r="E3481" t="str">
            <v>4|1|10000|1</v>
          </cell>
        </row>
        <row r="3482">
          <cell r="A3482">
            <v>50093</v>
          </cell>
          <cell r="B3482">
            <v>0</v>
          </cell>
          <cell r="C3482" t="str">
            <v>4|2|120</v>
          </cell>
          <cell r="D3482" t="str">
            <v>普通月卡领奖</v>
          </cell>
          <cell r="E3482" t="str">
            <v>4|2|120|1</v>
          </cell>
        </row>
        <row r="3483">
          <cell r="A3483">
            <v>50094</v>
          </cell>
          <cell r="B3483">
            <v>0</v>
          </cell>
          <cell r="C3483" t="str">
            <v>4|2|100</v>
          </cell>
          <cell r="D3483" t="str">
            <v>高级月卡领奖</v>
          </cell>
          <cell r="E3483" t="str">
            <v>4|2|100|1</v>
          </cell>
        </row>
        <row r="3484">
          <cell r="A3484">
            <v>50095</v>
          </cell>
          <cell r="B3484">
            <v>0</v>
          </cell>
          <cell r="C3484" t="str">
            <v>4|1|1000</v>
          </cell>
          <cell r="D3484" t="str">
            <v>1千金币宝箱</v>
          </cell>
          <cell r="E3484" t="str">
            <v>4|1|1000|1</v>
          </cell>
        </row>
        <row r="3485">
          <cell r="A3485">
            <v>50096</v>
          </cell>
          <cell r="B3485">
            <v>0</v>
          </cell>
          <cell r="C3485" t="str">
            <v>1|14555|1,1|14101|1,1|14108|1,4|1|100000</v>
          </cell>
          <cell r="D3485" t="str">
            <v>首充奖励</v>
          </cell>
          <cell r="E3485" t="str">
            <v>1|14555|1|1,1|14101|1|1,1|14108|1|1,4|1|100000|1</v>
          </cell>
        </row>
        <row r="3486">
          <cell r="A3486">
            <v>51001</v>
          </cell>
          <cell r="B3486">
            <v>1</v>
          </cell>
          <cell r="C3486" t="str">
            <v>3|51007|1</v>
          </cell>
          <cell r="D3486" t="str">
            <v>普通抽卡</v>
          </cell>
          <cell r="E3486" t="str">
            <v>3|51007|1|5,3|51008|1|30,3|51010|1|65</v>
          </cell>
        </row>
        <row r="3487">
          <cell r="A3487">
            <v>51002</v>
          </cell>
          <cell r="B3487">
            <v>1</v>
          </cell>
          <cell r="C3487" t="str">
            <v>3|51005|1</v>
          </cell>
          <cell r="D3487" t="str">
            <v>高级抽卡</v>
          </cell>
          <cell r="E3487" t="str">
            <v>3|51005|1|4,3|51006|1|46,3|51007|1|300,3|51008|1|650</v>
          </cell>
        </row>
        <row r="3488">
          <cell r="A3488">
            <v>51003</v>
          </cell>
          <cell r="B3488">
            <v>1</v>
          </cell>
          <cell r="C3488" t="str">
            <v>3|51006|1</v>
          </cell>
          <cell r="D3488" t="str">
            <v>必出橙色</v>
          </cell>
          <cell r="E3488" t="str">
            <v>3|51006|1|80,3|51005|1|20</v>
          </cell>
        </row>
        <row r="3489">
          <cell r="A3489">
            <v>51004</v>
          </cell>
          <cell r="B3489">
            <v>0</v>
          </cell>
          <cell r="C3489" t="str">
            <v>4|1|1000</v>
          </cell>
          <cell r="D3489" t="str">
            <v>普通聚仙首抽-玉兔</v>
          </cell>
          <cell r="E3489" t="str">
            <v>4|1|1000|1,5|1141|1|1</v>
          </cell>
        </row>
        <row r="3490">
          <cell r="A3490">
            <v>51005</v>
          </cell>
          <cell r="B3490">
            <v>1</v>
          </cell>
          <cell r="C3490" t="str">
            <v>[]</v>
          </cell>
          <cell r="D3490" t="str">
            <v>橙16武将池</v>
          </cell>
          <cell r="E3490" t="str">
            <v>5|1127|1|1,5|1212|1|1,5|1213|1|1,5|1214|1|1,5|1215|1|1,5|1108|1|1,5|1219|1|1,5|1102|1|1,5|1218|1|1,5|1103|1|1,5|1111|1|1,5|1112|1|1,5|1113|1|1,5|1120|1|1,5|1115|1|1</v>
          </cell>
        </row>
        <row r="3491">
          <cell r="A3491">
            <v>51006</v>
          </cell>
          <cell r="B3491">
            <v>1</v>
          </cell>
          <cell r="C3491" t="str">
            <v>[]</v>
          </cell>
          <cell r="D3491" t="str">
            <v>橙13武将池</v>
          </cell>
          <cell r="E3491" t="str">
            <v>5|1126|1|1,5|1122|1|1,5|1125|1|1,5|1110|1|1,5|1216|1|1,5|1202|1|1,5|1207|1|1,5|1109|1|1,5|1104|1|1,5|1107|1|1,5|1135|1|1,5|1123|1|1,5|1201|1|1,5|1106|1|1,5|1116|1|1,5|1117|1|1,5|1114|1|1,5|1132|1|1,5|1131|1|1,5|1137|1|1,5|1208|1|1</v>
          </cell>
        </row>
        <row r="3492">
          <cell r="A3492">
            <v>51007</v>
          </cell>
          <cell r="B3492">
            <v>1</v>
          </cell>
          <cell r="C3492" t="str">
            <v>[]</v>
          </cell>
          <cell r="D3492" t="str">
            <v>紫将奖池</v>
          </cell>
          <cell r="E3492" t="str">
            <v>5|1130|1|1,5|1118|1|1,5|1136|1|1,5|1128|1|1,5|1192|1|1,5|1152|1|1,5|1134|1|1,5|1133|1|1,5|1203|1|1,5|1204|1|1,5|1206|1|1,5|1205|1|1,5|1139|1|1,5|1140|1|1,5|1138|1|1,5|1226|1|1,5|1141|1|1,5|1504|1|1</v>
          </cell>
        </row>
        <row r="3493">
          <cell r="A3493">
            <v>51008</v>
          </cell>
          <cell r="B3493">
            <v>1</v>
          </cell>
          <cell r="C3493" t="str">
            <v>[]</v>
          </cell>
          <cell r="D3493" t="str">
            <v>蓝将奖池</v>
          </cell>
          <cell r="E3493" t="str">
            <v>5|1142|1|1,5|1143|1|1,5|1146|1|1,5|1147|1|1,5|1148|1|1,5|1155|1|1,5|1156|1|1,5|1157|1|1,5|1158|1|1,5|1159|1|1,5|1162|1|1,5|1163|1|1,5|1505|1|1,5|1506|1|1,5|1507|1|1,5|1508|1|1,5|2018|1|1</v>
          </cell>
        </row>
        <row r="3494">
          <cell r="A3494">
            <v>51009</v>
          </cell>
          <cell r="B3494">
            <v>1</v>
          </cell>
          <cell r="C3494" t="str">
            <v>[]</v>
          </cell>
          <cell r="D3494" t="str">
            <v>高级抽卡只有蓝紫将</v>
          </cell>
          <cell r="E3494" t="str">
            <v>3|51007|1|20,3|51008|1|80</v>
          </cell>
        </row>
        <row r="3495">
          <cell r="A3495">
            <v>51010</v>
          </cell>
          <cell r="B3495">
            <v>1</v>
          </cell>
          <cell r="C3495" t="str">
            <v>[]</v>
          </cell>
          <cell r="D3495" t="str">
            <v>绿将奖池</v>
          </cell>
          <cell r="E3495" t="str">
            <v>5|1153|1|1,5|1154|1|1,5|1164|1|1,5|1165|1|1,5|1166|1|1,5|1167|1|1,5|1168|1|1,5|1169|1|1,5|1170|1|1,5|1171|1|1,5|1176|1|1,5|1177|1|1,5|1178|1|1,5|1179|1|1,5|1180|1|1,5|1181|1|1,5|1182|1|1,5|1185|1|1,5|1186|1|1,5|1187|1|1,5|1188|1|1,5|1193|1|1,5|1194|1|1,5|1217|1|1,5|1501|1|1,5|1502|1|1,5|1503|1|1</v>
          </cell>
        </row>
        <row r="3496">
          <cell r="A3496">
            <v>51011</v>
          </cell>
          <cell r="B3496">
            <v>0</v>
          </cell>
          <cell r="C3496" t="str">
            <v>4|1|10000</v>
          </cell>
          <cell r="D3496" t="str">
            <v>第1次高级聚仙-玉面夫人</v>
          </cell>
          <cell r="E3496" t="str">
            <v>4|1|10000|1,5|1138|1|1</v>
          </cell>
        </row>
        <row r="3497">
          <cell r="A3497">
            <v>51012</v>
          </cell>
          <cell r="B3497">
            <v>0</v>
          </cell>
          <cell r="C3497" t="str">
            <v>4|1|1000</v>
          </cell>
          <cell r="D3497" t="str">
            <v>普通聚仙获得金币并抽取武将</v>
          </cell>
          <cell r="E3497" t="str">
            <v>4|1|1000|1,3|51001|1|1</v>
          </cell>
        </row>
        <row r="3498">
          <cell r="A3498">
            <v>51013</v>
          </cell>
          <cell r="B3498">
            <v>0</v>
          </cell>
          <cell r="C3498" t="str">
            <v>4|1|10000</v>
          </cell>
          <cell r="D3498" t="str">
            <v>高级聚仙获得金币并抽取武将</v>
          </cell>
          <cell r="E3498" t="str">
            <v>4|1|10000|1,3|51002|1|1</v>
          </cell>
        </row>
        <row r="3499">
          <cell r="A3499">
            <v>51014</v>
          </cell>
          <cell r="B3499">
            <v>0</v>
          </cell>
          <cell r="C3499" t="str">
            <v>4|1|10000</v>
          </cell>
          <cell r="D3499" t="str">
            <v>高级聚仙获得金币并必掉橙将</v>
          </cell>
          <cell r="E3499" t="str">
            <v>4|1|10000|1,3|51003|1|1</v>
          </cell>
        </row>
        <row r="3500">
          <cell r="A3500">
            <v>51015</v>
          </cell>
          <cell r="B3500">
            <v>0</v>
          </cell>
          <cell r="C3500" t="str">
            <v>4|1|10000</v>
          </cell>
          <cell r="D3500" t="str">
            <v>第1次10连抽-彩蝶仙童，人参娃，玉皇大帝</v>
          </cell>
          <cell r="E3500" t="str">
            <v>4|1|10000|1,3|51020|1|1</v>
          </cell>
        </row>
        <row r="3501">
          <cell r="A3501">
            <v>51016</v>
          </cell>
          <cell r="B3501">
            <v>0</v>
          </cell>
          <cell r="C3501" t="str">
            <v>4|1|10000</v>
          </cell>
          <cell r="D3501" t="str">
            <v>第15次抽-红孩儿，引魂仙子，阎罗王，太白金星，蝎子精，蜘蛛精</v>
          </cell>
          <cell r="E3501" t="str">
            <v>4|1|10000|1,3|51021|1|1</v>
          </cell>
        </row>
        <row r="3502">
          <cell r="A3502">
            <v>51017</v>
          </cell>
          <cell r="B3502">
            <v>0</v>
          </cell>
          <cell r="C3502" t="str">
            <v>4|1|10000</v>
          </cell>
          <cell r="D3502" t="str">
            <v>第2次10连抽送橙16-龙帝，白无常，沙和尚</v>
          </cell>
          <cell r="E3502" t="str">
            <v>4|1|10000|1,3|51022|1|1</v>
          </cell>
        </row>
        <row r="3503">
          <cell r="A3503">
            <v>51018</v>
          </cell>
          <cell r="B3503">
            <v>0</v>
          </cell>
          <cell r="C3503" t="str">
            <v>4|1|10000</v>
          </cell>
          <cell r="D3503" t="str">
            <v>高级聚仙获得金币并抽取武将（不出橙16伙伴）</v>
          </cell>
          <cell r="E3503" t="str">
            <v>4|1|10000|1,3|51019|1|1</v>
          </cell>
        </row>
        <row r="3504">
          <cell r="A3504">
            <v>51019</v>
          </cell>
          <cell r="B3504">
            <v>1</v>
          </cell>
          <cell r="C3504" t="str">
            <v>[]</v>
          </cell>
          <cell r="D3504" t="str">
            <v>高级抽卡（不出橙16伙伴）</v>
          </cell>
          <cell r="E3504" t="str">
            <v>3|51006|1|50,3|51007|1|300,3|51008|1|650</v>
          </cell>
        </row>
        <row r="3505">
          <cell r="A3505">
            <v>51020</v>
          </cell>
          <cell r="B3505">
            <v>1</v>
          </cell>
          <cell r="C3505" t="str">
            <v>[]</v>
          </cell>
          <cell r="D3505" t="str">
            <v>第10次连抽-彩蝶仙童，人参娃，玉皇大帝</v>
          </cell>
          <cell r="E3505" t="str">
            <v>5|1208|1|1,5|1202|1|1,5|1104|1|1</v>
          </cell>
        </row>
        <row r="3506">
          <cell r="A3506">
            <v>51021</v>
          </cell>
          <cell r="B3506">
            <v>1</v>
          </cell>
          <cell r="C3506" t="str">
            <v>[]</v>
          </cell>
          <cell r="D3506" t="str">
            <v>第15次抽-红孩儿，引魂仙子，阎罗王，太白金星，蝎子精，蜘蛛精</v>
          </cell>
          <cell r="E3506" t="str">
            <v>5|1110|1|1,5|1207|1|1,5|1201|1|1,5|1106|1|1,5|1131|1|1,5|1137|1|1</v>
          </cell>
        </row>
        <row r="3507">
          <cell r="A3507">
            <v>51022</v>
          </cell>
          <cell r="B3507">
            <v>1</v>
          </cell>
          <cell r="C3507" t="str">
            <v>[]</v>
          </cell>
          <cell r="D3507" t="str">
            <v>第20次抽送橙16-龙帝，白无常，铁扇公主</v>
          </cell>
          <cell r="E3507" t="str">
            <v>5|1213|1|1,5|1218|1|1,5|1111|1|1</v>
          </cell>
        </row>
        <row r="3508">
          <cell r="A3508">
            <v>52001</v>
          </cell>
          <cell r="B3508">
            <v>1</v>
          </cell>
          <cell r="C3508" t="str">
            <v>1|10001|1</v>
          </cell>
          <cell r="D3508" t="str">
            <v>二郎神碎片*1</v>
          </cell>
          <cell r="E3508" t="str">
            <v>1|10001|1|1</v>
          </cell>
        </row>
        <row r="3509">
          <cell r="A3509">
            <v>52002</v>
          </cell>
          <cell r="B3509">
            <v>1</v>
          </cell>
          <cell r="C3509" t="str">
            <v>1|10001|2</v>
          </cell>
          <cell r="D3509" t="str">
            <v>二郎神碎片*2</v>
          </cell>
          <cell r="E3509" t="str">
            <v>1|10001|2|1</v>
          </cell>
        </row>
        <row r="3510">
          <cell r="A3510">
            <v>52003</v>
          </cell>
          <cell r="B3510">
            <v>1</v>
          </cell>
          <cell r="C3510" t="str">
            <v>1|10001|3</v>
          </cell>
          <cell r="D3510" t="str">
            <v>二郎神碎片*3</v>
          </cell>
          <cell r="E3510" t="str">
            <v>1|10001|3|1</v>
          </cell>
        </row>
        <row r="3511">
          <cell r="A3511">
            <v>52004</v>
          </cell>
          <cell r="B3511">
            <v>1</v>
          </cell>
          <cell r="C3511" t="str">
            <v>1|10001|4</v>
          </cell>
          <cell r="D3511" t="str">
            <v>二郎神碎片*4</v>
          </cell>
          <cell r="E3511" t="str">
            <v>1|10001|4|1</v>
          </cell>
        </row>
        <row r="3512">
          <cell r="A3512">
            <v>52005</v>
          </cell>
          <cell r="B3512">
            <v>1</v>
          </cell>
          <cell r="C3512" t="str">
            <v>1|10001|5</v>
          </cell>
          <cell r="D3512" t="str">
            <v>二郎神碎片*5</v>
          </cell>
          <cell r="E3512" t="str">
            <v>1|10001|5|1</v>
          </cell>
        </row>
        <row r="3513">
          <cell r="A3513">
            <v>52006</v>
          </cell>
          <cell r="B3513">
            <v>1</v>
          </cell>
          <cell r="C3513" t="str">
            <v>1|10002|1</v>
          </cell>
          <cell r="D3513" t="str">
            <v>哪吒碎片*1</v>
          </cell>
          <cell r="E3513" t="str">
            <v>1|10002|1|1</v>
          </cell>
        </row>
        <row r="3514">
          <cell r="A3514">
            <v>52007</v>
          </cell>
          <cell r="B3514">
            <v>1</v>
          </cell>
          <cell r="C3514" t="str">
            <v>1|10002|2</v>
          </cell>
          <cell r="D3514" t="str">
            <v>哪吒碎片*2</v>
          </cell>
          <cell r="E3514" t="str">
            <v>1|10002|2|1</v>
          </cell>
        </row>
        <row r="3515">
          <cell r="A3515">
            <v>52008</v>
          </cell>
          <cell r="B3515">
            <v>1</v>
          </cell>
          <cell r="C3515" t="str">
            <v>1|10002|3</v>
          </cell>
          <cell r="D3515" t="str">
            <v>哪吒碎片*3</v>
          </cell>
          <cell r="E3515" t="str">
            <v>1|10002|3|1</v>
          </cell>
        </row>
        <row r="3516">
          <cell r="A3516">
            <v>52009</v>
          </cell>
          <cell r="B3516">
            <v>1</v>
          </cell>
          <cell r="C3516" t="str">
            <v>1|10002|4</v>
          </cell>
          <cell r="D3516" t="str">
            <v>哪吒碎片*4</v>
          </cell>
          <cell r="E3516" t="str">
            <v>1|10002|4|1</v>
          </cell>
        </row>
        <row r="3517">
          <cell r="A3517">
            <v>52010</v>
          </cell>
          <cell r="B3517">
            <v>1</v>
          </cell>
          <cell r="C3517" t="str">
            <v>1|10002|5</v>
          </cell>
          <cell r="D3517" t="str">
            <v>哪吒碎片*5</v>
          </cell>
          <cell r="E3517" t="str">
            <v>1|10002|5|1</v>
          </cell>
        </row>
        <row r="3518">
          <cell r="A3518">
            <v>52011</v>
          </cell>
          <cell r="B3518">
            <v>1</v>
          </cell>
          <cell r="C3518" t="str">
            <v>1|10003|1</v>
          </cell>
          <cell r="D3518" t="str">
            <v xml:space="preserve">  嫦娥碎片*1</v>
          </cell>
          <cell r="E3518" t="str">
            <v>1|10003|1|1</v>
          </cell>
        </row>
        <row r="3519">
          <cell r="A3519">
            <v>52012</v>
          </cell>
          <cell r="B3519">
            <v>1</v>
          </cell>
          <cell r="C3519" t="str">
            <v>1|10003|2</v>
          </cell>
          <cell r="D3519" t="str">
            <v xml:space="preserve">  嫦娥碎片*2</v>
          </cell>
          <cell r="E3519" t="str">
            <v>1|10003|2|1</v>
          </cell>
        </row>
        <row r="3520">
          <cell r="A3520">
            <v>52013</v>
          </cell>
          <cell r="B3520">
            <v>1</v>
          </cell>
          <cell r="C3520" t="str">
            <v>1|10003|3</v>
          </cell>
          <cell r="D3520" t="str">
            <v xml:space="preserve">  嫦娥碎片*3</v>
          </cell>
          <cell r="E3520" t="str">
            <v>1|10003|3|1</v>
          </cell>
        </row>
        <row r="3521">
          <cell r="A3521">
            <v>52014</v>
          </cell>
          <cell r="B3521">
            <v>1</v>
          </cell>
          <cell r="C3521" t="str">
            <v>1|10003|4</v>
          </cell>
          <cell r="D3521" t="str">
            <v xml:space="preserve">  嫦娥碎片*4</v>
          </cell>
          <cell r="E3521" t="str">
            <v>1|10003|4|1</v>
          </cell>
        </row>
        <row r="3522">
          <cell r="A3522">
            <v>52015</v>
          </cell>
          <cell r="B3522">
            <v>1</v>
          </cell>
          <cell r="C3522" t="str">
            <v>1|10003|5</v>
          </cell>
          <cell r="D3522" t="str">
            <v xml:space="preserve">  嫦娥碎片*5</v>
          </cell>
          <cell r="E3522" t="str">
            <v>1|10003|5|1</v>
          </cell>
        </row>
        <row r="3523">
          <cell r="A3523">
            <v>52016</v>
          </cell>
          <cell r="B3523">
            <v>1</v>
          </cell>
          <cell r="C3523" t="str">
            <v>1|10010|1</v>
          </cell>
          <cell r="D3523" t="str">
            <v>红孩儿碎片*1</v>
          </cell>
          <cell r="E3523" t="str">
            <v>1|10010|1|1</v>
          </cell>
        </row>
        <row r="3524">
          <cell r="A3524">
            <v>52017</v>
          </cell>
          <cell r="B3524">
            <v>1</v>
          </cell>
          <cell r="C3524" t="str">
            <v>1|10010|2</v>
          </cell>
          <cell r="D3524" t="str">
            <v>红孩儿碎片*2</v>
          </cell>
          <cell r="E3524" t="str">
            <v>1|10010|2|1</v>
          </cell>
        </row>
        <row r="3525">
          <cell r="A3525">
            <v>52018</v>
          </cell>
          <cell r="B3525">
            <v>1</v>
          </cell>
          <cell r="C3525" t="str">
            <v>1|10010|3</v>
          </cell>
          <cell r="D3525" t="str">
            <v>红孩儿碎片*3</v>
          </cell>
          <cell r="E3525" t="str">
            <v>1|10010|3|1</v>
          </cell>
        </row>
        <row r="3526">
          <cell r="A3526">
            <v>52019</v>
          </cell>
          <cell r="B3526">
            <v>1</v>
          </cell>
          <cell r="C3526" t="str">
            <v>1|10010|4</v>
          </cell>
          <cell r="D3526" t="str">
            <v>红孩儿碎片*4</v>
          </cell>
          <cell r="E3526" t="str">
            <v>1|10010|4|1</v>
          </cell>
        </row>
        <row r="3527">
          <cell r="A3527">
            <v>52020</v>
          </cell>
          <cell r="B3527">
            <v>1</v>
          </cell>
          <cell r="C3527" t="str">
            <v>1|10010|5</v>
          </cell>
          <cell r="D3527" t="str">
            <v>红孩儿碎片*5</v>
          </cell>
          <cell r="E3527" t="str">
            <v>1|10010|5|1</v>
          </cell>
        </row>
        <row r="3528">
          <cell r="A3528">
            <v>52021</v>
          </cell>
          <cell r="B3528">
            <v>1</v>
          </cell>
          <cell r="C3528" t="str">
            <v>1|10011|1</v>
          </cell>
          <cell r="D3528" t="str">
            <v>铁扇公主碎片*1</v>
          </cell>
          <cell r="E3528" t="str">
            <v>1|10011|1|1</v>
          </cell>
        </row>
        <row r="3529">
          <cell r="A3529">
            <v>52022</v>
          </cell>
          <cell r="B3529">
            <v>1</v>
          </cell>
          <cell r="C3529" t="str">
            <v>1|10011|2</v>
          </cell>
          <cell r="D3529" t="str">
            <v>铁扇公主碎片*2</v>
          </cell>
          <cell r="E3529" t="str">
            <v>1|10011|2|1</v>
          </cell>
        </row>
        <row r="3530">
          <cell r="A3530">
            <v>52023</v>
          </cell>
          <cell r="B3530">
            <v>1</v>
          </cell>
          <cell r="C3530" t="str">
            <v>1|10011|3</v>
          </cell>
          <cell r="D3530" t="str">
            <v>铁扇公主碎片*3</v>
          </cell>
          <cell r="E3530" t="str">
            <v>1|10011|3|1</v>
          </cell>
        </row>
        <row r="3531">
          <cell r="A3531">
            <v>52024</v>
          </cell>
          <cell r="B3531">
            <v>1</v>
          </cell>
          <cell r="C3531" t="str">
            <v>1|10011|4</v>
          </cell>
          <cell r="D3531" t="str">
            <v>铁扇公主碎片*4</v>
          </cell>
          <cell r="E3531" t="str">
            <v>1|10011|4|1</v>
          </cell>
        </row>
        <row r="3532">
          <cell r="A3532">
            <v>52025</v>
          </cell>
          <cell r="B3532">
            <v>1</v>
          </cell>
          <cell r="C3532" t="str">
            <v>1|10011|5</v>
          </cell>
          <cell r="D3532" t="str">
            <v>铁扇公主碎片*5</v>
          </cell>
          <cell r="E3532" t="str">
            <v>1|10011|5|1</v>
          </cell>
        </row>
        <row r="3533">
          <cell r="A3533">
            <v>52026</v>
          </cell>
          <cell r="B3533">
            <v>1</v>
          </cell>
          <cell r="C3533" t="str">
            <v>1|10012|1</v>
          </cell>
          <cell r="D3533" t="str">
            <v>牛魔王碎片*1</v>
          </cell>
          <cell r="E3533" t="str">
            <v>1|10012|1|1</v>
          </cell>
        </row>
        <row r="3534">
          <cell r="A3534">
            <v>52027</v>
          </cell>
          <cell r="B3534">
            <v>1</v>
          </cell>
          <cell r="C3534" t="str">
            <v>1|10012|2</v>
          </cell>
          <cell r="D3534" t="str">
            <v>牛魔王碎片*2</v>
          </cell>
          <cell r="E3534" t="str">
            <v>1|10012|2|1</v>
          </cell>
        </row>
        <row r="3535">
          <cell r="A3535">
            <v>52028</v>
          </cell>
          <cell r="B3535">
            <v>1</v>
          </cell>
          <cell r="C3535" t="str">
            <v>1|10012|3</v>
          </cell>
          <cell r="D3535" t="str">
            <v>牛魔王碎片*3</v>
          </cell>
          <cell r="E3535" t="str">
            <v>1|10012|3|1</v>
          </cell>
        </row>
        <row r="3536">
          <cell r="A3536">
            <v>52029</v>
          </cell>
          <cell r="B3536">
            <v>1</v>
          </cell>
          <cell r="C3536" t="str">
            <v>1|10012|4</v>
          </cell>
          <cell r="D3536" t="str">
            <v>牛魔王碎片*4</v>
          </cell>
          <cell r="E3536" t="str">
            <v>1|10012|4|1</v>
          </cell>
        </row>
        <row r="3537">
          <cell r="A3537">
            <v>52030</v>
          </cell>
          <cell r="B3537">
            <v>1</v>
          </cell>
          <cell r="C3537" t="str">
            <v>1|10012|5</v>
          </cell>
          <cell r="D3537" t="str">
            <v>牛魔王碎片*5</v>
          </cell>
          <cell r="E3537" t="str">
            <v>1|10012|5|1</v>
          </cell>
        </row>
        <row r="3538">
          <cell r="A3538">
            <v>52031</v>
          </cell>
          <cell r="B3538">
            <v>1</v>
          </cell>
          <cell r="C3538" t="str">
            <v>1|10019|1</v>
          </cell>
          <cell r="D3538" t="str">
            <v>孙悟空碎片*1</v>
          </cell>
          <cell r="E3538" t="str">
            <v>1|10019|1|1</v>
          </cell>
        </row>
        <row r="3539">
          <cell r="A3539">
            <v>52032</v>
          </cell>
          <cell r="B3539">
            <v>1</v>
          </cell>
          <cell r="C3539" t="str">
            <v>1|10019|2</v>
          </cell>
          <cell r="D3539" t="str">
            <v>孙悟空碎片*2</v>
          </cell>
          <cell r="E3539" t="str">
            <v>1|10019|2|1</v>
          </cell>
        </row>
        <row r="3540">
          <cell r="A3540">
            <v>52033</v>
          </cell>
          <cell r="B3540">
            <v>1</v>
          </cell>
          <cell r="C3540" t="str">
            <v>1|10019|3</v>
          </cell>
          <cell r="D3540" t="str">
            <v>孙悟空碎片*3</v>
          </cell>
          <cell r="E3540" t="str">
            <v>1|10019|3|1</v>
          </cell>
        </row>
        <row r="3541">
          <cell r="A3541">
            <v>52034</v>
          </cell>
          <cell r="B3541">
            <v>1</v>
          </cell>
          <cell r="C3541" t="str">
            <v>1|10019|4</v>
          </cell>
          <cell r="D3541" t="str">
            <v>孙悟空碎片*4</v>
          </cell>
          <cell r="E3541" t="str">
            <v>1|10019|4|1</v>
          </cell>
        </row>
        <row r="3542">
          <cell r="A3542">
            <v>52035</v>
          </cell>
          <cell r="B3542">
            <v>1</v>
          </cell>
          <cell r="C3542" t="str">
            <v>1|10019|5</v>
          </cell>
          <cell r="D3542" t="str">
            <v>孙悟空碎片*5</v>
          </cell>
          <cell r="E3542" t="str">
            <v>1|10019|5|1</v>
          </cell>
        </row>
        <row r="3543">
          <cell r="A3543">
            <v>52036</v>
          </cell>
          <cell r="B3543">
            <v>1</v>
          </cell>
          <cell r="C3543" t="str">
            <v>1|10020|1</v>
          </cell>
          <cell r="D3543" t="str">
            <v>猪八戒碎片*1</v>
          </cell>
          <cell r="E3543" t="str">
            <v>1|10020|1|1</v>
          </cell>
        </row>
        <row r="3544">
          <cell r="A3544">
            <v>52037</v>
          </cell>
          <cell r="B3544">
            <v>1</v>
          </cell>
          <cell r="C3544" t="str">
            <v>1|10020|2</v>
          </cell>
          <cell r="D3544" t="str">
            <v>猪八戒碎片*2</v>
          </cell>
          <cell r="E3544" t="str">
            <v>1|10020|2|1</v>
          </cell>
        </row>
        <row r="3545">
          <cell r="A3545">
            <v>52038</v>
          </cell>
          <cell r="B3545">
            <v>1</v>
          </cell>
          <cell r="C3545" t="str">
            <v>1|10020|3</v>
          </cell>
          <cell r="D3545" t="str">
            <v>猪八戒碎片*3</v>
          </cell>
          <cell r="E3545" t="str">
            <v>1|10020|3|1</v>
          </cell>
        </row>
        <row r="3546">
          <cell r="A3546">
            <v>52039</v>
          </cell>
          <cell r="B3546">
            <v>1</v>
          </cell>
          <cell r="C3546" t="str">
            <v>1|10020|4</v>
          </cell>
          <cell r="D3546" t="str">
            <v>猪八戒碎片*4</v>
          </cell>
          <cell r="E3546" t="str">
            <v>1|10020|4|1</v>
          </cell>
        </row>
        <row r="3547">
          <cell r="A3547">
            <v>52040</v>
          </cell>
          <cell r="B3547">
            <v>1</v>
          </cell>
          <cell r="C3547" t="str">
            <v>1|10020|5</v>
          </cell>
          <cell r="D3547" t="str">
            <v>猪八戒碎片*5</v>
          </cell>
          <cell r="E3547" t="str">
            <v>1|10020|5|1</v>
          </cell>
        </row>
        <row r="3548">
          <cell r="A3548">
            <v>52041</v>
          </cell>
          <cell r="B3548">
            <v>1</v>
          </cell>
          <cell r="C3548" t="str">
            <v>1|10021|1</v>
          </cell>
          <cell r="D3548" t="str">
            <v>紫霞仙子碎片*1</v>
          </cell>
          <cell r="E3548" t="str">
            <v>1|10021|1|1</v>
          </cell>
        </row>
        <row r="3549">
          <cell r="A3549">
            <v>52042</v>
          </cell>
          <cell r="B3549">
            <v>1</v>
          </cell>
          <cell r="C3549" t="str">
            <v>1|10021|2</v>
          </cell>
          <cell r="D3549" t="str">
            <v>紫霞仙子碎片*2</v>
          </cell>
          <cell r="E3549" t="str">
            <v>1|10021|2|1</v>
          </cell>
        </row>
        <row r="3550">
          <cell r="A3550">
            <v>52043</v>
          </cell>
          <cell r="B3550">
            <v>1</v>
          </cell>
          <cell r="C3550" t="str">
            <v>1|10021|3</v>
          </cell>
          <cell r="D3550" t="str">
            <v>紫霞仙子碎片*3</v>
          </cell>
          <cell r="E3550" t="str">
            <v>1|10021|3|1</v>
          </cell>
        </row>
        <row r="3551">
          <cell r="A3551">
            <v>52044</v>
          </cell>
          <cell r="B3551">
            <v>1</v>
          </cell>
          <cell r="C3551" t="str">
            <v>1|10021|4</v>
          </cell>
          <cell r="D3551" t="str">
            <v>紫霞仙子碎片*4</v>
          </cell>
          <cell r="E3551" t="str">
            <v>1|10021|4|1</v>
          </cell>
        </row>
        <row r="3552">
          <cell r="A3552">
            <v>52045</v>
          </cell>
          <cell r="B3552">
            <v>1</v>
          </cell>
          <cell r="C3552" t="str">
            <v>1|10021|5</v>
          </cell>
          <cell r="D3552" t="str">
            <v>紫霞仙子碎片*5</v>
          </cell>
          <cell r="E3552" t="str">
            <v>1|10021|5|1</v>
          </cell>
        </row>
        <row r="3553">
          <cell r="A3553">
            <v>52046</v>
          </cell>
          <cell r="B3553">
            <v>1</v>
          </cell>
          <cell r="C3553" t="str">
            <v>1|12037|1</v>
          </cell>
          <cell r="D3553" t="str">
            <v>碧海青天碎片1</v>
          </cell>
          <cell r="E3553" t="str">
            <v>1|12037|1|1</v>
          </cell>
        </row>
        <row r="3554">
          <cell r="A3554">
            <v>52047</v>
          </cell>
          <cell r="B3554">
            <v>1</v>
          </cell>
          <cell r="C3554" t="str">
            <v>1|12038|1</v>
          </cell>
          <cell r="D3554" t="str">
            <v>碧海青天碎片2</v>
          </cell>
          <cell r="E3554" t="str">
            <v>1|12038|1|1</v>
          </cell>
        </row>
        <row r="3555">
          <cell r="A3555">
            <v>52048</v>
          </cell>
          <cell r="B3555">
            <v>1</v>
          </cell>
          <cell r="C3555" t="str">
            <v>1|12039|1</v>
          </cell>
          <cell r="D3555" t="str">
            <v>碧海青天碎片3</v>
          </cell>
          <cell r="E3555" t="str">
            <v>1|12039|1|1</v>
          </cell>
        </row>
        <row r="3556">
          <cell r="A3556">
            <v>52049</v>
          </cell>
          <cell r="B3556">
            <v>1</v>
          </cell>
          <cell r="C3556" t="str">
            <v>1|12040|1</v>
          </cell>
          <cell r="D3556" t="str">
            <v>碧海青天碎片4</v>
          </cell>
          <cell r="E3556" t="str">
            <v>1|12040|1|1</v>
          </cell>
        </row>
        <row r="3557">
          <cell r="A3557">
            <v>52050</v>
          </cell>
          <cell r="B3557">
            <v>1</v>
          </cell>
          <cell r="C3557" t="str">
            <v>1|12041|1</v>
          </cell>
          <cell r="D3557" t="str">
            <v>碧海青天碎片5</v>
          </cell>
          <cell r="E3557" t="str">
            <v>1|12041|1|1</v>
          </cell>
        </row>
        <row r="3558">
          <cell r="A3558">
            <v>52051</v>
          </cell>
          <cell r="B3558">
            <v>1</v>
          </cell>
          <cell r="C3558" t="str">
            <v>1|12042|1</v>
          </cell>
          <cell r="D3558" t="str">
            <v>九曜光华碎片1</v>
          </cell>
          <cell r="E3558" t="str">
            <v>1|12042|1|1</v>
          </cell>
        </row>
        <row r="3559">
          <cell r="A3559">
            <v>52052</v>
          </cell>
          <cell r="B3559">
            <v>1</v>
          </cell>
          <cell r="C3559" t="str">
            <v>1|12043|1</v>
          </cell>
          <cell r="D3559" t="str">
            <v>九曜光华碎片2</v>
          </cell>
          <cell r="E3559" t="str">
            <v>1|12043|1|1</v>
          </cell>
        </row>
        <row r="3560">
          <cell r="A3560">
            <v>52053</v>
          </cell>
          <cell r="B3560">
            <v>1</v>
          </cell>
          <cell r="C3560" t="str">
            <v>1|12044|1</v>
          </cell>
          <cell r="D3560" t="str">
            <v>九曜光华碎片3</v>
          </cell>
          <cell r="E3560" t="str">
            <v>1|12044|1|1</v>
          </cell>
        </row>
        <row r="3561">
          <cell r="A3561">
            <v>52054</v>
          </cell>
          <cell r="B3561">
            <v>1</v>
          </cell>
          <cell r="C3561" t="str">
            <v>1|12045|1</v>
          </cell>
          <cell r="D3561" t="str">
            <v>九曜光华碎片4</v>
          </cell>
          <cell r="E3561" t="str">
            <v>1|12045|1|1</v>
          </cell>
        </row>
        <row r="3562">
          <cell r="A3562">
            <v>52055</v>
          </cell>
          <cell r="B3562">
            <v>1</v>
          </cell>
          <cell r="C3562" t="str">
            <v>1|12046|1</v>
          </cell>
          <cell r="D3562" t="str">
            <v>九曜光华碎片5</v>
          </cell>
          <cell r="E3562" t="str">
            <v>1|12046|1|1</v>
          </cell>
        </row>
        <row r="3563">
          <cell r="A3563">
            <v>52056</v>
          </cell>
          <cell r="B3563">
            <v>1</v>
          </cell>
          <cell r="C3563" t="str">
            <v>1|12047|1</v>
          </cell>
          <cell r="D3563" t="str">
            <v>千方寂玉碎片1</v>
          </cell>
          <cell r="E3563" t="str">
            <v>1|12047|1|1</v>
          </cell>
        </row>
        <row r="3564">
          <cell r="A3564">
            <v>52057</v>
          </cell>
          <cell r="B3564">
            <v>1</v>
          </cell>
          <cell r="C3564" t="str">
            <v>1|12048|1</v>
          </cell>
          <cell r="D3564" t="str">
            <v>千方寂玉碎片2</v>
          </cell>
          <cell r="E3564" t="str">
            <v>1|12048|1|1</v>
          </cell>
        </row>
        <row r="3565">
          <cell r="A3565">
            <v>52058</v>
          </cell>
          <cell r="B3565">
            <v>1</v>
          </cell>
          <cell r="C3565" t="str">
            <v>1|12049|1</v>
          </cell>
          <cell r="D3565" t="str">
            <v>千方寂玉碎片3</v>
          </cell>
          <cell r="E3565" t="str">
            <v>1|12049|1|1</v>
          </cell>
        </row>
        <row r="3566">
          <cell r="A3566">
            <v>52059</v>
          </cell>
          <cell r="B3566">
            <v>1</v>
          </cell>
          <cell r="C3566" t="str">
            <v>1|12050|1</v>
          </cell>
          <cell r="D3566" t="str">
            <v>千方寂玉碎片4</v>
          </cell>
          <cell r="E3566" t="str">
            <v>1|12050|1|1</v>
          </cell>
        </row>
        <row r="3567">
          <cell r="A3567">
            <v>52060</v>
          </cell>
          <cell r="B3567">
            <v>1</v>
          </cell>
          <cell r="C3567" t="str">
            <v>1|12051|1</v>
          </cell>
          <cell r="D3567" t="str">
            <v>千方寂玉碎片5</v>
          </cell>
          <cell r="E3567" t="str">
            <v>1|12051|1|1</v>
          </cell>
        </row>
        <row r="3568">
          <cell r="A3568">
            <v>52061</v>
          </cell>
          <cell r="B3568">
            <v>1</v>
          </cell>
          <cell r="C3568" t="str">
            <v>1|12052|1</v>
          </cell>
          <cell r="D3568" t="str">
            <v>噬龙之锋碎片1</v>
          </cell>
          <cell r="E3568" t="str">
            <v>1|12052|1|1</v>
          </cell>
        </row>
        <row r="3569">
          <cell r="A3569">
            <v>52062</v>
          </cell>
          <cell r="B3569">
            <v>1</v>
          </cell>
          <cell r="C3569" t="str">
            <v>1|12053|1</v>
          </cell>
          <cell r="D3569" t="str">
            <v>噬龙之锋碎片2</v>
          </cell>
          <cell r="E3569" t="str">
            <v>1|12053|1|1</v>
          </cell>
        </row>
        <row r="3570">
          <cell r="A3570">
            <v>52063</v>
          </cell>
          <cell r="B3570">
            <v>1</v>
          </cell>
          <cell r="C3570" t="str">
            <v>1|12054|1</v>
          </cell>
          <cell r="D3570" t="str">
            <v>噬龙之锋碎片3</v>
          </cell>
          <cell r="E3570" t="str">
            <v>1|12054|1|1</v>
          </cell>
        </row>
        <row r="3571">
          <cell r="A3571">
            <v>52064</v>
          </cell>
          <cell r="B3571">
            <v>1</v>
          </cell>
          <cell r="C3571" t="str">
            <v>1|12055|1</v>
          </cell>
          <cell r="D3571" t="str">
            <v>噬龙之锋碎片4</v>
          </cell>
          <cell r="E3571" t="str">
            <v>1|12055|1|1</v>
          </cell>
        </row>
        <row r="3572">
          <cell r="A3572">
            <v>52065</v>
          </cell>
          <cell r="B3572">
            <v>1</v>
          </cell>
          <cell r="C3572" t="str">
            <v>1|12056|1</v>
          </cell>
          <cell r="D3572" t="str">
            <v>噬龙之锋碎片5</v>
          </cell>
          <cell r="E3572" t="str">
            <v>1|12056|1|1</v>
          </cell>
        </row>
        <row r="3573">
          <cell r="A3573">
            <v>52066</v>
          </cell>
          <cell r="B3573">
            <v>1</v>
          </cell>
          <cell r="C3573" t="str">
            <v>1|12057|1</v>
          </cell>
          <cell r="D3573" t="str">
            <v>鎏金点翠碎片1</v>
          </cell>
          <cell r="E3573" t="str">
            <v>1|12057|1|1</v>
          </cell>
        </row>
        <row r="3574">
          <cell r="A3574">
            <v>52067</v>
          </cell>
          <cell r="B3574">
            <v>1</v>
          </cell>
          <cell r="C3574" t="str">
            <v>1|12058|1</v>
          </cell>
          <cell r="D3574" t="str">
            <v>鎏金点翠碎片2</v>
          </cell>
          <cell r="E3574" t="str">
            <v>1|12058|1|1</v>
          </cell>
        </row>
        <row r="3575">
          <cell r="A3575">
            <v>52068</v>
          </cell>
          <cell r="B3575">
            <v>1</v>
          </cell>
          <cell r="C3575" t="str">
            <v>1|12059|1</v>
          </cell>
          <cell r="D3575" t="str">
            <v>鎏金点翠碎片3</v>
          </cell>
          <cell r="E3575" t="str">
            <v>1|12059|1|1</v>
          </cell>
        </row>
        <row r="3576">
          <cell r="A3576">
            <v>52069</v>
          </cell>
          <cell r="B3576">
            <v>1</v>
          </cell>
          <cell r="C3576" t="str">
            <v>1|12060|1</v>
          </cell>
          <cell r="D3576" t="str">
            <v>鎏金点翠碎片4</v>
          </cell>
          <cell r="E3576" t="str">
            <v>1|12060|1|1</v>
          </cell>
        </row>
        <row r="3577">
          <cell r="A3577">
            <v>52070</v>
          </cell>
          <cell r="B3577">
            <v>1</v>
          </cell>
          <cell r="C3577" t="str">
            <v>1|12061|1</v>
          </cell>
          <cell r="D3577" t="str">
            <v>鎏金点翠碎片5</v>
          </cell>
          <cell r="E3577" t="str">
            <v>1|12061|1|1</v>
          </cell>
        </row>
        <row r="3578">
          <cell r="A3578">
            <v>52071</v>
          </cell>
          <cell r="B3578">
            <v>1</v>
          </cell>
          <cell r="C3578" t="str">
            <v>1|12062|1</v>
          </cell>
          <cell r="D3578" t="str">
            <v>紫金曼陀碎片1</v>
          </cell>
          <cell r="E3578" t="str">
            <v>1|12062|1|1</v>
          </cell>
        </row>
        <row r="3579">
          <cell r="A3579">
            <v>52072</v>
          </cell>
          <cell r="B3579">
            <v>1</v>
          </cell>
          <cell r="C3579" t="str">
            <v>1|12063|1</v>
          </cell>
          <cell r="D3579" t="str">
            <v>紫金曼陀碎片2</v>
          </cell>
          <cell r="E3579" t="str">
            <v>1|12063|1|1</v>
          </cell>
        </row>
        <row r="3580">
          <cell r="A3580">
            <v>52073</v>
          </cell>
          <cell r="B3580">
            <v>1</v>
          </cell>
          <cell r="C3580" t="str">
            <v>1|12064|1</v>
          </cell>
          <cell r="D3580" t="str">
            <v>紫金曼陀碎片3</v>
          </cell>
          <cell r="E3580" t="str">
            <v>1|12064|1|1</v>
          </cell>
        </row>
        <row r="3581">
          <cell r="A3581">
            <v>52074</v>
          </cell>
          <cell r="B3581">
            <v>1</v>
          </cell>
          <cell r="C3581" t="str">
            <v>1|12065|1</v>
          </cell>
          <cell r="D3581" t="str">
            <v>紫金曼陀碎片4</v>
          </cell>
          <cell r="E3581" t="str">
            <v>1|12065|1|1</v>
          </cell>
        </row>
        <row r="3582">
          <cell r="A3582">
            <v>52075</v>
          </cell>
          <cell r="B3582">
            <v>1</v>
          </cell>
          <cell r="C3582" t="str">
            <v>1|12066|1</v>
          </cell>
          <cell r="D3582" t="str">
            <v>紫金曼陀碎片5</v>
          </cell>
          <cell r="E3582" t="str">
            <v>1|12066|1|1</v>
          </cell>
        </row>
        <row r="3583">
          <cell r="A3583">
            <v>52501</v>
          </cell>
          <cell r="B3583">
            <v>1</v>
          </cell>
          <cell r="C3583" t="str">
            <v>3|52031|1</v>
          </cell>
          <cell r="D3583" t="str">
            <v>孙悟空热门</v>
          </cell>
          <cell r="E3583" t="str">
            <v>3|52031|1|1,3|52032|1|6,3|52033|1|2,3|52034|1|14,3|52035|1|6,3|52046|1|4,3|52047|1|4,3|52048|1|4,3|52049|1|4,3|52050|1|4,3|52051|1|4,3|52052|1|4,3|52053|1|4,3|52054|1|4,3|52055|1|4,3|52056|1|4,3|52057|1|4,3|52058|1|4,3|52059|1|4,3|52060|1|4,3|52061|1|4,3|52062|1|4,3|52063|1|4,3|52064|1|4,3|52065|1|4</v>
          </cell>
        </row>
        <row r="3584">
          <cell r="A3584">
            <v>52502</v>
          </cell>
          <cell r="B3584">
            <v>1</v>
          </cell>
          <cell r="C3584" t="str">
            <v>3|52041|1</v>
          </cell>
          <cell r="D3584" t="str">
            <v>紫霞仙子热门</v>
          </cell>
          <cell r="E3584" t="str">
            <v>3|52041|1|1,3|52042|1|6,3|52043|1|2,3|52044|1|14,3|52045|1|6,3|52046|1|4,3|52047|1|4,3|52048|1|4,3|52049|1|4,3|52050|1|4,3|52051|1|4,3|52052|1|4,3|52053|1|4,3|52054|1|4,3|52055|1|4,3|52056|1|4,3|52057|1|4,3|52058|1|4,3|52059|1|4,3|52060|1|4,3|52061|1|4,3|52062|1|4,3|52063|1|4,3|52064|1|4,3|52065|1|4</v>
          </cell>
        </row>
        <row r="3585">
          <cell r="A3585">
            <v>52503</v>
          </cell>
          <cell r="B3585">
            <v>1</v>
          </cell>
          <cell r="C3585" t="str">
            <v>3|52036|1</v>
          </cell>
          <cell r="D3585" t="str">
            <v>猪八戒热门</v>
          </cell>
          <cell r="E3585" t="str">
            <v>3|52036|1|1,3|52037|1|6,3|52038|1|2,3|52039|1|14,3|52040|1|6,3|52046|1|4,3|52047|1|4,3|52048|1|4,3|52049|1|4,3|52050|1|4,3|52051|1|4,3|52052|1|4,3|52053|1|4,3|52054|1|4,3|52055|1|4,3|52056|1|4,3|52057|1|4,3|52058|1|4,3|52059|1|4,3|52060|1|4,3|52061|1|4,3|52062|1|4,3|52063|1|4,3|52064|1|4,3|52065|1|4</v>
          </cell>
        </row>
        <row r="3586">
          <cell r="A3586">
            <v>52504</v>
          </cell>
          <cell r="B3586">
            <v>1</v>
          </cell>
          <cell r="C3586" t="str">
            <v>3|52001|1</v>
          </cell>
          <cell r="D3586" t="str">
            <v>二郎神热门</v>
          </cell>
          <cell r="E3586" t="str">
            <v>3|52001|1|1,3|52002|1|6,3|52003|1|2,3|52004|1|14,3|52005|1|6,3|52046|1|4,3|52047|1|4,3|52048|1|4,3|52049|1|4,3|52050|1|4,3|52051|1|4,3|52052|1|4,3|52053|1|4,3|52054|1|4,3|52055|1|4,3|52056|1|4,3|52057|1|4,3|52058|1|4,3|52059|1|4,3|52060|1|4,3|52061|1|4,3|52062|1|4,3|52063|1|4,3|52064|1|4,3|52065|1|4</v>
          </cell>
        </row>
        <row r="3587">
          <cell r="A3587">
            <v>52505</v>
          </cell>
          <cell r="B3587">
            <v>1</v>
          </cell>
          <cell r="C3587" t="str">
            <v>3|52006|1</v>
          </cell>
          <cell r="D3587" t="str">
            <v>哪吒热门</v>
          </cell>
          <cell r="E3587" t="str">
            <v>3|52006|1|1,3|52007|1|6,3|52008|1|2,3|52009|1|14,3|52010|1|6,3|52046|1|4,3|52047|1|4,3|52048|1|4,3|52049|1|4,3|52050|1|4,3|52051|1|4,3|52052|1|4,3|52053|1|4,3|52054|1|4,3|52055|1|4,3|52056|1|4,3|52057|1|4,3|52058|1|4,3|52059|1|4,3|52060|1|4,3|52061|1|4,3|52062|1|4,3|52063|1|4,3|52064|1|4,3|52065|1|4</v>
          </cell>
        </row>
        <row r="3588">
          <cell r="A3588">
            <v>52506</v>
          </cell>
          <cell r="B3588">
            <v>1</v>
          </cell>
          <cell r="C3588" t="str">
            <v>3|52011|1</v>
          </cell>
          <cell r="D3588" t="str">
            <v>嫦娥热门</v>
          </cell>
          <cell r="E3588" t="str">
            <v>3|52011|1|1,3|52012|1|6,3|52013|1|2,3|52014|1|14,3|52015|1|6,3|52046|1|4,3|52047|1|4,3|52048|1|4,3|52049|1|4,3|52050|1|4,3|52051|1|4,3|52052|1|4,3|52053|1|4,3|52054|1|4,3|52055|1|4,3|52056|1|4,3|52057|1|4,3|52058|1|4,3|52059|1|4,3|52060|1|4,3|52061|1|4,3|52062|1|4,3|52063|1|4,3|52064|1|4,3|52065|1|4</v>
          </cell>
        </row>
        <row r="3589">
          <cell r="A3589">
            <v>52507</v>
          </cell>
          <cell r="B3589">
            <v>1</v>
          </cell>
          <cell r="C3589" t="str">
            <v>3|52026|1</v>
          </cell>
          <cell r="D3589" t="str">
            <v>牛魔王热门</v>
          </cell>
          <cell r="E3589" t="str">
            <v>3|52026|1|1,3|52027|1|6,3|52028|1|2,3|52029|1|14,3|52030|1|6,3|52046|1|4,3|52047|1|4,3|52048|1|4,3|52049|1|4,3|52050|1|4,3|52051|1|4,3|52052|1|4,3|52053|1|4,3|52054|1|4,3|52055|1|4,3|52056|1|4,3|52057|1|4,3|52058|1|4,3|52059|1|4,3|52060|1|4,3|52061|1|4,3|52062|1|4,3|52063|1|4,3|52064|1|4,3|52065|1|4</v>
          </cell>
        </row>
        <row r="3590">
          <cell r="A3590">
            <v>52508</v>
          </cell>
          <cell r="B3590">
            <v>1</v>
          </cell>
          <cell r="C3590" t="str">
            <v>3|52016|1</v>
          </cell>
          <cell r="D3590" t="str">
            <v>红孩儿热门</v>
          </cell>
          <cell r="E3590" t="str">
            <v>3|52016|1|1,3|52017|1|6,3|52018|1|2,3|52019|1|14,3|52020|1|6,3|52046|1|4,3|52047|1|4,3|52048|1|4,3|52049|1|4,3|52050|1|4,3|52051|1|4,3|52052|1|4,3|52053|1|4,3|52054|1|4,3|52055|1|4,3|52056|1|4,3|52057|1|4,3|52058|1|4,3|52059|1|4,3|52060|1|4,3|52061|1|4,3|52062|1|4,3|52063|1|4,3|52064|1|4,3|52065|1|4</v>
          </cell>
        </row>
        <row r="3591">
          <cell r="A3591">
            <v>52509</v>
          </cell>
          <cell r="B3591">
            <v>1</v>
          </cell>
          <cell r="C3591" t="str">
            <v>3|52021|1</v>
          </cell>
          <cell r="D3591" t="str">
            <v>铁扇公主热门</v>
          </cell>
          <cell r="E3591" t="str">
            <v>3|52021|1|1,3|52022|1|6,3|52023|1|2,3|52024|1|14,3|52025|1|6,3|52046|1|4,3|52047|1|4,3|52048|1|4,3|52049|1|4,3|52050|1|4,3|52051|1|4,3|52052|1|4,3|52053|1|4,3|52054|1|4,3|52055|1|4,3|52056|1|4,3|52057|1|4,3|52058|1|4,3|52059|1|4,3|52060|1|4,3|52061|1|4,3|52062|1|4,3|52063|1|4,3|52064|1|4,3|52065|1|4</v>
          </cell>
        </row>
        <row r="3592">
          <cell r="A3592">
            <v>55001</v>
          </cell>
          <cell r="B3592">
            <v>0</v>
          </cell>
          <cell r="C3592" t="str">
            <v>4|2|30,4|1|30000,1|14003|1</v>
          </cell>
          <cell r="D3592" t="str">
            <v>主线进度宝箱奖励1</v>
          </cell>
          <cell r="E3592" t="str">
            <v>4|2|30|1,4|1|30000|1,1|14003|1|1</v>
          </cell>
        </row>
        <row r="3593">
          <cell r="A3593">
            <v>55002</v>
          </cell>
          <cell r="B3593">
            <v>0</v>
          </cell>
          <cell r="C3593" t="str">
            <v>4|2|60,4|1|40000,1|14003|1,1|14107|100</v>
          </cell>
          <cell r="D3593" t="str">
            <v>主线进度宝箱奖励2</v>
          </cell>
          <cell r="E3593" t="str">
            <v>4|2|60|1,4|1|40000|1,1|14003|1|1,1|14107|100|1</v>
          </cell>
        </row>
        <row r="3594">
          <cell r="A3594">
            <v>55003</v>
          </cell>
          <cell r="B3594">
            <v>0</v>
          </cell>
          <cell r="C3594" t="str">
            <v>4|2|90,4|1|50000,1|14003|1,1|14005|1</v>
          </cell>
          <cell r="D3594" t="str">
            <v>主线进度宝箱奖励3</v>
          </cell>
          <cell r="E3594" t="str">
            <v>4|2|90|1,4|1|50000|1,1|14003|1|1,1|14005|1|1</v>
          </cell>
        </row>
        <row r="3595">
          <cell r="A3595">
            <v>55004</v>
          </cell>
          <cell r="B3595">
            <v>0</v>
          </cell>
          <cell r="C3595" t="str">
            <v>4|2|30,4|1|30000,1|14003|1</v>
          </cell>
          <cell r="D3595" t="str">
            <v>主线进度宝箱奖励4</v>
          </cell>
          <cell r="E3595" t="str">
            <v>4|2|30|1,4|1|30000|1,1|14003|1|1</v>
          </cell>
        </row>
        <row r="3596">
          <cell r="A3596">
            <v>55005</v>
          </cell>
          <cell r="B3596">
            <v>0</v>
          </cell>
          <cell r="C3596" t="str">
            <v>4|2|60,4|1|40000,1|14003|1,1|14107|100</v>
          </cell>
          <cell r="D3596" t="str">
            <v>主线进度宝箱奖励5</v>
          </cell>
          <cell r="E3596" t="str">
            <v>4|2|60|1,4|1|40000|1,1|14003|1|1,1|14107|100|1</v>
          </cell>
        </row>
        <row r="3597">
          <cell r="A3597">
            <v>55006</v>
          </cell>
          <cell r="B3597">
            <v>0</v>
          </cell>
          <cell r="C3597" t="str">
            <v>4|2|90,4|1|50000,1|14003|1,1|14005|1</v>
          </cell>
          <cell r="D3597" t="str">
            <v>主线进度宝箱奖励6</v>
          </cell>
          <cell r="E3597" t="str">
            <v>4|2|90|1,4|1|50000|1,1|14003|1|1,1|14005|1|1</v>
          </cell>
        </row>
        <row r="3598">
          <cell r="A3598">
            <v>55007</v>
          </cell>
          <cell r="B3598">
            <v>0</v>
          </cell>
          <cell r="C3598" t="str">
            <v>4|2|40,4|1|30000,1|14003|1</v>
          </cell>
          <cell r="D3598" t="str">
            <v>主线进度宝箱奖励7</v>
          </cell>
          <cell r="E3598" t="str">
            <v>4|2|40|1,4|1|30000|1,1|14003|1|1</v>
          </cell>
        </row>
        <row r="3599">
          <cell r="A3599">
            <v>55008</v>
          </cell>
          <cell r="B3599">
            <v>0</v>
          </cell>
          <cell r="C3599" t="str">
            <v>4|2|70,4|1|40000,1|14003|1,1|14107|125</v>
          </cell>
          <cell r="D3599" t="str">
            <v>主线进度宝箱奖励8</v>
          </cell>
          <cell r="E3599" t="str">
            <v>4|2|70|1,4|1|40000|1,1|14003|1|1,1|14107|125|1</v>
          </cell>
        </row>
        <row r="3600">
          <cell r="A3600">
            <v>55009</v>
          </cell>
          <cell r="B3600">
            <v>0</v>
          </cell>
          <cell r="C3600" t="str">
            <v>4|2|100,4|1|50000,1|14003|1,1|14005|1</v>
          </cell>
          <cell r="D3600" t="str">
            <v>主线进度宝箱奖励9</v>
          </cell>
          <cell r="E3600" t="str">
            <v>4|2|100|1,4|1|50000|1,1|14003|1|1,1|14005|1|1</v>
          </cell>
        </row>
        <row r="3601">
          <cell r="A3601">
            <v>55010</v>
          </cell>
          <cell r="B3601">
            <v>0</v>
          </cell>
          <cell r="C3601" t="str">
            <v>4|2|40,4|1|30000,1|14003|1</v>
          </cell>
          <cell r="D3601" t="str">
            <v>主线进度宝箱奖励10</v>
          </cell>
          <cell r="E3601" t="str">
            <v>4|2|40|1,4|1|30000|1,1|14003|1|1</v>
          </cell>
        </row>
        <row r="3602">
          <cell r="A3602">
            <v>55011</v>
          </cell>
          <cell r="B3602">
            <v>0</v>
          </cell>
          <cell r="C3602" t="str">
            <v>4|2|70,4|1|40000,1|14003|1,1|14107|125</v>
          </cell>
          <cell r="D3602" t="str">
            <v>主线进度宝箱奖励11</v>
          </cell>
          <cell r="E3602" t="str">
            <v>4|2|70|1,4|1|40000|1,1|14003|1|1,1|14107|125|1</v>
          </cell>
        </row>
        <row r="3603">
          <cell r="A3603">
            <v>55012</v>
          </cell>
          <cell r="B3603">
            <v>0</v>
          </cell>
          <cell r="C3603" t="str">
            <v>4|2|100,4|1|50000,1|14003|1,1|14005|1</v>
          </cell>
          <cell r="D3603" t="str">
            <v>主线进度宝箱奖励12</v>
          </cell>
          <cell r="E3603" t="str">
            <v>4|2|100|1,4|1|50000|1,1|14003|1|1,1|14005|1|1</v>
          </cell>
        </row>
        <row r="3604">
          <cell r="A3604">
            <v>55013</v>
          </cell>
          <cell r="B3604">
            <v>0</v>
          </cell>
          <cell r="C3604" t="str">
            <v>4|2|50,4|1|30000,1|14003|1</v>
          </cell>
          <cell r="D3604" t="str">
            <v>主线进度宝箱奖励13</v>
          </cell>
          <cell r="E3604" t="str">
            <v>4|2|50|1,4|1|30000|1,1|14003|1|1</v>
          </cell>
        </row>
        <row r="3605">
          <cell r="A3605">
            <v>55014</v>
          </cell>
          <cell r="B3605">
            <v>0</v>
          </cell>
          <cell r="C3605" t="str">
            <v>4|2|80,4|1|40000,1|14003|1,1|14107|150</v>
          </cell>
          <cell r="D3605" t="str">
            <v>主线进度宝箱奖励14</v>
          </cell>
          <cell r="E3605" t="str">
            <v>4|2|80|1,4|1|40000|1,1|14003|1|1,1|14107|150|1</v>
          </cell>
        </row>
        <row r="3606">
          <cell r="A3606">
            <v>55015</v>
          </cell>
          <cell r="B3606">
            <v>0</v>
          </cell>
          <cell r="C3606" t="str">
            <v>4|2|110,4|1|50000,1|14003|1,1|14006|1</v>
          </cell>
          <cell r="D3606" t="str">
            <v>主线进度宝箱奖励15</v>
          </cell>
          <cell r="E3606" t="str">
            <v>4|2|110|1,4|1|50000|1,1|14003|1|1,1|14006|1|1</v>
          </cell>
        </row>
        <row r="3607">
          <cell r="A3607">
            <v>55016</v>
          </cell>
          <cell r="B3607">
            <v>0</v>
          </cell>
          <cell r="C3607" t="str">
            <v>4|2|50,4|1|30000,1|14003|1</v>
          </cell>
          <cell r="D3607" t="str">
            <v>主线进度宝箱奖励16</v>
          </cell>
          <cell r="E3607" t="str">
            <v>4|2|50|1,4|1|30000|1,1|14003|1|1</v>
          </cell>
        </row>
        <row r="3608">
          <cell r="A3608">
            <v>55017</v>
          </cell>
          <cell r="B3608">
            <v>0</v>
          </cell>
          <cell r="C3608" t="str">
            <v>4|2|80,4|1|40000,1|14003|1,1|14107|150</v>
          </cell>
          <cell r="D3608" t="str">
            <v>主线进度宝箱奖励17</v>
          </cell>
          <cell r="E3608" t="str">
            <v>4|2|80|1,4|1|40000|1,1|14003|1|1,1|14107|150|1</v>
          </cell>
        </row>
        <row r="3609">
          <cell r="A3609">
            <v>55018</v>
          </cell>
          <cell r="B3609">
            <v>0</v>
          </cell>
          <cell r="C3609" t="str">
            <v>4|2|110,4|1|50000,1|14003|1,1|14006|1</v>
          </cell>
          <cell r="D3609" t="str">
            <v>主线进度宝箱奖励18</v>
          </cell>
          <cell r="E3609" t="str">
            <v>4|2|110|1,4|1|50000|1,1|14003|1|1,1|14006|1|1</v>
          </cell>
        </row>
        <row r="3610">
          <cell r="A3610">
            <v>55019</v>
          </cell>
          <cell r="B3610">
            <v>0</v>
          </cell>
          <cell r="C3610" t="str">
            <v>4|2|60,4|1|30000,1|14003|1</v>
          </cell>
          <cell r="D3610" t="str">
            <v>主线进度宝箱奖励19</v>
          </cell>
          <cell r="E3610" t="str">
            <v>4|2|60|1,4|1|30000|1,1|14003|1|1</v>
          </cell>
        </row>
        <row r="3611">
          <cell r="A3611">
            <v>55020</v>
          </cell>
          <cell r="B3611">
            <v>0</v>
          </cell>
          <cell r="C3611" t="str">
            <v>4|2|90,4|1|40000,1|14003|1,1|14107|175</v>
          </cell>
          <cell r="D3611" t="str">
            <v>主线进度宝箱奖励20</v>
          </cell>
          <cell r="E3611" t="str">
            <v>4|2|90|1,4|1|40000|1,1|14003|1|1,1|14107|175|1</v>
          </cell>
        </row>
        <row r="3612">
          <cell r="A3612">
            <v>55021</v>
          </cell>
          <cell r="B3612">
            <v>0</v>
          </cell>
          <cell r="C3612" t="str">
            <v>4|2|120,4|1|50000,1|14003|1,1|14006|1</v>
          </cell>
          <cell r="D3612" t="str">
            <v>主线进度宝箱奖励21</v>
          </cell>
          <cell r="E3612" t="str">
            <v>4|2|120|1,4|1|50000|1,1|14003|1|1,1|14006|1|1</v>
          </cell>
        </row>
        <row r="3613">
          <cell r="A3613">
            <v>55022</v>
          </cell>
          <cell r="B3613">
            <v>0</v>
          </cell>
          <cell r="C3613" t="str">
            <v>4|2|60,4|1|30000,1|14003|1</v>
          </cell>
          <cell r="D3613" t="str">
            <v>主线进度宝箱奖励22</v>
          </cell>
          <cell r="E3613" t="str">
            <v>4|2|60|1,4|1|30000|1,1|14003|1|1</v>
          </cell>
        </row>
        <row r="3614">
          <cell r="A3614">
            <v>55023</v>
          </cell>
          <cell r="B3614">
            <v>0</v>
          </cell>
          <cell r="C3614" t="str">
            <v>4|2|90,4|1|40000,1|14003|1,1|14107|175</v>
          </cell>
          <cell r="D3614" t="str">
            <v>主线进度宝箱奖励23</v>
          </cell>
          <cell r="E3614" t="str">
            <v>4|2|90|1,4|1|40000|1,1|14003|1|1,1|14107|175|1</v>
          </cell>
        </row>
        <row r="3615">
          <cell r="A3615">
            <v>55024</v>
          </cell>
          <cell r="B3615">
            <v>0</v>
          </cell>
          <cell r="C3615" t="str">
            <v>4|2|120,4|1|50000,1|14003|1,1|14006|1</v>
          </cell>
          <cell r="D3615" t="str">
            <v>主线进度宝箱奖励24</v>
          </cell>
          <cell r="E3615" t="str">
            <v>4|2|120|1,4|1|50000|1,1|14003|1|1,1|14006|1|1</v>
          </cell>
        </row>
        <row r="3616">
          <cell r="A3616">
            <v>55025</v>
          </cell>
          <cell r="B3616">
            <v>0</v>
          </cell>
          <cell r="C3616" t="str">
            <v>4|2|70,4|1|30000,1|14003|1</v>
          </cell>
          <cell r="D3616" t="str">
            <v>主线进度宝箱奖励25</v>
          </cell>
          <cell r="E3616" t="str">
            <v>4|2|70|1,4|1|30000|1,1|14003|1|1</v>
          </cell>
        </row>
        <row r="3617">
          <cell r="A3617">
            <v>55026</v>
          </cell>
          <cell r="B3617">
            <v>0</v>
          </cell>
          <cell r="C3617" t="str">
            <v>4|2|100,4|1|40000,1|14003|1,1|14107|190</v>
          </cell>
          <cell r="D3617" t="str">
            <v>主线进度宝箱奖励26</v>
          </cell>
          <cell r="E3617" t="str">
            <v>4|2|100|1,4|1|40000|1,1|14003|1|1,1|14107|190|1</v>
          </cell>
        </row>
        <row r="3618">
          <cell r="A3618">
            <v>55027</v>
          </cell>
          <cell r="B3618">
            <v>0</v>
          </cell>
          <cell r="C3618" t="str">
            <v>4|2|130,4|1|50000,1|14003|1,1|14006|1</v>
          </cell>
          <cell r="D3618" t="str">
            <v>主线进度宝箱奖励27</v>
          </cell>
          <cell r="E3618" t="str">
            <v>4|2|130|1,4|1|50000|1,1|14003|1|1,1|14006|1|1</v>
          </cell>
        </row>
        <row r="3619">
          <cell r="A3619">
            <v>55028</v>
          </cell>
          <cell r="B3619">
            <v>0</v>
          </cell>
          <cell r="C3619" t="str">
            <v>4|2|70,4|1|30000,1|14003|1</v>
          </cell>
          <cell r="D3619" t="str">
            <v>主线进度宝箱奖励28</v>
          </cell>
          <cell r="E3619" t="str">
            <v>4|2|70|1,4|1|30000|1,1|14003|1|1</v>
          </cell>
        </row>
        <row r="3620">
          <cell r="A3620">
            <v>55029</v>
          </cell>
          <cell r="B3620">
            <v>0</v>
          </cell>
          <cell r="C3620" t="str">
            <v>4|2|100,4|1|40000,1|14003|1,1|14107|190</v>
          </cell>
          <cell r="D3620" t="str">
            <v>主线进度宝箱奖励29</v>
          </cell>
          <cell r="E3620" t="str">
            <v>4|2|100|1,4|1|40000|1,1|14003|1|1,1|14107|190|1</v>
          </cell>
        </row>
        <row r="3621">
          <cell r="A3621">
            <v>55030</v>
          </cell>
          <cell r="B3621">
            <v>0</v>
          </cell>
          <cell r="C3621" t="str">
            <v>4|2|130,4|1|50000,1|14003|1,1|14006|1</v>
          </cell>
          <cell r="D3621" t="str">
            <v>主线进度宝箱奖励30</v>
          </cell>
          <cell r="E3621" t="str">
            <v>4|2|130|1,4|1|50000|1,1|14003|1|1,1|14006|1|1</v>
          </cell>
        </row>
        <row r="3622">
          <cell r="A3622">
            <v>55031</v>
          </cell>
          <cell r="B3622">
            <v>0</v>
          </cell>
          <cell r="C3622" t="str">
            <v>4|2|75,4|1|30000,1|14003|1</v>
          </cell>
          <cell r="D3622" t="str">
            <v>主线进度宝箱奖励31</v>
          </cell>
          <cell r="E3622" t="str">
            <v>4|2|75|1,4|1|30000|1,1|14003|1|1</v>
          </cell>
        </row>
        <row r="3623">
          <cell r="A3623">
            <v>55032</v>
          </cell>
          <cell r="B3623">
            <v>0</v>
          </cell>
          <cell r="C3623" t="str">
            <v>4|2|105,4|1|40000,1|14003|1,1|14107|200</v>
          </cell>
          <cell r="D3623" t="str">
            <v>主线进度宝箱奖励32</v>
          </cell>
          <cell r="E3623" t="str">
            <v>4|2|105|1,4|1|40000|1,1|14003|1|1,1|14107|200|1</v>
          </cell>
        </row>
        <row r="3624">
          <cell r="A3624">
            <v>55033</v>
          </cell>
          <cell r="B3624">
            <v>0</v>
          </cell>
          <cell r="C3624" t="str">
            <v>4|2|135,4|1|50000,1|14003|1,1|14006|1</v>
          </cell>
          <cell r="D3624" t="str">
            <v>主线进度宝箱奖励33</v>
          </cell>
          <cell r="E3624" t="str">
            <v>4|2|135|1,4|1|50000|1,1|14003|1|1,1|14006|1|1</v>
          </cell>
        </row>
        <row r="3625">
          <cell r="A3625">
            <v>55034</v>
          </cell>
          <cell r="B3625">
            <v>0</v>
          </cell>
          <cell r="C3625" t="str">
            <v>4|2|75,4|1|30000,1|14003|1</v>
          </cell>
          <cell r="D3625" t="str">
            <v>主线进度宝箱奖励34</v>
          </cell>
          <cell r="E3625" t="str">
            <v>4|2|75|1,4|1|30000|1,1|14003|1|1</v>
          </cell>
        </row>
        <row r="3626">
          <cell r="A3626">
            <v>55035</v>
          </cell>
          <cell r="B3626">
            <v>0</v>
          </cell>
          <cell r="C3626" t="str">
            <v>4|2|105,4|1|40000,1|14003|1,1|14107|200</v>
          </cell>
          <cell r="D3626" t="str">
            <v>主线进度宝箱奖励35</v>
          </cell>
          <cell r="E3626" t="str">
            <v>4|2|105|1,4|1|40000|1,1|14003|1|1,1|14107|200|1</v>
          </cell>
        </row>
        <row r="3627">
          <cell r="A3627">
            <v>55036</v>
          </cell>
          <cell r="B3627">
            <v>0</v>
          </cell>
          <cell r="C3627" t="str">
            <v>4|2|135,4|1|50000,1|14003|1,1|14006|1</v>
          </cell>
          <cell r="D3627" t="str">
            <v>主线进度宝箱奖励36</v>
          </cell>
          <cell r="E3627" t="str">
            <v>4|2|135|1,4|1|50000|1,1|14003|1|1,1|14006|1|1</v>
          </cell>
        </row>
        <row r="3628">
          <cell r="A3628">
            <v>55037</v>
          </cell>
          <cell r="B3628">
            <v>0</v>
          </cell>
          <cell r="C3628" t="str">
            <v>4|2|80,4|1|30000,1|14003|1</v>
          </cell>
          <cell r="D3628" t="str">
            <v>主线进度宝箱奖励37</v>
          </cell>
          <cell r="E3628" t="str">
            <v>4|2|80|1,4|1|30000|1,1|14003|1|1</v>
          </cell>
        </row>
        <row r="3629">
          <cell r="A3629">
            <v>55038</v>
          </cell>
          <cell r="B3629">
            <v>0</v>
          </cell>
          <cell r="C3629" t="str">
            <v>4|2|110,4|1|40000,1|14003|1,1|14107|210</v>
          </cell>
          <cell r="D3629" t="str">
            <v>主线进度宝箱奖励38</v>
          </cell>
          <cell r="E3629" t="str">
            <v>4|2|110|1,4|1|40000|1,1|14003|1|1,1|14107|210|1</v>
          </cell>
        </row>
        <row r="3630">
          <cell r="A3630">
            <v>55039</v>
          </cell>
          <cell r="B3630">
            <v>0</v>
          </cell>
          <cell r="C3630" t="str">
            <v>4|2|140,4|1|50000,1|14003|1,1|14006|1</v>
          </cell>
          <cell r="D3630" t="str">
            <v>主线进度宝箱奖励39</v>
          </cell>
          <cell r="E3630" t="str">
            <v>4|2|140|1,4|1|50000|1,1|14003|1|1,1|14006|1|1</v>
          </cell>
        </row>
        <row r="3631">
          <cell r="A3631">
            <v>55040</v>
          </cell>
          <cell r="B3631">
            <v>0</v>
          </cell>
          <cell r="C3631" t="str">
            <v>4|2|80,4|1|30000,1|14003|1</v>
          </cell>
          <cell r="D3631" t="str">
            <v>主线进度宝箱奖励40</v>
          </cell>
          <cell r="E3631" t="str">
            <v>4|2|80|1,4|1|30000|1,1|14003|1|1</v>
          </cell>
        </row>
        <row r="3632">
          <cell r="A3632">
            <v>55041</v>
          </cell>
          <cell r="B3632">
            <v>0</v>
          </cell>
          <cell r="C3632" t="str">
            <v>4|2|110,4|1|40000,1|14003|1,1|14107|210</v>
          </cell>
          <cell r="D3632" t="str">
            <v>主线进度宝箱奖励41</v>
          </cell>
          <cell r="E3632" t="str">
            <v>4|2|110|1,4|1|40000|1,1|14003|1|1,1|14107|210|1</v>
          </cell>
        </row>
        <row r="3633">
          <cell r="A3633">
            <v>55042</v>
          </cell>
          <cell r="B3633">
            <v>0</v>
          </cell>
          <cell r="C3633" t="str">
            <v>4|2|140,4|1|50000,1|14003|1,1|14006|1</v>
          </cell>
          <cell r="D3633" t="str">
            <v>主线进度宝箱奖励42</v>
          </cell>
          <cell r="E3633" t="str">
            <v>4|2|140|1,4|1|50000|1,1|14003|1|1,1|14006|1|1</v>
          </cell>
        </row>
        <row r="3634">
          <cell r="A3634">
            <v>55043</v>
          </cell>
          <cell r="B3634">
            <v>0</v>
          </cell>
          <cell r="C3634" t="str">
            <v>4|2|85,4|1|30000,1|14003|1</v>
          </cell>
          <cell r="D3634" t="str">
            <v>主线进度宝箱奖励43</v>
          </cell>
          <cell r="E3634" t="str">
            <v>4|2|85|1,4|1|30000|1,1|14003|1|1</v>
          </cell>
        </row>
        <row r="3635">
          <cell r="A3635">
            <v>55044</v>
          </cell>
          <cell r="B3635">
            <v>0</v>
          </cell>
          <cell r="C3635" t="str">
            <v>4|2|115,4|1|40000,1|14003|1,1|14107|220</v>
          </cell>
          <cell r="D3635" t="str">
            <v>主线进度宝箱奖励44</v>
          </cell>
          <cell r="E3635" t="str">
            <v>4|2|115|1,4|1|40000|1,1|14003|1|1,1|14107|220|1</v>
          </cell>
        </row>
        <row r="3636">
          <cell r="A3636">
            <v>55045</v>
          </cell>
          <cell r="B3636">
            <v>0</v>
          </cell>
          <cell r="C3636" t="str">
            <v>4|2|145,4|1|50000,1|14003|1,1|14006|1</v>
          </cell>
          <cell r="D3636" t="str">
            <v>主线进度宝箱奖励45</v>
          </cell>
          <cell r="E3636" t="str">
            <v>4|2|145|1,4|1|50000|1,1|14003|1|1,1|14006|1|1</v>
          </cell>
        </row>
        <row r="3637">
          <cell r="A3637">
            <v>55046</v>
          </cell>
          <cell r="B3637">
            <v>0</v>
          </cell>
          <cell r="C3637" t="str">
            <v>4|2|85,4|1|30000,1|14003|1</v>
          </cell>
          <cell r="D3637" t="str">
            <v>主线进度宝箱奖励46</v>
          </cell>
          <cell r="E3637" t="str">
            <v>4|2|85|1,4|1|30000|1,1|14003|1|1</v>
          </cell>
        </row>
        <row r="3638">
          <cell r="A3638">
            <v>55047</v>
          </cell>
          <cell r="B3638">
            <v>0</v>
          </cell>
          <cell r="C3638" t="str">
            <v>4|2|115,4|1|40000,1|14003|1,1|14107|220</v>
          </cell>
          <cell r="D3638" t="str">
            <v>主线进度宝箱奖励47</v>
          </cell>
          <cell r="E3638" t="str">
            <v>4|2|115|1,4|1|40000|1,1|14003|1|1,1|14107|220|1</v>
          </cell>
        </row>
        <row r="3639">
          <cell r="A3639">
            <v>55048</v>
          </cell>
          <cell r="B3639">
            <v>0</v>
          </cell>
          <cell r="C3639" t="str">
            <v>4|2|145,4|1|50000,1|14003|1,1|14006|1</v>
          </cell>
          <cell r="D3639" t="str">
            <v>主线进度宝箱奖励48</v>
          </cell>
          <cell r="E3639" t="str">
            <v>4|2|145|1,4|1|50000|1,1|14003|1|1,1|14006|1|1</v>
          </cell>
        </row>
        <row r="3640">
          <cell r="A3640">
            <v>55049</v>
          </cell>
          <cell r="B3640">
            <v>0</v>
          </cell>
          <cell r="C3640" t="str">
            <v>4|2|90,4|1|30000,1|14003|1</v>
          </cell>
          <cell r="D3640" t="str">
            <v>主线进度宝箱奖励49</v>
          </cell>
          <cell r="E3640" t="str">
            <v>4|2|90|1,4|1|30000|1,1|14003|1|1</v>
          </cell>
        </row>
        <row r="3641">
          <cell r="A3641">
            <v>55050</v>
          </cell>
          <cell r="B3641">
            <v>0</v>
          </cell>
          <cell r="C3641" t="str">
            <v>4|2|120,4|1|40000,1|14003|1,1|14107|230</v>
          </cell>
          <cell r="D3641" t="str">
            <v>主线进度宝箱奖励50</v>
          </cell>
          <cell r="E3641" t="str">
            <v>4|2|120|1,4|1|40000|1,1|14003|1|1,1|14107|230|1</v>
          </cell>
        </row>
        <row r="3642">
          <cell r="A3642">
            <v>55051</v>
          </cell>
          <cell r="B3642">
            <v>0</v>
          </cell>
          <cell r="C3642" t="str">
            <v>4|2|150,4|1|50000,1|14003|1,1|14006|1</v>
          </cell>
          <cell r="D3642" t="str">
            <v>主线进度宝箱奖励51</v>
          </cell>
          <cell r="E3642" t="str">
            <v>4|2|150|1,4|1|50000|1,1|14003|1|1,1|14006|1|1</v>
          </cell>
        </row>
        <row r="3643">
          <cell r="A3643">
            <v>55052</v>
          </cell>
          <cell r="B3643">
            <v>0</v>
          </cell>
          <cell r="C3643" t="str">
            <v>4|2|90,4|1|30000,1|14003|1</v>
          </cell>
          <cell r="D3643" t="str">
            <v>主线进度宝箱奖励52</v>
          </cell>
          <cell r="E3643" t="str">
            <v>4|2|90|1,4|1|30000|1,1|14003|1|1</v>
          </cell>
        </row>
        <row r="3644">
          <cell r="A3644">
            <v>55053</v>
          </cell>
          <cell r="B3644">
            <v>0</v>
          </cell>
          <cell r="C3644" t="str">
            <v>4|2|120,4|1|40000,1|14003|1,1|14107|230</v>
          </cell>
          <cell r="D3644" t="str">
            <v>主线进度宝箱奖励53</v>
          </cell>
          <cell r="E3644" t="str">
            <v>4|2|120|1,4|1|40000|1,1|14003|1|1,1|14107|230|1</v>
          </cell>
        </row>
        <row r="3645">
          <cell r="A3645">
            <v>55054</v>
          </cell>
          <cell r="B3645">
            <v>0</v>
          </cell>
          <cell r="C3645" t="str">
            <v>4|2|150,4|1|50000,1|14003|1,1|14006|1</v>
          </cell>
          <cell r="D3645" t="str">
            <v>主线进度宝箱奖励54</v>
          </cell>
          <cell r="E3645" t="str">
            <v>4|2|150|1,4|1|50000|1,1|14003|1|1,1|14006|1|1</v>
          </cell>
        </row>
        <row r="3646">
          <cell r="A3646">
            <v>55055</v>
          </cell>
          <cell r="B3646">
            <v>0</v>
          </cell>
          <cell r="C3646" t="str">
            <v>4|2|95,4|1|30000,1|14003|1</v>
          </cell>
          <cell r="D3646" t="str">
            <v>主线进度宝箱奖励55</v>
          </cell>
          <cell r="E3646" t="str">
            <v>4|2|95|1,4|1|30000|1,1|14003|1|1</v>
          </cell>
        </row>
        <row r="3647">
          <cell r="A3647">
            <v>55056</v>
          </cell>
          <cell r="B3647">
            <v>0</v>
          </cell>
          <cell r="C3647" t="str">
            <v>4|2|125,4|1|40000,1|14003|1,1|14107|240</v>
          </cell>
          <cell r="D3647" t="str">
            <v>主线进度宝箱奖励56</v>
          </cell>
          <cell r="E3647" t="str">
            <v>4|2|125|1,4|1|40000|1,1|14003|1|1,1|14107|240|1</v>
          </cell>
        </row>
        <row r="3648">
          <cell r="A3648">
            <v>55057</v>
          </cell>
          <cell r="B3648">
            <v>0</v>
          </cell>
          <cell r="C3648" t="str">
            <v>4|2|155,4|1|50000,1|14003|1,1|14006|1</v>
          </cell>
          <cell r="D3648" t="str">
            <v>主线进度宝箱奖励57</v>
          </cell>
          <cell r="E3648" t="str">
            <v>4|2|155|1,4|1|50000|1,1|14003|1|1,1|14006|1|1</v>
          </cell>
        </row>
        <row r="3649">
          <cell r="A3649">
            <v>55058</v>
          </cell>
          <cell r="B3649">
            <v>0</v>
          </cell>
          <cell r="C3649" t="str">
            <v>4|2|95,4|1|30000,1|14003|1</v>
          </cell>
          <cell r="D3649" t="str">
            <v>主线进度宝箱奖励58</v>
          </cell>
          <cell r="E3649" t="str">
            <v>4|2|95|1,4|1|30000|1,1|14003|1|1</v>
          </cell>
        </row>
        <row r="3650">
          <cell r="A3650">
            <v>55059</v>
          </cell>
          <cell r="B3650">
            <v>0</v>
          </cell>
          <cell r="C3650" t="str">
            <v>4|2|125,4|1|40000,1|14003|1,1|14107|240</v>
          </cell>
          <cell r="D3650" t="str">
            <v>主线进度宝箱奖励59</v>
          </cell>
          <cell r="E3650" t="str">
            <v>4|2|125|1,4|1|40000|1,1|14003|1|1,1|14107|240|1</v>
          </cell>
        </row>
        <row r="3651">
          <cell r="A3651">
            <v>55060</v>
          </cell>
          <cell r="B3651">
            <v>0</v>
          </cell>
          <cell r="C3651" t="str">
            <v>4|2|155,4|1|50000,1|14003|1,1|14006|1</v>
          </cell>
          <cell r="D3651" t="str">
            <v>主线进度宝箱奖励60</v>
          </cell>
          <cell r="E3651" t="str">
            <v>4|2|155|1,4|1|50000|1,1|14003|1|1,1|14006|1|1</v>
          </cell>
        </row>
        <row r="3652">
          <cell r="A3652">
            <v>55061</v>
          </cell>
          <cell r="B3652">
            <v>0</v>
          </cell>
          <cell r="C3652" t="str">
            <v>4|2|100,4|1|30000,1|14003|1</v>
          </cell>
          <cell r="D3652" t="str">
            <v>主线进度宝箱奖励61</v>
          </cell>
          <cell r="E3652" t="str">
            <v>4|2|100|1,4|1|30000|1,1|14003|1|1</v>
          </cell>
        </row>
        <row r="3653">
          <cell r="A3653">
            <v>55062</v>
          </cell>
          <cell r="B3653">
            <v>0</v>
          </cell>
          <cell r="C3653" t="str">
            <v>4|2|130,4|1|40000,1|14003|1,1|14107|250</v>
          </cell>
          <cell r="D3653" t="str">
            <v>主线进度宝箱奖励62</v>
          </cell>
          <cell r="E3653" t="str">
            <v>4|2|130|1,4|1|40000|1,1|14003|1|1,1|14107|250|1</v>
          </cell>
        </row>
        <row r="3654">
          <cell r="A3654">
            <v>55063</v>
          </cell>
          <cell r="B3654">
            <v>0</v>
          </cell>
          <cell r="C3654" t="str">
            <v>4|2|160,4|1|50000,1|14003|1,1|14006|1</v>
          </cell>
          <cell r="D3654" t="str">
            <v>主线进度宝箱奖励63</v>
          </cell>
          <cell r="E3654" t="str">
            <v>4|2|160|1,4|1|50000|1,1|14003|1|1,1|14006|1|1</v>
          </cell>
        </row>
        <row r="3655">
          <cell r="A3655">
            <v>55064</v>
          </cell>
          <cell r="B3655">
            <v>0</v>
          </cell>
          <cell r="C3655" t="str">
            <v>4|2|100,4|1|30000,1|14003|1</v>
          </cell>
          <cell r="D3655" t="str">
            <v>主线进度宝箱奖励64</v>
          </cell>
          <cell r="E3655" t="str">
            <v>4|2|100|1,4|1|30000|1,1|14003|1|1</v>
          </cell>
        </row>
        <row r="3656">
          <cell r="A3656">
            <v>55065</v>
          </cell>
          <cell r="B3656">
            <v>0</v>
          </cell>
          <cell r="C3656" t="str">
            <v>4|2|130,4|1|40000,1|14003|1,1|14107|250</v>
          </cell>
          <cell r="D3656" t="str">
            <v>主线进度宝箱奖励65</v>
          </cell>
          <cell r="E3656" t="str">
            <v>4|2|130|1,4|1|40000|1,1|14003|1|1,1|14107|250|1</v>
          </cell>
        </row>
        <row r="3657">
          <cell r="A3657">
            <v>55066</v>
          </cell>
          <cell r="B3657">
            <v>0</v>
          </cell>
          <cell r="C3657" t="str">
            <v>4|2|160,4|1|50000,1|14003|1,1|14006|1</v>
          </cell>
          <cell r="D3657" t="str">
            <v>主线进度宝箱奖励66</v>
          </cell>
          <cell r="E3657" t="str">
            <v>4|2|160|1,4|1|50000|1,1|14003|1|1,1|14006|1|1</v>
          </cell>
        </row>
        <row r="3658">
          <cell r="A3658">
            <v>55067</v>
          </cell>
          <cell r="B3658">
            <v>0</v>
          </cell>
          <cell r="C3658" t="str">
            <v>4|2|105,4|1|30000,1|14003|1</v>
          </cell>
          <cell r="D3658" t="str">
            <v>主线进度宝箱奖励67</v>
          </cell>
          <cell r="E3658" t="str">
            <v>4|2|105|1,4|1|30000|1,1|14003|1|1</v>
          </cell>
        </row>
        <row r="3659">
          <cell r="A3659">
            <v>55068</v>
          </cell>
          <cell r="B3659">
            <v>0</v>
          </cell>
          <cell r="C3659" t="str">
            <v>4|2|135,4|1|40000,1|14003|1,1|14107|260</v>
          </cell>
          <cell r="D3659" t="str">
            <v>主线进度宝箱奖励68</v>
          </cell>
          <cell r="E3659" t="str">
            <v>4|2|135|1,4|1|40000|1,1|14003|1|1,1|14107|260|1</v>
          </cell>
        </row>
        <row r="3660">
          <cell r="A3660">
            <v>55069</v>
          </cell>
          <cell r="B3660">
            <v>0</v>
          </cell>
          <cell r="C3660" t="str">
            <v>4|2|165,4|1|50000,1|14003|1,1|14006|1</v>
          </cell>
          <cell r="D3660" t="str">
            <v>主线进度宝箱奖励69</v>
          </cell>
          <cell r="E3660" t="str">
            <v>4|2|165|1,4|1|50000|1,1|14003|1|1,1|14006|1|1</v>
          </cell>
        </row>
        <row r="3661">
          <cell r="A3661">
            <v>55070</v>
          </cell>
          <cell r="B3661">
            <v>0</v>
          </cell>
          <cell r="C3661" t="str">
            <v>4|2|105,4|1|30000,1|14003|1</v>
          </cell>
          <cell r="D3661" t="str">
            <v>主线进度宝箱奖励70</v>
          </cell>
          <cell r="E3661" t="str">
            <v>4|2|105|1,4|1|30000|1,1|14003|1|1</v>
          </cell>
        </row>
        <row r="3662">
          <cell r="A3662">
            <v>55071</v>
          </cell>
          <cell r="B3662">
            <v>0</v>
          </cell>
          <cell r="C3662" t="str">
            <v>4|2|135,4|1|40000,1|14003|1,1|14107|260</v>
          </cell>
          <cell r="D3662" t="str">
            <v>主线进度宝箱奖励71</v>
          </cell>
          <cell r="E3662" t="str">
            <v>4|2|135|1,4|1|40000|1,1|14003|1|1,1|14107|260|1</v>
          </cell>
        </row>
        <row r="3663">
          <cell r="A3663">
            <v>55072</v>
          </cell>
          <cell r="B3663">
            <v>0</v>
          </cell>
          <cell r="C3663" t="str">
            <v>4|2|165,4|1|50000,1|14003|1,1|14006|1</v>
          </cell>
          <cell r="D3663" t="str">
            <v>主线进度宝箱奖励72</v>
          </cell>
          <cell r="E3663" t="str">
            <v>4|2|165|1,4|1|50000|1,1|14003|1|1,1|14006|1|1</v>
          </cell>
        </row>
        <row r="3664">
          <cell r="A3664">
            <v>55073</v>
          </cell>
          <cell r="B3664">
            <v>0</v>
          </cell>
          <cell r="C3664" t="str">
            <v>4|2|110,4|1|30000,1|14003|1</v>
          </cell>
          <cell r="D3664" t="str">
            <v>主线进度宝箱奖励73</v>
          </cell>
          <cell r="E3664" t="str">
            <v>4|2|110|1,4|1|30000|1,1|14003|1|1</v>
          </cell>
        </row>
        <row r="3665">
          <cell r="A3665">
            <v>55074</v>
          </cell>
          <cell r="B3665">
            <v>0</v>
          </cell>
          <cell r="C3665" t="str">
            <v>4|2|140,4|1|40000,1|14003|1,1|14107|270</v>
          </cell>
          <cell r="D3665" t="str">
            <v>主线进度宝箱奖励74</v>
          </cell>
          <cell r="E3665" t="str">
            <v>4|2|140|1,4|1|40000|1,1|14003|1|1,1|14107|270|1</v>
          </cell>
        </row>
        <row r="3666">
          <cell r="A3666">
            <v>55075</v>
          </cell>
          <cell r="B3666">
            <v>0</v>
          </cell>
          <cell r="C3666" t="str">
            <v>4|2|170,4|1|50000,1|14003|1,1|14006|1</v>
          </cell>
          <cell r="D3666" t="str">
            <v>主线进度宝箱奖励75</v>
          </cell>
          <cell r="E3666" t="str">
            <v>4|2|170|1,4|1|50000|1,1|14003|1|1,1|14006|1|1</v>
          </cell>
        </row>
        <row r="3667">
          <cell r="A3667">
            <v>55076</v>
          </cell>
          <cell r="B3667">
            <v>0</v>
          </cell>
          <cell r="C3667" t="str">
            <v>4|2|110,4|1|30000,1|14003|1</v>
          </cell>
          <cell r="D3667" t="str">
            <v>主线进度宝箱奖励76</v>
          </cell>
          <cell r="E3667" t="str">
            <v>4|2|110|1,4|1|30000|1,1|14003|1|1</v>
          </cell>
        </row>
        <row r="3668">
          <cell r="A3668">
            <v>55077</v>
          </cell>
          <cell r="B3668">
            <v>0</v>
          </cell>
          <cell r="C3668" t="str">
            <v>4|2|140,4|1|40000,1|14003|1,1|14107|270</v>
          </cell>
          <cell r="D3668" t="str">
            <v>主线进度宝箱奖励77</v>
          </cell>
          <cell r="E3668" t="str">
            <v>4|2|140|1,4|1|40000|1,1|14003|1|1,1|14107|270|1</v>
          </cell>
        </row>
        <row r="3669">
          <cell r="A3669">
            <v>55078</v>
          </cell>
          <cell r="B3669">
            <v>0</v>
          </cell>
          <cell r="C3669" t="str">
            <v>4|2|170,4|1|50000,1|14003|1,1|14006|1</v>
          </cell>
          <cell r="D3669" t="str">
            <v>主线进度宝箱奖励78</v>
          </cell>
          <cell r="E3669" t="str">
            <v>4|2|170|1,4|1|50000|1,1|14003|1|1,1|14006|1|1</v>
          </cell>
        </row>
        <row r="3670">
          <cell r="A3670">
            <v>55079</v>
          </cell>
          <cell r="B3670">
            <v>0</v>
          </cell>
          <cell r="C3670" t="str">
            <v>4|2|115,4|1|30000,1|14003|1</v>
          </cell>
          <cell r="D3670" t="str">
            <v>主线进度宝箱奖励79</v>
          </cell>
          <cell r="E3670" t="str">
            <v>4|2|115|1,4|1|30000|1,1|14003|1|1</v>
          </cell>
        </row>
        <row r="3671">
          <cell r="A3671">
            <v>55080</v>
          </cell>
          <cell r="B3671">
            <v>0</v>
          </cell>
          <cell r="C3671" t="str">
            <v>4|2|145,4|1|40000,1|14003|1,1|14107|280</v>
          </cell>
          <cell r="D3671" t="str">
            <v>主线进度宝箱奖励80</v>
          </cell>
          <cell r="E3671" t="str">
            <v>4|2|145|1,4|1|40000|1,1|14003|1|1,1|14107|280|1</v>
          </cell>
        </row>
        <row r="3672">
          <cell r="A3672">
            <v>55081</v>
          </cell>
          <cell r="B3672">
            <v>0</v>
          </cell>
          <cell r="C3672" t="str">
            <v>4|2|175,4|1|50000,1|14003|1,1|14006|1</v>
          </cell>
          <cell r="D3672" t="str">
            <v>主线进度宝箱奖励81</v>
          </cell>
          <cell r="E3672" t="str">
            <v>4|2|175|1,4|1|50000|1,1|14003|1|1,1|14006|1|1</v>
          </cell>
        </row>
        <row r="3673">
          <cell r="A3673">
            <v>55082</v>
          </cell>
          <cell r="B3673">
            <v>0</v>
          </cell>
          <cell r="C3673" t="str">
            <v>4|2|115,4|1|30000,1|14003|1</v>
          </cell>
          <cell r="D3673" t="str">
            <v>主线进度宝箱奖励82</v>
          </cell>
          <cell r="E3673" t="str">
            <v>4|2|115|1,4|1|30000|1,1|14003|1|1</v>
          </cell>
        </row>
        <row r="3674">
          <cell r="A3674">
            <v>55083</v>
          </cell>
          <cell r="B3674">
            <v>0</v>
          </cell>
          <cell r="C3674" t="str">
            <v>4|2|145,4|1|40000,1|14003|1,1|14107|280</v>
          </cell>
          <cell r="D3674" t="str">
            <v>主线进度宝箱奖励83</v>
          </cell>
          <cell r="E3674" t="str">
            <v>4|2|145|1,4|1|40000|1,1|14003|1|1,1|14107|280|1</v>
          </cell>
        </row>
        <row r="3675">
          <cell r="A3675">
            <v>55084</v>
          </cell>
          <cell r="B3675">
            <v>0</v>
          </cell>
          <cell r="C3675" t="str">
            <v>4|2|175,4|1|50000,1|14003|1,1|14006|1</v>
          </cell>
          <cell r="D3675" t="str">
            <v>主线进度宝箱奖励84</v>
          </cell>
          <cell r="E3675" t="str">
            <v>4|2|175|1,4|1|50000|1,1|14003|1|1,1|14006|1|1</v>
          </cell>
        </row>
        <row r="3676">
          <cell r="A3676">
            <v>55085</v>
          </cell>
          <cell r="B3676">
            <v>0</v>
          </cell>
          <cell r="C3676" t="str">
            <v>4|2|120,4|1|30000,1|14003|1</v>
          </cell>
          <cell r="D3676" t="str">
            <v>主线进度宝箱奖励85</v>
          </cell>
          <cell r="E3676" t="str">
            <v>4|2|120|1,4|1|30000|1,1|14003|1|1</v>
          </cell>
        </row>
        <row r="3677">
          <cell r="A3677">
            <v>55086</v>
          </cell>
          <cell r="B3677">
            <v>0</v>
          </cell>
          <cell r="C3677" t="str">
            <v>4|2|150,4|1|40000,1|14003|1,1|14107|290</v>
          </cell>
          <cell r="D3677" t="str">
            <v>主线进度宝箱奖励86</v>
          </cell>
          <cell r="E3677" t="str">
            <v>4|2|150|1,4|1|40000|1,1|14003|1|1,1|14107|290|1</v>
          </cell>
        </row>
        <row r="3678">
          <cell r="A3678">
            <v>55087</v>
          </cell>
          <cell r="B3678">
            <v>0</v>
          </cell>
          <cell r="C3678" t="str">
            <v>4|2|180,4|1|50000,1|14003|1,1|14006|1</v>
          </cell>
          <cell r="D3678" t="str">
            <v>主线进度宝箱奖励87</v>
          </cell>
          <cell r="E3678" t="str">
            <v>4|2|180|1,4|1|50000|1,1|14003|1|1,1|14006|1|1</v>
          </cell>
        </row>
        <row r="3679">
          <cell r="A3679">
            <v>55088</v>
          </cell>
          <cell r="B3679">
            <v>0</v>
          </cell>
          <cell r="C3679" t="str">
            <v>4|2|120,4|1|30000,1|14003|1</v>
          </cell>
          <cell r="D3679" t="str">
            <v>主线进度宝箱奖励88</v>
          </cell>
          <cell r="E3679" t="str">
            <v>4|2|120|1,4|1|30000|1,1|14003|1|1</v>
          </cell>
        </row>
        <row r="3680">
          <cell r="A3680">
            <v>55089</v>
          </cell>
          <cell r="B3680">
            <v>0</v>
          </cell>
          <cell r="C3680" t="str">
            <v>4|2|150,4|1|40000,1|14003|1,1|14107|290</v>
          </cell>
          <cell r="D3680" t="str">
            <v>主线进度宝箱奖励89</v>
          </cell>
          <cell r="E3680" t="str">
            <v>4|2|150|1,4|1|40000|1,1|14003|1|1,1|14107|290|1</v>
          </cell>
        </row>
        <row r="3681">
          <cell r="A3681">
            <v>55090</v>
          </cell>
          <cell r="B3681">
            <v>0</v>
          </cell>
          <cell r="C3681" t="str">
            <v>4|2|180,4|1|50000,1|14003|1,1|14006|1</v>
          </cell>
          <cell r="D3681" t="str">
            <v>主线进度宝箱奖励90</v>
          </cell>
          <cell r="E3681" t="str">
            <v>4|2|180|1,4|1|50000|1,1|14003|1|1,1|14006|1|1</v>
          </cell>
        </row>
        <row r="3682">
          <cell r="A3682">
            <v>55091</v>
          </cell>
          <cell r="B3682">
            <v>0</v>
          </cell>
          <cell r="C3682" t="str">
            <v>4|2|125,4|1|30000,1|14003|1</v>
          </cell>
          <cell r="D3682" t="str">
            <v>主线进度宝箱奖励91</v>
          </cell>
          <cell r="E3682" t="str">
            <v>4|2|125|1,4|1|30000|1,1|14003|1|1</v>
          </cell>
        </row>
        <row r="3683">
          <cell r="A3683">
            <v>55092</v>
          </cell>
          <cell r="B3683">
            <v>0</v>
          </cell>
          <cell r="C3683" t="str">
            <v>4|2|155,4|1|40000,1|14003|1,1|14107|300</v>
          </cell>
          <cell r="D3683" t="str">
            <v>主线进度宝箱奖励92</v>
          </cell>
          <cell r="E3683" t="str">
            <v>4|2|155|1,4|1|40000|1,1|14003|1|1,1|14107|300|1</v>
          </cell>
        </row>
        <row r="3684">
          <cell r="A3684">
            <v>55093</v>
          </cell>
          <cell r="B3684">
            <v>0</v>
          </cell>
          <cell r="C3684" t="str">
            <v>4|2|185,4|1|50000,1|14003|1,1|14006|1</v>
          </cell>
          <cell r="D3684" t="str">
            <v>主线进度宝箱奖励93</v>
          </cell>
          <cell r="E3684" t="str">
            <v>4|2|185|1,4|1|50000|1,1|14003|1|1,1|14006|1|1</v>
          </cell>
        </row>
        <row r="3685">
          <cell r="A3685">
            <v>55094</v>
          </cell>
          <cell r="B3685">
            <v>0</v>
          </cell>
          <cell r="C3685" t="str">
            <v>4|2|125,4|1|30000,1|14003|1</v>
          </cell>
          <cell r="D3685" t="str">
            <v>主线进度宝箱奖励94</v>
          </cell>
          <cell r="E3685" t="str">
            <v>4|2|125|1,4|1|30000|1,1|14003|1|1</v>
          </cell>
        </row>
        <row r="3686">
          <cell r="A3686">
            <v>55095</v>
          </cell>
          <cell r="B3686">
            <v>0</v>
          </cell>
          <cell r="C3686" t="str">
            <v>4|2|155,4|1|40000,1|14003|1,1|14107|300</v>
          </cell>
          <cell r="D3686" t="str">
            <v>主线进度宝箱奖励95</v>
          </cell>
          <cell r="E3686" t="str">
            <v>4|2|155|1,4|1|40000|1,1|14003|1|1,1|14107|300|1</v>
          </cell>
        </row>
        <row r="3687">
          <cell r="A3687">
            <v>55096</v>
          </cell>
          <cell r="B3687">
            <v>0</v>
          </cell>
          <cell r="C3687" t="str">
            <v>4|2|185,4|1|50000,1|14003|1,1|14006|1</v>
          </cell>
          <cell r="D3687" t="str">
            <v>主线进度宝箱奖励96</v>
          </cell>
          <cell r="E3687" t="str">
            <v>4|2|185|1,4|1|50000|1,1|14003|1|1,1|14006|1|1</v>
          </cell>
        </row>
        <row r="3688">
          <cell r="A3688">
            <v>55097</v>
          </cell>
          <cell r="B3688">
            <v>0</v>
          </cell>
          <cell r="C3688" t="str">
            <v>4|2|130,4|1|30000,1|14003|1</v>
          </cell>
          <cell r="D3688" t="str">
            <v>主线进度宝箱奖励97</v>
          </cell>
          <cell r="E3688" t="str">
            <v>4|2|130|1,4|1|30000|1,1|14003|1|1</v>
          </cell>
        </row>
        <row r="3689">
          <cell r="A3689">
            <v>55098</v>
          </cell>
          <cell r="B3689">
            <v>0</v>
          </cell>
          <cell r="C3689" t="str">
            <v>4|2|160,4|1|40000,1|14003|1,1|14107|310</v>
          </cell>
          <cell r="D3689" t="str">
            <v>主线进度宝箱奖励98</v>
          </cell>
          <cell r="E3689" t="str">
            <v>4|2|160|1,4|1|40000|1,1|14003|1|1,1|14107|310|1</v>
          </cell>
        </row>
        <row r="3690">
          <cell r="A3690">
            <v>55099</v>
          </cell>
          <cell r="B3690">
            <v>0</v>
          </cell>
          <cell r="C3690" t="str">
            <v>4|2|190,4|1|50000,1|14003|1,1|14006|1</v>
          </cell>
          <cell r="D3690" t="str">
            <v>主线进度宝箱奖励99</v>
          </cell>
          <cell r="E3690" t="str">
            <v>4|2|190|1,4|1|50000|1,1|14003|1|1,1|14006|1|1</v>
          </cell>
        </row>
        <row r="3691">
          <cell r="A3691">
            <v>55100</v>
          </cell>
          <cell r="B3691">
            <v>0</v>
          </cell>
          <cell r="C3691" t="str">
            <v>4|2|130,4|1|30000,1|14003|1</v>
          </cell>
          <cell r="D3691" t="str">
            <v>主线进度宝箱奖励100</v>
          </cell>
          <cell r="E3691" t="str">
            <v>4|2|130|1,4|1|30000|1,1|14003|1|1</v>
          </cell>
        </row>
        <row r="3692">
          <cell r="A3692">
            <v>55101</v>
          </cell>
          <cell r="B3692">
            <v>0</v>
          </cell>
          <cell r="C3692" t="str">
            <v>4|2|160,4|1|40000,1|14003|1,1|14107|310</v>
          </cell>
          <cell r="D3692" t="str">
            <v>主线进度宝箱奖励101</v>
          </cell>
          <cell r="E3692" t="str">
            <v>4|2|160|1,4|1|40000|1,1|14003|1|1,1|14107|310|1</v>
          </cell>
        </row>
        <row r="3693">
          <cell r="A3693">
            <v>55102</v>
          </cell>
          <cell r="B3693">
            <v>0</v>
          </cell>
          <cell r="C3693" t="str">
            <v>4|2|190,4|1|50000,1|14003|1,1|14006|1</v>
          </cell>
          <cell r="D3693" t="str">
            <v>主线进度宝箱奖励102</v>
          </cell>
          <cell r="E3693" t="str">
            <v>4|2|190|1,4|1|50000|1,1|14003|1|1,1|14006|1|1</v>
          </cell>
        </row>
        <row r="3694">
          <cell r="A3694">
            <v>55103</v>
          </cell>
          <cell r="B3694">
            <v>0</v>
          </cell>
          <cell r="C3694" t="str">
            <v>4|2|135,4|1|30000,1|14003|1</v>
          </cell>
          <cell r="D3694" t="str">
            <v>主线进度宝箱奖励103</v>
          </cell>
          <cell r="E3694" t="str">
            <v>4|2|135|1,4|1|30000|1,1|14003|1|1</v>
          </cell>
        </row>
        <row r="3695">
          <cell r="A3695">
            <v>55104</v>
          </cell>
          <cell r="B3695">
            <v>0</v>
          </cell>
          <cell r="C3695" t="str">
            <v>4|2|165,4|1|40000,1|14003|1,1|14107|320</v>
          </cell>
          <cell r="D3695" t="str">
            <v>主线进度宝箱奖励104</v>
          </cell>
          <cell r="E3695" t="str">
            <v>4|2|165|1,4|1|40000|1,1|14003|1|1,1|14107|320|1</v>
          </cell>
        </row>
        <row r="3696">
          <cell r="A3696">
            <v>55105</v>
          </cell>
          <cell r="B3696">
            <v>0</v>
          </cell>
          <cell r="C3696" t="str">
            <v>4|2|195,4|1|50000,1|14003|1,1|14006|1</v>
          </cell>
          <cell r="D3696" t="str">
            <v>主线进度宝箱奖励105</v>
          </cell>
          <cell r="E3696" t="str">
            <v>4|2|195|1,4|1|50000|1,1|14003|1|1,1|14006|1|1</v>
          </cell>
        </row>
        <row r="3697">
          <cell r="A3697">
            <v>55106</v>
          </cell>
          <cell r="B3697">
            <v>0</v>
          </cell>
          <cell r="C3697" t="str">
            <v>4|2|135,4|1|30000,1|14003|1</v>
          </cell>
          <cell r="D3697" t="str">
            <v>主线进度宝箱奖励106</v>
          </cell>
          <cell r="E3697" t="str">
            <v>4|2|135|1,4|1|30000|1,1|14003|1|1</v>
          </cell>
        </row>
        <row r="3698">
          <cell r="A3698">
            <v>55107</v>
          </cell>
          <cell r="B3698">
            <v>0</v>
          </cell>
          <cell r="C3698" t="str">
            <v>4|2|165,4|1|40000,1|14003|1,1|14107|320</v>
          </cell>
          <cell r="D3698" t="str">
            <v>主线进度宝箱奖励107</v>
          </cell>
          <cell r="E3698" t="str">
            <v>4|2|165|1,4|1|40000|1,1|14003|1|1,1|14107|320|1</v>
          </cell>
        </row>
        <row r="3699">
          <cell r="A3699">
            <v>55108</v>
          </cell>
          <cell r="B3699">
            <v>0</v>
          </cell>
          <cell r="C3699" t="str">
            <v>4|2|195,4|1|50000,1|14003|1,1|14006|1</v>
          </cell>
          <cell r="D3699" t="str">
            <v>主线进度宝箱奖励108</v>
          </cell>
          <cell r="E3699" t="str">
            <v>4|2|195|1,4|1|50000|1,1|14003|1|1,1|14006|1|1</v>
          </cell>
        </row>
        <row r="3700">
          <cell r="A3700">
            <v>55109</v>
          </cell>
          <cell r="B3700">
            <v>0</v>
          </cell>
          <cell r="C3700" t="str">
            <v>4|2|140,4|1|30000,1|14003|1</v>
          </cell>
          <cell r="D3700" t="str">
            <v>主线进度宝箱奖励109</v>
          </cell>
          <cell r="E3700" t="str">
            <v>4|2|140|1,4|1|30000|1,1|14003|1|1</v>
          </cell>
        </row>
        <row r="3701">
          <cell r="A3701">
            <v>55110</v>
          </cell>
          <cell r="B3701">
            <v>0</v>
          </cell>
          <cell r="C3701" t="str">
            <v>4|2|170,4|1|40000,1|14003|1,1|14107|330</v>
          </cell>
          <cell r="D3701" t="str">
            <v>主线进度宝箱奖励110</v>
          </cell>
          <cell r="E3701" t="str">
            <v>4|2|170|1,4|1|40000|1,1|14003|1|1,1|14107|330|1</v>
          </cell>
        </row>
        <row r="3702">
          <cell r="A3702">
            <v>55111</v>
          </cell>
          <cell r="B3702">
            <v>0</v>
          </cell>
          <cell r="C3702" t="str">
            <v>4|2|200,4|1|50000,1|14003|1,1|14006|1</v>
          </cell>
          <cell r="D3702" t="str">
            <v>主线进度宝箱奖励111</v>
          </cell>
          <cell r="E3702" t="str">
            <v>4|2|200|1,4|1|50000|1,1|14003|1|1,1|14006|1|1</v>
          </cell>
        </row>
        <row r="3703">
          <cell r="A3703">
            <v>55112</v>
          </cell>
          <cell r="B3703">
            <v>0</v>
          </cell>
          <cell r="C3703" t="str">
            <v>4|2|140,4|1|30000,1|14003|1</v>
          </cell>
          <cell r="D3703" t="str">
            <v>主线进度宝箱奖励112</v>
          </cell>
          <cell r="E3703" t="str">
            <v>4|2|140|1,4|1|30000|1,1|14003|1|1</v>
          </cell>
        </row>
        <row r="3704">
          <cell r="A3704">
            <v>55113</v>
          </cell>
          <cell r="B3704">
            <v>0</v>
          </cell>
          <cell r="C3704" t="str">
            <v>4|2|170,4|1|40000,1|14003|1,1|14107|330</v>
          </cell>
          <cell r="D3704" t="str">
            <v>主线进度宝箱奖励113</v>
          </cell>
          <cell r="E3704" t="str">
            <v>4|2|170|1,4|1|40000|1,1|14003|1|1,1|14107|330|1</v>
          </cell>
        </row>
        <row r="3705">
          <cell r="A3705">
            <v>55114</v>
          </cell>
          <cell r="B3705">
            <v>0</v>
          </cell>
          <cell r="C3705" t="str">
            <v>4|2|200,4|1|50000,1|14003|1,1|14006|1</v>
          </cell>
          <cell r="D3705" t="str">
            <v>主线进度宝箱奖励114</v>
          </cell>
          <cell r="E3705" t="str">
            <v>4|2|200|1,4|1|50000|1,1|14003|1|1,1|14006|1|1</v>
          </cell>
        </row>
        <row r="3706">
          <cell r="A3706">
            <v>55115</v>
          </cell>
          <cell r="B3706">
            <v>0</v>
          </cell>
          <cell r="C3706" t="str">
            <v>4|2|145,4|1|30000,1|14003|1</v>
          </cell>
          <cell r="D3706" t="str">
            <v>主线进度宝箱奖励115</v>
          </cell>
          <cell r="E3706" t="str">
            <v>4|2|145|1,4|1|30000|1,1|14003|1|1</v>
          </cell>
        </row>
        <row r="3707">
          <cell r="A3707">
            <v>55116</v>
          </cell>
          <cell r="B3707">
            <v>0</v>
          </cell>
          <cell r="C3707" t="str">
            <v>4|2|175,4|1|40000,1|14003|1,1|14107|340</v>
          </cell>
          <cell r="D3707" t="str">
            <v>主线进度宝箱奖励116</v>
          </cell>
          <cell r="E3707" t="str">
            <v>4|2|175|1,4|1|40000|1,1|14003|1|1,1|14107|340|1</v>
          </cell>
        </row>
        <row r="3708">
          <cell r="A3708">
            <v>55117</v>
          </cell>
          <cell r="B3708">
            <v>0</v>
          </cell>
          <cell r="C3708" t="str">
            <v>4|2|205,4|1|50000,1|14003|1,1|14006|1</v>
          </cell>
          <cell r="D3708" t="str">
            <v>主线进度宝箱奖励117</v>
          </cell>
          <cell r="E3708" t="str">
            <v>4|2|205|1,4|1|50000|1,1|14003|1|1,1|14006|1|1</v>
          </cell>
        </row>
        <row r="3709">
          <cell r="A3709">
            <v>55118</v>
          </cell>
          <cell r="B3709">
            <v>0</v>
          </cell>
          <cell r="C3709" t="str">
            <v>4|2|145,4|1|30000,1|14003|1</v>
          </cell>
          <cell r="D3709" t="str">
            <v>主线进度宝箱奖励118</v>
          </cell>
          <cell r="E3709" t="str">
            <v>4|2|145|1,4|1|30000|1,1|14003|1|1</v>
          </cell>
        </row>
        <row r="3710">
          <cell r="A3710">
            <v>55119</v>
          </cell>
          <cell r="B3710">
            <v>0</v>
          </cell>
          <cell r="C3710" t="str">
            <v>4|2|175,4|1|40000,1|14003|1,1|14107|340</v>
          </cell>
          <cell r="D3710" t="str">
            <v>主线进度宝箱奖励119</v>
          </cell>
          <cell r="E3710" t="str">
            <v>4|2|175|1,4|1|40000|1,1|14003|1|1,1|14107|340|1</v>
          </cell>
        </row>
        <row r="3711">
          <cell r="A3711">
            <v>55120</v>
          </cell>
          <cell r="B3711">
            <v>0</v>
          </cell>
          <cell r="C3711" t="str">
            <v>4|2|205,4|1|50000,1|14003|1,1|14006|1</v>
          </cell>
          <cell r="D3711" t="str">
            <v>主线进度宝箱奖励120</v>
          </cell>
          <cell r="E3711" t="str">
            <v>4|2|205|1,4|1|50000|1,1|14003|1|1,1|14006|1|1</v>
          </cell>
        </row>
        <row r="3712">
          <cell r="A3712">
            <v>55121</v>
          </cell>
          <cell r="B3712">
            <v>0</v>
          </cell>
          <cell r="C3712" t="str">
            <v>4|2|150,4|1|30000,1|14003|1</v>
          </cell>
          <cell r="D3712" t="str">
            <v>主线进度宝箱奖励121</v>
          </cell>
          <cell r="E3712" t="str">
            <v>4|2|150|1,4|1|30000|1,1|14003|1|1</v>
          </cell>
        </row>
        <row r="3713">
          <cell r="A3713">
            <v>55122</v>
          </cell>
          <cell r="B3713">
            <v>0</v>
          </cell>
          <cell r="C3713" t="str">
            <v>4|2|180,4|1|40000,1|14003|1,1|14107|350</v>
          </cell>
          <cell r="D3713" t="str">
            <v>主线进度宝箱奖励122</v>
          </cell>
          <cell r="E3713" t="str">
            <v>4|2|180|1,4|1|40000|1,1|14003|1|1,1|14107|350|1</v>
          </cell>
        </row>
        <row r="3714">
          <cell r="A3714">
            <v>55123</v>
          </cell>
          <cell r="B3714">
            <v>0</v>
          </cell>
          <cell r="C3714" t="str">
            <v>4|2|210,4|1|50000,1|14003|1,1|14006|1</v>
          </cell>
          <cell r="D3714" t="str">
            <v>主线进度宝箱奖励123</v>
          </cell>
          <cell r="E3714" t="str">
            <v>4|2|210|1,4|1|50000|1,1|14003|1|1,1|14006|1|1</v>
          </cell>
        </row>
        <row r="3715">
          <cell r="A3715">
            <v>55124</v>
          </cell>
          <cell r="B3715">
            <v>0</v>
          </cell>
          <cell r="C3715" t="str">
            <v>4|2|150,4|1|30000,1|14003|1</v>
          </cell>
          <cell r="D3715" t="str">
            <v>主线进度宝箱奖励124</v>
          </cell>
          <cell r="E3715" t="str">
            <v>4|2|150|1,4|1|30000|1,1|14003|1|1</v>
          </cell>
        </row>
        <row r="3716">
          <cell r="A3716">
            <v>55125</v>
          </cell>
          <cell r="B3716">
            <v>0</v>
          </cell>
          <cell r="C3716" t="str">
            <v>4|2|180,4|1|40000,1|14003|1,1|14107|350</v>
          </cell>
          <cell r="D3716" t="str">
            <v>主线进度宝箱奖励125</v>
          </cell>
          <cell r="E3716" t="str">
            <v>4|2|180|1,4|1|40000|1,1|14003|1|1,1|14107|350|1</v>
          </cell>
        </row>
        <row r="3717">
          <cell r="A3717">
            <v>55126</v>
          </cell>
          <cell r="B3717">
            <v>0</v>
          </cell>
          <cell r="C3717" t="str">
            <v>4|2|210,4|1|50000,1|14003|1,1|14006|1</v>
          </cell>
          <cell r="D3717" t="str">
            <v>主线进度宝箱奖励126</v>
          </cell>
          <cell r="E3717" t="str">
            <v>4|2|210|1,4|1|50000|1,1|14003|1|1,1|14006|1|1</v>
          </cell>
        </row>
        <row r="3718">
          <cell r="A3718">
            <v>55127</v>
          </cell>
          <cell r="B3718">
            <v>0</v>
          </cell>
          <cell r="C3718" t="str">
            <v>4|2|155,4|1|30000,1|14003|1</v>
          </cell>
          <cell r="D3718" t="str">
            <v>主线进度宝箱奖励127</v>
          </cell>
          <cell r="E3718" t="str">
            <v>4|2|155|1,4|1|30000|1,1|14003|1|1</v>
          </cell>
        </row>
        <row r="3719">
          <cell r="A3719">
            <v>55128</v>
          </cell>
          <cell r="B3719">
            <v>0</v>
          </cell>
          <cell r="C3719" t="str">
            <v>4|2|185,4|1|40000,1|14003|1,1|14107|360</v>
          </cell>
          <cell r="D3719" t="str">
            <v>主线进度宝箱奖励128</v>
          </cell>
          <cell r="E3719" t="str">
            <v>4|2|185|1,4|1|40000|1,1|14003|1|1,1|14107|360|1</v>
          </cell>
        </row>
        <row r="3720">
          <cell r="A3720">
            <v>55129</v>
          </cell>
          <cell r="B3720">
            <v>0</v>
          </cell>
          <cell r="C3720" t="str">
            <v>4|2|215,4|1|50000,1|14003|1,1|14006|1</v>
          </cell>
          <cell r="D3720" t="str">
            <v>主线进度宝箱奖励129</v>
          </cell>
          <cell r="E3720" t="str">
            <v>4|2|215|1,4|1|50000|1,1|14003|1|1,1|14006|1|1</v>
          </cell>
        </row>
        <row r="3721">
          <cell r="A3721">
            <v>55130</v>
          </cell>
          <cell r="B3721">
            <v>0</v>
          </cell>
          <cell r="C3721" t="str">
            <v>4|2|155,4|1|30000,1|14003|1</v>
          </cell>
          <cell r="D3721" t="str">
            <v>主线进度宝箱奖励130</v>
          </cell>
          <cell r="E3721" t="str">
            <v>4|2|155|1,4|1|30000|1,1|14003|1|1</v>
          </cell>
        </row>
        <row r="3722">
          <cell r="A3722">
            <v>55131</v>
          </cell>
          <cell r="B3722">
            <v>0</v>
          </cell>
          <cell r="C3722" t="str">
            <v>4|2|185,4|1|40000,1|14003|1,1|14107|360</v>
          </cell>
          <cell r="D3722" t="str">
            <v>主线进度宝箱奖励131</v>
          </cell>
          <cell r="E3722" t="str">
            <v>4|2|185|1,4|1|40000|1,1|14003|1|1,1|14107|360|1</v>
          </cell>
        </row>
        <row r="3723">
          <cell r="A3723">
            <v>55132</v>
          </cell>
          <cell r="B3723">
            <v>0</v>
          </cell>
          <cell r="C3723" t="str">
            <v>4|2|215,4|1|50000,1|14003|1,1|14006|1</v>
          </cell>
          <cell r="D3723" t="str">
            <v>主线进度宝箱奖励132</v>
          </cell>
          <cell r="E3723" t="str">
            <v>4|2|215|1,4|1|50000|1,1|14003|1|1,1|14006|1|1</v>
          </cell>
        </row>
        <row r="3724">
          <cell r="A3724">
            <v>55133</v>
          </cell>
          <cell r="B3724">
            <v>0</v>
          </cell>
          <cell r="C3724" t="str">
            <v>4|2|160,4|1|30000,1|14003|1</v>
          </cell>
          <cell r="D3724" t="str">
            <v>主线进度宝箱奖励133</v>
          </cell>
          <cell r="E3724" t="str">
            <v>4|2|160|1,4|1|30000|1,1|14003|1|1</v>
          </cell>
        </row>
        <row r="3725">
          <cell r="A3725">
            <v>55134</v>
          </cell>
          <cell r="B3725">
            <v>0</v>
          </cell>
          <cell r="C3725" t="str">
            <v>4|2|190,4|1|40000,1|14003|1,1|14107|370</v>
          </cell>
          <cell r="D3725" t="str">
            <v>主线进度宝箱奖励134</v>
          </cell>
          <cell r="E3725" t="str">
            <v>4|2|190|1,4|1|40000|1,1|14003|1|1,1|14107|370|1</v>
          </cell>
        </row>
        <row r="3726">
          <cell r="A3726">
            <v>55135</v>
          </cell>
          <cell r="B3726">
            <v>0</v>
          </cell>
          <cell r="C3726" t="str">
            <v>4|2|220,4|1|50000,1|14003|1,1|14006|1</v>
          </cell>
          <cell r="D3726" t="str">
            <v>主线进度宝箱奖励135</v>
          </cell>
          <cell r="E3726" t="str">
            <v>4|2|220|1,4|1|50000|1,1|14003|1|1,1|14006|1|1</v>
          </cell>
        </row>
        <row r="3727">
          <cell r="A3727">
            <v>55136</v>
          </cell>
          <cell r="B3727">
            <v>0</v>
          </cell>
          <cell r="C3727" t="str">
            <v>4|2|160,4|1|30000,1|14003|1</v>
          </cell>
          <cell r="D3727" t="str">
            <v>主线进度宝箱奖励136</v>
          </cell>
          <cell r="E3727" t="str">
            <v>4|2|160|1,4|1|30000|1,1|14003|1|1</v>
          </cell>
        </row>
        <row r="3728">
          <cell r="A3728">
            <v>55137</v>
          </cell>
          <cell r="B3728">
            <v>0</v>
          </cell>
          <cell r="C3728" t="str">
            <v>4|2|190,4|1|40000,1|14003|1,1|14107|370</v>
          </cell>
          <cell r="D3728" t="str">
            <v>主线进度宝箱奖励137</v>
          </cell>
          <cell r="E3728" t="str">
            <v>4|2|190|1,4|1|40000|1,1|14003|1|1,1|14107|370|1</v>
          </cell>
        </row>
        <row r="3729">
          <cell r="A3729">
            <v>55138</v>
          </cell>
          <cell r="B3729">
            <v>0</v>
          </cell>
          <cell r="C3729" t="str">
            <v>4|2|220,4|1|50000,1|14003|1,1|14006|1</v>
          </cell>
          <cell r="D3729" t="str">
            <v>主线进度宝箱奖励138</v>
          </cell>
          <cell r="E3729" t="str">
            <v>4|2|220|1,4|1|50000|1,1|14003|1|1,1|14006|1|1</v>
          </cell>
        </row>
        <row r="3730">
          <cell r="A3730">
            <v>55139</v>
          </cell>
          <cell r="B3730">
            <v>0</v>
          </cell>
          <cell r="C3730" t="str">
            <v>4|2|165,4|1|30000,1|14003|1</v>
          </cell>
          <cell r="D3730" t="str">
            <v>主线进度宝箱奖励139</v>
          </cell>
          <cell r="E3730" t="str">
            <v>4|2|165|1,4|1|30000|1,1|14003|1|1</v>
          </cell>
        </row>
        <row r="3731">
          <cell r="A3731">
            <v>55140</v>
          </cell>
          <cell r="B3731">
            <v>0</v>
          </cell>
          <cell r="C3731" t="str">
            <v>4|2|195,4|1|40000,1|14003|1,1|14107|380</v>
          </cell>
          <cell r="D3731" t="str">
            <v>主线进度宝箱奖励140</v>
          </cell>
          <cell r="E3731" t="str">
            <v>4|2|195|1,4|1|40000|1,1|14003|1|1,1|14107|380|1</v>
          </cell>
        </row>
        <row r="3732">
          <cell r="A3732">
            <v>55141</v>
          </cell>
          <cell r="B3732">
            <v>0</v>
          </cell>
          <cell r="C3732" t="str">
            <v>4|2|225,4|1|50000,1|14003|1,1|14006|1</v>
          </cell>
          <cell r="D3732" t="str">
            <v>主线进度宝箱奖励141</v>
          </cell>
          <cell r="E3732" t="str">
            <v>4|2|225|1,4|1|50000|1,1|14003|1|1,1|14006|1|1</v>
          </cell>
        </row>
        <row r="3733">
          <cell r="A3733">
            <v>55142</v>
          </cell>
          <cell r="B3733">
            <v>0</v>
          </cell>
          <cell r="C3733" t="str">
            <v>4|2|165,4|1|30000,1|14003|1</v>
          </cell>
          <cell r="D3733" t="str">
            <v>主线进度宝箱奖励142</v>
          </cell>
          <cell r="E3733" t="str">
            <v>4|2|165|1,4|1|30000|1,1|14003|1|1</v>
          </cell>
        </row>
        <row r="3734">
          <cell r="A3734">
            <v>55143</v>
          </cell>
          <cell r="B3734">
            <v>0</v>
          </cell>
          <cell r="C3734" t="str">
            <v>4|2|195,4|1|40000,1|14003|1,1|14107|380</v>
          </cell>
          <cell r="D3734" t="str">
            <v>主线进度宝箱奖励143</v>
          </cell>
          <cell r="E3734" t="str">
            <v>4|2|195|1,4|1|40000|1,1|14003|1|1,1|14107|380|1</v>
          </cell>
        </row>
        <row r="3735">
          <cell r="A3735">
            <v>55144</v>
          </cell>
          <cell r="B3735">
            <v>0</v>
          </cell>
          <cell r="C3735" t="str">
            <v>4|2|225,4|1|50000,1|14003|1,1|14006|1</v>
          </cell>
          <cell r="D3735" t="str">
            <v>主线进度宝箱奖励144</v>
          </cell>
          <cell r="E3735" t="str">
            <v>4|2|225|1,4|1|50000|1,1|14003|1|1,1|14006|1|1</v>
          </cell>
        </row>
        <row r="3736">
          <cell r="A3736">
            <v>55145</v>
          </cell>
          <cell r="B3736">
            <v>0</v>
          </cell>
          <cell r="C3736" t="str">
            <v>4|2|170,4|1|30000,1|14003|1</v>
          </cell>
          <cell r="D3736" t="str">
            <v>主线进度宝箱奖励145</v>
          </cell>
          <cell r="E3736" t="str">
            <v>4|2|170|1,4|1|30000|1,1|14003|1|1</v>
          </cell>
        </row>
        <row r="3737">
          <cell r="A3737">
            <v>55146</v>
          </cell>
          <cell r="B3737">
            <v>0</v>
          </cell>
          <cell r="C3737" t="str">
            <v>4|2|200,4|1|40000,1|14003|1,1|14107|390</v>
          </cell>
          <cell r="D3737" t="str">
            <v>主线进度宝箱奖励146</v>
          </cell>
          <cell r="E3737" t="str">
            <v>4|2|200|1,4|1|40000|1,1|14003|1|1,1|14107|390|1</v>
          </cell>
        </row>
        <row r="3738">
          <cell r="A3738">
            <v>55147</v>
          </cell>
          <cell r="B3738">
            <v>0</v>
          </cell>
          <cell r="C3738" t="str">
            <v>4|2|230,4|1|50000,1|14003|1,1|14006|1</v>
          </cell>
          <cell r="D3738" t="str">
            <v>主线进度宝箱奖励147</v>
          </cell>
          <cell r="E3738" t="str">
            <v>4|2|230|1,4|1|50000|1,1|14003|1|1,1|14006|1|1</v>
          </cell>
        </row>
        <row r="3739">
          <cell r="A3739">
            <v>55148</v>
          </cell>
          <cell r="B3739">
            <v>0</v>
          </cell>
          <cell r="C3739" t="str">
            <v>4|2|170,4|1|30000,1|14003|1</v>
          </cell>
          <cell r="D3739" t="str">
            <v>主线进度宝箱奖励148</v>
          </cell>
          <cell r="E3739" t="str">
            <v>4|2|170|1,4|1|30000|1,1|14003|1|1</v>
          </cell>
        </row>
        <row r="3740">
          <cell r="A3740">
            <v>55149</v>
          </cell>
          <cell r="B3740">
            <v>0</v>
          </cell>
          <cell r="C3740" t="str">
            <v>4|2|200,4|1|40000,1|14003|1,1|14107|390</v>
          </cell>
          <cell r="D3740" t="str">
            <v>主线进度宝箱奖励149</v>
          </cell>
          <cell r="E3740" t="str">
            <v>4|2|200|1,4|1|40000|1,1|14003|1|1,1|14107|390|1</v>
          </cell>
        </row>
        <row r="3741">
          <cell r="A3741">
            <v>55150</v>
          </cell>
          <cell r="B3741">
            <v>0</v>
          </cell>
          <cell r="C3741" t="str">
            <v>4|2|230,4|1|50000,1|14003|1,1|14006|1</v>
          </cell>
          <cell r="D3741" t="str">
            <v>主线进度宝箱奖励150</v>
          </cell>
          <cell r="E3741" t="str">
            <v>4|2|230|1,4|1|50000|1,1|14003|1|1,1|14006|1|1</v>
          </cell>
        </row>
        <row r="3742">
          <cell r="A3742">
            <v>55151</v>
          </cell>
          <cell r="B3742">
            <v>0</v>
          </cell>
          <cell r="C3742" t="str">
            <v>4|2|175,4|1|30000,1|14003|1</v>
          </cell>
          <cell r="D3742" t="str">
            <v>主线进度宝箱奖励151</v>
          </cell>
          <cell r="E3742" t="str">
            <v>4|2|175|1,4|1|30000|1,1|14003|1|1</v>
          </cell>
        </row>
        <row r="3743">
          <cell r="A3743">
            <v>55152</v>
          </cell>
          <cell r="B3743">
            <v>0</v>
          </cell>
          <cell r="C3743" t="str">
            <v>4|2|205,4|1|40000,1|14003|1,1|14107|400</v>
          </cell>
          <cell r="D3743" t="str">
            <v>主线进度宝箱奖励152</v>
          </cell>
          <cell r="E3743" t="str">
            <v>4|2|205|1,4|1|40000|1,1|14003|1|1,1|14107|400|1</v>
          </cell>
        </row>
        <row r="3744">
          <cell r="A3744">
            <v>55153</v>
          </cell>
          <cell r="B3744">
            <v>0</v>
          </cell>
          <cell r="C3744" t="str">
            <v>4|2|235,4|1|50000,1|14003|1,1|14006|1</v>
          </cell>
          <cell r="D3744" t="str">
            <v>主线进度宝箱奖励153</v>
          </cell>
          <cell r="E3744" t="str">
            <v>4|2|235|1,4|1|50000|1,1|14003|1|1,1|14006|1|1</v>
          </cell>
        </row>
        <row r="3745">
          <cell r="A3745">
            <v>55154</v>
          </cell>
          <cell r="B3745">
            <v>0</v>
          </cell>
          <cell r="C3745" t="str">
            <v>4|2|175,4|1|30000,1|14003|1</v>
          </cell>
          <cell r="D3745" t="str">
            <v>主线进度宝箱奖励154</v>
          </cell>
          <cell r="E3745" t="str">
            <v>4|2|175|1,4|1|30000|1,1|14003|1|1</v>
          </cell>
        </row>
        <row r="3746">
          <cell r="A3746">
            <v>55155</v>
          </cell>
          <cell r="B3746">
            <v>0</v>
          </cell>
          <cell r="C3746" t="str">
            <v>4|2|205,4|1|40000,1|14003|1,1|14107|400</v>
          </cell>
          <cell r="D3746" t="str">
            <v>主线进度宝箱奖励155</v>
          </cell>
          <cell r="E3746" t="str">
            <v>4|2|205|1,4|1|40000|1,1|14003|1|1,1|14107|400|1</v>
          </cell>
        </row>
        <row r="3747">
          <cell r="A3747">
            <v>55156</v>
          </cell>
          <cell r="B3747">
            <v>0</v>
          </cell>
          <cell r="C3747" t="str">
            <v>4|2|235,4|1|50000,1|14003|1,1|14006|1</v>
          </cell>
          <cell r="D3747" t="str">
            <v>主线进度宝箱奖励156</v>
          </cell>
          <cell r="E3747" t="str">
            <v>4|2|235|1,4|1|50000|1,1|14003|1|1,1|14006|1|1</v>
          </cell>
        </row>
        <row r="3748">
          <cell r="A3748">
            <v>55157</v>
          </cell>
          <cell r="B3748">
            <v>0</v>
          </cell>
          <cell r="C3748" t="str">
            <v>4|2|180,4|1|30000,1|14003|1</v>
          </cell>
          <cell r="D3748" t="str">
            <v>主线进度宝箱奖励157</v>
          </cell>
          <cell r="E3748" t="str">
            <v>4|2|180|1,4|1|30000|1,1|14003|1|1</v>
          </cell>
        </row>
        <row r="3749">
          <cell r="A3749">
            <v>55158</v>
          </cell>
          <cell r="B3749">
            <v>0</v>
          </cell>
          <cell r="C3749" t="str">
            <v>4|2|210,4|1|40000,1|14003|1,1|14107|410</v>
          </cell>
          <cell r="D3749" t="str">
            <v>主线进度宝箱奖励158</v>
          </cell>
          <cell r="E3749" t="str">
            <v>4|2|210|1,4|1|40000|1,1|14003|1|1,1|14107|410|1</v>
          </cell>
        </row>
        <row r="3750">
          <cell r="A3750">
            <v>55159</v>
          </cell>
          <cell r="B3750">
            <v>0</v>
          </cell>
          <cell r="C3750" t="str">
            <v>4|2|240,4|1|50000,1|14003|1,1|14006|1</v>
          </cell>
          <cell r="D3750" t="str">
            <v>主线进度宝箱奖励159</v>
          </cell>
          <cell r="E3750" t="str">
            <v>4|2|240|1,4|1|50000|1,1|14003|1|1,1|14006|1|1</v>
          </cell>
        </row>
        <row r="3751">
          <cell r="A3751">
            <v>55160</v>
          </cell>
          <cell r="B3751">
            <v>0</v>
          </cell>
          <cell r="C3751" t="str">
            <v>4|2|180,4|1|30000,1|14003|1</v>
          </cell>
          <cell r="D3751" t="str">
            <v>主线进度宝箱奖励160</v>
          </cell>
          <cell r="E3751" t="str">
            <v>4|2|180|1,4|1|30000|1,1|14003|1|1</v>
          </cell>
        </row>
        <row r="3752">
          <cell r="A3752">
            <v>55161</v>
          </cell>
          <cell r="B3752">
            <v>0</v>
          </cell>
          <cell r="C3752" t="str">
            <v>4|2|210,4|1|40000,1|14003|1,1|14107|410</v>
          </cell>
          <cell r="D3752" t="str">
            <v>主线进度宝箱奖励161</v>
          </cell>
          <cell r="E3752" t="str">
            <v>4|2|210|1,4|1|40000|1,1|14003|1|1,1|14107|410|1</v>
          </cell>
        </row>
        <row r="3753">
          <cell r="A3753">
            <v>55162</v>
          </cell>
          <cell r="B3753">
            <v>0</v>
          </cell>
          <cell r="C3753" t="str">
            <v>4|2|240,4|1|50000,1|14003|1,1|14006|1</v>
          </cell>
          <cell r="D3753" t="str">
            <v>主线进度宝箱奖励162</v>
          </cell>
          <cell r="E3753" t="str">
            <v>4|2|240|1,4|1|50000|1,1|14003|1|1,1|14006|1|1</v>
          </cell>
        </row>
        <row r="3754">
          <cell r="A3754">
            <v>55163</v>
          </cell>
          <cell r="B3754">
            <v>0</v>
          </cell>
          <cell r="C3754" t="str">
            <v>4|2|185,4|1|30000,1|14003|1</v>
          </cell>
          <cell r="D3754" t="str">
            <v>主线进度宝箱奖励163</v>
          </cell>
          <cell r="E3754" t="str">
            <v>4|2|185|1,4|1|30000|1,1|14003|1|1</v>
          </cell>
        </row>
        <row r="3755">
          <cell r="A3755">
            <v>55164</v>
          </cell>
          <cell r="B3755">
            <v>0</v>
          </cell>
          <cell r="C3755" t="str">
            <v>4|2|215,4|1|40000,1|14003|1,1|14107|420</v>
          </cell>
          <cell r="D3755" t="str">
            <v>主线进度宝箱奖励164</v>
          </cell>
          <cell r="E3755" t="str">
            <v>4|2|215|1,4|1|40000|1,1|14003|1|1,1|14107|420|1</v>
          </cell>
        </row>
        <row r="3756">
          <cell r="A3756">
            <v>55165</v>
          </cell>
          <cell r="B3756">
            <v>0</v>
          </cell>
          <cell r="C3756" t="str">
            <v>4|2|245,4|1|50000,1|14003|1,1|14006|1</v>
          </cell>
          <cell r="D3756" t="str">
            <v>主线进度宝箱奖励165</v>
          </cell>
          <cell r="E3756" t="str">
            <v>4|2|245|1,4|1|50000|1,1|14003|1|1,1|14006|1|1</v>
          </cell>
        </row>
        <row r="3757">
          <cell r="A3757">
            <v>55166</v>
          </cell>
          <cell r="B3757">
            <v>0</v>
          </cell>
          <cell r="C3757" t="str">
            <v>4|2|185,4|1|30000,1|14003|1</v>
          </cell>
          <cell r="D3757" t="str">
            <v>主线进度宝箱奖励166</v>
          </cell>
          <cell r="E3757" t="str">
            <v>4|2|185|1,4|1|30000|1,1|14003|1|1</v>
          </cell>
        </row>
        <row r="3758">
          <cell r="A3758">
            <v>55167</v>
          </cell>
          <cell r="B3758">
            <v>0</v>
          </cell>
          <cell r="C3758" t="str">
            <v>4|2|215,4|1|40000,1|14003|1,1|14107|420</v>
          </cell>
          <cell r="D3758" t="str">
            <v>主线进度宝箱奖励167</v>
          </cell>
          <cell r="E3758" t="str">
            <v>4|2|215|1,4|1|40000|1,1|14003|1|1,1|14107|420|1</v>
          </cell>
        </row>
        <row r="3759">
          <cell r="A3759">
            <v>55168</v>
          </cell>
          <cell r="B3759">
            <v>0</v>
          </cell>
          <cell r="C3759" t="str">
            <v>4|2|245,4|1|50000,1|14003|1,1|14006|1</v>
          </cell>
          <cell r="D3759" t="str">
            <v>主线进度宝箱奖励168</v>
          </cell>
          <cell r="E3759" t="str">
            <v>4|2|245|1,4|1|50000|1,1|14003|1|1,1|14006|1|1</v>
          </cell>
        </row>
        <row r="3760">
          <cell r="A3760">
            <v>55169</v>
          </cell>
          <cell r="B3760">
            <v>0</v>
          </cell>
          <cell r="C3760" t="str">
            <v>4|2|190,4|1|30000,1|14003|1</v>
          </cell>
          <cell r="D3760" t="str">
            <v>主线进度宝箱奖励169</v>
          </cell>
          <cell r="E3760" t="str">
            <v>4|2|190|1,4|1|30000|1,1|14003|1|1</v>
          </cell>
        </row>
        <row r="3761">
          <cell r="A3761">
            <v>55170</v>
          </cell>
          <cell r="B3761">
            <v>0</v>
          </cell>
          <cell r="C3761" t="str">
            <v>4|2|220,4|1|40000,1|14003|1,1|14107|430</v>
          </cell>
          <cell r="D3761" t="str">
            <v>主线进度宝箱奖励170</v>
          </cell>
          <cell r="E3761" t="str">
            <v>4|2|220|1,4|1|40000|1,1|14003|1|1,1|14107|430|1</v>
          </cell>
        </row>
        <row r="3762">
          <cell r="A3762">
            <v>55171</v>
          </cell>
          <cell r="B3762">
            <v>0</v>
          </cell>
          <cell r="C3762" t="str">
            <v>4|2|250,4|1|50000,1|14003|1,1|14006|1</v>
          </cell>
          <cell r="D3762" t="str">
            <v>主线进度宝箱奖励171</v>
          </cell>
          <cell r="E3762" t="str">
            <v>4|2|250|1,4|1|50000|1,1|14003|1|1,1|14006|1|1</v>
          </cell>
        </row>
        <row r="3763">
          <cell r="A3763">
            <v>55172</v>
          </cell>
          <cell r="B3763">
            <v>0</v>
          </cell>
          <cell r="C3763" t="str">
            <v>4|2|190,4|1|30000,1|14003|1</v>
          </cell>
          <cell r="D3763" t="str">
            <v>主线进度宝箱奖励172</v>
          </cell>
          <cell r="E3763" t="str">
            <v>4|2|190|1,4|1|30000|1,1|14003|1|1</v>
          </cell>
        </row>
        <row r="3764">
          <cell r="A3764">
            <v>55173</v>
          </cell>
          <cell r="B3764">
            <v>0</v>
          </cell>
          <cell r="C3764" t="str">
            <v>4|2|220,4|1|40000,1|14003|1,1|14107|430</v>
          </cell>
          <cell r="D3764" t="str">
            <v>主线进度宝箱奖励173</v>
          </cell>
          <cell r="E3764" t="str">
            <v>4|2|220|1,4|1|40000|1,1|14003|1|1,1|14107|430|1</v>
          </cell>
        </row>
        <row r="3765">
          <cell r="A3765">
            <v>55174</v>
          </cell>
          <cell r="B3765">
            <v>0</v>
          </cell>
          <cell r="C3765" t="str">
            <v>4|2|250,4|1|50000,1|14003|1,1|14006|1</v>
          </cell>
          <cell r="D3765" t="str">
            <v>主线进度宝箱奖励174</v>
          </cell>
          <cell r="E3765" t="str">
            <v>4|2|250|1,4|1|50000|1,1|14003|1|1,1|14006|1|1</v>
          </cell>
        </row>
        <row r="3766">
          <cell r="A3766">
            <v>55175</v>
          </cell>
          <cell r="B3766">
            <v>0</v>
          </cell>
          <cell r="C3766" t="str">
            <v>4|2|195,4|1|30000,1|14003|1</v>
          </cell>
          <cell r="D3766" t="str">
            <v>主线进度宝箱奖励175</v>
          </cell>
          <cell r="E3766" t="str">
            <v>4|2|195|1,4|1|30000|1,1|14003|1|1</v>
          </cell>
        </row>
        <row r="3767">
          <cell r="A3767">
            <v>55176</v>
          </cell>
          <cell r="B3767">
            <v>0</v>
          </cell>
          <cell r="C3767" t="str">
            <v>4|2|225,4|1|40000,1|14003|1,1|14107|440</v>
          </cell>
          <cell r="D3767" t="str">
            <v>主线进度宝箱奖励176</v>
          </cell>
          <cell r="E3767" t="str">
            <v>4|2|225|1,4|1|40000|1,1|14003|1|1,1|14107|440|1</v>
          </cell>
        </row>
        <row r="3768">
          <cell r="A3768">
            <v>55177</v>
          </cell>
          <cell r="B3768">
            <v>0</v>
          </cell>
          <cell r="C3768" t="str">
            <v>4|2|255,4|1|50000,1|14003|1,1|14006|1</v>
          </cell>
          <cell r="D3768" t="str">
            <v>主线进度宝箱奖励177</v>
          </cell>
          <cell r="E3768" t="str">
            <v>4|2|255|1,4|1|50000|1,1|14003|1|1,1|14006|1|1</v>
          </cell>
        </row>
        <row r="3769">
          <cell r="A3769">
            <v>55178</v>
          </cell>
          <cell r="B3769">
            <v>0</v>
          </cell>
          <cell r="C3769" t="str">
            <v>4|2|195,4|1|30000,1|14003|1</v>
          </cell>
          <cell r="D3769" t="str">
            <v>主线进度宝箱奖励178</v>
          </cell>
          <cell r="E3769" t="str">
            <v>4|2|195|1,4|1|30000|1,1|14003|1|1</v>
          </cell>
        </row>
        <row r="3770">
          <cell r="A3770">
            <v>55179</v>
          </cell>
          <cell r="B3770">
            <v>0</v>
          </cell>
          <cell r="C3770" t="str">
            <v>4|2|225,4|1|40000,1|14003|1,1|14107|440</v>
          </cell>
          <cell r="D3770" t="str">
            <v>主线进度宝箱奖励179</v>
          </cell>
          <cell r="E3770" t="str">
            <v>4|2|225|1,4|1|40000|1,1|14003|1|1,1|14107|440|1</v>
          </cell>
        </row>
        <row r="3771">
          <cell r="A3771">
            <v>55180</v>
          </cell>
          <cell r="B3771">
            <v>0</v>
          </cell>
          <cell r="C3771" t="str">
            <v>4|2|255,4|1|50000,1|14003|1,1|14006|1</v>
          </cell>
          <cell r="D3771" t="str">
            <v>主线进度宝箱奖励180</v>
          </cell>
          <cell r="E3771" t="str">
            <v>4|2|255|1,4|1|50000|1,1|14003|1|1,1|14006|1|1</v>
          </cell>
        </row>
        <row r="3772">
          <cell r="A3772">
            <v>55181</v>
          </cell>
          <cell r="B3772">
            <v>0</v>
          </cell>
          <cell r="C3772" t="str">
            <v>4|2|200,4|1|30000,1|14003|1</v>
          </cell>
          <cell r="D3772" t="str">
            <v>主线进度宝箱奖励181</v>
          </cell>
          <cell r="E3772" t="str">
            <v>4|2|200|1,4|1|30000|1,1|14003|1|1</v>
          </cell>
        </row>
        <row r="3773">
          <cell r="A3773">
            <v>55182</v>
          </cell>
          <cell r="B3773">
            <v>0</v>
          </cell>
          <cell r="C3773" t="str">
            <v>4|2|230,4|1|40000,1|14003|1,1|14107|450</v>
          </cell>
          <cell r="D3773" t="str">
            <v>主线进度宝箱奖励182</v>
          </cell>
          <cell r="E3773" t="str">
            <v>4|2|230|1,4|1|40000|1,1|14003|1|1,1|14107|450|1</v>
          </cell>
        </row>
        <row r="3774">
          <cell r="A3774">
            <v>55183</v>
          </cell>
          <cell r="B3774">
            <v>0</v>
          </cell>
          <cell r="C3774" t="str">
            <v>4|2|260,4|1|50000,1|14003|1,1|14006|1</v>
          </cell>
          <cell r="D3774" t="str">
            <v>主线进度宝箱奖励183</v>
          </cell>
          <cell r="E3774" t="str">
            <v>4|2|260|1,4|1|50000|1,1|14003|1|1,1|14006|1|1</v>
          </cell>
        </row>
        <row r="3775">
          <cell r="A3775">
            <v>55184</v>
          </cell>
          <cell r="B3775">
            <v>0</v>
          </cell>
          <cell r="C3775" t="str">
            <v>4|2|200,4|1|30000,1|14003|1</v>
          </cell>
          <cell r="D3775" t="str">
            <v>主线进度宝箱奖励184</v>
          </cell>
          <cell r="E3775" t="str">
            <v>4|2|200|1,4|1|30000|1,1|14003|1|1</v>
          </cell>
        </row>
        <row r="3776">
          <cell r="A3776">
            <v>55185</v>
          </cell>
          <cell r="B3776">
            <v>0</v>
          </cell>
          <cell r="C3776" t="str">
            <v>4|2|230,4|1|40000,1|14003|1,1|14107|450</v>
          </cell>
          <cell r="D3776" t="str">
            <v>主线进度宝箱奖励185</v>
          </cell>
          <cell r="E3776" t="str">
            <v>4|2|230|1,4|1|40000|1,1|14003|1|1,1|14107|450|1</v>
          </cell>
        </row>
        <row r="3777">
          <cell r="A3777">
            <v>55186</v>
          </cell>
          <cell r="B3777">
            <v>0</v>
          </cell>
          <cell r="C3777" t="str">
            <v>4|2|260,4|1|50000,1|14003|1,1|14006|1</v>
          </cell>
          <cell r="D3777" t="str">
            <v>主线进度宝箱奖励186</v>
          </cell>
          <cell r="E3777" t="str">
            <v>4|2|260|1,4|1|50000|1,1|14003|1|1,1|14006|1|1</v>
          </cell>
        </row>
        <row r="3778">
          <cell r="A3778">
            <v>55187</v>
          </cell>
          <cell r="B3778">
            <v>0</v>
          </cell>
          <cell r="C3778" t="str">
            <v>4|2|205,4|1|30000,1|14003|1</v>
          </cell>
          <cell r="D3778" t="str">
            <v>主线进度宝箱奖励187</v>
          </cell>
          <cell r="E3778" t="str">
            <v>4|2|205|1,4|1|30000|1,1|14003|1|1</v>
          </cell>
        </row>
        <row r="3779">
          <cell r="A3779">
            <v>55188</v>
          </cell>
          <cell r="B3779">
            <v>0</v>
          </cell>
          <cell r="C3779" t="str">
            <v>4|2|235,4|1|40000,1|14003|1,1|14107|460</v>
          </cell>
          <cell r="D3779" t="str">
            <v>主线进度宝箱奖励188</v>
          </cell>
          <cell r="E3779" t="str">
            <v>4|2|235|1,4|1|40000|1,1|14003|1|1,1|14107|460|1</v>
          </cell>
        </row>
        <row r="3780">
          <cell r="A3780">
            <v>55189</v>
          </cell>
          <cell r="B3780">
            <v>0</v>
          </cell>
          <cell r="C3780" t="str">
            <v>4|2|265,4|1|50000,1|14003|1,1|14006|1</v>
          </cell>
          <cell r="D3780" t="str">
            <v>主线进度宝箱奖励189</v>
          </cell>
          <cell r="E3780" t="str">
            <v>4|2|265|1,4|1|50000|1,1|14003|1|1,1|14006|1|1</v>
          </cell>
        </row>
        <row r="3781">
          <cell r="A3781">
            <v>55190</v>
          </cell>
          <cell r="B3781">
            <v>0</v>
          </cell>
          <cell r="C3781" t="str">
            <v>4|2|205,4|1|30000,1|14003|1</v>
          </cell>
          <cell r="D3781" t="str">
            <v>主线进度宝箱奖励190</v>
          </cell>
          <cell r="E3781" t="str">
            <v>4|2|205|1,4|1|30000|1,1|14003|1|1</v>
          </cell>
        </row>
        <row r="3782">
          <cell r="A3782">
            <v>55191</v>
          </cell>
          <cell r="B3782">
            <v>0</v>
          </cell>
          <cell r="C3782" t="str">
            <v>4|2|235,4|1|40000,1|14003|1,1|14107|460</v>
          </cell>
          <cell r="D3782" t="str">
            <v>主线进度宝箱奖励191</v>
          </cell>
          <cell r="E3782" t="str">
            <v>4|2|235|1,4|1|40000|1,1|14003|1|1,1|14107|460|1</v>
          </cell>
        </row>
        <row r="3783">
          <cell r="A3783">
            <v>55192</v>
          </cell>
          <cell r="B3783">
            <v>0</v>
          </cell>
          <cell r="C3783" t="str">
            <v>4|2|265,4|1|50000,1|14003|1,1|14006|1</v>
          </cell>
          <cell r="D3783" t="str">
            <v>主线进度宝箱奖励192</v>
          </cell>
          <cell r="E3783" t="str">
            <v>4|2|265|1,4|1|50000|1,1|14003|1|1,1|14006|1|1</v>
          </cell>
        </row>
        <row r="3784">
          <cell r="A3784">
            <v>55193</v>
          </cell>
          <cell r="B3784">
            <v>0</v>
          </cell>
          <cell r="C3784" t="str">
            <v>4|2|210,4|1|30000,1|14003|1</v>
          </cell>
          <cell r="D3784" t="str">
            <v>主线进度宝箱奖励193</v>
          </cell>
          <cell r="E3784" t="str">
            <v>4|2|210|1,4|1|30000|1,1|14003|1|1</v>
          </cell>
        </row>
        <row r="3785">
          <cell r="A3785">
            <v>55194</v>
          </cell>
          <cell r="B3785">
            <v>0</v>
          </cell>
          <cell r="C3785" t="str">
            <v>4|2|240,4|1|40000,1|14003|1,1|14107|470</v>
          </cell>
          <cell r="D3785" t="str">
            <v>主线进度宝箱奖励194</v>
          </cell>
          <cell r="E3785" t="str">
            <v>4|2|240|1,4|1|40000|1,1|14003|1|1,1|14107|470|1</v>
          </cell>
        </row>
        <row r="3786">
          <cell r="A3786">
            <v>55195</v>
          </cell>
          <cell r="B3786">
            <v>0</v>
          </cell>
          <cell r="C3786" t="str">
            <v>4|2|270,4|1|50000,1|14003|1,1|14006|1</v>
          </cell>
          <cell r="D3786" t="str">
            <v>主线进度宝箱奖励195</v>
          </cell>
          <cell r="E3786" t="str">
            <v>4|2|270|1,4|1|50000|1,1|14003|1|1,1|14006|1|1</v>
          </cell>
        </row>
        <row r="3787">
          <cell r="A3787">
            <v>55196</v>
          </cell>
          <cell r="B3787">
            <v>0</v>
          </cell>
          <cell r="C3787" t="str">
            <v>4|2|210,4|1|30000,1|14003|1</v>
          </cell>
          <cell r="D3787" t="str">
            <v>主线进度宝箱奖励196</v>
          </cell>
          <cell r="E3787" t="str">
            <v>4|2|210|1,4|1|30000|1,1|14003|1|1</v>
          </cell>
        </row>
        <row r="3788">
          <cell r="A3788">
            <v>55197</v>
          </cell>
          <cell r="B3788">
            <v>0</v>
          </cell>
          <cell r="C3788" t="str">
            <v>4|2|240,4|1|40000,1|14003|1,1|14107|470</v>
          </cell>
          <cell r="D3788" t="str">
            <v>主线进度宝箱奖励197</v>
          </cell>
          <cell r="E3788" t="str">
            <v>4|2|240|1,4|1|40000|1,1|14003|1|1,1|14107|470|1</v>
          </cell>
        </row>
        <row r="3789">
          <cell r="A3789">
            <v>55198</v>
          </cell>
          <cell r="B3789">
            <v>0</v>
          </cell>
          <cell r="C3789" t="str">
            <v>4|2|270,4|1|50000,1|14003|1,1|14006|1</v>
          </cell>
          <cell r="D3789" t="str">
            <v>主线进度宝箱奖励198</v>
          </cell>
          <cell r="E3789" t="str">
            <v>4|2|270|1,4|1|50000|1,1|14003|1|1,1|14006|1|1</v>
          </cell>
        </row>
        <row r="3790">
          <cell r="A3790">
            <v>55199</v>
          </cell>
          <cell r="B3790">
            <v>0</v>
          </cell>
          <cell r="C3790" t="str">
            <v>4|2|215,4|1|30000,1|14003|1</v>
          </cell>
          <cell r="D3790" t="str">
            <v>主线进度宝箱奖励199</v>
          </cell>
          <cell r="E3790" t="str">
            <v>4|2|215|1,4|1|30000|1,1|14003|1|1</v>
          </cell>
        </row>
        <row r="3791">
          <cell r="A3791">
            <v>55200</v>
          </cell>
          <cell r="B3791">
            <v>0</v>
          </cell>
          <cell r="C3791" t="str">
            <v>4|2|245,4|1|40000,1|14003|1,1|14107|480</v>
          </cell>
          <cell r="D3791" t="str">
            <v>主线进度宝箱奖励200</v>
          </cell>
          <cell r="E3791" t="str">
            <v>4|2|245|1,4|1|40000|1,1|14003|1|1,1|14107|480|1</v>
          </cell>
        </row>
        <row r="3792">
          <cell r="A3792">
            <v>55201</v>
          </cell>
          <cell r="B3792">
            <v>0</v>
          </cell>
          <cell r="C3792" t="str">
            <v>4|2|275,4|1|50000,1|14003|1,1|14006|1</v>
          </cell>
          <cell r="D3792" t="str">
            <v>主线进度宝箱奖励201</v>
          </cell>
          <cell r="E3792" t="str">
            <v>4|2|275|1,4|1|50000|1,1|14003|1|1,1|14006|1|1</v>
          </cell>
        </row>
        <row r="3793">
          <cell r="A3793">
            <v>55202</v>
          </cell>
          <cell r="B3793">
            <v>0</v>
          </cell>
          <cell r="C3793" t="str">
            <v>4|2|215,4|1|30000,1|14003|1</v>
          </cell>
          <cell r="D3793" t="str">
            <v>主线进度宝箱奖励202</v>
          </cell>
          <cell r="E3793" t="str">
            <v>4|2|215|1,4|1|30000|1,1|14003|1|1</v>
          </cell>
        </row>
        <row r="3794">
          <cell r="A3794">
            <v>55203</v>
          </cell>
          <cell r="B3794">
            <v>0</v>
          </cell>
          <cell r="C3794" t="str">
            <v>4|2|245,4|1|40000,1|14003|1,1|14107|480</v>
          </cell>
          <cell r="D3794" t="str">
            <v>主线进度宝箱奖励203</v>
          </cell>
          <cell r="E3794" t="str">
            <v>4|2|245|1,4|1|40000|1,1|14003|1|1,1|14107|480|1</v>
          </cell>
        </row>
        <row r="3795">
          <cell r="A3795">
            <v>55204</v>
          </cell>
          <cell r="B3795">
            <v>0</v>
          </cell>
          <cell r="C3795" t="str">
            <v>4|2|275,4|1|50000,1|14003|1,1|14006|1</v>
          </cell>
          <cell r="D3795" t="str">
            <v>主线进度宝箱奖励204</v>
          </cell>
          <cell r="E3795" t="str">
            <v>4|2|275|1,4|1|50000|1,1|14003|1|1,1|14006|1|1</v>
          </cell>
        </row>
        <row r="3796">
          <cell r="A3796">
            <v>55205</v>
          </cell>
          <cell r="B3796">
            <v>0</v>
          </cell>
          <cell r="C3796" t="str">
            <v>4|2|220,4|1|30000,1|14003|1</v>
          </cell>
          <cell r="D3796" t="str">
            <v>主线进度宝箱奖励205</v>
          </cell>
          <cell r="E3796" t="str">
            <v>4|2|220|1,4|1|30000|1,1|14003|1|1</v>
          </cell>
        </row>
        <row r="3797">
          <cell r="A3797">
            <v>55206</v>
          </cell>
          <cell r="B3797">
            <v>0</v>
          </cell>
          <cell r="C3797" t="str">
            <v>4|2|250,4|1|40000,1|14003|1,1|14107|490</v>
          </cell>
          <cell r="D3797" t="str">
            <v>主线进度宝箱奖励206</v>
          </cell>
          <cell r="E3797" t="str">
            <v>4|2|250|1,4|1|40000|1,1|14003|1|1,1|14107|490|1</v>
          </cell>
        </row>
        <row r="3798">
          <cell r="A3798">
            <v>55207</v>
          </cell>
          <cell r="B3798">
            <v>0</v>
          </cell>
          <cell r="C3798" t="str">
            <v>4|2|280,4|1|50000,1|14003|1,1|14006|1</v>
          </cell>
          <cell r="D3798" t="str">
            <v>主线进度宝箱奖励207</v>
          </cell>
          <cell r="E3798" t="str">
            <v>4|2|280|1,4|1|50000|1,1|14003|1|1,1|14006|1|1</v>
          </cell>
        </row>
        <row r="3799">
          <cell r="A3799">
            <v>55208</v>
          </cell>
          <cell r="B3799">
            <v>0</v>
          </cell>
          <cell r="C3799" t="str">
            <v>4|2|220,4|1|30000,1|14003|1</v>
          </cell>
          <cell r="D3799" t="str">
            <v>主线进度宝箱奖励208</v>
          </cell>
          <cell r="E3799" t="str">
            <v>4|2|220|1,4|1|30000|1,1|14003|1|1</v>
          </cell>
        </row>
        <row r="3800">
          <cell r="A3800">
            <v>55209</v>
          </cell>
          <cell r="B3800">
            <v>0</v>
          </cell>
          <cell r="C3800" t="str">
            <v>4|2|250,4|1|40000,1|14003|1,1|14107|490</v>
          </cell>
          <cell r="D3800" t="str">
            <v>主线进度宝箱奖励209</v>
          </cell>
          <cell r="E3800" t="str">
            <v>4|2|250|1,4|1|40000|1,1|14003|1|1,1|14107|490|1</v>
          </cell>
        </row>
        <row r="3801">
          <cell r="A3801">
            <v>55210</v>
          </cell>
          <cell r="B3801">
            <v>0</v>
          </cell>
          <cell r="C3801" t="str">
            <v>4|2|280,4|1|50000,1|14003|1,1|14006|1</v>
          </cell>
          <cell r="D3801" t="str">
            <v>主线进度宝箱奖励210</v>
          </cell>
          <cell r="E3801" t="str">
            <v>4|2|280|1,4|1|50000|1,1|14003|1|1,1|14006|1|1</v>
          </cell>
        </row>
        <row r="3802">
          <cell r="A3802">
            <v>55211</v>
          </cell>
          <cell r="B3802">
            <v>0</v>
          </cell>
          <cell r="C3802" t="str">
            <v>4|2|225,4|1|30000,1|14003|1</v>
          </cell>
          <cell r="D3802" t="str">
            <v>主线进度宝箱奖励211</v>
          </cell>
          <cell r="E3802" t="str">
            <v>4|2|225|1,4|1|30000|1,1|14003|1|1</v>
          </cell>
        </row>
        <row r="3803">
          <cell r="A3803">
            <v>55212</v>
          </cell>
          <cell r="B3803">
            <v>0</v>
          </cell>
          <cell r="C3803" t="str">
            <v>4|2|255,4|1|40000,1|14003|1,1|14107|500</v>
          </cell>
          <cell r="D3803" t="str">
            <v>主线进度宝箱奖励212</v>
          </cell>
          <cell r="E3803" t="str">
            <v>4|2|255|1,4|1|40000|1,1|14003|1|1,1|14107|500|1</v>
          </cell>
        </row>
        <row r="3804">
          <cell r="A3804">
            <v>55213</v>
          </cell>
          <cell r="B3804">
            <v>0</v>
          </cell>
          <cell r="C3804" t="str">
            <v>4|2|285,4|1|50000,1|14003|1,1|14006|1</v>
          </cell>
          <cell r="D3804" t="str">
            <v>主线进度宝箱奖励213</v>
          </cell>
          <cell r="E3804" t="str">
            <v>4|2|285|1,4|1|50000|1,1|14003|1|1,1|14006|1|1</v>
          </cell>
        </row>
        <row r="3805">
          <cell r="A3805">
            <v>55214</v>
          </cell>
          <cell r="B3805">
            <v>0</v>
          </cell>
          <cell r="C3805" t="str">
            <v>4|2|225,4|1|30000,1|14003|1</v>
          </cell>
          <cell r="D3805" t="str">
            <v>主线进度宝箱奖励214</v>
          </cell>
          <cell r="E3805" t="str">
            <v>4|2|225|1,4|1|30000|1,1|14003|1|1</v>
          </cell>
        </row>
        <row r="3806">
          <cell r="A3806">
            <v>55215</v>
          </cell>
          <cell r="B3806">
            <v>0</v>
          </cell>
          <cell r="C3806" t="str">
            <v>4|2|255,4|1|40000,1|14003|1,1|14107|500</v>
          </cell>
          <cell r="D3806" t="str">
            <v>主线进度宝箱奖励215</v>
          </cell>
          <cell r="E3806" t="str">
            <v>4|2|255|1,4|1|40000|1,1|14003|1|1,1|14107|500|1</v>
          </cell>
        </row>
        <row r="3807">
          <cell r="A3807">
            <v>55216</v>
          </cell>
          <cell r="B3807">
            <v>0</v>
          </cell>
          <cell r="C3807" t="str">
            <v>4|2|285,4|1|50000,1|14003|1,1|14006|1</v>
          </cell>
          <cell r="D3807" t="str">
            <v>主线进度宝箱奖励216</v>
          </cell>
          <cell r="E3807" t="str">
            <v>4|2|285|1,4|1|50000|1,1|14003|1|1,1|14006|1|1</v>
          </cell>
        </row>
        <row r="3808">
          <cell r="A3808">
            <v>55217</v>
          </cell>
          <cell r="B3808">
            <v>0</v>
          </cell>
          <cell r="C3808" t="str">
            <v>4|2|230,4|1|30000,1|14003|1</v>
          </cell>
          <cell r="D3808" t="str">
            <v>主线进度宝箱奖励217</v>
          </cell>
          <cell r="E3808" t="str">
            <v>4|2|230|1,4|1|30000|1,1|14003|1|1</v>
          </cell>
        </row>
        <row r="3809">
          <cell r="A3809">
            <v>55218</v>
          </cell>
          <cell r="B3809">
            <v>0</v>
          </cell>
          <cell r="C3809" t="str">
            <v>4|2|260,4|1|40000,1|14003|1,1|14107|510</v>
          </cell>
          <cell r="D3809" t="str">
            <v>主线进度宝箱奖励218</v>
          </cell>
          <cell r="E3809" t="str">
            <v>4|2|260|1,4|1|40000|1,1|14003|1|1,1|14107|510|1</v>
          </cell>
        </row>
        <row r="3810">
          <cell r="A3810">
            <v>55219</v>
          </cell>
          <cell r="B3810">
            <v>0</v>
          </cell>
          <cell r="C3810" t="str">
            <v>4|2|290,4|1|50000,1|14003|1,1|14006|1</v>
          </cell>
          <cell r="D3810" t="str">
            <v>主线进度宝箱奖励219</v>
          </cell>
          <cell r="E3810" t="str">
            <v>4|2|290|1,4|1|50000|1,1|14003|1|1,1|14006|1|1</v>
          </cell>
        </row>
        <row r="3811">
          <cell r="A3811">
            <v>55220</v>
          </cell>
          <cell r="B3811">
            <v>0</v>
          </cell>
          <cell r="C3811" t="str">
            <v>4|2|230,4|1|30000,1|14003|1</v>
          </cell>
          <cell r="D3811" t="str">
            <v>主线进度宝箱奖励220</v>
          </cell>
          <cell r="E3811" t="str">
            <v>4|2|230|1,4|1|30000|1,1|14003|1|1</v>
          </cell>
        </row>
        <row r="3812">
          <cell r="A3812">
            <v>55221</v>
          </cell>
          <cell r="B3812">
            <v>0</v>
          </cell>
          <cell r="C3812" t="str">
            <v>4|2|260,4|1|40000,1|14003|1,1|14107|510</v>
          </cell>
          <cell r="D3812" t="str">
            <v>主线进度宝箱奖励221</v>
          </cell>
          <cell r="E3812" t="str">
            <v>4|2|260|1,4|1|40000|1,1|14003|1|1,1|14107|510|1</v>
          </cell>
        </row>
        <row r="3813">
          <cell r="A3813">
            <v>55222</v>
          </cell>
          <cell r="B3813">
            <v>0</v>
          </cell>
          <cell r="C3813" t="str">
            <v>4|2|290,4|1|50000,1|14003|1,1|14006|1</v>
          </cell>
          <cell r="D3813" t="str">
            <v>主线进度宝箱奖励222</v>
          </cell>
          <cell r="E3813" t="str">
            <v>4|2|290|1,4|1|50000|1,1|14003|1|1,1|14006|1|1</v>
          </cell>
        </row>
        <row r="3814">
          <cell r="A3814">
            <v>55223</v>
          </cell>
          <cell r="B3814">
            <v>0</v>
          </cell>
          <cell r="C3814" t="str">
            <v>4|2|235,4|1|30000,1|14003|1</v>
          </cell>
          <cell r="D3814" t="str">
            <v>主线进度宝箱奖励223</v>
          </cell>
          <cell r="E3814" t="str">
            <v>4|2|235|1,4|1|30000|1,1|14003|1|1</v>
          </cell>
        </row>
        <row r="3815">
          <cell r="A3815">
            <v>55224</v>
          </cell>
          <cell r="B3815">
            <v>0</v>
          </cell>
          <cell r="C3815" t="str">
            <v>4|2|265,4|1|40000,1|14003|1,1|14107|520</v>
          </cell>
          <cell r="D3815" t="str">
            <v>主线进度宝箱奖励224</v>
          </cell>
          <cell r="E3815" t="str">
            <v>4|2|265|1,4|1|40000|1,1|14003|1|1,1|14107|520|1</v>
          </cell>
        </row>
        <row r="3816">
          <cell r="A3816">
            <v>55225</v>
          </cell>
          <cell r="B3816">
            <v>0</v>
          </cell>
          <cell r="C3816" t="str">
            <v>4|2|295,4|1|50000,1|14003|1,1|14006|1</v>
          </cell>
          <cell r="D3816" t="str">
            <v>主线进度宝箱奖励225</v>
          </cell>
          <cell r="E3816" t="str">
            <v>4|2|295|1,4|1|50000|1,1|14003|1|1,1|14006|1|1</v>
          </cell>
        </row>
        <row r="3817">
          <cell r="A3817">
            <v>55226</v>
          </cell>
          <cell r="B3817">
            <v>0</v>
          </cell>
          <cell r="C3817" t="str">
            <v>4|2|235,4|1|30000,1|14003|1</v>
          </cell>
          <cell r="D3817" t="str">
            <v>主线进度宝箱奖励226</v>
          </cell>
          <cell r="E3817" t="str">
            <v>4|2|235|1,4|1|30000|1,1|14003|1|1</v>
          </cell>
        </row>
        <row r="3818">
          <cell r="A3818">
            <v>55227</v>
          </cell>
          <cell r="B3818">
            <v>0</v>
          </cell>
          <cell r="C3818" t="str">
            <v>4|2|265,4|1|40000,1|14003|1,1|14107|520</v>
          </cell>
          <cell r="D3818" t="str">
            <v>主线进度宝箱奖励227</v>
          </cell>
          <cell r="E3818" t="str">
            <v>4|2|265|1,4|1|40000|1,1|14003|1|1,1|14107|520|1</v>
          </cell>
        </row>
        <row r="3819">
          <cell r="A3819">
            <v>55228</v>
          </cell>
          <cell r="B3819">
            <v>0</v>
          </cell>
          <cell r="C3819" t="str">
            <v>4|2|295,4|1|50000,1|14003|1,1|14006|1</v>
          </cell>
          <cell r="D3819" t="str">
            <v>主线进度宝箱奖励228</v>
          </cell>
          <cell r="E3819" t="str">
            <v>4|2|295|1,4|1|50000|1,1|14003|1|1,1|14006|1|1</v>
          </cell>
        </row>
        <row r="3820">
          <cell r="A3820">
            <v>55229</v>
          </cell>
          <cell r="B3820">
            <v>0</v>
          </cell>
          <cell r="C3820" t="str">
            <v>4|2|240,4|1|30000,1|14003|1</v>
          </cell>
          <cell r="D3820" t="str">
            <v>主线进度宝箱奖励229</v>
          </cell>
          <cell r="E3820" t="str">
            <v>4|2|240|1,4|1|30000|1,1|14003|1|1</v>
          </cell>
        </row>
        <row r="3821">
          <cell r="A3821">
            <v>55230</v>
          </cell>
          <cell r="B3821">
            <v>0</v>
          </cell>
          <cell r="C3821" t="str">
            <v>4|2|270,4|1|40000,1|14003|1,1|14107|530</v>
          </cell>
          <cell r="D3821" t="str">
            <v>主线进度宝箱奖励230</v>
          </cell>
          <cell r="E3821" t="str">
            <v>4|2|270|1,4|1|40000|1,1|14003|1|1,1|14107|530|1</v>
          </cell>
        </row>
        <row r="3822">
          <cell r="A3822">
            <v>55231</v>
          </cell>
          <cell r="B3822">
            <v>0</v>
          </cell>
          <cell r="C3822" t="str">
            <v>4|2|300,4|1|50000,1|14003|1,1|14006|1</v>
          </cell>
          <cell r="D3822" t="str">
            <v>主线进度宝箱奖励231</v>
          </cell>
          <cell r="E3822" t="str">
            <v>4|2|300|1,4|1|50000|1,1|14003|1|1,1|14006|1|1</v>
          </cell>
        </row>
        <row r="3823">
          <cell r="A3823">
            <v>55232</v>
          </cell>
          <cell r="B3823">
            <v>0</v>
          </cell>
          <cell r="C3823" t="str">
            <v>4|2|240,4|1|30000,1|14003|1</v>
          </cell>
          <cell r="D3823" t="str">
            <v>主线进度宝箱奖励232</v>
          </cell>
          <cell r="E3823" t="str">
            <v>4|2|240|1,4|1|30000|1,1|14003|1|1</v>
          </cell>
        </row>
        <row r="3824">
          <cell r="A3824">
            <v>55233</v>
          </cell>
          <cell r="B3824">
            <v>0</v>
          </cell>
          <cell r="C3824" t="str">
            <v>4|2|270,4|1|40000,1|14003|1,1|14107|530</v>
          </cell>
          <cell r="D3824" t="str">
            <v>主线进度宝箱奖励233</v>
          </cell>
          <cell r="E3824" t="str">
            <v>4|2|270|1,4|1|40000|1,1|14003|1|1,1|14107|530|1</v>
          </cell>
        </row>
        <row r="3825">
          <cell r="A3825">
            <v>55234</v>
          </cell>
          <cell r="B3825">
            <v>0</v>
          </cell>
          <cell r="C3825" t="str">
            <v>4|2|300,4|1|50000,1|14003|1,1|14006|1</v>
          </cell>
          <cell r="D3825" t="str">
            <v>主线进度宝箱奖励234</v>
          </cell>
          <cell r="E3825" t="str">
            <v>4|2|300|1,4|1|50000|1,1|14003|1|1,1|14006|1|1</v>
          </cell>
        </row>
        <row r="3826">
          <cell r="A3826">
            <v>55235</v>
          </cell>
          <cell r="B3826">
            <v>0</v>
          </cell>
          <cell r="C3826" t="str">
            <v>4|2|245,4|1|30000,1|14003|1</v>
          </cell>
          <cell r="D3826" t="str">
            <v>主线进度宝箱奖励235</v>
          </cell>
          <cell r="E3826" t="str">
            <v>4|2|245|1,4|1|30000|1,1|14003|1|1</v>
          </cell>
        </row>
        <row r="3827">
          <cell r="A3827">
            <v>55236</v>
          </cell>
          <cell r="B3827">
            <v>0</v>
          </cell>
          <cell r="C3827" t="str">
            <v>4|2|275,4|1|40000,1|14003|1,1|14107|540</v>
          </cell>
          <cell r="D3827" t="str">
            <v>主线进度宝箱奖励236</v>
          </cell>
          <cell r="E3827" t="str">
            <v>4|2|275|1,4|1|40000|1,1|14003|1|1,1|14107|540|1</v>
          </cell>
        </row>
        <row r="3828">
          <cell r="A3828">
            <v>55237</v>
          </cell>
          <cell r="B3828">
            <v>0</v>
          </cell>
          <cell r="C3828" t="str">
            <v>4|2|305,4|1|50000,1|14003|1,1|14006|1</v>
          </cell>
          <cell r="D3828" t="str">
            <v>主线进度宝箱奖励237</v>
          </cell>
          <cell r="E3828" t="str">
            <v>4|2|305|1,4|1|50000|1,1|14003|1|1,1|14006|1|1</v>
          </cell>
        </row>
        <row r="3829">
          <cell r="A3829">
            <v>55238</v>
          </cell>
          <cell r="B3829">
            <v>0</v>
          </cell>
          <cell r="C3829" t="str">
            <v>4|2|245,4|1|30000,1|14003|1</v>
          </cell>
          <cell r="D3829" t="str">
            <v>主线进度宝箱奖励238</v>
          </cell>
          <cell r="E3829" t="str">
            <v>4|2|245|1,4|1|30000|1,1|14003|1|1</v>
          </cell>
        </row>
        <row r="3830">
          <cell r="A3830">
            <v>55239</v>
          </cell>
          <cell r="B3830">
            <v>0</v>
          </cell>
          <cell r="C3830" t="str">
            <v>4|2|275,4|1|40000,1|14003|1,1|14107|540</v>
          </cell>
          <cell r="D3830" t="str">
            <v>主线进度宝箱奖励239</v>
          </cell>
          <cell r="E3830" t="str">
            <v>4|2|275|1,4|1|40000|1,1|14003|1|1,1|14107|540|1</v>
          </cell>
        </row>
        <row r="3831">
          <cell r="A3831">
            <v>55240</v>
          </cell>
          <cell r="B3831">
            <v>0</v>
          </cell>
          <cell r="C3831" t="str">
            <v>4|2|305,4|1|50000,1|14003|1,1|14006|1</v>
          </cell>
          <cell r="D3831" t="str">
            <v>主线进度宝箱奖励240</v>
          </cell>
          <cell r="E3831" t="str">
            <v>4|2|305|1,4|1|50000|1,1|14003|1|1,1|14006|1|1</v>
          </cell>
        </row>
        <row r="3832">
          <cell r="A3832">
            <v>55241</v>
          </cell>
          <cell r="B3832">
            <v>0</v>
          </cell>
          <cell r="C3832" t="str">
            <v>4|2|250,4|1|30000,1|14003|1</v>
          </cell>
          <cell r="D3832" t="str">
            <v>主线进度宝箱奖励241</v>
          </cell>
          <cell r="E3832" t="str">
            <v>4|2|250|1,4|1|30000|1,1|14003|1|1</v>
          </cell>
        </row>
        <row r="3833">
          <cell r="A3833">
            <v>55242</v>
          </cell>
          <cell r="B3833">
            <v>0</v>
          </cell>
          <cell r="C3833" t="str">
            <v>4|2|280,4|1|40000,1|14003|1,1|14107|550</v>
          </cell>
          <cell r="D3833" t="str">
            <v>主线进度宝箱奖励242</v>
          </cell>
          <cell r="E3833" t="str">
            <v>4|2|280|1,4|1|40000|1,1|14003|1|1,1|14107|550|1</v>
          </cell>
        </row>
        <row r="3834">
          <cell r="A3834">
            <v>55243</v>
          </cell>
          <cell r="B3834">
            <v>0</v>
          </cell>
          <cell r="C3834" t="str">
            <v>4|2|310,4|1|50000,1|14003|1,1|14006|1</v>
          </cell>
          <cell r="D3834" t="str">
            <v>主线进度宝箱奖励243</v>
          </cell>
          <cell r="E3834" t="str">
            <v>4|2|310|1,4|1|50000|1,1|14003|1|1,1|14006|1|1</v>
          </cell>
        </row>
        <row r="3835">
          <cell r="A3835">
            <v>55244</v>
          </cell>
          <cell r="B3835">
            <v>0</v>
          </cell>
          <cell r="C3835" t="str">
            <v>4|2|250,4|1|30000,1|14003|1</v>
          </cell>
          <cell r="D3835" t="str">
            <v>主线进度宝箱奖励244</v>
          </cell>
          <cell r="E3835" t="str">
            <v>4|2|250|1,4|1|30000|1,1|14003|1|1</v>
          </cell>
        </row>
        <row r="3836">
          <cell r="A3836">
            <v>55245</v>
          </cell>
          <cell r="B3836">
            <v>0</v>
          </cell>
          <cell r="C3836" t="str">
            <v>4|2|280,4|1|40000,1|14003|1,1|14107|550</v>
          </cell>
          <cell r="D3836" t="str">
            <v>主线进度宝箱奖励245</v>
          </cell>
          <cell r="E3836" t="str">
            <v>4|2|280|1,4|1|40000|1,1|14003|1|1,1|14107|550|1</v>
          </cell>
        </row>
        <row r="3837">
          <cell r="A3837">
            <v>55246</v>
          </cell>
          <cell r="B3837">
            <v>0</v>
          </cell>
          <cell r="C3837" t="str">
            <v>4|2|310,4|1|50000,1|14003|1,1|14006|1</v>
          </cell>
          <cell r="D3837" t="str">
            <v>主线进度宝箱奖励246</v>
          </cell>
          <cell r="E3837" t="str">
            <v>4|2|310|1,4|1|50000|1,1|14003|1|1,1|14006|1|1</v>
          </cell>
        </row>
        <row r="3838">
          <cell r="A3838">
            <v>55247</v>
          </cell>
          <cell r="B3838">
            <v>0</v>
          </cell>
          <cell r="C3838" t="str">
            <v>4|2|255,4|1|30000,1|14003|1</v>
          </cell>
          <cell r="D3838" t="str">
            <v>主线进度宝箱奖励247</v>
          </cell>
          <cell r="E3838" t="str">
            <v>4|2|255|1,4|1|30000|1,1|14003|1|1</v>
          </cell>
        </row>
        <row r="3839">
          <cell r="A3839">
            <v>55248</v>
          </cell>
          <cell r="B3839">
            <v>0</v>
          </cell>
          <cell r="C3839" t="str">
            <v>4|2|285,4|1|40000,1|14003|1,1|14107|560</v>
          </cell>
          <cell r="D3839" t="str">
            <v>主线进度宝箱奖励248</v>
          </cell>
          <cell r="E3839" t="str">
            <v>4|2|285|1,4|1|40000|1,1|14003|1|1,1|14107|560|1</v>
          </cell>
        </row>
        <row r="3840">
          <cell r="A3840">
            <v>55249</v>
          </cell>
          <cell r="B3840">
            <v>0</v>
          </cell>
          <cell r="C3840" t="str">
            <v>4|2|315,4|1|50000,1|14003|1,1|14006|1</v>
          </cell>
          <cell r="D3840" t="str">
            <v>主线进度宝箱奖励249</v>
          </cell>
          <cell r="E3840" t="str">
            <v>4|2|315|1,4|1|50000|1,1|14003|1|1,1|14006|1|1</v>
          </cell>
        </row>
        <row r="3841">
          <cell r="A3841">
            <v>55250</v>
          </cell>
          <cell r="B3841">
            <v>0</v>
          </cell>
          <cell r="C3841" t="str">
            <v>4|2|255,4|1|30000,1|14003|1</v>
          </cell>
          <cell r="D3841" t="str">
            <v>主线进度宝箱奖励250</v>
          </cell>
          <cell r="E3841" t="str">
            <v>4|2|255|1,4|1|30000|1,1|14003|1|1</v>
          </cell>
        </row>
        <row r="3842">
          <cell r="A3842">
            <v>55251</v>
          </cell>
          <cell r="B3842">
            <v>0</v>
          </cell>
          <cell r="C3842" t="str">
            <v>4|2|285,4|1|40000,1|14003|1,1|14107|560</v>
          </cell>
          <cell r="D3842" t="str">
            <v>主线进度宝箱奖励251</v>
          </cell>
          <cell r="E3842" t="str">
            <v>4|2|285|1,4|1|40000|1,1|14003|1|1,1|14107|560|1</v>
          </cell>
        </row>
        <row r="3843">
          <cell r="A3843">
            <v>55252</v>
          </cell>
          <cell r="B3843">
            <v>0</v>
          </cell>
          <cell r="C3843" t="str">
            <v>4|2|315,4|1|50000,1|14003|1,1|14006|1</v>
          </cell>
          <cell r="D3843" t="str">
            <v>主线进度宝箱奖励252</v>
          </cell>
          <cell r="E3843" t="str">
            <v>4|2|315|1,4|1|50000|1,1|14003|1|1,1|14006|1|1</v>
          </cell>
        </row>
        <row r="3844">
          <cell r="A3844">
            <v>55253</v>
          </cell>
          <cell r="B3844">
            <v>0</v>
          </cell>
          <cell r="C3844" t="str">
            <v>4|2|260,4|1|30000,1|14003|1</v>
          </cell>
          <cell r="D3844" t="str">
            <v>主线进度宝箱奖励253</v>
          </cell>
          <cell r="E3844" t="str">
            <v>4|2|260|1,4|1|30000|1,1|14003|1|1</v>
          </cell>
        </row>
        <row r="3845">
          <cell r="A3845">
            <v>55254</v>
          </cell>
          <cell r="B3845">
            <v>0</v>
          </cell>
          <cell r="C3845" t="str">
            <v>4|2|290,4|1|40000,1|14003|1,1|14107|570</v>
          </cell>
          <cell r="D3845" t="str">
            <v>主线进度宝箱奖励254</v>
          </cell>
          <cell r="E3845" t="str">
            <v>4|2|290|1,4|1|40000|1,1|14003|1|1,1|14107|570|1</v>
          </cell>
        </row>
        <row r="3846">
          <cell r="A3846">
            <v>55255</v>
          </cell>
          <cell r="B3846">
            <v>0</v>
          </cell>
          <cell r="C3846" t="str">
            <v>4|2|320,4|1|50000,1|14003|1,1|14006|1</v>
          </cell>
          <cell r="D3846" t="str">
            <v>主线进度宝箱奖励255</v>
          </cell>
          <cell r="E3846" t="str">
            <v>4|2|320|1,4|1|50000|1,1|14003|1|1,1|14006|1|1</v>
          </cell>
        </row>
        <row r="3847">
          <cell r="A3847">
            <v>55256</v>
          </cell>
          <cell r="B3847">
            <v>0</v>
          </cell>
          <cell r="C3847" t="str">
            <v>4|2|260,4|1|30000,1|14003|1</v>
          </cell>
          <cell r="D3847" t="str">
            <v>主线进度宝箱奖励256</v>
          </cell>
          <cell r="E3847" t="str">
            <v>4|2|260|1,4|1|30000|1,1|14003|1|1</v>
          </cell>
        </row>
        <row r="3848">
          <cell r="A3848">
            <v>55257</v>
          </cell>
          <cell r="B3848">
            <v>0</v>
          </cell>
          <cell r="C3848" t="str">
            <v>4|2|290,4|1|40000,1|14003|1,1|14107|570</v>
          </cell>
          <cell r="D3848" t="str">
            <v>主线进度宝箱奖励257</v>
          </cell>
          <cell r="E3848" t="str">
            <v>4|2|290|1,4|1|40000|1,1|14003|1|1,1|14107|570|1</v>
          </cell>
        </row>
        <row r="3849">
          <cell r="A3849">
            <v>55258</v>
          </cell>
          <cell r="B3849">
            <v>0</v>
          </cell>
          <cell r="C3849" t="str">
            <v>4|2|320,4|1|50000,1|14003|1,1|14006|1</v>
          </cell>
          <cell r="D3849" t="str">
            <v>主线进度宝箱奖励258</v>
          </cell>
          <cell r="E3849" t="str">
            <v>4|2|320|1,4|1|50000|1,1|14003|1|1,1|14006|1|1</v>
          </cell>
        </row>
        <row r="3850">
          <cell r="A3850">
            <v>55259</v>
          </cell>
          <cell r="B3850">
            <v>0</v>
          </cell>
          <cell r="C3850" t="str">
            <v>4|2|265,4|1|30000,1|14003|1</v>
          </cell>
          <cell r="D3850" t="str">
            <v>主线进度宝箱奖励259</v>
          </cell>
          <cell r="E3850" t="str">
            <v>4|2|265|1,4|1|30000|1,1|14003|1|1</v>
          </cell>
        </row>
        <row r="3851">
          <cell r="A3851">
            <v>55260</v>
          </cell>
          <cell r="B3851">
            <v>0</v>
          </cell>
          <cell r="C3851" t="str">
            <v>4|2|295,4|1|40000,1|14003|1,1|14107|580</v>
          </cell>
          <cell r="D3851" t="str">
            <v>主线进度宝箱奖励260</v>
          </cell>
          <cell r="E3851" t="str">
            <v>4|2|295|1,4|1|40000|1,1|14003|1|1,1|14107|580|1</v>
          </cell>
        </row>
        <row r="3852">
          <cell r="A3852">
            <v>55261</v>
          </cell>
          <cell r="B3852">
            <v>0</v>
          </cell>
          <cell r="C3852" t="str">
            <v>4|2|325,4|1|50000,1|14003|1,1|14006|1</v>
          </cell>
          <cell r="D3852" t="str">
            <v>主线进度宝箱奖励261</v>
          </cell>
          <cell r="E3852" t="str">
            <v>4|2|325|1,4|1|50000|1,1|14003|1|1,1|14006|1|1</v>
          </cell>
        </row>
        <row r="3853">
          <cell r="A3853">
            <v>55262</v>
          </cell>
          <cell r="B3853">
            <v>0</v>
          </cell>
          <cell r="C3853" t="str">
            <v>4|2|265,4|1|30000,1|14003|1</v>
          </cell>
          <cell r="D3853" t="str">
            <v>主线进度宝箱奖励262</v>
          </cell>
          <cell r="E3853" t="str">
            <v>4|2|265|1,4|1|30000|1,1|14003|1|1</v>
          </cell>
        </row>
        <row r="3854">
          <cell r="A3854">
            <v>55263</v>
          </cell>
          <cell r="B3854">
            <v>0</v>
          </cell>
          <cell r="C3854" t="str">
            <v>4|2|295,4|1|40000,1|14003|1,1|14107|580</v>
          </cell>
          <cell r="D3854" t="str">
            <v>主线进度宝箱奖励263</v>
          </cell>
          <cell r="E3854" t="str">
            <v>4|2|295|1,4|1|40000|1,1|14003|1|1,1|14107|580|1</v>
          </cell>
        </row>
        <row r="3855">
          <cell r="A3855">
            <v>55264</v>
          </cell>
          <cell r="B3855">
            <v>0</v>
          </cell>
          <cell r="C3855" t="str">
            <v>4|2|325,4|1|50000,1|14003|1,1|14006|1</v>
          </cell>
          <cell r="D3855" t="str">
            <v>主线进度宝箱奖励264</v>
          </cell>
          <cell r="E3855" t="str">
            <v>4|2|325|1,4|1|50000|1,1|14003|1|1,1|14006|1|1</v>
          </cell>
        </row>
        <row r="3856">
          <cell r="A3856">
            <v>55265</v>
          </cell>
          <cell r="B3856">
            <v>0</v>
          </cell>
          <cell r="C3856" t="str">
            <v>4|2|270,4|1|30000,1|14003|1</v>
          </cell>
          <cell r="D3856" t="str">
            <v>主线进度宝箱奖励265</v>
          </cell>
          <cell r="E3856" t="str">
            <v>4|2|270|1,4|1|30000|1,1|14003|1|1</v>
          </cell>
        </row>
        <row r="3857">
          <cell r="A3857">
            <v>55266</v>
          </cell>
          <cell r="B3857">
            <v>0</v>
          </cell>
          <cell r="C3857" t="str">
            <v>4|2|300,4|1|40000,1|14003|1,1|14107|590</v>
          </cell>
          <cell r="D3857" t="str">
            <v>主线进度宝箱奖励266</v>
          </cell>
          <cell r="E3857" t="str">
            <v>4|2|300|1,4|1|40000|1,1|14003|1|1,1|14107|590|1</v>
          </cell>
        </row>
        <row r="3858">
          <cell r="A3858">
            <v>55267</v>
          </cell>
          <cell r="B3858">
            <v>0</v>
          </cell>
          <cell r="C3858" t="str">
            <v>4|2|330,4|1|50000,1|14003|1,1|14006|1</v>
          </cell>
          <cell r="D3858" t="str">
            <v>主线进度宝箱奖励267</v>
          </cell>
          <cell r="E3858" t="str">
            <v>4|2|330|1,4|1|50000|1,1|14003|1|1,1|14006|1|1</v>
          </cell>
        </row>
        <row r="3859">
          <cell r="A3859">
            <v>55268</v>
          </cell>
          <cell r="B3859">
            <v>0</v>
          </cell>
          <cell r="C3859" t="str">
            <v>4|2|270,4|1|30000,1|14003|1</v>
          </cell>
          <cell r="D3859" t="str">
            <v>主线进度宝箱奖励268</v>
          </cell>
          <cell r="E3859" t="str">
            <v>4|2|270|1,4|1|30000|1,1|14003|1|1</v>
          </cell>
        </row>
        <row r="3860">
          <cell r="A3860">
            <v>55269</v>
          </cell>
          <cell r="B3860">
            <v>0</v>
          </cell>
          <cell r="C3860" t="str">
            <v>4|2|300,4|1|40000,1|14003|1,1|14107|590</v>
          </cell>
          <cell r="D3860" t="str">
            <v>主线进度宝箱奖励269</v>
          </cell>
          <cell r="E3860" t="str">
            <v>4|2|300|1,4|1|40000|1,1|14003|1|1,1|14107|590|1</v>
          </cell>
        </row>
        <row r="3861">
          <cell r="A3861">
            <v>55270</v>
          </cell>
          <cell r="B3861">
            <v>0</v>
          </cell>
          <cell r="C3861" t="str">
            <v>4|2|330,4|1|50000,1|14003|1,1|14006|1</v>
          </cell>
          <cell r="D3861" t="str">
            <v>主线进度宝箱奖励270</v>
          </cell>
          <cell r="E3861" t="str">
            <v>4|2|330|1,4|1|50000|1,1|14003|1|1,1|14006|1|1</v>
          </cell>
        </row>
        <row r="3862">
          <cell r="A3862">
            <v>55271</v>
          </cell>
          <cell r="B3862">
            <v>0</v>
          </cell>
          <cell r="C3862" t="str">
            <v>4|2|275,4|1|30000,1|14003|1</v>
          </cell>
          <cell r="D3862" t="str">
            <v>主线进度宝箱奖励271</v>
          </cell>
          <cell r="E3862" t="str">
            <v>4|2|275|1,4|1|30000|1,1|14003|1|1</v>
          </cell>
        </row>
        <row r="3863">
          <cell r="A3863">
            <v>55272</v>
          </cell>
          <cell r="B3863">
            <v>0</v>
          </cell>
          <cell r="C3863" t="str">
            <v>4|2|305,4|1|40000,1|14003|1,1|14107|600</v>
          </cell>
          <cell r="D3863" t="str">
            <v>主线进度宝箱奖励272</v>
          </cell>
          <cell r="E3863" t="str">
            <v>4|2|305|1,4|1|40000|1,1|14003|1|1,1|14107|600|1</v>
          </cell>
        </row>
        <row r="3864">
          <cell r="A3864">
            <v>55273</v>
          </cell>
          <cell r="B3864">
            <v>0</v>
          </cell>
          <cell r="C3864" t="str">
            <v>4|2|335,4|1|50000,1|14003|1,1|14006|1</v>
          </cell>
          <cell r="D3864" t="str">
            <v>主线进度宝箱奖励273</v>
          </cell>
          <cell r="E3864" t="str">
            <v>4|2|335|1,4|1|50000|1,1|14003|1|1,1|14006|1|1</v>
          </cell>
        </row>
        <row r="3865">
          <cell r="A3865">
            <v>55274</v>
          </cell>
          <cell r="B3865">
            <v>0</v>
          </cell>
          <cell r="C3865" t="str">
            <v>4|2|275,4|1|30000,1|14003|1</v>
          </cell>
          <cell r="D3865" t="str">
            <v>主线进度宝箱奖励274</v>
          </cell>
          <cell r="E3865" t="str">
            <v>4|2|275|1,4|1|30000|1,1|14003|1|1</v>
          </cell>
        </row>
        <row r="3866">
          <cell r="A3866">
            <v>55275</v>
          </cell>
          <cell r="B3866">
            <v>0</v>
          </cell>
          <cell r="C3866" t="str">
            <v>4|2|305,4|1|40000,1|14003|1,1|14107|600</v>
          </cell>
          <cell r="D3866" t="str">
            <v>主线进度宝箱奖励275</v>
          </cell>
          <cell r="E3866" t="str">
            <v>4|2|305|1,4|1|40000|1,1|14003|1|1,1|14107|600|1</v>
          </cell>
        </row>
        <row r="3867">
          <cell r="A3867">
            <v>55276</v>
          </cell>
          <cell r="B3867">
            <v>0</v>
          </cell>
          <cell r="C3867" t="str">
            <v>4|2|335,4|1|50000,1|14003|1,1|14006|1</v>
          </cell>
          <cell r="D3867" t="str">
            <v>主线进度宝箱奖励276</v>
          </cell>
          <cell r="E3867" t="str">
            <v>4|2|335|1,4|1|50000|1,1|14003|1|1,1|14006|1|1</v>
          </cell>
        </row>
        <row r="3868">
          <cell r="A3868">
            <v>55277</v>
          </cell>
          <cell r="B3868">
            <v>0</v>
          </cell>
          <cell r="C3868" t="str">
            <v>4|2|280,4|1|30000,1|14003|1</v>
          </cell>
          <cell r="D3868" t="str">
            <v>主线进度宝箱奖励277</v>
          </cell>
          <cell r="E3868" t="str">
            <v>4|2|280|1,4|1|30000|1,1|14003|1|1</v>
          </cell>
        </row>
        <row r="3869">
          <cell r="A3869">
            <v>55278</v>
          </cell>
          <cell r="B3869">
            <v>0</v>
          </cell>
          <cell r="C3869" t="str">
            <v>4|2|310,4|1|40000,1|14003|1,1|14107|610</v>
          </cell>
          <cell r="D3869" t="str">
            <v>主线进度宝箱奖励278</v>
          </cell>
          <cell r="E3869" t="str">
            <v>4|2|310|1,4|1|40000|1,1|14003|1|1,1|14107|610|1</v>
          </cell>
        </row>
        <row r="3870">
          <cell r="A3870">
            <v>55279</v>
          </cell>
          <cell r="B3870">
            <v>0</v>
          </cell>
          <cell r="C3870" t="str">
            <v>4|2|340,4|1|50000,1|14003|1,1|14006|1</v>
          </cell>
          <cell r="D3870" t="str">
            <v>主线进度宝箱奖励279</v>
          </cell>
          <cell r="E3870" t="str">
            <v>4|2|340|1,4|1|50000|1,1|14003|1|1,1|14006|1|1</v>
          </cell>
        </row>
        <row r="3871">
          <cell r="A3871">
            <v>55280</v>
          </cell>
          <cell r="B3871">
            <v>0</v>
          </cell>
          <cell r="C3871" t="str">
            <v>4|2|280,4|1|30000,1|14003|1</v>
          </cell>
          <cell r="D3871" t="str">
            <v>主线进度宝箱奖励280</v>
          </cell>
          <cell r="E3871" t="str">
            <v>4|2|280|1,4|1|30000|1,1|14003|1|1</v>
          </cell>
        </row>
        <row r="3872">
          <cell r="A3872">
            <v>55281</v>
          </cell>
          <cell r="B3872">
            <v>0</v>
          </cell>
          <cell r="C3872" t="str">
            <v>4|2|310,4|1|40000,1|14003|1,1|14107|610</v>
          </cell>
          <cell r="D3872" t="str">
            <v>主线进度宝箱奖励281</v>
          </cell>
          <cell r="E3872" t="str">
            <v>4|2|310|1,4|1|40000|1,1|14003|1|1,1|14107|610|1</v>
          </cell>
        </row>
        <row r="3873">
          <cell r="A3873">
            <v>55282</v>
          </cell>
          <cell r="B3873">
            <v>0</v>
          </cell>
          <cell r="C3873" t="str">
            <v>4|2|340,4|1|50000,1|14003|1,1|14006|1</v>
          </cell>
          <cell r="D3873" t="str">
            <v>主线进度宝箱奖励282</v>
          </cell>
          <cell r="E3873" t="str">
            <v>4|2|340|1,4|1|50000|1,1|14003|1|1,1|14006|1|1</v>
          </cell>
        </row>
        <row r="3874">
          <cell r="A3874">
            <v>55283</v>
          </cell>
          <cell r="B3874">
            <v>0</v>
          </cell>
          <cell r="C3874" t="str">
            <v>4|2|285,4|1|30000,1|14003|1</v>
          </cell>
          <cell r="D3874" t="str">
            <v>主线进度宝箱奖励283</v>
          </cell>
          <cell r="E3874" t="str">
            <v>4|2|285|1,4|1|30000|1,1|14003|1|1</v>
          </cell>
        </row>
        <row r="3875">
          <cell r="A3875">
            <v>55284</v>
          </cell>
          <cell r="B3875">
            <v>0</v>
          </cell>
          <cell r="C3875" t="str">
            <v>4|2|315,4|1|40000,1|14003|1,1|14107|620</v>
          </cell>
          <cell r="D3875" t="str">
            <v>主线进度宝箱奖励284</v>
          </cell>
          <cell r="E3875" t="str">
            <v>4|2|315|1,4|1|40000|1,1|14003|1|1,1|14107|620|1</v>
          </cell>
        </row>
        <row r="3876">
          <cell r="A3876">
            <v>55285</v>
          </cell>
          <cell r="B3876">
            <v>0</v>
          </cell>
          <cell r="C3876" t="str">
            <v>4|2|345,4|1|50000,1|14003|1,1|14006|1</v>
          </cell>
          <cell r="D3876" t="str">
            <v>主线进度宝箱奖励285</v>
          </cell>
          <cell r="E3876" t="str">
            <v>4|2|345|1,4|1|50000|1,1|14003|1|1,1|14006|1|1</v>
          </cell>
        </row>
        <row r="3877">
          <cell r="A3877">
            <v>55286</v>
          </cell>
          <cell r="B3877">
            <v>0</v>
          </cell>
          <cell r="C3877" t="str">
            <v>4|2|285,4|1|30000,1|14003|1</v>
          </cell>
          <cell r="D3877" t="str">
            <v>主线进度宝箱奖励286</v>
          </cell>
          <cell r="E3877" t="str">
            <v>4|2|285|1,4|1|30000|1,1|14003|1|1</v>
          </cell>
        </row>
        <row r="3878">
          <cell r="A3878">
            <v>55287</v>
          </cell>
          <cell r="B3878">
            <v>0</v>
          </cell>
          <cell r="C3878" t="str">
            <v>4|2|315,4|1|40000,1|14003|1,1|14107|620</v>
          </cell>
          <cell r="D3878" t="str">
            <v>主线进度宝箱奖励287</v>
          </cell>
          <cell r="E3878" t="str">
            <v>4|2|315|1,4|1|40000|1,1|14003|1|1,1|14107|620|1</v>
          </cell>
        </row>
        <row r="3879">
          <cell r="A3879">
            <v>55288</v>
          </cell>
          <cell r="B3879">
            <v>0</v>
          </cell>
          <cell r="C3879" t="str">
            <v>4|2|345,4|1|50000,1|14003|1,1|14006|1</v>
          </cell>
          <cell r="D3879" t="str">
            <v>主线进度宝箱奖励288</v>
          </cell>
          <cell r="E3879" t="str">
            <v>4|2|345|1,4|1|50000|1,1|14003|1|1,1|14006|1|1</v>
          </cell>
        </row>
        <row r="3880">
          <cell r="A3880">
            <v>55289</v>
          </cell>
          <cell r="B3880">
            <v>0</v>
          </cell>
          <cell r="C3880" t="str">
            <v>4|2|290,4|1|30000,1|14003|1</v>
          </cell>
          <cell r="D3880" t="str">
            <v>主线进度宝箱奖励289</v>
          </cell>
          <cell r="E3880" t="str">
            <v>4|2|290|1,4|1|30000|1,1|14003|1|1</v>
          </cell>
        </row>
        <row r="3881">
          <cell r="A3881">
            <v>55290</v>
          </cell>
          <cell r="B3881">
            <v>0</v>
          </cell>
          <cell r="C3881" t="str">
            <v>4|2|320,4|1|40000,1|14003|1,1|14107|630</v>
          </cell>
          <cell r="D3881" t="str">
            <v>主线进度宝箱奖励290</v>
          </cell>
          <cell r="E3881" t="str">
            <v>4|2|320|1,4|1|40000|1,1|14003|1|1,1|14107|630|1</v>
          </cell>
        </row>
        <row r="3882">
          <cell r="A3882">
            <v>55291</v>
          </cell>
          <cell r="B3882">
            <v>0</v>
          </cell>
          <cell r="C3882" t="str">
            <v>4|2|350,4|1|50000,1|14003|1,1|14006|1</v>
          </cell>
          <cell r="D3882" t="str">
            <v>主线进度宝箱奖励291</v>
          </cell>
          <cell r="E3882" t="str">
            <v>4|2|350|1,4|1|50000|1,1|14003|1|1,1|14006|1|1</v>
          </cell>
        </row>
        <row r="3883">
          <cell r="A3883">
            <v>55292</v>
          </cell>
          <cell r="B3883">
            <v>0</v>
          </cell>
          <cell r="C3883" t="str">
            <v>4|2|290,4|1|30000,1|14003|1</v>
          </cell>
          <cell r="D3883" t="str">
            <v>主线进度宝箱奖励292</v>
          </cell>
          <cell r="E3883" t="str">
            <v>4|2|290|1,4|1|30000|1,1|14003|1|1</v>
          </cell>
        </row>
        <row r="3884">
          <cell r="A3884">
            <v>55293</v>
          </cell>
          <cell r="B3884">
            <v>0</v>
          </cell>
          <cell r="C3884" t="str">
            <v>4|2|320,4|1|40000,1|14003|1,1|14107|630</v>
          </cell>
          <cell r="D3884" t="str">
            <v>主线进度宝箱奖励293</v>
          </cell>
          <cell r="E3884" t="str">
            <v>4|2|320|1,4|1|40000|1,1|14003|1|1,1|14107|630|1</v>
          </cell>
        </row>
        <row r="3885">
          <cell r="A3885">
            <v>55294</v>
          </cell>
          <cell r="B3885">
            <v>0</v>
          </cell>
          <cell r="C3885" t="str">
            <v>4|2|350,4|1|50000,1|14003|1,1|14006|1</v>
          </cell>
          <cell r="D3885" t="str">
            <v>主线进度宝箱奖励294</v>
          </cell>
          <cell r="E3885" t="str">
            <v>4|2|350|1,4|1|50000|1,1|14003|1|1,1|14006|1|1</v>
          </cell>
        </row>
        <row r="3886">
          <cell r="A3886">
            <v>55295</v>
          </cell>
          <cell r="B3886">
            <v>0</v>
          </cell>
          <cell r="C3886" t="str">
            <v>4|2|295,4|1|30000,1|14003|1</v>
          </cell>
          <cell r="D3886" t="str">
            <v>主线进度宝箱奖励295</v>
          </cell>
          <cell r="E3886" t="str">
            <v>4|2|295|1,4|1|30000|1,1|14003|1|1</v>
          </cell>
        </row>
        <row r="3887">
          <cell r="A3887">
            <v>55296</v>
          </cell>
          <cell r="B3887">
            <v>0</v>
          </cell>
          <cell r="C3887" t="str">
            <v>4|2|325,4|1|40000,1|14003|1,1|14107|640</v>
          </cell>
          <cell r="D3887" t="str">
            <v>主线进度宝箱奖励296</v>
          </cell>
          <cell r="E3887" t="str">
            <v>4|2|325|1,4|1|40000|1,1|14003|1|1,1|14107|640|1</v>
          </cell>
        </row>
        <row r="3888">
          <cell r="A3888">
            <v>55297</v>
          </cell>
          <cell r="B3888">
            <v>0</v>
          </cell>
          <cell r="C3888" t="str">
            <v>4|2|355,4|1|50000,1|14003|1,1|14006|1</v>
          </cell>
          <cell r="D3888" t="str">
            <v>主线进度宝箱奖励297</v>
          </cell>
          <cell r="E3888" t="str">
            <v>4|2|355|1,4|1|50000|1,1|14003|1|1,1|14006|1|1</v>
          </cell>
        </row>
        <row r="3889">
          <cell r="A3889">
            <v>55298</v>
          </cell>
          <cell r="B3889">
            <v>0</v>
          </cell>
          <cell r="C3889" t="str">
            <v>4|2|295,4|1|30000,1|14003|1</v>
          </cell>
          <cell r="D3889" t="str">
            <v>主线进度宝箱奖励298</v>
          </cell>
          <cell r="E3889" t="str">
            <v>4|2|295|1,4|1|30000|1,1|14003|1|1</v>
          </cell>
        </row>
        <row r="3890">
          <cell r="A3890">
            <v>55299</v>
          </cell>
          <cell r="B3890">
            <v>0</v>
          </cell>
          <cell r="C3890" t="str">
            <v>4|2|325,4|1|40000,1|14003|1,1|14107|640</v>
          </cell>
          <cell r="D3890" t="str">
            <v>主线进度宝箱奖励299</v>
          </cell>
          <cell r="E3890" t="str">
            <v>4|2|325|1,4|1|40000|1,1|14003|1|1,1|14107|640|1</v>
          </cell>
        </row>
        <row r="3891">
          <cell r="A3891">
            <v>55300</v>
          </cell>
          <cell r="B3891">
            <v>0</v>
          </cell>
          <cell r="C3891" t="str">
            <v>4|2|355,4|1|50000,1|14003|1,1|14006|1</v>
          </cell>
          <cell r="D3891" t="str">
            <v>主线进度宝箱奖励300</v>
          </cell>
          <cell r="E3891" t="str">
            <v>4|2|355|1,4|1|50000|1,1|14003|1|1,1|14006|1|1</v>
          </cell>
        </row>
        <row r="3892">
          <cell r="A3892">
            <v>55301</v>
          </cell>
          <cell r="B3892">
            <v>0</v>
          </cell>
          <cell r="C3892" t="str">
            <v>4|2|300,4|1|30000,1|14003|1</v>
          </cell>
          <cell r="D3892" t="str">
            <v>主线进度宝箱奖励301</v>
          </cell>
          <cell r="E3892" t="str">
            <v>4|2|300|1,4|1|30000|1,1|14003|1|1</v>
          </cell>
        </row>
        <row r="3893">
          <cell r="A3893">
            <v>55302</v>
          </cell>
          <cell r="B3893">
            <v>0</v>
          </cell>
          <cell r="C3893" t="str">
            <v>4|2|330,4|1|40000,1|14003|1,1|14107|650</v>
          </cell>
          <cell r="D3893" t="str">
            <v>主线进度宝箱奖励302</v>
          </cell>
          <cell r="E3893" t="str">
            <v>4|2|330|1,4|1|40000|1,1|14003|1|1,1|14107|650|1</v>
          </cell>
        </row>
        <row r="3894">
          <cell r="A3894">
            <v>55303</v>
          </cell>
          <cell r="B3894">
            <v>0</v>
          </cell>
          <cell r="C3894" t="str">
            <v>4|2|360,4|1|50000,1|14003|1,1|14006|1</v>
          </cell>
          <cell r="D3894" t="str">
            <v>主线进度宝箱奖励303</v>
          </cell>
          <cell r="E3894" t="str">
            <v>4|2|360|1,4|1|50000|1,1|14003|1|1,1|14006|1|1</v>
          </cell>
        </row>
        <row r="3895">
          <cell r="A3895">
            <v>55304</v>
          </cell>
          <cell r="B3895">
            <v>0</v>
          </cell>
          <cell r="C3895" t="str">
            <v>4|2|300,4|1|30000,1|14003|1</v>
          </cell>
          <cell r="D3895" t="str">
            <v>主线进度宝箱奖励304</v>
          </cell>
          <cell r="E3895" t="str">
            <v>4|2|300|1,4|1|30000|1,1|14003|1|1</v>
          </cell>
        </row>
        <row r="3896">
          <cell r="A3896">
            <v>55305</v>
          </cell>
          <cell r="B3896">
            <v>0</v>
          </cell>
          <cell r="C3896" t="str">
            <v>4|2|330,4|1|40000,1|14003|1,1|14107|650</v>
          </cell>
          <cell r="D3896" t="str">
            <v>主线进度宝箱奖励305</v>
          </cell>
          <cell r="E3896" t="str">
            <v>4|2|330|1,4|1|40000|1,1|14003|1|1,1|14107|650|1</v>
          </cell>
        </row>
        <row r="3897">
          <cell r="A3897">
            <v>55306</v>
          </cell>
          <cell r="B3897">
            <v>0</v>
          </cell>
          <cell r="C3897" t="str">
            <v>4|2|360,4|1|50000,1|14003|1,1|14006|1</v>
          </cell>
          <cell r="D3897" t="str">
            <v>主线进度宝箱奖励306</v>
          </cell>
          <cell r="E3897" t="str">
            <v>4|2|360|1,4|1|50000|1,1|14003|1|1,1|14006|1|1</v>
          </cell>
        </row>
        <row r="3898">
          <cell r="A3898">
            <v>55307</v>
          </cell>
          <cell r="B3898">
            <v>0</v>
          </cell>
          <cell r="C3898" t="str">
            <v>4|2|305,4|1|30000,1|14003|1</v>
          </cell>
          <cell r="D3898" t="str">
            <v>主线进度宝箱奖励307</v>
          </cell>
          <cell r="E3898" t="str">
            <v>4|2|305|1,4|1|30000|1,1|14003|1|1</v>
          </cell>
        </row>
        <row r="3899">
          <cell r="A3899">
            <v>55308</v>
          </cell>
          <cell r="B3899">
            <v>0</v>
          </cell>
          <cell r="C3899" t="str">
            <v>4|2|335,4|1|40000,1|14003|1,1|14107|660</v>
          </cell>
          <cell r="D3899" t="str">
            <v>主线进度宝箱奖励308</v>
          </cell>
          <cell r="E3899" t="str">
            <v>4|2|335|1,4|1|40000|1,1|14003|1|1,1|14107|660|1</v>
          </cell>
        </row>
        <row r="3900">
          <cell r="A3900">
            <v>55309</v>
          </cell>
          <cell r="B3900">
            <v>0</v>
          </cell>
          <cell r="C3900" t="str">
            <v>4|2|365,4|1|50000,1|14003|1,1|14006|1</v>
          </cell>
          <cell r="D3900" t="str">
            <v>主线进度宝箱奖励309</v>
          </cell>
          <cell r="E3900" t="str">
            <v>4|2|365|1,4|1|50000|1,1|14003|1|1,1|14006|1|1</v>
          </cell>
        </row>
        <row r="3901">
          <cell r="A3901">
            <v>55310</v>
          </cell>
          <cell r="B3901">
            <v>0</v>
          </cell>
          <cell r="C3901" t="str">
            <v>4|2|305,4|1|30000,1|14003|1</v>
          </cell>
          <cell r="D3901" t="str">
            <v>主线进度宝箱奖励310</v>
          </cell>
          <cell r="E3901" t="str">
            <v>4|2|305|1,4|1|30000|1,1|14003|1|1</v>
          </cell>
        </row>
        <row r="3902">
          <cell r="A3902">
            <v>55311</v>
          </cell>
          <cell r="B3902">
            <v>0</v>
          </cell>
          <cell r="C3902" t="str">
            <v>4|2|335,4|1|40000,1|14003|1,1|14107|660</v>
          </cell>
          <cell r="D3902" t="str">
            <v>主线进度宝箱奖励311</v>
          </cell>
          <cell r="E3902" t="str">
            <v>4|2|335|1,4|1|40000|1,1|14003|1|1,1|14107|660|1</v>
          </cell>
        </row>
        <row r="3903">
          <cell r="A3903">
            <v>55312</v>
          </cell>
          <cell r="B3903">
            <v>0</v>
          </cell>
          <cell r="C3903" t="str">
            <v>4|2|365,4|1|50000,1|14003|1,1|14006|1</v>
          </cell>
          <cell r="D3903" t="str">
            <v>主线进度宝箱奖励312</v>
          </cell>
          <cell r="E3903" t="str">
            <v>4|2|365|1,4|1|50000|1,1|14003|1|1,1|14006|1|1</v>
          </cell>
        </row>
        <row r="3904">
          <cell r="A3904">
            <v>55313</v>
          </cell>
          <cell r="B3904">
            <v>0</v>
          </cell>
          <cell r="C3904" t="str">
            <v>4|2|310,4|1|30000,1|14003|1</v>
          </cell>
          <cell r="D3904" t="str">
            <v>主线进度宝箱奖励313</v>
          </cell>
          <cell r="E3904" t="str">
            <v>4|2|310|1,4|1|30000|1,1|14003|1|1</v>
          </cell>
        </row>
        <row r="3905">
          <cell r="A3905">
            <v>55314</v>
          </cell>
          <cell r="B3905">
            <v>0</v>
          </cell>
          <cell r="C3905" t="str">
            <v>4|2|340,4|1|40000,1|14003|1,1|14107|670</v>
          </cell>
          <cell r="D3905" t="str">
            <v>主线进度宝箱奖励314</v>
          </cell>
          <cell r="E3905" t="str">
            <v>4|2|340|1,4|1|40000|1,1|14003|1|1,1|14107|670|1</v>
          </cell>
        </row>
        <row r="3906">
          <cell r="A3906">
            <v>55315</v>
          </cell>
          <cell r="B3906">
            <v>0</v>
          </cell>
          <cell r="C3906" t="str">
            <v>4|2|370,4|1|50000,1|14003|1,1|14006|1</v>
          </cell>
          <cell r="D3906" t="str">
            <v>主线进度宝箱奖励315</v>
          </cell>
          <cell r="E3906" t="str">
            <v>4|2|370|1,4|1|50000|1,1|14003|1|1,1|14006|1|1</v>
          </cell>
        </row>
        <row r="3907">
          <cell r="A3907">
            <v>55316</v>
          </cell>
          <cell r="B3907">
            <v>0</v>
          </cell>
          <cell r="C3907" t="str">
            <v>4|2|310,4|1|30000,1|14003|1</v>
          </cell>
          <cell r="D3907" t="str">
            <v>主线进度宝箱奖励316</v>
          </cell>
          <cell r="E3907" t="str">
            <v>4|2|310|1,4|1|30000|1,1|14003|1|1</v>
          </cell>
        </row>
        <row r="3908">
          <cell r="A3908">
            <v>55317</v>
          </cell>
          <cell r="B3908">
            <v>0</v>
          </cell>
          <cell r="C3908" t="str">
            <v>4|2|340,4|1|40000,1|14003|1,1|14107|670</v>
          </cell>
          <cell r="D3908" t="str">
            <v>主线进度宝箱奖励317</v>
          </cell>
          <cell r="E3908" t="str">
            <v>4|2|340|1,4|1|40000|1,1|14003|1|1,1|14107|670|1</v>
          </cell>
        </row>
        <row r="3909">
          <cell r="A3909">
            <v>55318</v>
          </cell>
          <cell r="B3909">
            <v>0</v>
          </cell>
          <cell r="C3909" t="str">
            <v>4|2|370,4|1|50000,1|14003|1,1|14006|1</v>
          </cell>
          <cell r="D3909" t="str">
            <v>主线进度宝箱奖励318</v>
          </cell>
          <cell r="E3909" t="str">
            <v>4|2|370|1,4|1|50000|1,1|14003|1|1,1|14006|1|1</v>
          </cell>
        </row>
        <row r="3910">
          <cell r="A3910">
            <v>55319</v>
          </cell>
          <cell r="B3910">
            <v>0</v>
          </cell>
          <cell r="C3910" t="str">
            <v>4|2|315,4|1|30000,1|14003|1</v>
          </cell>
          <cell r="D3910" t="str">
            <v>主线进度宝箱奖励319</v>
          </cell>
          <cell r="E3910" t="str">
            <v>4|2|315|1,4|1|30000|1,1|14003|1|1</v>
          </cell>
        </row>
        <row r="3911">
          <cell r="A3911">
            <v>55320</v>
          </cell>
          <cell r="B3911">
            <v>0</v>
          </cell>
          <cell r="C3911" t="str">
            <v>4|2|345,4|1|40000,1|14003|1,1|14107|680</v>
          </cell>
          <cell r="D3911" t="str">
            <v>主线进度宝箱奖励320</v>
          </cell>
          <cell r="E3911" t="str">
            <v>4|2|345|1,4|1|40000|1,1|14003|1|1,1|14107|680|1</v>
          </cell>
        </row>
        <row r="3912">
          <cell r="A3912">
            <v>55321</v>
          </cell>
          <cell r="B3912">
            <v>0</v>
          </cell>
          <cell r="C3912" t="str">
            <v>4|2|375,4|1|50000,1|14003|1,1|14006|1</v>
          </cell>
          <cell r="D3912" t="str">
            <v>主线进度宝箱奖励321</v>
          </cell>
          <cell r="E3912" t="str">
            <v>4|2|375|1,4|1|50000|1,1|14003|1|1,1|14006|1|1</v>
          </cell>
        </row>
        <row r="3913">
          <cell r="A3913">
            <v>55322</v>
          </cell>
          <cell r="B3913">
            <v>0</v>
          </cell>
          <cell r="C3913" t="str">
            <v>4|2|315,4|1|30000,1|14003|1</v>
          </cell>
          <cell r="D3913" t="str">
            <v>主线进度宝箱奖励322</v>
          </cell>
          <cell r="E3913" t="str">
            <v>4|2|315|1,4|1|30000|1,1|14003|1|1</v>
          </cell>
        </row>
        <row r="3914">
          <cell r="A3914">
            <v>55323</v>
          </cell>
          <cell r="B3914">
            <v>0</v>
          </cell>
          <cell r="C3914" t="str">
            <v>4|2|345,4|1|40000,1|14003|1,1|14107|680</v>
          </cell>
          <cell r="D3914" t="str">
            <v>主线进度宝箱奖励323</v>
          </cell>
          <cell r="E3914" t="str">
            <v>4|2|345|1,4|1|40000|1,1|14003|1|1,1|14107|680|1</v>
          </cell>
        </row>
        <row r="3915">
          <cell r="A3915">
            <v>55324</v>
          </cell>
          <cell r="B3915">
            <v>0</v>
          </cell>
          <cell r="C3915" t="str">
            <v>4|2|375,4|1|50000,1|14003|1,1|14006|1</v>
          </cell>
          <cell r="D3915" t="str">
            <v>主线进度宝箱奖励324</v>
          </cell>
          <cell r="E3915" t="str">
            <v>4|2|375|1,4|1|50000|1,1|14003|1|1,1|14006|1|1</v>
          </cell>
        </row>
        <row r="3916">
          <cell r="A3916">
            <v>55325</v>
          </cell>
          <cell r="B3916">
            <v>0</v>
          </cell>
          <cell r="C3916" t="str">
            <v>4|2|320,4|1|30000,1|14003|1</v>
          </cell>
          <cell r="D3916" t="str">
            <v>主线进度宝箱奖励325</v>
          </cell>
          <cell r="E3916" t="str">
            <v>4|2|320|1,4|1|30000|1,1|14003|1|1</v>
          </cell>
        </row>
        <row r="3917">
          <cell r="A3917">
            <v>55326</v>
          </cell>
          <cell r="B3917">
            <v>0</v>
          </cell>
          <cell r="C3917" t="str">
            <v>4|2|350,4|1|40000,1|14003|1,1|14107|690</v>
          </cell>
          <cell r="D3917" t="str">
            <v>主线进度宝箱奖励326</v>
          </cell>
          <cell r="E3917" t="str">
            <v>4|2|350|1,4|1|40000|1,1|14003|1|1,1|14107|690|1</v>
          </cell>
        </row>
        <row r="3918">
          <cell r="A3918">
            <v>55327</v>
          </cell>
          <cell r="B3918">
            <v>0</v>
          </cell>
          <cell r="C3918" t="str">
            <v>4|2|380,4|1|50000,1|14003|1,1|14006|1</v>
          </cell>
          <cell r="D3918" t="str">
            <v>主线进度宝箱奖励327</v>
          </cell>
          <cell r="E3918" t="str">
            <v>4|2|380|1,4|1|50000|1,1|14003|1|1,1|14006|1|1</v>
          </cell>
        </row>
        <row r="3919">
          <cell r="A3919">
            <v>55328</v>
          </cell>
          <cell r="B3919">
            <v>0</v>
          </cell>
          <cell r="C3919" t="str">
            <v>4|2|320,4|1|30000,1|14003|1</v>
          </cell>
          <cell r="D3919" t="str">
            <v>主线进度宝箱奖励328</v>
          </cell>
          <cell r="E3919" t="str">
            <v>4|2|320|1,4|1|30000|1,1|14003|1|1</v>
          </cell>
        </row>
        <row r="3920">
          <cell r="A3920">
            <v>55329</v>
          </cell>
          <cell r="B3920">
            <v>0</v>
          </cell>
          <cell r="C3920" t="str">
            <v>4|2|350,4|1|40000,1|14003|1,1|14107|690</v>
          </cell>
          <cell r="D3920" t="str">
            <v>主线进度宝箱奖励329</v>
          </cell>
          <cell r="E3920" t="str">
            <v>4|2|350|1,4|1|40000|1,1|14003|1|1,1|14107|690|1</v>
          </cell>
        </row>
        <row r="3921">
          <cell r="A3921">
            <v>55330</v>
          </cell>
          <cell r="B3921">
            <v>0</v>
          </cell>
          <cell r="C3921" t="str">
            <v>4|2|380,4|1|50000,1|14003|1,1|14006|1</v>
          </cell>
          <cell r="D3921" t="str">
            <v>主线进度宝箱奖励330</v>
          </cell>
          <cell r="E3921" t="str">
            <v>4|2|380|1,4|1|50000|1,1|14003|1|1,1|14006|1|1</v>
          </cell>
        </row>
        <row r="3922">
          <cell r="A3922">
            <v>55331</v>
          </cell>
          <cell r="B3922">
            <v>0</v>
          </cell>
          <cell r="C3922" t="str">
            <v>4|2|325,4|1|30000,1|14003|1</v>
          </cell>
          <cell r="D3922" t="str">
            <v>主线进度宝箱奖励331</v>
          </cell>
          <cell r="E3922" t="str">
            <v>4|2|325|1,4|1|30000|1,1|14003|1|1</v>
          </cell>
        </row>
        <row r="3923">
          <cell r="A3923">
            <v>55332</v>
          </cell>
          <cell r="B3923">
            <v>0</v>
          </cell>
          <cell r="C3923" t="str">
            <v>4|2|355,4|1|40000,1|14003|1,1|14107|700</v>
          </cell>
          <cell r="D3923" t="str">
            <v>主线进度宝箱奖励332</v>
          </cell>
          <cell r="E3923" t="str">
            <v>4|2|355|1,4|1|40000|1,1|14003|1|1,1|14107|700|1</v>
          </cell>
        </row>
        <row r="3924">
          <cell r="A3924">
            <v>55333</v>
          </cell>
          <cell r="B3924">
            <v>0</v>
          </cell>
          <cell r="C3924" t="str">
            <v>4|2|385,4|1|50000,1|14003|1,1|14006|1</v>
          </cell>
          <cell r="D3924" t="str">
            <v>主线进度宝箱奖励333</v>
          </cell>
          <cell r="E3924" t="str">
            <v>4|2|385|1,4|1|50000|1,1|14003|1|1,1|14006|1|1</v>
          </cell>
        </row>
        <row r="3925">
          <cell r="A3925">
            <v>55334</v>
          </cell>
          <cell r="B3925">
            <v>0</v>
          </cell>
          <cell r="C3925" t="str">
            <v>4|2|325,4|1|30000,1|14003|1</v>
          </cell>
          <cell r="D3925" t="str">
            <v>主线进度宝箱奖励334</v>
          </cell>
          <cell r="E3925" t="str">
            <v>4|2|325|1,4|1|30000|1,1|14003|1|1</v>
          </cell>
        </row>
        <row r="3926">
          <cell r="A3926">
            <v>55335</v>
          </cell>
          <cell r="B3926">
            <v>0</v>
          </cell>
          <cell r="C3926" t="str">
            <v>4|2|355,4|1|40000,1|14003|1,1|14107|700</v>
          </cell>
          <cell r="D3926" t="str">
            <v>主线进度宝箱奖励335</v>
          </cell>
          <cell r="E3926" t="str">
            <v>4|2|355|1,4|1|40000|1,1|14003|1|1,1|14107|700|1</v>
          </cell>
        </row>
        <row r="3927">
          <cell r="A3927">
            <v>55336</v>
          </cell>
          <cell r="B3927">
            <v>0</v>
          </cell>
          <cell r="C3927" t="str">
            <v>4|2|385,4|1|50000,1|14003|1,1|14006|1</v>
          </cell>
          <cell r="D3927" t="str">
            <v>主线进度宝箱奖励336</v>
          </cell>
          <cell r="E3927" t="str">
            <v>4|2|385|1,4|1|50000|1,1|14003|1|1,1|14006|1|1</v>
          </cell>
        </row>
        <row r="3928">
          <cell r="A3928">
            <v>55337</v>
          </cell>
          <cell r="B3928">
            <v>0</v>
          </cell>
          <cell r="C3928" t="str">
            <v>4|2|330,4|1|30000,1|14003|1</v>
          </cell>
          <cell r="D3928" t="str">
            <v>主线进度宝箱奖励337</v>
          </cell>
          <cell r="E3928" t="str">
            <v>4|2|330|1,4|1|30000|1,1|14003|1|1</v>
          </cell>
        </row>
        <row r="3929">
          <cell r="A3929">
            <v>55338</v>
          </cell>
          <cell r="B3929">
            <v>0</v>
          </cell>
          <cell r="C3929" t="str">
            <v>4|2|360,4|1|40000,1|14003|1,1|14107|710</v>
          </cell>
          <cell r="D3929" t="str">
            <v>主线进度宝箱奖励338</v>
          </cell>
          <cell r="E3929" t="str">
            <v>4|2|360|1,4|1|40000|1,1|14003|1|1,1|14107|710|1</v>
          </cell>
        </row>
        <row r="3930">
          <cell r="A3930">
            <v>55339</v>
          </cell>
          <cell r="B3930">
            <v>0</v>
          </cell>
          <cell r="C3930" t="str">
            <v>4|2|390,4|1|50000,1|14003|1,1|14006|1</v>
          </cell>
          <cell r="D3930" t="str">
            <v>主线进度宝箱奖励339</v>
          </cell>
          <cell r="E3930" t="str">
            <v>4|2|390|1,4|1|50000|1,1|14003|1|1,1|14006|1|1</v>
          </cell>
        </row>
        <row r="3931">
          <cell r="A3931">
            <v>55340</v>
          </cell>
          <cell r="B3931">
            <v>0</v>
          </cell>
          <cell r="C3931" t="str">
            <v>4|2|330,4|1|30000,1|14003|1</v>
          </cell>
          <cell r="D3931" t="str">
            <v>主线进度宝箱奖励340</v>
          </cell>
          <cell r="E3931" t="str">
            <v>4|2|330|1,4|1|30000|1,1|14003|1|1</v>
          </cell>
        </row>
        <row r="3932">
          <cell r="A3932">
            <v>55341</v>
          </cell>
          <cell r="B3932">
            <v>0</v>
          </cell>
          <cell r="C3932" t="str">
            <v>4|2|360,4|1|40000,1|14003|1,1|14107|710</v>
          </cell>
          <cell r="D3932" t="str">
            <v>主线进度宝箱奖励341</v>
          </cell>
          <cell r="E3932" t="str">
            <v>4|2|360|1,4|1|40000|1,1|14003|1|1,1|14107|710|1</v>
          </cell>
        </row>
        <row r="3933">
          <cell r="A3933">
            <v>55342</v>
          </cell>
          <cell r="B3933">
            <v>0</v>
          </cell>
          <cell r="C3933" t="str">
            <v>4|2|390,4|1|50000,1|14003|1,1|14006|1</v>
          </cell>
          <cell r="D3933" t="str">
            <v>主线进度宝箱奖励342</v>
          </cell>
          <cell r="E3933" t="str">
            <v>4|2|390|1,4|1|50000|1,1|14003|1|1,1|14006|1|1</v>
          </cell>
        </row>
        <row r="3934">
          <cell r="A3934">
            <v>55343</v>
          </cell>
          <cell r="B3934">
            <v>0</v>
          </cell>
          <cell r="C3934" t="str">
            <v>4|2|335,4|1|30000,1|14003|1</v>
          </cell>
          <cell r="D3934" t="str">
            <v>主线进度宝箱奖励343</v>
          </cell>
          <cell r="E3934" t="str">
            <v>4|2|335|1,4|1|30000|1,1|14003|1|1</v>
          </cell>
        </row>
        <row r="3935">
          <cell r="A3935">
            <v>55344</v>
          </cell>
          <cell r="B3935">
            <v>0</v>
          </cell>
          <cell r="C3935" t="str">
            <v>4|2|365,4|1|40000,1|14003|1,1|14107|720</v>
          </cell>
          <cell r="D3935" t="str">
            <v>主线进度宝箱奖励344</v>
          </cell>
          <cell r="E3935" t="str">
            <v>4|2|365|1,4|1|40000|1,1|14003|1|1,1|14107|720|1</v>
          </cell>
        </row>
        <row r="3936">
          <cell r="A3936">
            <v>55345</v>
          </cell>
          <cell r="B3936">
            <v>0</v>
          </cell>
          <cell r="C3936" t="str">
            <v>4|2|395,4|1|50000,1|14003|1,1|14006|1</v>
          </cell>
          <cell r="D3936" t="str">
            <v>主线进度宝箱奖励345</v>
          </cell>
          <cell r="E3936" t="str">
            <v>4|2|395|1,4|1|50000|1,1|14003|1|1,1|14006|1|1</v>
          </cell>
        </row>
        <row r="3937">
          <cell r="A3937">
            <v>55346</v>
          </cell>
          <cell r="B3937">
            <v>0</v>
          </cell>
          <cell r="C3937" t="str">
            <v>4|2|335,4|1|30000,1|14003|1</v>
          </cell>
          <cell r="D3937" t="str">
            <v>主线进度宝箱奖励346</v>
          </cell>
          <cell r="E3937" t="str">
            <v>4|2|335|1,4|1|30000|1,1|14003|1|1</v>
          </cell>
        </row>
        <row r="3938">
          <cell r="A3938">
            <v>55347</v>
          </cell>
          <cell r="B3938">
            <v>0</v>
          </cell>
          <cell r="C3938" t="str">
            <v>4|2|365,4|1|40000,1|14003|1,1|14107|720</v>
          </cell>
          <cell r="D3938" t="str">
            <v>主线进度宝箱奖励347</v>
          </cell>
          <cell r="E3938" t="str">
            <v>4|2|365|1,4|1|40000|1,1|14003|1|1,1|14107|720|1</v>
          </cell>
        </row>
        <row r="3939">
          <cell r="A3939">
            <v>55348</v>
          </cell>
          <cell r="B3939">
            <v>0</v>
          </cell>
          <cell r="C3939" t="str">
            <v>4|2|395,4|1|50000,1|14003|1,1|14006|1</v>
          </cell>
          <cell r="D3939" t="str">
            <v>主线进度宝箱奖励348</v>
          </cell>
          <cell r="E3939" t="str">
            <v>4|2|395|1,4|1|50000|1,1|14003|1|1,1|14006|1|1</v>
          </cell>
        </row>
        <row r="3940">
          <cell r="A3940">
            <v>55349</v>
          </cell>
          <cell r="B3940">
            <v>0</v>
          </cell>
          <cell r="C3940" t="str">
            <v>4|2|340,4|1|30000,1|14003|1</v>
          </cell>
          <cell r="D3940" t="str">
            <v>主线进度宝箱奖励349</v>
          </cell>
          <cell r="E3940" t="str">
            <v>4|2|340|1,4|1|30000|1,1|14003|1|1</v>
          </cell>
        </row>
        <row r="3941">
          <cell r="A3941">
            <v>55350</v>
          </cell>
          <cell r="B3941">
            <v>0</v>
          </cell>
          <cell r="C3941" t="str">
            <v>4|2|370,4|1|40000,1|14003|1,1|14107|730</v>
          </cell>
          <cell r="D3941" t="str">
            <v>主线进度宝箱奖励350</v>
          </cell>
          <cell r="E3941" t="str">
            <v>4|2|370|1,4|1|40000|1,1|14003|1|1,1|14107|730|1</v>
          </cell>
        </row>
        <row r="3942">
          <cell r="A3942">
            <v>55351</v>
          </cell>
          <cell r="B3942">
            <v>0</v>
          </cell>
          <cell r="C3942" t="str">
            <v>4|2|400,4|1|50000,1|14003|1,1|14006|1</v>
          </cell>
          <cell r="D3942" t="str">
            <v>主线进度宝箱奖励351</v>
          </cell>
          <cell r="E3942" t="str">
            <v>4|2|400|1,4|1|50000|1,1|14003|1|1,1|14006|1|1</v>
          </cell>
        </row>
        <row r="3943">
          <cell r="A3943">
            <v>55352</v>
          </cell>
          <cell r="B3943">
            <v>0</v>
          </cell>
          <cell r="C3943" t="str">
            <v>4|2|340,4|1|30000,1|14003|1</v>
          </cell>
          <cell r="D3943" t="str">
            <v>主线进度宝箱奖励352</v>
          </cell>
          <cell r="E3943" t="str">
            <v>4|2|340|1,4|1|30000|1,1|14003|1|1</v>
          </cell>
        </row>
        <row r="3944">
          <cell r="A3944">
            <v>55353</v>
          </cell>
          <cell r="B3944">
            <v>0</v>
          </cell>
          <cell r="C3944" t="str">
            <v>4|2|370,4|1|40000,1|14003|1,1|14107|730</v>
          </cell>
          <cell r="D3944" t="str">
            <v>主线进度宝箱奖励353</v>
          </cell>
          <cell r="E3944" t="str">
            <v>4|2|370|1,4|1|40000|1,1|14003|1|1,1|14107|730|1</v>
          </cell>
        </row>
        <row r="3945">
          <cell r="A3945">
            <v>55354</v>
          </cell>
          <cell r="B3945">
            <v>0</v>
          </cell>
          <cell r="C3945" t="str">
            <v>4|2|400,4|1|50000,1|14003|1,1|14006|1</v>
          </cell>
          <cell r="D3945" t="str">
            <v>主线进度宝箱奖励354</v>
          </cell>
          <cell r="E3945" t="str">
            <v>4|2|400|1,4|1|50000|1,1|14003|1|1,1|14006|1|1</v>
          </cell>
        </row>
        <row r="3946">
          <cell r="A3946">
            <v>55355</v>
          </cell>
          <cell r="B3946">
            <v>0</v>
          </cell>
          <cell r="C3946" t="str">
            <v>4|2|345,4|1|30000,1|14003|1</v>
          </cell>
          <cell r="D3946" t="str">
            <v>主线进度宝箱奖励355</v>
          </cell>
          <cell r="E3946" t="str">
            <v>4|2|345|1,4|1|30000|1,1|14003|1|1</v>
          </cell>
        </row>
        <row r="3947">
          <cell r="A3947">
            <v>55356</v>
          </cell>
          <cell r="B3947">
            <v>0</v>
          </cell>
          <cell r="C3947" t="str">
            <v>4|2|375,4|1|40000,1|14003|1,1|14107|740</v>
          </cell>
          <cell r="D3947" t="str">
            <v>主线进度宝箱奖励356</v>
          </cell>
          <cell r="E3947" t="str">
            <v>4|2|375|1,4|1|40000|1,1|14003|1|1,1|14107|740|1</v>
          </cell>
        </row>
        <row r="3948">
          <cell r="A3948">
            <v>55357</v>
          </cell>
          <cell r="B3948">
            <v>0</v>
          </cell>
          <cell r="C3948" t="str">
            <v>4|2|405,4|1|50000,1|14003|1,1|14006|1</v>
          </cell>
          <cell r="D3948" t="str">
            <v>主线进度宝箱奖励357</v>
          </cell>
          <cell r="E3948" t="str">
            <v>4|2|405|1,4|1|50000|1,1|14003|1|1,1|14006|1|1</v>
          </cell>
        </row>
        <row r="3949">
          <cell r="A3949">
            <v>55358</v>
          </cell>
          <cell r="B3949">
            <v>0</v>
          </cell>
          <cell r="C3949" t="str">
            <v>4|2|345,4|1|30000,1|14003|1</v>
          </cell>
          <cell r="D3949" t="str">
            <v>主线进度宝箱奖励358</v>
          </cell>
          <cell r="E3949" t="str">
            <v>4|2|345|1,4|1|30000|1,1|14003|1|1</v>
          </cell>
        </row>
        <row r="3950">
          <cell r="A3950">
            <v>55359</v>
          </cell>
          <cell r="B3950">
            <v>0</v>
          </cell>
          <cell r="C3950" t="str">
            <v>4|2|375,4|1|40000,1|14003|1,1|14107|740</v>
          </cell>
          <cell r="D3950" t="str">
            <v>主线进度宝箱奖励359</v>
          </cell>
          <cell r="E3950" t="str">
            <v>4|2|375|1,4|1|40000|1,1|14003|1|1,1|14107|740|1</v>
          </cell>
        </row>
        <row r="3951">
          <cell r="A3951">
            <v>55360</v>
          </cell>
          <cell r="B3951">
            <v>0</v>
          </cell>
          <cell r="C3951" t="str">
            <v>4|2|405,4|1|50000,1|14003|1,1|14006|1</v>
          </cell>
          <cell r="D3951" t="str">
            <v>主线进度宝箱奖励360</v>
          </cell>
          <cell r="E3951" t="str">
            <v>4|2|405|1,4|1|50000|1,1|14003|1|1,1|14006|1|1</v>
          </cell>
        </row>
        <row r="3952">
          <cell r="A3952">
            <v>55361</v>
          </cell>
          <cell r="B3952">
            <v>0</v>
          </cell>
          <cell r="C3952" t="str">
            <v>4|2|350,4|1|30000,1|14003|1</v>
          </cell>
          <cell r="D3952" t="str">
            <v>主线进度宝箱奖励361</v>
          </cell>
          <cell r="E3952" t="str">
            <v>4|2|350|1,4|1|30000|1,1|14003|1|1</v>
          </cell>
        </row>
        <row r="3953">
          <cell r="A3953">
            <v>55362</v>
          </cell>
          <cell r="B3953">
            <v>0</v>
          </cell>
          <cell r="C3953" t="str">
            <v>4|2|380,4|1|40000,1|14003|1,1|14107|750</v>
          </cell>
          <cell r="D3953" t="str">
            <v>主线进度宝箱奖励362</v>
          </cell>
          <cell r="E3953" t="str">
            <v>4|2|380|1,4|1|40000|1,1|14003|1|1,1|14107|750|1</v>
          </cell>
        </row>
        <row r="3954">
          <cell r="A3954">
            <v>55363</v>
          </cell>
          <cell r="B3954">
            <v>0</v>
          </cell>
          <cell r="C3954" t="str">
            <v>4|2|410,4|1|50000,1|14003|1,1|14006|1</v>
          </cell>
          <cell r="D3954" t="str">
            <v>主线进度宝箱奖励363</v>
          </cell>
          <cell r="E3954" t="str">
            <v>4|2|410|1,4|1|50000|1,1|14003|1|1,1|14006|1|1</v>
          </cell>
        </row>
        <row r="3955">
          <cell r="A3955">
            <v>55364</v>
          </cell>
          <cell r="B3955">
            <v>0</v>
          </cell>
          <cell r="C3955" t="str">
            <v>4|2|350,4|1|30000,1|14003|1</v>
          </cell>
          <cell r="D3955" t="str">
            <v>主线进度宝箱奖励364</v>
          </cell>
          <cell r="E3955" t="str">
            <v>4|2|350|1,4|1|30000|1,1|14003|1|1</v>
          </cell>
        </row>
        <row r="3956">
          <cell r="A3956">
            <v>55365</v>
          </cell>
          <cell r="B3956">
            <v>0</v>
          </cell>
          <cell r="C3956" t="str">
            <v>4|2|380,4|1|40000,1|14003|1,1|14107|750</v>
          </cell>
          <cell r="D3956" t="str">
            <v>主线进度宝箱奖励365</v>
          </cell>
          <cell r="E3956" t="str">
            <v>4|2|380|1,4|1|40000|1,1|14003|1|1,1|14107|750|1</v>
          </cell>
        </row>
        <row r="3957">
          <cell r="A3957">
            <v>55366</v>
          </cell>
          <cell r="B3957">
            <v>0</v>
          </cell>
          <cell r="C3957" t="str">
            <v>4|2|410,4|1|50000,1|14003|1,1|14006|1</v>
          </cell>
          <cell r="D3957" t="str">
            <v>主线进度宝箱奖励366</v>
          </cell>
          <cell r="E3957" t="str">
            <v>4|2|410|1,4|1|50000|1,1|14003|1|1,1|14006|1|1</v>
          </cell>
        </row>
        <row r="3958">
          <cell r="A3958">
            <v>55367</v>
          </cell>
          <cell r="B3958">
            <v>0</v>
          </cell>
          <cell r="C3958" t="str">
            <v>4|2|355,4|1|30000,1|14003|1</v>
          </cell>
          <cell r="D3958" t="str">
            <v>主线进度宝箱奖励367</v>
          </cell>
          <cell r="E3958" t="str">
            <v>4|2|355|1,4|1|30000|1,1|14003|1|1</v>
          </cell>
        </row>
        <row r="3959">
          <cell r="A3959">
            <v>55368</v>
          </cell>
          <cell r="B3959">
            <v>0</v>
          </cell>
          <cell r="C3959" t="str">
            <v>4|2|385,4|1|40000,1|14003|1,1|14107|760</v>
          </cell>
          <cell r="D3959" t="str">
            <v>主线进度宝箱奖励368</v>
          </cell>
          <cell r="E3959" t="str">
            <v>4|2|385|1,4|1|40000|1,1|14003|1|1,1|14107|760|1</v>
          </cell>
        </row>
        <row r="3960">
          <cell r="A3960">
            <v>55369</v>
          </cell>
          <cell r="B3960">
            <v>0</v>
          </cell>
          <cell r="C3960" t="str">
            <v>4|2|415,4|1|50000,1|14003|1,1|14006|1</v>
          </cell>
          <cell r="D3960" t="str">
            <v>主线进度宝箱奖励369</v>
          </cell>
          <cell r="E3960" t="str">
            <v>4|2|415|1,4|1|50000|1,1|14003|1|1,1|14006|1|1</v>
          </cell>
        </row>
        <row r="3961">
          <cell r="A3961">
            <v>55370</v>
          </cell>
          <cell r="B3961">
            <v>0</v>
          </cell>
          <cell r="C3961" t="str">
            <v>4|2|355,4|1|30000,1|14003|1</v>
          </cell>
          <cell r="D3961" t="str">
            <v>主线进度宝箱奖励370</v>
          </cell>
          <cell r="E3961" t="str">
            <v>4|2|355|1,4|1|30000|1,1|14003|1|1</v>
          </cell>
        </row>
        <row r="3962">
          <cell r="A3962">
            <v>55371</v>
          </cell>
          <cell r="B3962">
            <v>0</v>
          </cell>
          <cell r="C3962" t="str">
            <v>4|2|385,4|1|40000,1|14003|1,1|14107|760</v>
          </cell>
          <cell r="D3962" t="str">
            <v>主线进度宝箱奖励371</v>
          </cell>
          <cell r="E3962" t="str">
            <v>4|2|385|1,4|1|40000|1,1|14003|1|1,1|14107|760|1</v>
          </cell>
        </row>
        <row r="3963">
          <cell r="A3963">
            <v>55372</v>
          </cell>
          <cell r="B3963">
            <v>0</v>
          </cell>
          <cell r="C3963" t="str">
            <v>4|2|415,4|1|50000,1|14003|1,1|14006|1</v>
          </cell>
          <cell r="D3963" t="str">
            <v>主线进度宝箱奖励372</v>
          </cell>
          <cell r="E3963" t="str">
            <v>4|2|415|1,4|1|50000|1,1|14003|1|1,1|14006|1|1</v>
          </cell>
        </row>
        <row r="3964">
          <cell r="A3964">
            <v>55373</v>
          </cell>
          <cell r="B3964">
            <v>0</v>
          </cell>
          <cell r="C3964" t="str">
            <v>4|2|360,4|1|30000,1|14003|1</v>
          </cell>
          <cell r="D3964" t="str">
            <v>主线进度宝箱奖励373</v>
          </cell>
          <cell r="E3964" t="str">
            <v>4|2|360|1,4|1|30000|1,1|14003|1|1</v>
          </cell>
        </row>
        <row r="3965">
          <cell r="A3965">
            <v>55374</v>
          </cell>
          <cell r="B3965">
            <v>0</v>
          </cell>
          <cell r="C3965" t="str">
            <v>4|2|390,4|1|40000,1|14003|1,1|14107|770</v>
          </cell>
          <cell r="D3965" t="str">
            <v>主线进度宝箱奖励374</v>
          </cell>
          <cell r="E3965" t="str">
            <v>4|2|390|1,4|1|40000|1,1|14003|1|1,1|14107|770|1</v>
          </cell>
        </row>
        <row r="3966">
          <cell r="A3966">
            <v>55375</v>
          </cell>
          <cell r="B3966">
            <v>0</v>
          </cell>
          <cell r="C3966" t="str">
            <v>4|2|420,4|1|50000,1|14003|1,1|14006|1</v>
          </cell>
          <cell r="D3966" t="str">
            <v>主线进度宝箱奖励375</v>
          </cell>
          <cell r="E3966" t="str">
            <v>4|2|420|1,4|1|50000|1,1|14003|1|1,1|14006|1|1</v>
          </cell>
        </row>
        <row r="3967">
          <cell r="A3967">
            <v>55376</v>
          </cell>
          <cell r="B3967">
            <v>0</v>
          </cell>
          <cell r="C3967" t="str">
            <v>4|2|360,4|1|30000,1|14003|1</v>
          </cell>
          <cell r="D3967" t="str">
            <v>主线进度宝箱奖励376</v>
          </cell>
          <cell r="E3967" t="str">
            <v>4|2|360|1,4|1|30000|1,1|14003|1|1</v>
          </cell>
        </row>
        <row r="3968">
          <cell r="A3968">
            <v>55377</v>
          </cell>
          <cell r="B3968">
            <v>0</v>
          </cell>
          <cell r="C3968" t="str">
            <v>4|2|390,4|1|40000,1|14003|1,1|14107|770</v>
          </cell>
          <cell r="D3968" t="str">
            <v>主线进度宝箱奖励377</v>
          </cell>
          <cell r="E3968" t="str">
            <v>4|2|390|1,4|1|40000|1,1|14003|1|1,1|14107|770|1</v>
          </cell>
        </row>
        <row r="3969">
          <cell r="A3969">
            <v>55378</v>
          </cell>
          <cell r="B3969">
            <v>0</v>
          </cell>
          <cell r="C3969" t="str">
            <v>4|2|420,4|1|50000,1|14003|1,1|14006|1</v>
          </cell>
          <cell r="D3969" t="str">
            <v>主线进度宝箱奖励378</v>
          </cell>
          <cell r="E3969" t="str">
            <v>4|2|420|1,4|1|50000|1,1|14003|1|1,1|14006|1|1</v>
          </cell>
        </row>
        <row r="3970">
          <cell r="A3970">
            <v>55379</v>
          </cell>
          <cell r="B3970">
            <v>0</v>
          </cell>
          <cell r="C3970" t="str">
            <v>4|2|365,4|1|30000,1|14003|1</v>
          </cell>
          <cell r="D3970" t="str">
            <v>主线进度宝箱奖励379</v>
          </cell>
          <cell r="E3970" t="str">
            <v>4|2|365|1,4|1|30000|1,1|14003|1|1</v>
          </cell>
        </row>
        <row r="3971">
          <cell r="A3971">
            <v>55380</v>
          </cell>
          <cell r="B3971">
            <v>0</v>
          </cell>
          <cell r="C3971" t="str">
            <v>4|2|395,4|1|40000,1|14003|1,1|14107|780</v>
          </cell>
          <cell r="D3971" t="str">
            <v>主线进度宝箱奖励380</v>
          </cell>
          <cell r="E3971" t="str">
            <v>4|2|395|1,4|1|40000|1,1|14003|1|1,1|14107|780|1</v>
          </cell>
        </row>
        <row r="3972">
          <cell r="A3972">
            <v>55381</v>
          </cell>
          <cell r="B3972">
            <v>0</v>
          </cell>
          <cell r="C3972" t="str">
            <v>4|2|425,4|1|50000,1|14003|1,1|14006|1</v>
          </cell>
          <cell r="D3972" t="str">
            <v>主线进度宝箱奖励381</v>
          </cell>
          <cell r="E3972" t="str">
            <v>4|2|425|1,4|1|50000|1,1|14003|1|1,1|14006|1|1</v>
          </cell>
        </row>
        <row r="3973">
          <cell r="A3973">
            <v>55382</v>
          </cell>
          <cell r="B3973">
            <v>0</v>
          </cell>
          <cell r="C3973" t="str">
            <v>4|2|365,4|1|30000,1|14003|1</v>
          </cell>
          <cell r="D3973" t="str">
            <v>主线进度宝箱奖励382</v>
          </cell>
          <cell r="E3973" t="str">
            <v>4|2|365|1,4|1|30000|1,1|14003|1|1</v>
          </cell>
        </row>
        <row r="3974">
          <cell r="A3974">
            <v>55383</v>
          </cell>
          <cell r="B3974">
            <v>0</v>
          </cell>
          <cell r="C3974" t="str">
            <v>4|2|395,4|1|40000,1|14003|1,1|14107|780</v>
          </cell>
          <cell r="D3974" t="str">
            <v>主线进度宝箱奖励383</v>
          </cell>
          <cell r="E3974" t="str">
            <v>4|2|395|1,4|1|40000|1,1|14003|1|1,1|14107|780|1</v>
          </cell>
        </row>
        <row r="3975">
          <cell r="A3975">
            <v>55384</v>
          </cell>
          <cell r="B3975">
            <v>0</v>
          </cell>
          <cell r="C3975" t="str">
            <v>4|2|425,4|1|50000,1|14003|1,1|14006|1</v>
          </cell>
          <cell r="D3975" t="str">
            <v>主线进度宝箱奖励384</v>
          </cell>
          <cell r="E3975" t="str">
            <v>4|2|425|1,4|1|50000|1,1|14003|1|1,1|14006|1|1</v>
          </cell>
        </row>
        <row r="3976">
          <cell r="A3976">
            <v>55385</v>
          </cell>
          <cell r="B3976">
            <v>0</v>
          </cell>
          <cell r="C3976" t="str">
            <v>4|2|370,4|1|30000,1|14003|1</v>
          </cell>
          <cell r="D3976" t="str">
            <v>主线进度宝箱奖励385</v>
          </cell>
          <cell r="E3976" t="str">
            <v>4|2|370|1,4|1|30000|1,1|14003|1|1</v>
          </cell>
        </row>
        <row r="3977">
          <cell r="A3977">
            <v>55386</v>
          </cell>
          <cell r="B3977">
            <v>0</v>
          </cell>
          <cell r="C3977" t="str">
            <v>4|2|400,4|1|40000,1|14003|1,1|14107|790</v>
          </cell>
          <cell r="D3977" t="str">
            <v>主线进度宝箱奖励386</v>
          </cell>
          <cell r="E3977" t="str">
            <v>4|2|400|1,4|1|40000|1,1|14003|1|1,1|14107|790|1</v>
          </cell>
        </row>
        <row r="3978">
          <cell r="A3978">
            <v>55387</v>
          </cell>
          <cell r="B3978">
            <v>0</v>
          </cell>
          <cell r="C3978" t="str">
            <v>4|2|430,4|1|50000,1|14003|1,1|14006|1</v>
          </cell>
          <cell r="D3978" t="str">
            <v>主线进度宝箱奖励387</v>
          </cell>
          <cell r="E3978" t="str">
            <v>4|2|430|1,4|1|50000|1,1|14003|1|1,1|14006|1|1</v>
          </cell>
        </row>
        <row r="3979">
          <cell r="A3979">
            <v>55388</v>
          </cell>
          <cell r="B3979">
            <v>0</v>
          </cell>
          <cell r="C3979" t="str">
            <v>4|2|370,4|1|30000,1|14003|1</v>
          </cell>
          <cell r="D3979" t="str">
            <v>主线进度宝箱奖励388</v>
          </cell>
          <cell r="E3979" t="str">
            <v>4|2|370|1,4|1|30000|1,1|14003|1|1</v>
          </cell>
        </row>
        <row r="3980">
          <cell r="A3980">
            <v>55389</v>
          </cell>
          <cell r="B3980">
            <v>0</v>
          </cell>
          <cell r="C3980" t="str">
            <v>4|2|400,4|1|40000,1|14003|1,1|14107|790</v>
          </cell>
          <cell r="D3980" t="str">
            <v>主线进度宝箱奖励389</v>
          </cell>
          <cell r="E3980" t="str">
            <v>4|2|400|1,4|1|40000|1,1|14003|1|1,1|14107|790|1</v>
          </cell>
        </row>
        <row r="3981">
          <cell r="A3981">
            <v>55390</v>
          </cell>
          <cell r="B3981">
            <v>0</v>
          </cell>
          <cell r="C3981" t="str">
            <v>4|2|430,4|1|50000,1|14003|1,1|14006|1</v>
          </cell>
          <cell r="D3981" t="str">
            <v>主线进度宝箱奖励390</v>
          </cell>
          <cell r="E3981" t="str">
            <v>4|2|430|1,4|1|50000|1,1|14003|1|1,1|14006|1|1</v>
          </cell>
        </row>
        <row r="3982">
          <cell r="A3982">
            <v>55391</v>
          </cell>
          <cell r="B3982">
            <v>0</v>
          </cell>
          <cell r="C3982" t="str">
            <v>4|2|375,4|1|30000,1|14003|1</v>
          </cell>
          <cell r="D3982" t="str">
            <v>主线进度宝箱奖励391</v>
          </cell>
          <cell r="E3982" t="str">
            <v>4|2|375|1,4|1|30000|1,1|14003|1|1</v>
          </cell>
        </row>
        <row r="3983">
          <cell r="A3983">
            <v>55392</v>
          </cell>
          <cell r="B3983">
            <v>0</v>
          </cell>
          <cell r="C3983" t="str">
            <v>4|2|405,4|1|40000,1|14003|1,1|14107|800</v>
          </cell>
          <cell r="D3983" t="str">
            <v>主线进度宝箱奖励392</v>
          </cell>
          <cell r="E3983" t="str">
            <v>4|2|405|1,4|1|40000|1,1|14003|1|1,1|14107|800|1</v>
          </cell>
        </row>
        <row r="3984">
          <cell r="A3984">
            <v>55393</v>
          </cell>
          <cell r="B3984">
            <v>0</v>
          </cell>
          <cell r="C3984" t="str">
            <v>4|2|435,4|1|50000,1|14003|1,1|14006|1</v>
          </cell>
          <cell r="D3984" t="str">
            <v>主线进度宝箱奖励393</v>
          </cell>
          <cell r="E3984" t="str">
            <v>4|2|435|1,4|1|50000|1,1|14003|1|1,1|14006|1|1</v>
          </cell>
        </row>
        <row r="3985">
          <cell r="A3985">
            <v>55394</v>
          </cell>
          <cell r="B3985">
            <v>0</v>
          </cell>
          <cell r="C3985" t="str">
            <v>4|2|375,4|1|30000,1|14003|1</v>
          </cell>
          <cell r="D3985" t="str">
            <v>主线进度宝箱奖励394</v>
          </cell>
          <cell r="E3985" t="str">
            <v>4|2|375|1,4|1|30000|1,1|14003|1|1</v>
          </cell>
        </row>
        <row r="3986">
          <cell r="A3986">
            <v>55395</v>
          </cell>
          <cell r="B3986">
            <v>0</v>
          </cell>
          <cell r="C3986" t="str">
            <v>4|2|405,4|1|40000,1|14003|1,1|14107|800</v>
          </cell>
          <cell r="D3986" t="str">
            <v>主线进度宝箱奖励395</v>
          </cell>
          <cell r="E3986" t="str">
            <v>4|2|405|1,4|1|40000|1,1|14003|1|1,1|14107|800|1</v>
          </cell>
        </row>
        <row r="3987">
          <cell r="A3987">
            <v>55396</v>
          </cell>
          <cell r="B3987">
            <v>0</v>
          </cell>
          <cell r="C3987" t="str">
            <v>4|2|435,4|1|50000,1|14003|1,1|14006|1</v>
          </cell>
          <cell r="D3987" t="str">
            <v>主线进度宝箱奖励396</v>
          </cell>
          <cell r="E3987" t="str">
            <v>4|2|435|1,4|1|50000|1,1|14003|1|1,1|14006|1|1</v>
          </cell>
        </row>
        <row r="3988">
          <cell r="A3988">
            <v>56001</v>
          </cell>
          <cell r="B3988">
            <v>0</v>
          </cell>
          <cell r="C3988" t="str">
            <v>[]</v>
          </cell>
          <cell r="D3988" t="str">
            <v>全服BOSS奖励-1级</v>
          </cell>
          <cell r="E3988" t="str">
            <v>1|13001|1|1</v>
          </cell>
        </row>
        <row r="3989">
          <cell r="A3989">
            <v>56002</v>
          </cell>
          <cell r="B3989">
            <v>0</v>
          </cell>
          <cell r="C3989" t="str">
            <v>[]</v>
          </cell>
          <cell r="D3989" t="str">
            <v>全服BOSS奖励-2级</v>
          </cell>
          <cell r="E3989" t="str">
            <v>1|13001|1|1</v>
          </cell>
        </row>
        <row r="3990">
          <cell r="A3990">
            <v>56003</v>
          </cell>
          <cell r="B3990">
            <v>0</v>
          </cell>
          <cell r="C3990" t="str">
            <v>[]</v>
          </cell>
          <cell r="D3990" t="str">
            <v>全服BOSS奖励-3级</v>
          </cell>
          <cell r="E3990" t="str">
            <v>1|13001|1|1</v>
          </cell>
        </row>
        <row r="3991">
          <cell r="A3991">
            <v>56004</v>
          </cell>
          <cell r="B3991">
            <v>0</v>
          </cell>
          <cell r="C3991" t="str">
            <v>[]</v>
          </cell>
          <cell r="D3991" t="str">
            <v>全服BOSS奖励-4级</v>
          </cell>
          <cell r="E3991" t="str">
            <v>1|13001|1|1</v>
          </cell>
        </row>
        <row r="3992">
          <cell r="A3992">
            <v>56005</v>
          </cell>
          <cell r="B3992">
            <v>0</v>
          </cell>
          <cell r="C3992" t="str">
            <v>[]</v>
          </cell>
          <cell r="D3992" t="str">
            <v>全服BOSS奖励-5级</v>
          </cell>
          <cell r="E3992" t="str">
            <v>1|13001|1|1</v>
          </cell>
        </row>
        <row r="3993">
          <cell r="A3993">
            <v>56006</v>
          </cell>
          <cell r="B3993">
            <v>0</v>
          </cell>
          <cell r="C3993" t="str">
            <v>[]</v>
          </cell>
          <cell r="D3993" t="str">
            <v>全服BOSS奖励-6级</v>
          </cell>
          <cell r="E3993" t="str">
            <v>1|13001|1|1</v>
          </cell>
        </row>
        <row r="3994">
          <cell r="A3994">
            <v>56007</v>
          </cell>
          <cell r="B3994">
            <v>0</v>
          </cell>
          <cell r="C3994" t="str">
            <v>[]</v>
          </cell>
          <cell r="D3994" t="str">
            <v>全服BOSS奖励-7级</v>
          </cell>
          <cell r="E3994" t="str">
            <v>1|13001|1|1</v>
          </cell>
        </row>
        <row r="3995">
          <cell r="A3995">
            <v>56008</v>
          </cell>
          <cell r="B3995">
            <v>0</v>
          </cell>
          <cell r="C3995" t="str">
            <v>[]</v>
          </cell>
          <cell r="D3995" t="str">
            <v>全服BOSS奖励-8级</v>
          </cell>
          <cell r="E3995" t="str">
            <v>1|13001|1|1</v>
          </cell>
        </row>
        <row r="3996">
          <cell r="A3996">
            <v>56009</v>
          </cell>
          <cell r="B3996">
            <v>0</v>
          </cell>
          <cell r="C3996" t="str">
            <v>[]</v>
          </cell>
          <cell r="D3996" t="str">
            <v>全服BOSS奖励-9级</v>
          </cell>
          <cell r="E3996" t="str">
            <v>1|13001|1|1</v>
          </cell>
        </row>
        <row r="3997">
          <cell r="A3997">
            <v>56010</v>
          </cell>
          <cell r="B3997">
            <v>0</v>
          </cell>
          <cell r="C3997" t="str">
            <v>[]</v>
          </cell>
          <cell r="D3997" t="str">
            <v>全服BOSS奖励-10级</v>
          </cell>
          <cell r="E3997" t="str">
            <v>1|13001|1|1</v>
          </cell>
        </row>
        <row r="3998">
          <cell r="A3998">
            <v>56011</v>
          </cell>
          <cell r="B3998">
            <v>0</v>
          </cell>
          <cell r="C3998" t="str">
            <v>[]</v>
          </cell>
          <cell r="D3998" t="str">
            <v>全服BOSS奖励-11级</v>
          </cell>
          <cell r="E3998" t="str">
            <v>1|13001|1|1</v>
          </cell>
        </row>
        <row r="3999">
          <cell r="A3999">
            <v>56012</v>
          </cell>
          <cell r="B3999">
            <v>0</v>
          </cell>
          <cell r="C3999" t="str">
            <v>[]</v>
          </cell>
          <cell r="D3999" t="str">
            <v>全服BOSS奖励-12级</v>
          </cell>
          <cell r="E3999" t="str">
            <v>1|13001|1|1</v>
          </cell>
        </row>
        <row r="4000">
          <cell r="A4000">
            <v>56013</v>
          </cell>
          <cell r="B4000">
            <v>0</v>
          </cell>
          <cell r="C4000" t="str">
            <v>[]</v>
          </cell>
          <cell r="D4000" t="str">
            <v>全服BOSS奖励-13级</v>
          </cell>
          <cell r="E4000" t="str">
            <v>1|13001|1|1</v>
          </cell>
        </row>
        <row r="4001">
          <cell r="A4001">
            <v>56014</v>
          </cell>
          <cell r="B4001">
            <v>0</v>
          </cell>
          <cell r="C4001" t="str">
            <v>[]</v>
          </cell>
          <cell r="D4001" t="str">
            <v>全服BOSS奖励-14级</v>
          </cell>
          <cell r="E4001" t="str">
            <v>1|13001|1|1</v>
          </cell>
        </row>
        <row r="4002">
          <cell r="A4002">
            <v>56015</v>
          </cell>
          <cell r="B4002">
            <v>0</v>
          </cell>
          <cell r="C4002" t="str">
            <v>[]</v>
          </cell>
          <cell r="D4002" t="str">
            <v>全服BOSS奖励-15级</v>
          </cell>
          <cell r="E4002" t="str">
            <v>1|13001|1|1</v>
          </cell>
        </row>
        <row r="4003">
          <cell r="A4003">
            <v>56016</v>
          </cell>
          <cell r="B4003">
            <v>0</v>
          </cell>
          <cell r="C4003" t="str">
            <v>[]</v>
          </cell>
          <cell r="D4003" t="str">
            <v>全服BOSS奖励-16级</v>
          </cell>
          <cell r="E4003" t="str">
            <v>1|13001|1|1</v>
          </cell>
        </row>
        <row r="4004">
          <cell r="A4004">
            <v>56017</v>
          </cell>
          <cell r="B4004">
            <v>0</v>
          </cell>
          <cell r="C4004" t="str">
            <v>[]</v>
          </cell>
          <cell r="D4004" t="str">
            <v>全服BOSS奖励-17级</v>
          </cell>
          <cell r="E4004" t="str">
            <v>1|13001|1|1</v>
          </cell>
        </row>
        <row r="4005">
          <cell r="A4005">
            <v>56018</v>
          </cell>
          <cell r="B4005">
            <v>0</v>
          </cell>
          <cell r="C4005" t="str">
            <v>[]</v>
          </cell>
          <cell r="D4005" t="str">
            <v>全服BOSS奖励-18级</v>
          </cell>
          <cell r="E4005" t="str">
            <v>1|13001|1|1</v>
          </cell>
        </row>
        <row r="4006">
          <cell r="A4006">
            <v>56019</v>
          </cell>
          <cell r="B4006">
            <v>0</v>
          </cell>
          <cell r="C4006" t="str">
            <v>[]</v>
          </cell>
          <cell r="D4006" t="str">
            <v>全服BOSS奖励-19级</v>
          </cell>
          <cell r="E4006" t="str">
            <v>1|13001|1|1</v>
          </cell>
        </row>
        <row r="4007">
          <cell r="A4007">
            <v>56020</v>
          </cell>
          <cell r="B4007">
            <v>0</v>
          </cell>
          <cell r="C4007" t="str">
            <v>[]</v>
          </cell>
          <cell r="D4007" t="str">
            <v>全服BOSS奖励-20级</v>
          </cell>
          <cell r="E4007" t="str">
            <v>1|13001|1|1</v>
          </cell>
        </row>
        <row r="4008">
          <cell r="A4008">
            <v>56021</v>
          </cell>
          <cell r="B4008">
            <v>0</v>
          </cell>
          <cell r="C4008" t="str">
            <v>[]</v>
          </cell>
          <cell r="D4008" t="str">
            <v>全服BOSS奖励-21级</v>
          </cell>
          <cell r="E4008" t="str">
            <v>1|13001|1|1</v>
          </cell>
        </row>
        <row r="4009">
          <cell r="A4009">
            <v>56022</v>
          </cell>
          <cell r="B4009">
            <v>0</v>
          </cell>
          <cell r="C4009" t="str">
            <v>[]</v>
          </cell>
          <cell r="D4009" t="str">
            <v>全服BOSS奖励-22级</v>
          </cell>
          <cell r="E4009" t="str">
            <v>1|13001|1|1</v>
          </cell>
        </row>
        <row r="4010">
          <cell r="A4010">
            <v>56023</v>
          </cell>
          <cell r="B4010">
            <v>0</v>
          </cell>
          <cell r="C4010" t="str">
            <v>[]</v>
          </cell>
          <cell r="D4010" t="str">
            <v>全服BOSS奖励-23级</v>
          </cell>
          <cell r="E4010" t="str">
            <v>1|13001|1|1</v>
          </cell>
        </row>
        <row r="4011">
          <cell r="A4011">
            <v>56024</v>
          </cell>
          <cell r="B4011">
            <v>0</v>
          </cell>
          <cell r="C4011" t="str">
            <v>[]</v>
          </cell>
          <cell r="D4011" t="str">
            <v>全服BOSS奖励-24级</v>
          </cell>
          <cell r="E4011" t="str">
            <v>1|13001|1|1</v>
          </cell>
        </row>
        <row r="4012">
          <cell r="A4012">
            <v>56025</v>
          </cell>
          <cell r="B4012">
            <v>0</v>
          </cell>
          <cell r="C4012" t="str">
            <v>[]</v>
          </cell>
          <cell r="D4012" t="str">
            <v>全服BOSS奖励-25级</v>
          </cell>
          <cell r="E4012" t="str">
            <v>1|13001|1|1</v>
          </cell>
        </row>
        <row r="4013">
          <cell r="A4013">
            <v>56026</v>
          </cell>
          <cell r="B4013">
            <v>0</v>
          </cell>
          <cell r="C4013" t="str">
            <v>[]</v>
          </cell>
          <cell r="D4013" t="str">
            <v>全服BOSS奖励-26级</v>
          </cell>
          <cell r="E4013" t="str">
            <v>1|13001|1|1</v>
          </cell>
        </row>
        <row r="4014">
          <cell r="A4014">
            <v>56027</v>
          </cell>
          <cell r="B4014">
            <v>0</v>
          </cell>
          <cell r="C4014" t="str">
            <v>[]</v>
          </cell>
          <cell r="D4014" t="str">
            <v>全服BOSS奖励-27级</v>
          </cell>
          <cell r="E4014" t="str">
            <v>1|13001|1|1</v>
          </cell>
        </row>
        <row r="4015">
          <cell r="A4015">
            <v>56028</v>
          </cell>
          <cell r="B4015">
            <v>0</v>
          </cell>
          <cell r="C4015" t="str">
            <v>[]</v>
          </cell>
          <cell r="D4015" t="str">
            <v>全服BOSS奖励-28级</v>
          </cell>
          <cell r="E4015" t="str">
            <v>1|13001|1|1</v>
          </cell>
        </row>
        <row r="4016">
          <cell r="A4016">
            <v>56029</v>
          </cell>
          <cell r="B4016">
            <v>0</v>
          </cell>
          <cell r="C4016" t="str">
            <v>[]</v>
          </cell>
          <cell r="D4016" t="str">
            <v>全服BOSS奖励-29级</v>
          </cell>
          <cell r="E4016" t="str">
            <v>1|13001|1|1</v>
          </cell>
        </row>
        <row r="4017">
          <cell r="A4017">
            <v>56030</v>
          </cell>
          <cell r="B4017">
            <v>0</v>
          </cell>
          <cell r="C4017" t="str">
            <v>[]</v>
          </cell>
          <cell r="D4017" t="str">
            <v>全服BOSS奖励-30级</v>
          </cell>
          <cell r="E4017" t="str">
            <v>1|13001|1|1</v>
          </cell>
        </row>
        <row r="4018">
          <cell r="A4018">
            <v>56031</v>
          </cell>
          <cell r="B4018">
            <v>0</v>
          </cell>
          <cell r="C4018" t="str">
            <v>[]</v>
          </cell>
          <cell r="D4018" t="str">
            <v>全服BOSS奖励-31级</v>
          </cell>
          <cell r="E4018" t="str">
            <v>1|13001|1|1</v>
          </cell>
        </row>
        <row r="4019">
          <cell r="A4019">
            <v>56032</v>
          </cell>
          <cell r="B4019">
            <v>0</v>
          </cell>
          <cell r="C4019" t="str">
            <v>[]</v>
          </cell>
          <cell r="D4019" t="str">
            <v>全服BOSS奖励-32级</v>
          </cell>
          <cell r="E4019" t="str">
            <v>1|13001|1|1</v>
          </cell>
        </row>
        <row r="4020">
          <cell r="A4020">
            <v>56033</v>
          </cell>
          <cell r="B4020">
            <v>0</v>
          </cell>
          <cell r="C4020" t="str">
            <v>[]</v>
          </cell>
          <cell r="D4020" t="str">
            <v>全服BOSS奖励-33级</v>
          </cell>
          <cell r="E4020" t="str">
            <v>1|13001|1|1</v>
          </cell>
        </row>
        <row r="4021">
          <cell r="A4021">
            <v>56034</v>
          </cell>
          <cell r="B4021">
            <v>0</v>
          </cell>
          <cell r="C4021" t="str">
            <v>[]</v>
          </cell>
          <cell r="D4021" t="str">
            <v>全服BOSS奖励-34级</v>
          </cell>
          <cell r="E4021" t="str">
            <v>1|13001|1|1</v>
          </cell>
        </row>
        <row r="4022">
          <cell r="A4022">
            <v>56035</v>
          </cell>
          <cell r="B4022">
            <v>0</v>
          </cell>
          <cell r="C4022" t="str">
            <v>[]</v>
          </cell>
          <cell r="D4022" t="str">
            <v>全服BOSS奖励-35级</v>
          </cell>
          <cell r="E4022" t="str">
            <v>1|13001|1|1</v>
          </cell>
        </row>
        <row r="4023">
          <cell r="A4023">
            <v>56036</v>
          </cell>
          <cell r="B4023">
            <v>0</v>
          </cell>
          <cell r="C4023" t="str">
            <v>[]</v>
          </cell>
          <cell r="D4023" t="str">
            <v>全服BOSS奖励-36级</v>
          </cell>
          <cell r="E4023" t="str">
            <v>1|13001|1|1</v>
          </cell>
        </row>
        <row r="4024">
          <cell r="A4024">
            <v>56037</v>
          </cell>
          <cell r="B4024">
            <v>0</v>
          </cell>
          <cell r="C4024" t="str">
            <v>[]</v>
          </cell>
          <cell r="D4024" t="str">
            <v>全服BOSS奖励-37级</v>
          </cell>
          <cell r="E4024" t="str">
            <v>1|13001|1|1</v>
          </cell>
        </row>
        <row r="4025">
          <cell r="A4025">
            <v>56038</v>
          </cell>
          <cell r="B4025">
            <v>0</v>
          </cell>
          <cell r="C4025" t="str">
            <v>[]</v>
          </cell>
          <cell r="D4025" t="str">
            <v>全服BOSS奖励-38级</v>
          </cell>
          <cell r="E4025" t="str">
            <v>1|13001|1|1</v>
          </cell>
        </row>
        <row r="4026">
          <cell r="A4026">
            <v>56039</v>
          </cell>
          <cell r="B4026">
            <v>0</v>
          </cell>
          <cell r="C4026" t="str">
            <v>[]</v>
          </cell>
          <cell r="D4026" t="str">
            <v>全服BOSS奖励-39级</v>
          </cell>
          <cell r="E4026" t="str">
            <v>1|13001|1|1</v>
          </cell>
        </row>
        <row r="4027">
          <cell r="A4027">
            <v>56040</v>
          </cell>
          <cell r="B4027">
            <v>0</v>
          </cell>
          <cell r="C4027" t="str">
            <v>[]</v>
          </cell>
          <cell r="D4027" t="str">
            <v>全服BOSS奖励-40级</v>
          </cell>
          <cell r="E4027" t="str">
            <v>1|13001|1|1</v>
          </cell>
        </row>
        <row r="4028">
          <cell r="A4028">
            <v>56041</v>
          </cell>
          <cell r="B4028">
            <v>0</v>
          </cell>
          <cell r="C4028" t="str">
            <v>[]</v>
          </cell>
          <cell r="D4028" t="str">
            <v>全服BOSS奖励-41级</v>
          </cell>
          <cell r="E4028" t="str">
            <v>1|13001|1|1</v>
          </cell>
        </row>
        <row r="4029">
          <cell r="A4029">
            <v>56042</v>
          </cell>
          <cell r="B4029">
            <v>0</v>
          </cell>
          <cell r="C4029" t="str">
            <v>[]</v>
          </cell>
          <cell r="D4029" t="str">
            <v>全服BOSS奖励-42级</v>
          </cell>
          <cell r="E4029" t="str">
            <v>1|13001|1|1</v>
          </cell>
        </row>
        <row r="4030">
          <cell r="A4030">
            <v>56043</v>
          </cell>
          <cell r="B4030">
            <v>0</v>
          </cell>
          <cell r="C4030" t="str">
            <v>[]</v>
          </cell>
          <cell r="D4030" t="str">
            <v>全服BOSS奖励-43级</v>
          </cell>
          <cell r="E4030" t="str">
            <v>1|13001|1|1</v>
          </cell>
        </row>
        <row r="4031">
          <cell r="A4031">
            <v>56044</v>
          </cell>
          <cell r="B4031">
            <v>0</v>
          </cell>
          <cell r="C4031" t="str">
            <v>[]</v>
          </cell>
          <cell r="D4031" t="str">
            <v>全服BOSS奖励-44级</v>
          </cell>
          <cell r="E4031" t="str">
            <v>1|13001|1|1</v>
          </cell>
        </row>
        <row r="4032">
          <cell r="A4032">
            <v>56045</v>
          </cell>
          <cell r="B4032">
            <v>0</v>
          </cell>
          <cell r="C4032" t="str">
            <v>[]</v>
          </cell>
          <cell r="D4032" t="str">
            <v>全服BOSS奖励-45级</v>
          </cell>
          <cell r="E4032" t="str">
            <v>1|13001|1|1</v>
          </cell>
        </row>
        <row r="4033">
          <cell r="A4033">
            <v>56046</v>
          </cell>
          <cell r="B4033">
            <v>0</v>
          </cell>
          <cell r="C4033" t="str">
            <v>[]</v>
          </cell>
          <cell r="D4033" t="str">
            <v>全服BOSS奖励-46级</v>
          </cell>
          <cell r="E4033" t="str">
            <v>1|13001|1|1</v>
          </cell>
        </row>
        <row r="4034">
          <cell r="A4034">
            <v>56047</v>
          </cell>
          <cell r="B4034">
            <v>0</v>
          </cell>
          <cell r="C4034" t="str">
            <v>[]</v>
          </cell>
          <cell r="D4034" t="str">
            <v>全服BOSS奖励-47级</v>
          </cell>
          <cell r="E4034" t="str">
            <v>1|13001|1|1</v>
          </cell>
        </row>
        <row r="4035">
          <cell r="A4035">
            <v>56048</v>
          </cell>
          <cell r="B4035">
            <v>0</v>
          </cell>
          <cell r="C4035" t="str">
            <v>[]</v>
          </cell>
          <cell r="D4035" t="str">
            <v>全服BOSS奖励-48级</v>
          </cell>
          <cell r="E4035" t="str">
            <v>1|13001|1|1</v>
          </cell>
        </row>
        <row r="4036">
          <cell r="A4036">
            <v>56049</v>
          </cell>
          <cell r="B4036">
            <v>0</v>
          </cell>
          <cell r="C4036" t="str">
            <v>[]</v>
          </cell>
          <cell r="D4036" t="str">
            <v>全服BOSS奖励-49级</v>
          </cell>
          <cell r="E4036" t="str">
            <v>1|13001|1|1</v>
          </cell>
        </row>
        <row r="4037">
          <cell r="A4037">
            <v>56050</v>
          </cell>
          <cell r="B4037">
            <v>0</v>
          </cell>
          <cell r="C4037" t="str">
            <v>[]</v>
          </cell>
          <cell r="D4037" t="str">
            <v>全服BOSS奖励-50级</v>
          </cell>
          <cell r="E4037" t="str">
            <v>1|13001|1|1</v>
          </cell>
        </row>
        <row r="4038">
          <cell r="A4038">
            <v>56051</v>
          </cell>
          <cell r="B4038">
            <v>0</v>
          </cell>
          <cell r="C4038" t="str">
            <v>[]</v>
          </cell>
          <cell r="D4038" t="str">
            <v>全服BOSS奖励-51级</v>
          </cell>
          <cell r="E4038" t="str">
            <v>1|13001|1|1</v>
          </cell>
        </row>
        <row r="4039">
          <cell r="A4039">
            <v>56052</v>
          </cell>
          <cell r="B4039">
            <v>0</v>
          </cell>
          <cell r="C4039" t="str">
            <v>[]</v>
          </cell>
          <cell r="D4039" t="str">
            <v>全服BOSS奖励-52级</v>
          </cell>
          <cell r="E4039" t="str">
            <v>1|13001|1|1</v>
          </cell>
        </row>
        <row r="4040">
          <cell r="A4040">
            <v>56053</v>
          </cell>
          <cell r="B4040">
            <v>0</v>
          </cell>
          <cell r="C4040" t="str">
            <v>[]</v>
          </cell>
          <cell r="D4040" t="str">
            <v>全服BOSS奖励-53级</v>
          </cell>
          <cell r="E4040" t="str">
            <v>1|13001|1|1</v>
          </cell>
        </row>
        <row r="4041">
          <cell r="A4041">
            <v>56054</v>
          </cell>
          <cell r="B4041">
            <v>0</v>
          </cell>
          <cell r="C4041" t="str">
            <v>[]</v>
          </cell>
          <cell r="D4041" t="str">
            <v>全服BOSS奖励-54级</v>
          </cell>
          <cell r="E4041" t="str">
            <v>1|13001|1|1</v>
          </cell>
        </row>
        <row r="4042">
          <cell r="A4042">
            <v>56055</v>
          </cell>
          <cell r="B4042">
            <v>0</v>
          </cell>
          <cell r="C4042" t="str">
            <v>[]</v>
          </cell>
          <cell r="D4042" t="str">
            <v>全服BOSS奖励-55级</v>
          </cell>
          <cell r="E4042" t="str">
            <v>1|13001|1|1</v>
          </cell>
        </row>
        <row r="4043">
          <cell r="A4043">
            <v>56056</v>
          </cell>
          <cell r="B4043">
            <v>0</v>
          </cell>
          <cell r="C4043" t="str">
            <v>[]</v>
          </cell>
          <cell r="D4043" t="str">
            <v>全服BOSS奖励-56级</v>
          </cell>
          <cell r="E4043" t="str">
            <v>1|13001|1|1</v>
          </cell>
        </row>
        <row r="4044">
          <cell r="A4044">
            <v>56057</v>
          </cell>
          <cell r="B4044">
            <v>0</v>
          </cell>
          <cell r="C4044" t="str">
            <v>[]</v>
          </cell>
          <cell r="D4044" t="str">
            <v>全服BOSS奖励-57级</v>
          </cell>
          <cell r="E4044" t="str">
            <v>1|13001|1|1</v>
          </cell>
        </row>
        <row r="4045">
          <cell r="A4045">
            <v>56058</v>
          </cell>
          <cell r="B4045">
            <v>0</v>
          </cell>
          <cell r="C4045" t="str">
            <v>[]</v>
          </cell>
          <cell r="D4045" t="str">
            <v>全服BOSS奖励-58级</v>
          </cell>
          <cell r="E4045" t="str">
            <v>1|13001|1|1</v>
          </cell>
        </row>
        <row r="4046">
          <cell r="A4046">
            <v>56059</v>
          </cell>
          <cell r="B4046">
            <v>0</v>
          </cell>
          <cell r="C4046" t="str">
            <v>[]</v>
          </cell>
          <cell r="D4046" t="str">
            <v>全服BOSS奖励-59级</v>
          </cell>
          <cell r="E4046" t="str">
            <v>1|13001|1|1</v>
          </cell>
        </row>
        <row r="4047">
          <cell r="A4047">
            <v>56060</v>
          </cell>
          <cell r="B4047">
            <v>0</v>
          </cell>
          <cell r="C4047" t="str">
            <v>[]</v>
          </cell>
          <cell r="D4047" t="str">
            <v>全服BOSS奖励-60级</v>
          </cell>
          <cell r="E4047" t="str">
            <v>1|13001|1|1</v>
          </cell>
        </row>
        <row r="4048">
          <cell r="A4048">
            <v>56061</v>
          </cell>
          <cell r="B4048">
            <v>0</v>
          </cell>
          <cell r="C4048" t="str">
            <v>[]</v>
          </cell>
          <cell r="D4048" t="str">
            <v>全服BOSS奖励-61级</v>
          </cell>
          <cell r="E4048" t="str">
            <v>1|13001|1|1</v>
          </cell>
        </row>
        <row r="4049">
          <cell r="A4049">
            <v>56062</v>
          </cell>
          <cell r="B4049">
            <v>0</v>
          </cell>
          <cell r="C4049" t="str">
            <v>[]</v>
          </cell>
          <cell r="D4049" t="str">
            <v>全服BOSS奖励-62级</v>
          </cell>
          <cell r="E4049" t="str">
            <v>1|13001|1|1</v>
          </cell>
        </row>
        <row r="4050">
          <cell r="A4050">
            <v>56063</v>
          </cell>
          <cell r="B4050">
            <v>0</v>
          </cell>
          <cell r="C4050" t="str">
            <v>[]</v>
          </cell>
          <cell r="D4050" t="str">
            <v>全服BOSS奖励-63级</v>
          </cell>
          <cell r="E4050" t="str">
            <v>1|13001|1|1</v>
          </cell>
        </row>
        <row r="4051">
          <cell r="A4051">
            <v>56064</v>
          </cell>
          <cell r="B4051">
            <v>0</v>
          </cell>
          <cell r="C4051" t="str">
            <v>[]</v>
          </cell>
          <cell r="D4051" t="str">
            <v>全服BOSS奖励-64级</v>
          </cell>
          <cell r="E4051" t="str">
            <v>1|13001|1|1</v>
          </cell>
        </row>
        <row r="4052">
          <cell r="A4052">
            <v>56065</v>
          </cell>
          <cell r="B4052">
            <v>0</v>
          </cell>
          <cell r="C4052" t="str">
            <v>[]</v>
          </cell>
          <cell r="D4052" t="str">
            <v>全服BOSS奖励-65级</v>
          </cell>
          <cell r="E4052" t="str">
            <v>1|13001|1|1</v>
          </cell>
        </row>
        <row r="4053">
          <cell r="A4053">
            <v>56066</v>
          </cell>
          <cell r="B4053">
            <v>0</v>
          </cell>
          <cell r="C4053" t="str">
            <v>[]</v>
          </cell>
          <cell r="D4053" t="str">
            <v>全服BOSS奖励-66级</v>
          </cell>
          <cell r="E4053" t="str">
            <v>1|13001|1|1</v>
          </cell>
        </row>
        <row r="4054">
          <cell r="A4054">
            <v>56067</v>
          </cell>
          <cell r="B4054">
            <v>0</v>
          </cell>
          <cell r="C4054" t="str">
            <v>[]</v>
          </cell>
          <cell r="D4054" t="str">
            <v>全服BOSS奖励-67级</v>
          </cell>
          <cell r="E4054" t="str">
            <v>1|13001|1|1</v>
          </cell>
        </row>
        <row r="4055">
          <cell r="A4055">
            <v>56068</v>
          </cell>
          <cell r="B4055">
            <v>0</v>
          </cell>
          <cell r="C4055" t="str">
            <v>[]</v>
          </cell>
          <cell r="D4055" t="str">
            <v>全服BOSS奖励-68级</v>
          </cell>
          <cell r="E4055" t="str">
            <v>1|13001|1|1</v>
          </cell>
        </row>
        <row r="4056">
          <cell r="A4056">
            <v>56069</v>
          </cell>
          <cell r="B4056">
            <v>0</v>
          </cell>
          <cell r="C4056" t="str">
            <v>[]</v>
          </cell>
          <cell r="D4056" t="str">
            <v>全服BOSS奖励-69级</v>
          </cell>
          <cell r="E4056" t="str">
            <v>1|13001|1|1</v>
          </cell>
        </row>
        <row r="4057">
          <cell r="A4057">
            <v>56070</v>
          </cell>
          <cell r="B4057">
            <v>0</v>
          </cell>
          <cell r="C4057" t="str">
            <v>[]</v>
          </cell>
          <cell r="D4057" t="str">
            <v>全服BOSS奖励-70级</v>
          </cell>
          <cell r="E4057" t="str">
            <v>1|13001|1|1</v>
          </cell>
        </row>
        <row r="4058">
          <cell r="A4058">
            <v>56071</v>
          </cell>
          <cell r="B4058">
            <v>0</v>
          </cell>
          <cell r="C4058" t="str">
            <v>[]</v>
          </cell>
          <cell r="D4058" t="str">
            <v>全服BOSS奖励-71级</v>
          </cell>
          <cell r="E4058" t="str">
            <v>1|13001|1|1</v>
          </cell>
        </row>
        <row r="4059">
          <cell r="A4059">
            <v>56072</v>
          </cell>
          <cell r="B4059">
            <v>0</v>
          </cell>
          <cell r="C4059" t="str">
            <v>[]</v>
          </cell>
          <cell r="D4059" t="str">
            <v>全服BOSS奖励-72级</v>
          </cell>
          <cell r="E4059" t="str">
            <v>1|13001|1|1</v>
          </cell>
        </row>
        <row r="4060">
          <cell r="A4060">
            <v>56073</v>
          </cell>
          <cell r="B4060">
            <v>0</v>
          </cell>
          <cell r="C4060" t="str">
            <v>[]</v>
          </cell>
          <cell r="D4060" t="str">
            <v>全服BOSS奖励-73级</v>
          </cell>
          <cell r="E4060" t="str">
            <v>1|13001|1|1</v>
          </cell>
        </row>
        <row r="4061">
          <cell r="A4061">
            <v>56074</v>
          </cell>
          <cell r="B4061">
            <v>0</v>
          </cell>
          <cell r="C4061" t="str">
            <v>[]</v>
          </cell>
          <cell r="D4061" t="str">
            <v>全服BOSS奖励-74级</v>
          </cell>
          <cell r="E4061" t="str">
            <v>1|13001|1|1</v>
          </cell>
        </row>
        <row r="4062">
          <cell r="A4062">
            <v>56075</v>
          </cell>
          <cell r="B4062">
            <v>0</v>
          </cell>
          <cell r="C4062" t="str">
            <v>[]</v>
          </cell>
          <cell r="D4062" t="str">
            <v>全服BOSS奖励-75级</v>
          </cell>
          <cell r="E4062" t="str">
            <v>1|13001|1|1</v>
          </cell>
        </row>
        <row r="4063">
          <cell r="A4063">
            <v>56076</v>
          </cell>
          <cell r="B4063">
            <v>0</v>
          </cell>
          <cell r="C4063" t="str">
            <v>[]</v>
          </cell>
          <cell r="D4063" t="str">
            <v>全服BOSS奖励-76级</v>
          </cell>
          <cell r="E4063" t="str">
            <v>1|13001|1|1</v>
          </cell>
        </row>
        <row r="4064">
          <cell r="A4064">
            <v>56077</v>
          </cell>
          <cell r="B4064">
            <v>0</v>
          </cell>
          <cell r="C4064" t="str">
            <v>[]</v>
          </cell>
          <cell r="D4064" t="str">
            <v>全服BOSS奖励-77级</v>
          </cell>
          <cell r="E4064" t="str">
            <v>1|13001|1|1</v>
          </cell>
        </row>
        <row r="4065">
          <cell r="A4065">
            <v>56078</v>
          </cell>
          <cell r="B4065">
            <v>0</v>
          </cell>
          <cell r="C4065" t="str">
            <v>[]</v>
          </cell>
          <cell r="D4065" t="str">
            <v>全服BOSS奖励-78级</v>
          </cell>
          <cell r="E4065" t="str">
            <v>1|13001|1|1</v>
          </cell>
        </row>
        <row r="4066">
          <cell r="A4066">
            <v>56079</v>
          </cell>
          <cell r="B4066">
            <v>0</v>
          </cell>
          <cell r="C4066" t="str">
            <v>[]</v>
          </cell>
          <cell r="D4066" t="str">
            <v>全服BOSS奖励-79级</v>
          </cell>
          <cell r="E4066" t="str">
            <v>1|13001|1|1</v>
          </cell>
        </row>
        <row r="4067">
          <cell r="A4067">
            <v>56080</v>
          </cell>
          <cell r="B4067">
            <v>0</v>
          </cell>
          <cell r="C4067" t="str">
            <v>[]</v>
          </cell>
          <cell r="D4067" t="str">
            <v>全服BOSS奖励-80级</v>
          </cell>
          <cell r="E4067" t="str">
            <v>1|13001|1|1</v>
          </cell>
        </row>
        <row r="4068">
          <cell r="A4068">
            <v>56081</v>
          </cell>
          <cell r="B4068">
            <v>0</v>
          </cell>
          <cell r="C4068" t="str">
            <v>[]</v>
          </cell>
          <cell r="D4068" t="str">
            <v>全服BOSS奖励-81级</v>
          </cell>
          <cell r="E4068" t="str">
            <v>1|13001|1|1</v>
          </cell>
        </row>
        <row r="4069">
          <cell r="A4069">
            <v>56082</v>
          </cell>
          <cell r="B4069">
            <v>0</v>
          </cell>
          <cell r="C4069" t="str">
            <v>[]</v>
          </cell>
          <cell r="D4069" t="str">
            <v>全服BOSS奖励-82级</v>
          </cell>
          <cell r="E4069" t="str">
            <v>1|13001|1|1</v>
          </cell>
        </row>
        <row r="4070">
          <cell r="A4070">
            <v>56083</v>
          </cell>
          <cell r="B4070">
            <v>0</v>
          </cell>
          <cell r="C4070" t="str">
            <v>[]</v>
          </cell>
          <cell r="D4070" t="str">
            <v>全服BOSS奖励-83级</v>
          </cell>
          <cell r="E4070" t="str">
            <v>1|13001|1|1</v>
          </cell>
        </row>
        <row r="4071">
          <cell r="A4071">
            <v>56084</v>
          </cell>
          <cell r="B4071">
            <v>0</v>
          </cell>
          <cell r="C4071" t="str">
            <v>[]</v>
          </cell>
          <cell r="D4071" t="str">
            <v>全服BOSS奖励-84级</v>
          </cell>
          <cell r="E4071" t="str">
            <v>1|13001|1|1</v>
          </cell>
        </row>
        <row r="4072">
          <cell r="A4072">
            <v>56085</v>
          </cell>
          <cell r="B4072">
            <v>0</v>
          </cell>
          <cell r="C4072" t="str">
            <v>[]</v>
          </cell>
          <cell r="D4072" t="str">
            <v>全服BOSS奖励-85级</v>
          </cell>
          <cell r="E4072" t="str">
            <v>1|13001|1|1</v>
          </cell>
        </row>
        <row r="4073">
          <cell r="A4073">
            <v>56086</v>
          </cell>
          <cell r="B4073">
            <v>0</v>
          </cell>
          <cell r="C4073" t="str">
            <v>[]</v>
          </cell>
          <cell r="D4073" t="str">
            <v>全服BOSS奖励-86级</v>
          </cell>
          <cell r="E4073" t="str">
            <v>1|13001|1|1</v>
          </cell>
        </row>
        <row r="4074">
          <cell r="A4074">
            <v>56087</v>
          </cell>
          <cell r="B4074">
            <v>0</v>
          </cell>
          <cell r="C4074" t="str">
            <v>[]</v>
          </cell>
          <cell r="D4074" t="str">
            <v>全服BOSS奖励-87级</v>
          </cell>
          <cell r="E4074" t="str">
            <v>1|13001|1|1</v>
          </cell>
        </row>
        <row r="4075">
          <cell r="A4075">
            <v>56088</v>
          </cell>
          <cell r="B4075">
            <v>0</v>
          </cell>
          <cell r="C4075" t="str">
            <v>[]</v>
          </cell>
          <cell r="D4075" t="str">
            <v>全服BOSS奖励-88级</v>
          </cell>
          <cell r="E4075" t="str">
            <v>1|13001|1|1</v>
          </cell>
        </row>
        <row r="4076">
          <cell r="A4076">
            <v>56089</v>
          </cell>
          <cell r="B4076">
            <v>0</v>
          </cell>
          <cell r="C4076" t="str">
            <v>[]</v>
          </cell>
          <cell r="D4076" t="str">
            <v>全服BOSS奖励-89级</v>
          </cell>
          <cell r="E4076" t="str">
            <v>1|13001|1|1</v>
          </cell>
        </row>
        <row r="4077">
          <cell r="A4077">
            <v>56090</v>
          </cell>
          <cell r="B4077">
            <v>0</v>
          </cell>
          <cell r="C4077" t="str">
            <v>[]</v>
          </cell>
          <cell r="D4077" t="str">
            <v>全服BOSS奖励-90级</v>
          </cell>
          <cell r="E4077" t="str">
            <v>1|13001|1|1</v>
          </cell>
        </row>
        <row r="4078">
          <cell r="A4078">
            <v>56091</v>
          </cell>
          <cell r="B4078">
            <v>0</v>
          </cell>
          <cell r="C4078" t="str">
            <v>[]</v>
          </cell>
          <cell r="D4078" t="str">
            <v>全服BOSS奖励-91级</v>
          </cell>
          <cell r="E4078" t="str">
            <v>1|13001|1|1</v>
          </cell>
        </row>
        <row r="4079">
          <cell r="A4079">
            <v>56092</v>
          </cell>
          <cell r="B4079">
            <v>0</v>
          </cell>
          <cell r="C4079" t="str">
            <v>[]</v>
          </cell>
          <cell r="D4079" t="str">
            <v>全服BOSS奖励-92级</v>
          </cell>
          <cell r="E4079" t="str">
            <v>1|13001|1|1</v>
          </cell>
        </row>
        <row r="4080">
          <cell r="A4080">
            <v>56093</v>
          </cell>
          <cell r="B4080">
            <v>0</v>
          </cell>
          <cell r="C4080" t="str">
            <v>[]</v>
          </cell>
          <cell r="D4080" t="str">
            <v>全服BOSS奖励-93级</v>
          </cell>
          <cell r="E4080" t="str">
            <v>1|13001|1|1</v>
          </cell>
        </row>
        <row r="4081">
          <cell r="A4081">
            <v>56094</v>
          </cell>
          <cell r="B4081">
            <v>0</v>
          </cell>
          <cell r="C4081" t="str">
            <v>[]</v>
          </cell>
          <cell r="D4081" t="str">
            <v>全服BOSS奖励-94级</v>
          </cell>
          <cell r="E4081" t="str">
            <v>1|13001|1|1</v>
          </cell>
        </row>
        <row r="4082">
          <cell r="A4082">
            <v>56095</v>
          </cell>
          <cell r="B4082">
            <v>0</v>
          </cell>
          <cell r="C4082" t="str">
            <v>[]</v>
          </cell>
          <cell r="D4082" t="str">
            <v>全服BOSS奖励-95级</v>
          </cell>
          <cell r="E4082" t="str">
            <v>1|13001|1|1</v>
          </cell>
        </row>
        <row r="4083">
          <cell r="A4083">
            <v>56096</v>
          </cell>
          <cell r="B4083">
            <v>0</v>
          </cell>
          <cell r="C4083" t="str">
            <v>[]</v>
          </cell>
          <cell r="D4083" t="str">
            <v>全服BOSS奖励-96级</v>
          </cell>
          <cell r="E4083" t="str">
            <v>1|13001|1|1</v>
          </cell>
        </row>
        <row r="4084">
          <cell r="A4084">
            <v>56097</v>
          </cell>
          <cell r="B4084">
            <v>0</v>
          </cell>
          <cell r="C4084" t="str">
            <v>[]</v>
          </cell>
          <cell r="D4084" t="str">
            <v>全服BOSS奖励-97级</v>
          </cell>
          <cell r="E4084" t="str">
            <v>1|13001|1|1</v>
          </cell>
        </row>
        <row r="4085">
          <cell r="A4085">
            <v>56098</v>
          </cell>
          <cell r="B4085">
            <v>0</v>
          </cell>
          <cell r="C4085" t="str">
            <v>[]</v>
          </cell>
          <cell r="D4085" t="str">
            <v>全服BOSS奖励-98级</v>
          </cell>
          <cell r="E4085" t="str">
            <v>1|13001|1|1</v>
          </cell>
        </row>
        <row r="4086">
          <cell r="A4086">
            <v>56099</v>
          </cell>
          <cell r="B4086">
            <v>0</v>
          </cell>
          <cell r="C4086" t="str">
            <v>[]</v>
          </cell>
          <cell r="D4086" t="str">
            <v>全服BOSS奖励-99级</v>
          </cell>
          <cell r="E4086" t="str">
            <v>1|13001|1|1</v>
          </cell>
        </row>
        <row r="4087">
          <cell r="A4087">
            <v>56100</v>
          </cell>
          <cell r="B4087">
            <v>0</v>
          </cell>
          <cell r="C4087" t="str">
            <v>[]</v>
          </cell>
          <cell r="D4087" t="str">
            <v>全服BOSS奖励-100级</v>
          </cell>
          <cell r="E4087" t="str">
            <v>1|13001|1|1</v>
          </cell>
        </row>
        <row r="4088">
          <cell r="A4088">
            <v>56101</v>
          </cell>
          <cell r="B4088">
            <v>0</v>
          </cell>
          <cell r="C4088" t="str">
            <v>[]</v>
          </cell>
          <cell r="D4088" t="str">
            <v>全服BOSS奖励-101级</v>
          </cell>
          <cell r="E4088" t="str">
            <v>1|13001|1|1</v>
          </cell>
        </row>
        <row r="4089">
          <cell r="A4089">
            <v>56102</v>
          </cell>
          <cell r="B4089">
            <v>0</v>
          </cell>
          <cell r="C4089" t="str">
            <v>[]</v>
          </cell>
          <cell r="D4089" t="str">
            <v>全服BOSS奖励-102级</v>
          </cell>
          <cell r="E4089" t="str">
            <v>1|13001|1|1</v>
          </cell>
        </row>
        <row r="4090">
          <cell r="A4090">
            <v>56103</v>
          </cell>
          <cell r="B4090">
            <v>0</v>
          </cell>
          <cell r="C4090" t="str">
            <v>[]</v>
          </cell>
          <cell r="D4090" t="str">
            <v>全服BOSS奖励-103级</v>
          </cell>
          <cell r="E4090" t="str">
            <v>1|13001|1|1</v>
          </cell>
        </row>
        <row r="4091">
          <cell r="A4091">
            <v>56104</v>
          </cell>
          <cell r="B4091">
            <v>0</v>
          </cell>
          <cell r="C4091" t="str">
            <v>[]</v>
          </cell>
          <cell r="D4091" t="str">
            <v>全服BOSS奖励-104级</v>
          </cell>
          <cell r="E4091" t="str">
            <v>1|13001|1|1</v>
          </cell>
        </row>
        <row r="4092">
          <cell r="A4092">
            <v>56105</v>
          </cell>
          <cell r="B4092">
            <v>0</v>
          </cell>
          <cell r="C4092" t="str">
            <v>[]</v>
          </cell>
          <cell r="D4092" t="str">
            <v>全服BOSS奖励-105级</v>
          </cell>
          <cell r="E4092" t="str">
            <v>1|13001|1|1</v>
          </cell>
        </row>
        <row r="4093">
          <cell r="A4093">
            <v>56106</v>
          </cell>
          <cell r="B4093">
            <v>0</v>
          </cell>
          <cell r="C4093" t="str">
            <v>[]</v>
          </cell>
          <cell r="D4093" t="str">
            <v>全服BOSS奖励-106级</v>
          </cell>
          <cell r="E4093" t="str">
            <v>1|13001|1|1</v>
          </cell>
        </row>
        <row r="4094">
          <cell r="A4094">
            <v>56107</v>
          </cell>
          <cell r="B4094">
            <v>0</v>
          </cell>
          <cell r="C4094" t="str">
            <v>[]</v>
          </cell>
          <cell r="D4094" t="str">
            <v>全服BOSS奖励-107级</v>
          </cell>
          <cell r="E4094" t="str">
            <v>1|13001|1|1</v>
          </cell>
        </row>
        <row r="4095">
          <cell r="A4095">
            <v>56108</v>
          </cell>
          <cell r="B4095">
            <v>0</v>
          </cell>
          <cell r="C4095" t="str">
            <v>[]</v>
          </cell>
          <cell r="D4095" t="str">
            <v>全服BOSS奖励-108级</v>
          </cell>
          <cell r="E4095" t="str">
            <v>1|13001|1|1</v>
          </cell>
        </row>
        <row r="4096">
          <cell r="A4096">
            <v>56109</v>
          </cell>
          <cell r="B4096">
            <v>0</v>
          </cell>
          <cell r="C4096" t="str">
            <v>[]</v>
          </cell>
          <cell r="D4096" t="str">
            <v>全服BOSS奖励-109级</v>
          </cell>
          <cell r="E4096" t="str">
            <v>1|13001|1|1</v>
          </cell>
        </row>
        <row r="4097">
          <cell r="A4097">
            <v>56110</v>
          </cell>
          <cell r="B4097">
            <v>0</v>
          </cell>
          <cell r="C4097" t="str">
            <v>[]</v>
          </cell>
          <cell r="D4097" t="str">
            <v>全服BOSS奖励-110级</v>
          </cell>
          <cell r="E4097" t="str">
            <v>1|13001|1|1</v>
          </cell>
        </row>
        <row r="4098">
          <cell r="A4098">
            <v>56111</v>
          </cell>
          <cell r="B4098">
            <v>0</v>
          </cell>
          <cell r="C4098" t="str">
            <v>[]</v>
          </cell>
          <cell r="D4098" t="str">
            <v>全服BOSS奖励-111级</v>
          </cell>
          <cell r="E4098" t="str">
            <v>1|13001|1|1</v>
          </cell>
        </row>
        <row r="4099">
          <cell r="A4099">
            <v>56112</v>
          </cell>
          <cell r="B4099">
            <v>0</v>
          </cell>
          <cell r="C4099" t="str">
            <v>[]</v>
          </cell>
          <cell r="D4099" t="str">
            <v>全服BOSS奖励-112级</v>
          </cell>
          <cell r="E4099" t="str">
            <v>1|13001|1|1</v>
          </cell>
        </row>
        <row r="4100">
          <cell r="A4100">
            <v>56113</v>
          </cell>
          <cell r="B4100">
            <v>0</v>
          </cell>
          <cell r="C4100" t="str">
            <v>[]</v>
          </cell>
          <cell r="D4100" t="str">
            <v>全服BOSS奖励-113级</v>
          </cell>
          <cell r="E4100" t="str">
            <v>1|13001|1|1</v>
          </cell>
        </row>
        <row r="4101">
          <cell r="A4101">
            <v>56114</v>
          </cell>
          <cell r="B4101">
            <v>0</v>
          </cell>
          <cell r="C4101" t="str">
            <v>[]</v>
          </cell>
          <cell r="D4101" t="str">
            <v>全服BOSS奖励-114级</v>
          </cell>
          <cell r="E4101" t="str">
            <v>1|13001|1|1</v>
          </cell>
        </row>
        <row r="4102">
          <cell r="A4102">
            <v>56115</v>
          </cell>
          <cell r="B4102">
            <v>0</v>
          </cell>
          <cell r="C4102" t="str">
            <v>[]</v>
          </cell>
          <cell r="D4102" t="str">
            <v>全服BOSS奖励-115级</v>
          </cell>
          <cell r="E4102" t="str">
            <v>1|13001|1|1</v>
          </cell>
        </row>
        <row r="4103">
          <cell r="A4103">
            <v>56116</v>
          </cell>
          <cell r="B4103">
            <v>0</v>
          </cell>
          <cell r="C4103" t="str">
            <v>[]</v>
          </cell>
          <cell r="D4103" t="str">
            <v>全服BOSS奖励-116级</v>
          </cell>
          <cell r="E4103" t="str">
            <v>1|13001|1|1</v>
          </cell>
        </row>
        <row r="4104">
          <cell r="A4104">
            <v>56117</v>
          </cell>
          <cell r="B4104">
            <v>0</v>
          </cell>
          <cell r="C4104" t="str">
            <v>[]</v>
          </cell>
          <cell r="D4104" t="str">
            <v>全服BOSS奖励-117级</v>
          </cell>
          <cell r="E4104" t="str">
            <v>1|13001|1|1</v>
          </cell>
        </row>
        <row r="4105">
          <cell r="A4105">
            <v>56118</v>
          </cell>
          <cell r="B4105">
            <v>0</v>
          </cell>
          <cell r="C4105" t="str">
            <v>[]</v>
          </cell>
          <cell r="D4105" t="str">
            <v>全服BOSS奖励-118级</v>
          </cell>
          <cell r="E4105" t="str">
            <v>1|13001|1|1</v>
          </cell>
        </row>
        <row r="4106">
          <cell r="A4106">
            <v>56119</v>
          </cell>
          <cell r="B4106">
            <v>0</v>
          </cell>
          <cell r="C4106" t="str">
            <v>[]</v>
          </cell>
          <cell r="D4106" t="str">
            <v>全服BOSS奖励-119级</v>
          </cell>
          <cell r="E4106" t="str">
            <v>1|13001|1|1</v>
          </cell>
        </row>
        <row r="4107">
          <cell r="A4107">
            <v>56120</v>
          </cell>
          <cell r="B4107">
            <v>0</v>
          </cell>
          <cell r="C4107" t="str">
            <v>[]</v>
          </cell>
          <cell r="D4107" t="str">
            <v>全服BOSS奖励-120级</v>
          </cell>
          <cell r="E4107" t="str">
            <v>1|13001|1|1</v>
          </cell>
        </row>
        <row r="4108">
          <cell r="A4108">
            <v>56001</v>
          </cell>
          <cell r="B4108">
            <v>0</v>
          </cell>
          <cell r="C4108" t="str">
            <v>[]</v>
          </cell>
          <cell r="D4108" t="str">
            <v>全服BOSS奖励-121级</v>
          </cell>
          <cell r="E4108" t="str">
            <v>1|13001|1|1</v>
          </cell>
        </row>
        <row r="4109">
          <cell r="A4109">
            <v>56002</v>
          </cell>
          <cell r="B4109">
            <v>0</v>
          </cell>
          <cell r="C4109" t="str">
            <v>[]</v>
          </cell>
          <cell r="D4109" t="str">
            <v>全服BOSS奖励-122级</v>
          </cell>
          <cell r="E4109" t="str">
            <v>1|13001|1|1</v>
          </cell>
        </row>
        <row r="4110">
          <cell r="A4110">
            <v>56003</v>
          </cell>
          <cell r="B4110">
            <v>0</v>
          </cell>
          <cell r="C4110" t="str">
            <v>[]</v>
          </cell>
          <cell r="D4110" t="str">
            <v>全服BOSS奖励-123级</v>
          </cell>
          <cell r="E4110" t="str">
            <v>1|13001|1|1</v>
          </cell>
        </row>
        <row r="4111">
          <cell r="A4111">
            <v>56004</v>
          </cell>
          <cell r="B4111">
            <v>0</v>
          </cell>
          <cell r="C4111" t="str">
            <v>[]</v>
          </cell>
          <cell r="D4111" t="str">
            <v>全服BOSS奖励-124级</v>
          </cell>
          <cell r="E4111" t="str">
            <v>1|13001|1|1</v>
          </cell>
        </row>
        <row r="4112">
          <cell r="A4112">
            <v>56005</v>
          </cell>
          <cell r="B4112">
            <v>0</v>
          </cell>
          <cell r="C4112" t="str">
            <v>[]</v>
          </cell>
          <cell r="D4112" t="str">
            <v>全服BOSS奖励-125级</v>
          </cell>
          <cell r="E4112" t="str">
            <v>1|13001|1|1</v>
          </cell>
        </row>
        <row r="4113">
          <cell r="A4113">
            <v>56006</v>
          </cell>
          <cell r="B4113">
            <v>0</v>
          </cell>
          <cell r="C4113" t="str">
            <v>[]</v>
          </cell>
          <cell r="D4113" t="str">
            <v>全服BOSS奖励-126级</v>
          </cell>
          <cell r="E4113" t="str">
            <v>1|13001|1|1</v>
          </cell>
        </row>
        <row r="4114">
          <cell r="A4114">
            <v>56007</v>
          </cell>
          <cell r="B4114">
            <v>0</v>
          </cell>
          <cell r="C4114" t="str">
            <v>[]</v>
          </cell>
          <cell r="D4114" t="str">
            <v>全服BOSS奖励-127级</v>
          </cell>
          <cell r="E4114" t="str">
            <v>1|13001|1|1</v>
          </cell>
        </row>
        <row r="4115">
          <cell r="A4115">
            <v>56008</v>
          </cell>
          <cell r="B4115">
            <v>0</v>
          </cell>
          <cell r="C4115" t="str">
            <v>[]</v>
          </cell>
          <cell r="D4115" t="str">
            <v>全服BOSS奖励-128级</v>
          </cell>
          <cell r="E4115" t="str">
            <v>1|13001|1|1</v>
          </cell>
        </row>
        <row r="4116">
          <cell r="A4116">
            <v>56009</v>
          </cell>
          <cell r="B4116">
            <v>0</v>
          </cell>
          <cell r="C4116" t="str">
            <v>[]</v>
          </cell>
          <cell r="D4116" t="str">
            <v>全服BOSS奖励-129级</v>
          </cell>
          <cell r="E4116" t="str">
            <v>1|13001|1|1</v>
          </cell>
        </row>
        <row r="4117">
          <cell r="A4117">
            <v>56010</v>
          </cell>
          <cell r="B4117">
            <v>0</v>
          </cell>
          <cell r="C4117" t="str">
            <v>[]</v>
          </cell>
          <cell r="D4117" t="str">
            <v>全服BOSS奖励-130级</v>
          </cell>
          <cell r="E4117" t="str">
            <v>1|13001|1|1</v>
          </cell>
        </row>
        <row r="4118">
          <cell r="A4118">
            <v>56011</v>
          </cell>
          <cell r="B4118">
            <v>0</v>
          </cell>
          <cell r="C4118" t="str">
            <v>[]</v>
          </cell>
          <cell r="D4118" t="str">
            <v>全服BOSS奖励-131级</v>
          </cell>
          <cell r="E4118" t="str">
            <v>1|13001|1|1</v>
          </cell>
        </row>
        <row r="4119">
          <cell r="A4119">
            <v>56012</v>
          </cell>
          <cell r="B4119">
            <v>0</v>
          </cell>
          <cell r="C4119" t="str">
            <v>[]</v>
          </cell>
          <cell r="D4119" t="str">
            <v>全服BOSS奖励-132级</v>
          </cell>
          <cell r="E4119" t="str">
            <v>1|13001|1|1</v>
          </cell>
        </row>
        <row r="4120">
          <cell r="A4120">
            <v>56013</v>
          </cell>
          <cell r="B4120">
            <v>0</v>
          </cell>
          <cell r="C4120" t="str">
            <v>[]</v>
          </cell>
          <cell r="D4120" t="str">
            <v>全服BOSS奖励-133级</v>
          </cell>
          <cell r="E4120" t="str">
            <v>1|13001|1|1</v>
          </cell>
        </row>
        <row r="4121">
          <cell r="A4121">
            <v>56014</v>
          </cell>
          <cell r="B4121">
            <v>0</v>
          </cell>
          <cell r="C4121" t="str">
            <v>[]</v>
          </cell>
          <cell r="D4121" t="str">
            <v>全服BOSS奖励-134级</v>
          </cell>
          <cell r="E4121" t="str">
            <v>1|13001|1|1</v>
          </cell>
        </row>
        <row r="4122">
          <cell r="A4122">
            <v>56015</v>
          </cell>
          <cell r="B4122">
            <v>0</v>
          </cell>
          <cell r="C4122" t="str">
            <v>[]</v>
          </cell>
          <cell r="D4122" t="str">
            <v>全服BOSS奖励-135级</v>
          </cell>
          <cell r="E4122" t="str">
            <v>1|13001|1|1</v>
          </cell>
        </row>
        <row r="4123">
          <cell r="A4123">
            <v>56016</v>
          </cell>
          <cell r="B4123">
            <v>0</v>
          </cell>
          <cell r="C4123" t="str">
            <v>[]</v>
          </cell>
          <cell r="D4123" t="str">
            <v>全服BOSS奖励-136级</v>
          </cell>
          <cell r="E4123" t="str">
            <v>1|13001|1|1</v>
          </cell>
        </row>
        <row r="4124">
          <cell r="A4124">
            <v>56017</v>
          </cell>
          <cell r="B4124">
            <v>0</v>
          </cell>
          <cell r="C4124" t="str">
            <v>[]</v>
          </cell>
          <cell r="D4124" t="str">
            <v>全服BOSS奖励-137级</v>
          </cell>
          <cell r="E4124" t="str">
            <v>1|13001|1|1</v>
          </cell>
        </row>
        <row r="4125">
          <cell r="A4125">
            <v>56018</v>
          </cell>
          <cell r="B4125">
            <v>0</v>
          </cell>
          <cell r="C4125" t="str">
            <v>[]</v>
          </cell>
          <cell r="D4125" t="str">
            <v>全服BOSS奖励-138级</v>
          </cell>
          <cell r="E4125" t="str">
            <v>1|13001|1|1</v>
          </cell>
        </row>
        <row r="4126">
          <cell r="A4126">
            <v>56019</v>
          </cell>
          <cell r="B4126">
            <v>0</v>
          </cell>
          <cell r="C4126" t="str">
            <v>[]</v>
          </cell>
          <cell r="D4126" t="str">
            <v>全服BOSS奖励-139级</v>
          </cell>
          <cell r="E4126" t="str">
            <v>1|13001|1|1</v>
          </cell>
        </row>
        <row r="4127">
          <cell r="A4127">
            <v>56020</v>
          </cell>
          <cell r="B4127">
            <v>0</v>
          </cell>
          <cell r="C4127" t="str">
            <v>[]</v>
          </cell>
          <cell r="D4127" t="str">
            <v>全服BOSS奖励-140级</v>
          </cell>
          <cell r="E4127" t="str">
            <v>1|13001|1|1</v>
          </cell>
        </row>
        <row r="4128">
          <cell r="A4128">
            <v>56021</v>
          </cell>
          <cell r="B4128">
            <v>0</v>
          </cell>
          <cell r="C4128" t="str">
            <v>[]</v>
          </cell>
          <cell r="D4128" t="str">
            <v>全服BOSS奖励-141级</v>
          </cell>
          <cell r="E4128" t="str">
            <v>1|13001|1|1</v>
          </cell>
        </row>
        <row r="4129">
          <cell r="A4129">
            <v>56022</v>
          </cell>
          <cell r="B4129">
            <v>0</v>
          </cell>
          <cell r="C4129" t="str">
            <v>[]</v>
          </cell>
          <cell r="D4129" t="str">
            <v>全服BOSS奖励-142级</v>
          </cell>
          <cell r="E4129" t="str">
            <v>1|13001|1|1</v>
          </cell>
        </row>
        <row r="4130">
          <cell r="A4130">
            <v>56023</v>
          </cell>
          <cell r="B4130">
            <v>0</v>
          </cell>
          <cell r="C4130" t="str">
            <v>[]</v>
          </cell>
          <cell r="D4130" t="str">
            <v>全服BOSS奖励-143级</v>
          </cell>
          <cell r="E4130" t="str">
            <v>1|13001|1|1</v>
          </cell>
        </row>
        <row r="4131">
          <cell r="A4131">
            <v>56024</v>
          </cell>
          <cell r="B4131">
            <v>0</v>
          </cell>
          <cell r="C4131" t="str">
            <v>[]</v>
          </cell>
          <cell r="D4131" t="str">
            <v>全服BOSS奖励-144级</v>
          </cell>
          <cell r="E4131" t="str">
            <v>1|13001|1|1</v>
          </cell>
        </row>
        <row r="4132">
          <cell r="A4132">
            <v>56025</v>
          </cell>
          <cell r="B4132">
            <v>0</v>
          </cell>
          <cell r="C4132" t="str">
            <v>[]</v>
          </cell>
          <cell r="D4132" t="str">
            <v>全服BOSS奖励-145级</v>
          </cell>
          <cell r="E4132" t="str">
            <v>1|13001|1|1</v>
          </cell>
        </row>
        <row r="4133">
          <cell r="A4133">
            <v>56026</v>
          </cell>
          <cell r="B4133">
            <v>0</v>
          </cell>
          <cell r="C4133" t="str">
            <v>[]</v>
          </cell>
          <cell r="D4133" t="str">
            <v>全服BOSS奖励-146级</v>
          </cell>
          <cell r="E4133" t="str">
            <v>1|13001|1|1</v>
          </cell>
        </row>
        <row r="4134">
          <cell r="A4134">
            <v>56027</v>
          </cell>
          <cell r="B4134">
            <v>0</v>
          </cell>
          <cell r="C4134" t="str">
            <v>[]</v>
          </cell>
          <cell r="D4134" t="str">
            <v>全服BOSS奖励-147级</v>
          </cell>
          <cell r="E4134" t="str">
            <v>1|13001|1|1</v>
          </cell>
        </row>
        <row r="4135">
          <cell r="A4135">
            <v>56028</v>
          </cell>
          <cell r="B4135">
            <v>0</v>
          </cell>
          <cell r="C4135" t="str">
            <v>[]</v>
          </cell>
          <cell r="D4135" t="str">
            <v>全服BOSS奖励-148级</v>
          </cell>
          <cell r="E4135" t="str">
            <v>1|13001|1|1</v>
          </cell>
        </row>
        <row r="4136">
          <cell r="A4136">
            <v>56029</v>
          </cell>
          <cell r="B4136">
            <v>0</v>
          </cell>
          <cell r="C4136" t="str">
            <v>[]</v>
          </cell>
          <cell r="D4136" t="str">
            <v>全服BOSS奖励-149级</v>
          </cell>
          <cell r="E4136" t="str">
            <v>1|13001|1|1</v>
          </cell>
        </row>
        <row r="4137">
          <cell r="A4137">
            <v>56030</v>
          </cell>
          <cell r="B4137">
            <v>0</v>
          </cell>
          <cell r="C4137" t="str">
            <v>[]</v>
          </cell>
          <cell r="D4137" t="str">
            <v>全服BOSS奖励-150级</v>
          </cell>
          <cell r="E4137" t="str">
            <v>1|13001|1|1</v>
          </cell>
        </row>
        <row r="4138">
          <cell r="A4138">
            <v>56031</v>
          </cell>
          <cell r="B4138">
            <v>0</v>
          </cell>
          <cell r="C4138" t="str">
            <v>[]</v>
          </cell>
          <cell r="D4138" t="str">
            <v>全服BOSS奖励-151级</v>
          </cell>
          <cell r="E4138" t="str">
            <v>1|13001|1|1</v>
          </cell>
        </row>
        <row r="4139">
          <cell r="A4139">
            <v>56032</v>
          </cell>
          <cell r="B4139">
            <v>0</v>
          </cell>
          <cell r="C4139" t="str">
            <v>[]</v>
          </cell>
          <cell r="D4139" t="str">
            <v>全服BOSS奖励-152级</v>
          </cell>
          <cell r="E4139" t="str">
            <v>1|13001|1|1</v>
          </cell>
        </row>
        <row r="4140">
          <cell r="A4140">
            <v>56033</v>
          </cell>
          <cell r="B4140">
            <v>0</v>
          </cell>
          <cell r="C4140" t="str">
            <v>[]</v>
          </cell>
          <cell r="D4140" t="str">
            <v>全服BOSS奖励-153级</v>
          </cell>
          <cell r="E4140" t="str">
            <v>1|13001|1|1</v>
          </cell>
        </row>
        <row r="4141">
          <cell r="A4141">
            <v>56034</v>
          </cell>
          <cell r="B4141">
            <v>0</v>
          </cell>
          <cell r="C4141" t="str">
            <v>[]</v>
          </cell>
          <cell r="D4141" t="str">
            <v>全服BOSS奖励-154级</v>
          </cell>
          <cell r="E4141" t="str">
            <v>1|13001|1|1</v>
          </cell>
        </row>
        <row r="4142">
          <cell r="A4142">
            <v>56035</v>
          </cell>
          <cell r="B4142">
            <v>0</v>
          </cell>
          <cell r="C4142" t="str">
            <v>[]</v>
          </cell>
          <cell r="D4142" t="str">
            <v>全服BOSS奖励-155级</v>
          </cell>
          <cell r="E4142" t="str">
            <v>1|13001|1|1</v>
          </cell>
        </row>
        <row r="4143">
          <cell r="A4143">
            <v>56036</v>
          </cell>
          <cell r="B4143">
            <v>0</v>
          </cell>
          <cell r="C4143" t="str">
            <v>[]</v>
          </cell>
          <cell r="D4143" t="str">
            <v>全服BOSS奖励-156级</v>
          </cell>
          <cell r="E4143" t="str">
            <v>1|13001|1|1</v>
          </cell>
        </row>
        <row r="4144">
          <cell r="A4144">
            <v>56037</v>
          </cell>
          <cell r="B4144">
            <v>0</v>
          </cell>
          <cell r="C4144" t="str">
            <v>[]</v>
          </cell>
          <cell r="D4144" t="str">
            <v>全服BOSS奖励-157级</v>
          </cell>
          <cell r="E4144" t="str">
            <v>1|13001|1|1</v>
          </cell>
        </row>
        <row r="4145">
          <cell r="A4145">
            <v>56038</v>
          </cell>
          <cell r="B4145">
            <v>0</v>
          </cell>
          <cell r="C4145" t="str">
            <v>[]</v>
          </cell>
          <cell r="D4145" t="str">
            <v>全服BOSS奖励-158级</v>
          </cell>
          <cell r="E4145" t="str">
            <v>1|13001|1|1</v>
          </cell>
        </row>
        <row r="4146">
          <cell r="A4146">
            <v>56039</v>
          </cell>
          <cell r="B4146">
            <v>0</v>
          </cell>
          <cell r="C4146" t="str">
            <v>[]</v>
          </cell>
          <cell r="D4146" t="str">
            <v>全服BOSS奖励-159级</v>
          </cell>
          <cell r="E4146" t="str">
            <v>1|13001|1|1</v>
          </cell>
        </row>
        <row r="4147">
          <cell r="A4147">
            <v>56040</v>
          </cell>
          <cell r="B4147">
            <v>0</v>
          </cell>
          <cell r="C4147" t="str">
            <v>[]</v>
          </cell>
          <cell r="D4147" t="str">
            <v>全服BOSS奖励-160级</v>
          </cell>
          <cell r="E4147" t="str">
            <v>1|13001|1|1</v>
          </cell>
        </row>
        <row r="4148">
          <cell r="A4148">
            <v>56041</v>
          </cell>
          <cell r="B4148">
            <v>0</v>
          </cell>
          <cell r="C4148" t="str">
            <v>[]</v>
          </cell>
          <cell r="D4148" t="str">
            <v>全服BOSS奖励-161级</v>
          </cell>
          <cell r="E4148" t="str">
            <v>1|13001|1|1</v>
          </cell>
        </row>
        <row r="4149">
          <cell r="A4149">
            <v>56042</v>
          </cell>
          <cell r="B4149">
            <v>0</v>
          </cell>
          <cell r="C4149" t="str">
            <v>[]</v>
          </cell>
          <cell r="D4149" t="str">
            <v>全服BOSS奖励-162级</v>
          </cell>
          <cell r="E4149" t="str">
            <v>1|13001|1|1</v>
          </cell>
        </row>
        <row r="4150">
          <cell r="A4150">
            <v>56043</v>
          </cell>
          <cell r="B4150">
            <v>0</v>
          </cell>
          <cell r="C4150" t="str">
            <v>[]</v>
          </cell>
          <cell r="D4150" t="str">
            <v>全服BOSS奖励-163级</v>
          </cell>
          <cell r="E4150" t="str">
            <v>1|13001|1|1</v>
          </cell>
        </row>
        <row r="4151">
          <cell r="A4151">
            <v>56044</v>
          </cell>
          <cell r="B4151">
            <v>0</v>
          </cell>
          <cell r="C4151" t="str">
            <v>[]</v>
          </cell>
          <cell r="D4151" t="str">
            <v>全服BOSS奖励-164级</v>
          </cell>
          <cell r="E4151" t="str">
            <v>1|13001|1|1</v>
          </cell>
        </row>
        <row r="4152">
          <cell r="A4152">
            <v>56045</v>
          </cell>
          <cell r="B4152">
            <v>0</v>
          </cell>
          <cell r="C4152" t="str">
            <v>[]</v>
          </cell>
          <cell r="D4152" t="str">
            <v>全服BOSS奖励-165级</v>
          </cell>
          <cell r="E4152" t="str">
            <v>1|13001|1|1</v>
          </cell>
        </row>
        <row r="4153">
          <cell r="A4153">
            <v>56046</v>
          </cell>
          <cell r="B4153">
            <v>0</v>
          </cell>
          <cell r="C4153" t="str">
            <v>[]</v>
          </cell>
          <cell r="D4153" t="str">
            <v>全服BOSS奖励-166级</v>
          </cell>
          <cell r="E4153" t="str">
            <v>1|13001|1|1</v>
          </cell>
        </row>
        <row r="4154">
          <cell r="A4154">
            <v>56047</v>
          </cell>
          <cell r="B4154">
            <v>0</v>
          </cell>
          <cell r="C4154" t="str">
            <v>[]</v>
          </cell>
          <cell r="D4154" t="str">
            <v>全服BOSS奖励-167级</v>
          </cell>
          <cell r="E4154" t="str">
            <v>1|13001|1|1</v>
          </cell>
        </row>
        <row r="4155">
          <cell r="A4155">
            <v>56048</v>
          </cell>
          <cell r="B4155">
            <v>0</v>
          </cell>
          <cell r="C4155" t="str">
            <v>[]</v>
          </cell>
          <cell r="D4155" t="str">
            <v>全服BOSS奖励-168级</v>
          </cell>
          <cell r="E4155" t="str">
            <v>1|13001|1|1</v>
          </cell>
        </row>
        <row r="4156">
          <cell r="A4156">
            <v>56049</v>
          </cell>
          <cell r="B4156">
            <v>0</v>
          </cell>
          <cell r="C4156" t="str">
            <v>[]</v>
          </cell>
          <cell r="D4156" t="str">
            <v>全服BOSS奖励-169级</v>
          </cell>
          <cell r="E4156" t="str">
            <v>1|13001|1|1</v>
          </cell>
        </row>
        <row r="4157">
          <cell r="A4157">
            <v>56050</v>
          </cell>
          <cell r="B4157">
            <v>0</v>
          </cell>
          <cell r="C4157" t="str">
            <v>[]</v>
          </cell>
          <cell r="D4157" t="str">
            <v>全服BOSS奖励-170级</v>
          </cell>
          <cell r="E4157" t="str">
            <v>1|13001|1|1</v>
          </cell>
        </row>
        <row r="4158">
          <cell r="A4158">
            <v>56051</v>
          </cell>
          <cell r="B4158">
            <v>0</v>
          </cell>
          <cell r="C4158" t="str">
            <v>[]</v>
          </cell>
          <cell r="D4158" t="str">
            <v>全服BOSS奖励-171级</v>
          </cell>
          <cell r="E4158" t="str">
            <v>1|13001|1|1</v>
          </cell>
        </row>
        <row r="4159">
          <cell r="A4159">
            <v>56052</v>
          </cell>
          <cell r="B4159">
            <v>0</v>
          </cell>
          <cell r="C4159" t="str">
            <v>[]</v>
          </cell>
          <cell r="D4159" t="str">
            <v>全服BOSS奖励-172级</v>
          </cell>
          <cell r="E4159" t="str">
            <v>1|13001|1|1</v>
          </cell>
        </row>
        <row r="4160">
          <cell r="A4160">
            <v>56053</v>
          </cell>
          <cell r="B4160">
            <v>0</v>
          </cell>
          <cell r="C4160" t="str">
            <v>[]</v>
          </cell>
          <cell r="D4160" t="str">
            <v>全服BOSS奖励-173级</v>
          </cell>
          <cell r="E4160" t="str">
            <v>1|13001|1|1</v>
          </cell>
        </row>
        <row r="4161">
          <cell r="A4161">
            <v>56054</v>
          </cell>
          <cell r="B4161">
            <v>0</v>
          </cell>
          <cell r="C4161" t="str">
            <v>[]</v>
          </cell>
          <cell r="D4161" t="str">
            <v>全服BOSS奖励-174级</v>
          </cell>
          <cell r="E4161" t="str">
            <v>1|13001|1|1</v>
          </cell>
        </row>
        <row r="4162">
          <cell r="A4162">
            <v>56055</v>
          </cell>
          <cell r="B4162">
            <v>0</v>
          </cell>
          <cell r="C4162" t="str">
            <v>[]</v>
          </cell>
          <cell r="D4162" t="str">
            <v>全服BOSS奖励-175级</v>
          </cell>
          <cell r="E4162" t="str">
            <v>1|13001|1|1</v>
          </cell>
        </row>
        <row r="4163">
          <cell r="A4163">
            <v>56056</v>
          </cell>
          <cell r="B4163">
            <v>0</v>
          </cell>
          <cell r="C4163" t="str">
            <v>[]</v>
          </cell>
          <cell r="D4163" t="str">
            <v>全服BOSS奖励-176级</v>
          </cell>
          <cell r="E4163" t="str">
            <v>1|13001|1|1</v>
          </cell>
        </row>
        <row r="4164">
          <cell r="A4164">
            <v>56057</v>
          </cell>
          <cell r="B4164">
            <v>0</v>
          </cell>
          <cell r="C4164" t="str">
            <v>[]</v>
          </cell>
          <cell r="D4164" t="str">
            <v>全服BOSS奖励-177级</v>
          </cell>
          <cell r="E4164" t="str">
            <v>1|13001|1|1</v>
          </cell>
        </row>
        <row r="4165">
          <cell r="A4165">
            <v>56058</v>
          </cell>
          <cell r="B4165">
            <v>0</v>
          </cell>
          <cell r="C4165" t="str">
            <v>[]</v>
          </cell>
          <cell r="D4165" t="str">
            <v>全服BOSS奖励-178级</v>
          </cell>
          <cell r="E4165" t="str">
            <v>1|13001|1|1</v>
          </cell>
        </row>
        <row r="4166">
          <cell r="A4166">
            <v>56059</v>
          </cell>
          <cell r="B4166">
            <v>0</v>
          </cell>
          <cell r="C4166" t="str">
            <v>[]</v>
          </cell>
          <cell r="D4166" t="str">
            <v>全服BOSS奖励-179级</v>
          </cell>
          <cell r="E4166" t="str">
            <v>1|13001|1|1</v>
          </cell>
        </row>
        <row r="4167">
          <cell r="A4167">
            <v>56060</v>
          </cell>
          <cell r="B4167">
            <v>0</v>
          </cell>
          <cell r="C4167" t="str">
            <v>[]</v>
          </cell>
          <cell r="D4167" t="str">
            <v>全服BOSS奖励-180级</v>
          </cell>
          <cell r="E4167" t="str">
            <v>1|13001|1|1</v>
          </cell>
        </row>
        <row r="4168">
          <cell r="A4168">
            <v>56061</v>
          </cell>
          <cell r="B4168">
            <v>0</v>
          </cell>
          <cell r="C4168" t="str">
            <v>[]</v>
          </cell>
          <cell r="D4168" t="str">
            <v>全服BOSS奖励-181级</v>
          </cell>
          <cell r="E4168" t="str">
            <v>1|13001|1|1</v>
          </cell>
        </row>
        <row r="4169">
          <cell r="A4169">
            <v>56062</v>
          </cell>
          <cell r="B4169">
            <v>0</v>
          </cell>
          <cell r="C4169" t="str">
            <v>[]</v>
          </cell>
          <cell r="D4169" t="str">
            <v>全服BOSS奖励-182级</v>
          </cell>
          <cell r="E4169" t="str">
            <v>1|13001|1|1</v>
          </cell>
        </row>
        <row r="4170">
          <cell r="A4170">
            <v>56063</v>
          </cell>
          <cell r="B4170">
            <v>0</v>
          </cell>
          <cell r="C4170" t="str">
            <v>[]</v>
          </cell>
          <cell r="D4170" t="str">
            <v>全服BOSS奖励-183级</v>
          </cell>
          <cell r="E4170" t="str">
            <v>1|13001|1|1</v>
          </cell>
        </row>
        <row r="4171">
          <cell r="A4171">
            <v>56064</v>
          </cell>
          <cell r="B4171">
            <v>0</v>
          </cell>
          <cell r="C4171" t="str">
            <v>[]</v>
          </cell>
          <cell r="D4171" t="str">
            <v>全服BOSS奖励-184级</v>
          </cell>
          <cell r="E4171" t="str">
            <v>1|13001|1|1</v>
          </cell>
        </row>
        <row r="4172">
          <cell r="A4172">
            <v>56065</v>
          </cell>
          <cell r="B4172">
            <v>0</v>
          </cell>
          <cell r="C4172" t="str">
            <v>[]</v>
          </cell>
          <cell r="D4172" t="str">
            <v>全服BOSS奖励-185级</v>
          </cell>
          <cell r="E4172" t="str">
            <v>1|13001|1|1</v>
          </cell>
        </row>
        <row r="4173">
          <cell r="A4173">
            <v>56066</v>
          </cell>
          <cell r="B4173">
            <v>0</v>
          </cell>
          <cell r="C4173" t="str">
            <v>[]</v>
          </cell>
          <cell r="D4173" t="str">
            <v>全服BOSS奖励-186级</v>
          </cell>
          <cell r="E4173" t="str">
            <v>1|13001|1|1</v>
          </cell>
        </row>
        <row r="4174">
          <cell r="A4174">
            <v>56067</v>
          </cell>
          <cell r="B4174">
            <v>0</v>
          </cell>
          <cell r="C4174" t="str">
            <v>[]</v>
          </cell>
          <cell r="D4174" t="str">
            <v>全服BOSS奖励-187级</v>
          </cell>
          <cell r="E4174" t="str">
            <v>1|13001|1|1</v>
          </cell>
        </row>
        <row r="4175">
          <cell r="A4175">
            <v>56068</v>
          </cell>
          <cell r="B4175">
            <v>0</v>
          </cell>
          <cell r="C4175" t="str">
            <v>[]</v>
          </cell>
          <cell r="D4175" t="str">
            <v>全服BOSS奖励-188级</v>
          </cell>
          <cell r="E4175" t="str">
            <v>1|13001|1|1</v>
          </cell>
        </row>
        <row r="4176">
          <cell r="A4176">
            <v>56069</v>
          </cell>
          <cell r="B4176">
            <v>0</v>
          </cell>
          <cell r="C4176" t="str">
            <v>[]</v>
          </cell>
          <cell r="D4176" t="str">
            <v>全服BOSS奖励-189级</v>
          </cell>
          <cell r="E4176" t="str">
            <v>1|13001|1|1</v>
          </cell>
        </row>
        <row r="4177">
          <cell r="A4177">
            <v>56070</v>
          </cell>
          <cell r="B4177">
            <v>0</v>
          </cell>
          <cell r="C4177" t="str">
            <v>[]</v>
          </cell>
          <cell r="D4177" t="str">
            <v>全服BOSS奖励-190级</v>
          </cell>
          <cell r="E4177" t="str">
            <v>1|13001|1|1</v>
          </cell>
        </row>
        <row r="4178">
          <cell r="A4178">
            <v>56071</v>
          </cell>
          <cell r="B4178">
            <v>0</v>
          </cell>
          <cell r="C4178" t="str">
            <v>[]</v>
          </cell>
          <cell r="D4178" t="str">
            <v>全服BOSS奖励-191级</v>
          </cell>
          <cell r="E4178" t="str">
            <v>1|13001|1|1</v>
          </cell>
        </row>
        <row r="4179">
          <cell r="A4179">
            <v>56072</v>
          </cell>
          <cell r="B4179">
            <v>0</v>
          </cell>
          <cell r="C4179" t="str">
            <v>[]</v>
          </cell>
          <cell r="D4179" t="str">
            <v>全服BOSS奖励-192级</v>
          </cell>
          <cell r="E4179" t="str">
            <v>1|13001|1|1</v>
          </cell>
        </row>
        <row r="4180">
          <cell r="A4180">
            <v>56073</v>
          </cell>
          <cell r="B4180">
            <v>0</v>
          </cell>
          <cell r="C4180" t="str">
            <v>[]</v>
          </cell>
          <cell r="D4180" t="str">
            <v>全服BOSS奖励-193级</v>
          </cell>
          <cell r="E4180" t="str">
            <v>1|13001|1|1</v>
          </cell>
        </row>
        <row r="4181">
          <cell r="A4181">
            <v>56074</v>
          </cell>
          <cell r="B4181">
            <v>0</v>
          </cell>
          <cell r="C4181" t="str">
            <v>[]</v>
          </cell>
          <cell r="D4181" t="str">
            <v>全服BOSS奖励-194级</v>
          </cell>
          <cell r="E4181" t="str">
            <v>1|13001|1|1</v>
          </cell>
        </row>
        <row r="4182">
          <cell r="A4182">
            <v>56075</v>
          </cell>
          <cell r="B4182">
            <v>0</v>
          </cell>
          <cell r="C4182" t="str">
            <v>[]</v>
          </cell>
          <cell r="D4182" t="str">
            <v>全服BOSS奖励-195级</v>
          </cell>
          <cell r="E4182" t="str">
            <v>1|13001|1|1</v>
          </cell>
        </row>
        <row r="4183">
          <cell r="A4183">
            <v>56076</v>
          </cell>
          <cell r="B4183">
            <v>0</v>
          </cell>
          <cell r="C4183" t="str">
            <v>[]</v>
          </cell>
          <cell r="D4183" t="str">
            <v>全服BOSS奖励-196级</v>
          </cell>
          <cell r="E4183" t="str">
            <v>1|13001|1|1</v>
          </cell>
        </row>
        <row r="4184">
          <cell r="A4184">
            <v>56077</v>
          </cell>
          <cell r="B4184">
            <v>0</v>
          </cell>
          <cell r="C4184" t="str">
            <v>[]</v>
          </cell>
          <cell r="D4184" t="str">
            <v>全服BOSS奖励-197级</v>
          </cell>
          <cell r="E4184" t="str">
            <v>1|13001|1|1</v>
          </cell>
        </row>
        <row r="4185">
          <cell r="A4185">
            <v>56078</v>
          </cell>
          <cell r="B4185">
            <v>0</v>
          </cell>
          <cell r="C4185" t="str">
            <v>[]</v>
          </cell>
          <cell r="D4185" t="str">
            <v>全服BOSS奖励-198级</v>
          </cell>
          <cell r="E4185" t="str">
            <v>1|13001|1|1</v>
          </cell>
        </row>
        <row r="4186">
          <cell r="A4186">
            <v>56079</v>
          </cell>
          <cell r="B4186">
            <v>0</v>
          </cell>
          <cell r="C4186" t="str">
            <v>[]</v>
          </cell>
          <cell r="D4186" t="str">
            <v>全服BOSS奖励-199级</v>
          </cell>
          <cell r="E4186" t="str">
            <v>1|13001|1|1</v>
          </cell>
        </row>
        <row r="4187">
          <cell r="A4187">
            <v>56080</v>
          </cell>
          <cell r="B4187">
            <v>0</v>
          </cell>
          <cell r="C4187" t="str">
            <v>[]</v>
          </cell>
          <cell r="D4187" t="str">
            <v>全服BOSS奖励-200级</v>
          </cell>
          <cell r="E4187" t="str">
            <v>1|13001|1|1</v>
          </cell>
        </row>
        <row r="4188">
          <cell r="A4188">
            <v>56081</v>
          </cell>
          <cell r="B4188">
            <v>0</v>
          </cell>
          <cell r="C4188" t="str">
            <v>[]</v>
          </cell>
          <cell r="D4188" t="str">
            <v>全服BOSS奖励-201级</v>
          </cell>
          <cell r="E4188" t="str">
            <v>1|13001|1|1</v>
          </cell>
        </row>
        <row r="4189">
          <cell r="A4189">
            <v>56082</v>
          </cell>
          <cell r="B4189">
            <v>0</v>
          </cell>
          <cell r="C4189" t="str">
            <v>[]</v>
          </cell>
          <cell r="D4189" t="str">
            <v>全服BOSS奖励-202级</v>
          </cell>
          <cell r="E4189" t="str">
            <v>1|13001|1|1</v>
          </cell>
        </row>
        <row r="4190">
          <cell r="A4190">
            <v>56083</v>
          </cell>
          <cell r="B4190">
            <v>0</v>
          </cell>
          <cell r="C4190" t="str">
            <v>[]</v>
          </cell>
          <cell r="D4190" t="str">
            <v>全服BOSS奖励-203级</v>
          </cell>
          <cell r="E4190" t="str">
            <v>1|13001|1|1</v>
          </cell>
        </row>
        <row r="4191">
          <cell r="A4191">
            <v>56084</v>
          </cell>
          <cell r="B4191">
            <v>0</v>
          </cell>
          <cell r="C4191" t="str">
            <v>[]</v>
          </cell>
          <cell r="D4191" t="str">
            <v>全服BOSS奖励-204级</v>
          </cell>
          <cell r="E4191" t="str">
            <v>1|13001|1|1</v>
          </cell>
        </row>
        <row r="4192">
          <cell r="A4192">
            <v>56085</v>
          </cell>
          <cell r="B4192">
            <v>0</v>
          </cell>
          <cell r="C4192" t="str">
            <v>[]</v>
          </cell>
          <cell r="D4192" t="str">
            <v>全服BOSS奖励-205级</v>
          </cell>
          <cell r="E4192" t="str">
            <v>1|13001|1|1</v>
          </cell>
        </row>
        <row r="4193">
          <cell r="A4193">
            <v>56086</v>
          </cell>
          <cell r="B4193">
            <v>0</v>
          </cell>
          <cell r="C4193" t="str">
            <v>[]</v>
          </cell>
          <cell r="D4193" t="str">
            <v>全服BOSS奖励-206级</v>
          </cell>
          <cell r="E4193" t="str">
            <v>1|13001|1|1</v>
          </cell>
        </row>
        <row r="4194">
          <cell r="A4194">
            <v>56087</v>
          </cell>
          <cell r="B4194">
            <v>0</v>
          </cell>
          <cell r="C4194" t="str">
            <v>[]</v>
          </cell>
          <cell r="D4194" t="str">
            <v>全服BOSS奖励-207级</v>
          </cell>
          <cell r="E4194" t="str">
            <v>1|13001|1|1</v>
          </cell>
        </row>
        <row r="4195">
          <cell r="A4195">
            <v>56088</v>
          </cell>
          <cell r="B4195">
            <v>0</v>
          </cell>
          <cell r="C4195" t="str">
            <v>[]</v>
          </cell>
          <cell r="D4195" t="str">
            <v>全服BOSS奖励-208级</v>
          </cell>
          <cell r="E4195" t="str">
            <v>1|13001|1|1</v>
          </cell>
        </row>
        <row r="4196">
          <cell r="A4196">
            <v>56089</v>
          </cell>
          <cell r="B4196">
            <v>0</v>
          </cell>
          <cell r="C4196" t="str">
            <v>[]</v>
          </cell>
          <cell r="D4196" t="str">
            <v>全服BOSS奖励-209级</v>
          </cell>
          <cell r="E4196" t="str">
            <v>1|13001|1|1</v>
          </cell>
        </row>
        <row r="4197">
          <cell r="A4197">
            <v>56090</v>
          </cell>
          <cell r="B4197">
            <v>0</v>
          </cell>
          <cell r="C4197" t="str">
            <v>[]</v>
          </cell>
          <cell r="D4197" t="str">
            <v>全服BOSS奖励-210级</v>
          </cell>
          <cell r="E4197" t="str">
            <v>1|13001|1|1</v>
          </cell>
        </row>
        <row r="4198">
          <cell r="A4198">
            <v>56091</v>
          </cell>
          <cell r="B4198">
            <v>0</v>
          </cell>
          <cell r="C4198" t="str">
            <v>[]</v>
          </cell>
          <cell r="D4198" t="str">
            <v>全服BOSS奖励-211级</v>
          </cell>
          <cell r="E4198" t="str">
            <v>1|13001|1|1</v>
          </cell>
        </row>
        <row r="4199">
          <cell r="A4199">
            <v>56092</v>
          </cell>
          <cell r="B4199">
            <v>0</v>
          </cell>
          <cell r="C4199" t="str">
            <v>[]</v>
          </cell>
          <cell r="D4199" t="str">
            <v>全服BOSS奖励-212级</v>
          </cell>
          <cell r="E4199" t="str">
            <v>1|13001|1|1</v>
          </cell>
        </row>
        <row r="4200">
          <cell r="A4200">
            <v>56093</v>
          </cell>
          <cell r="B4200">
            <v>0</v>
          </cell>
          <cell r="C4200" t="str">
            <v>[]</v>
          </cell>
          <cell r="D4200" t="str">
            <v>全服BOSS奖励-213级</v>
          </cell>
          <cell r="E4200" t="str">
            <v>1|13001|1|1</v>
          </cell>
        </row>
        <row r="4201">
          <cell r="A4201">
            <v>56094</v>
          </cell>
          <cell r="B4201">
            <v>0</v>
          </cell>
          <cell r="C4201" t="str">
            <v>[]</v>
          </cell>
          <cell r="D4201" t="str">
            <v>全服BOSS奖励-214级</v>
          </cell>
          <cell r="E4201" t="str">
            <v>1|13001|1|1</v>
          </cell>
        </row>
        <row r="4202">
          <cell r="A4202">
            <v>56095</v>
          </cell>
          <cell r="B4202">
            <v>0</v>
          </cell>
          <cell r="C4202" t="str">
            <v>[]</v>
          </cell>
          <cell r="D4202" t="str">
            <v>全服BOSS奖励-215级</v>
          </cell>
          <cell r="E4202" t="str">
            <v>1|13001|1|1</v>
          </cell>
        </row>
        <row r="4203">
          <cell r="A4203">
            <v>56096</v>
          </cell>
          <cell r="B4203">
            <v>0</v>
          </cell>
          <cell r="C4203" t="str">
            <v>[]</v>
          </cell>
          <cell r="D4203" t="str">
            <v>全服BOSS奖励-216级</v>
          </cell>
          <cell r="E4203" t="str">
            <v>1|13001|1|1</v>
          </cell>
        </row>
        <row r="4204">
          <cell r="A4204">
            <v>56097</v>
          </cell>
          <cell r="B4204">
            <v>0</v>
          </cell>
          <cell r="C4204" t="str">
            <v>[]</v>
          </cell>
          <cell r="D4204" t="str">
            <v>全服BOSS奖励-217级</v>
          </cell>
          <cell r="E4204" t="str">
            <v>1|13001|1|1</v>
          </cell>
        </row>
        <row r="4205">
          <cell r="A4205">
            <v>56098</v>
          </cell>
          <cell r="B4205">
            <v>0</v>
          </cell>
          <cell r="C4205" t="str">
            <v>[]</v>
          </cell>
          <cell r="D4205" t="str">
            <v>全服BOSS奖励-218级</v>
          </cell>
          <cell r="E4205" t="str">
            <v>1|13001|1|1</v>
          </cell>
        </row>
        <row r="4206">
          <cell r="A4206">
            <v>56099</v>
          </cell>
          <cell r="B4206">
            <v>0</v>
          </cell>
          <cell r="C4206" t="str">
            <v>[]</v>
          </cell>
          <cell r="D4206" t="str">
            <v>全服BOSS奖励-219级</v>
          </cell>
          <cell r="E4206" t="str">
            <v>1|13001|1|1</v>
          </cell>
        </row>
        <row r="4207">
          <cell r="A4207">
            <v>56100</v>
          </cell>
          <cell r="B4207">
            <v>0</v>
          </cell>
          <cell r="C4207" t="str">
            <v>[]</v>
          </cell>
          <cell r="D4207" t="str">
            <v>全服BOSS奖励-220级</v>
          </cell>
          <cell r="E4207" t="str">
            <v>1|13001|1|1</v>
          </cell>
        </row>
        <row r="4208">
          <cell r="A4208">
            <v>56101</v>
          </cell>
          <cell r="B4208">
            <v>0</v>
          </cell>
          <cell r="C4208" t="str">
            <v>[]</v>
          </cell>
          <cell r="D4208" t="str">
            <v>全服BOSS奖励-221级</v>
          </cell>
          <cell r="E4208" t="str">
            <v>1|13001|1|1</v>
          </cell>
        </row>
        <row r="4209">
          <cell r="A4209">
            <v>56102</v>
          </cell>
          <cell r="B4209">
            <v>0</v>
          </cell>
          <cell r="C4209" t="str">
            <v>[]</v>
          </cell>
          <cell r="D4209" t="str">
            <v>全服BOSS奖励-222级</v>
          </cell>
          <cell r="E4209" t="str">
            <v>1|13001|1|1</v>
          </cell>
        </row>
        <row r="4210">
          <cell r="A4210">
            <v>56103</v>
          </cell>
          <cell r="B4210">
            <v>0</v>
          </cell>
          <cell r="C4210" t="str">
            <v>[]</v>
          </cell>
          <cell r="D4210" t="str">
            <v>全服BOSS奖励-223级</v>
          </cell>
          <cell r="E4210" t="str">
            <v>1|13001|1|1</v>
          </cell>
        </row>
        <row r="4211">
          <cell r="A4211">
            <v>56104</v>
          </cell>
          <cell r="B4211">
            <v>0</v>
          </cell>
          <cell r="C4211" t="str">
            <v>[]</v>
          </cell>
          <cell r="D4211" t="str">
            <v>全服BOSS奖励-224级</v>
          </cell>
          <cell r="E4211" t="str">
            <v>1|13001|1|1</v>
          </cell>
        </row>
        <row r="4212">
          <cell r="A4212">
            <v>56105</v>
          </cell>
          <cell r="B4212">
            <v>0</v>
          </cell>
          <cell r="C4212" t="str">
            <v>[]</v>
          </cell>
          <cell r="D4212" t="str">
            <v>全服BOSS奖励-225级</v>
          </cell>
          <cell r="E4212" t="str">
            <v>1|13001|1|1</v>
          </cell>
        </row>
        <row r="4213">
          <cell r="A4213">
            <v>56106</v>
          </cell>
          <cell r="B4213">
            <v>0</v>
          </cell>
          <cell r="C4213" t="str">
            <v>[]</v>
          </cell>
          <cell r="D4213" t="str">
            <v>全服BOSS奖励-226级</v>
          </cell>
          <cell r="E4213" t="str">
            <v>1|13001|1|1</v>
          </cell>
        </row>
        <row r="4214">
          <cell r="A4214">
            <v>56107</v>
          </cell>
          <cell r="B4214">
            <v>0</v>
          </cell>
          <cell r="C4214" t="str">
            <v>[]</v>
          </cell>
          <cell r="D4214" t="str">
            <v>全服BOSS奖励-227级</v>
          </cell>
          <cell r="E4214" t="str">
            <v>1|13001|1|1</v>
          </cell>
        </row>
        <row r="4215">
          <cell r="A4215">
            <v>56108</v>
          </cell>
          <cell r="B4215">
            <v>0</v>
          </cell>
          <cell r="C4215" t="str">
            <v>[]</v>
          </cell>
          <cell r="D4215" t="str">
            <v>全服BOSS奖励-228级</v>
          </cell>
          <cell r="E4215" t="str">
            <v>1|13001|1|1</v>
          </cell>
        </row>
        <row r="4216">
          <cell r="A4216">
            <v>56109</v>
          </cell>
          <cell r="B4216">
            <v>0</v>
          </cell>
          <cell r="C4216" t="str">
            <v>[]</v>
          </cell>
          <cell r="D4216" t="str">
            <v>全服BOSS奖励-229级</v>
          </cell>
          <cell r="E4216" t="str">
            <v>1|13001|1|1</v>
          </cell>
        </row>
        <row r="4217">
          <cell r="A4217">
            <v>56110</v>
          </cell>
          <cell r="B4217">
            <v>0</v>
          </cell>
          <cell r="C4217" t="str">
            <v>[]</v>
          </cell>
          <cell r="D4217" t="str">
            <v>全服BOSS奖励-230级</v>
          </cell>
          <cell r="E4217" t="str">
            <v>1|13001|1|1</v>
          </cell>
        </row>
        <row r="4218">
          <cell r="A4218">
            <v>56111</v>
          </cell>
          <cell r="B4218">
            <v>0</v>
          </cell>
          <cell r="C4218" t="str">
            <v>[]</v>
          </cell>
          <cell r="D4218" t="str">
            <v>全服BOSS奖励-231级</v>
          </cell>
          <cell r="E4218" t="str">
            <v>1|13001|1|1</v>
          </cell>
        </row>
        <row r="4219">
          <cell r="A4219">
            <v>56112</v>
          </cell>
          <cell r="B4219">
            <v>0</v>
          </cell>
          <cell r="C4219" t="str">
            <v>[]</v>
          </cell>
          <cell r="D4219" t="str">
            <v>全服BOSS奖励-232级</v>
          </cell>
          <cell r="E4219" t="str">
            <v>1|13001|1|1</v>
          </cell>
        </row>
        <row r="4220">
          <cell r="A4220">
            <v>56113</v>
          </cell>
          <cell r="B4220">
            <v>0</v>
          </cell>
          <cell r="C4220" t="str">
            <v>[]</v>
          </cell>
          <cell r="D4220" t="str">
            <v>全服BOSS奖励-233级</v>
          </cell>
          <cell r="E4220" t="str">
            <v>1|13001|1|1</v>
          </cell>
        </row>
        <row r="4221">
          <cell r="A4221">
            <v>56114</v>
          </cell>
          <cell r="B4221">
            <v>0</v>
          </cell>
          <cell r="C4221" t="str">
            <v>[]</v>
          </cell>
          <cell r="D4221" t="str">
            <v>全服BOSS奖励-234级</v>
          </cell>
          <cell r="E4221" t="str">
            <v>1|13001|1|1</v>
          </cell>
        </row>
        <row r="4222">
          <cell r="A4222">
            <v>56115</v>
          </cell>
          <cell r="B4222">
            <v>0</v>
          </cell>
          <cell r="C4222" t="str">
            <v>[]</v>
          </cell>
          <cell r="D4222" t="str">
            <v>全服BOSS奖励-235级</v>
          </cell>
          <cell r="E4222" t="str">
            <v>1|13001|1|1</v>
          </cell>
        </row>
        <row r="4223">
          <cell r="A4223">
            <v>56116</v>
          </cell>
          <cell r="B4223">
            <v>0</v>
          </cell>
          <cell r="C4223" t="str">
            <v>[]</v>
          </cell>
          <cell r="D4223" t="str">
            <v>全服BOSS奖励-236级</v>
          </cell>
          <cell r="E4223" t="str">
            <v>1|13001|1|1</v>
          </cell>
        </row>
        <row r="4224">
          <cell r="A4224">
            <v>56117</v>
          </cell>
          <cell r="B4224">
            <v>0</v>
          </cell>
          <cell r="C4224" t="str">
            <v>[]</v>
          </cell>
          <cell r="D4224" t="str">
            <v>全服BOSS奖励-237级</v>
          </cell>
          <cell r="E4224" t="str">
            <v>1|13001|1|1</v>
          </cell>
        </row>
        <row r="4225">
          <cell r="A4225">
            <v>56118</v>
          </cell>
          <cell r="B4225">
            <v>0</v>
          </cell>
          <cell r="C4225" t="str">
            <v>[]</v>
          </cell>
          <cell r="D4225" t="str">
            <v>全服BOSS奖励-238级</v>
          </cell>
          <cell r="E4225" t="str">
            <v>1|13001|1|1</v>
          </cell>
        </row>
        <row r="4226">
          <cell r="A4226">
            <v>56119</v>
          </cell>
          <cell r="B4226">
            <v>0</v>
          </cell>
          <cell r="C4226" t="str">
            <v>[]</v>
          </cell>
          <cell r="D4226" t="str">
            <v>全服BOSS奖励-239级</v>
          </cell>
          <cell r="E4226" t="str">
            <v>1|13001|1|1</v>
          </cell>
        </row>
        <row r="4227">
          <cell r="A4227">
            <v>56120</v>
          </cell>
          <cell r="B4227">
            <v>0</v>
          </cell>
          <cell r="C4227" t="str">
            <v>[]</v>
          </cell>
          <cell r="D4227" t="str">
            <v>全服BOSS奖励-240级</v>
          </cell>
          <cell r="E4227" t="str">
            <v>1|13001|1|1</v>
          </cell>
        </row>
        <row r="4228">
          <cell r="A4228">
            <v>57001</v>
          </cell>
          <cell r="B4228">
            <v>0</v>
          </cell>
          <cell r="C4228" t="str">
            <v>4|2|50</v>
          </cell>
          <cell r="D4228" t="str">
            <v>全服BOSS致命一击奖励-20级以下</v>
          </cell>
          <cell r="E4228" t="str">
            <v>4|2|50|1</v>
          </cell>
        </row>
        <row r="4229">
          <cell r="A4229">
            <v>57002</v>
          </cell>
          <cell r="B4229">
            <v>0</v>
          </cell>
          <cell r="C4229" t="str">
            <v>4|2|60</v>
          </cell>
          <cell r="D4229" t="str">
            <v>全服BOSS致命一击奖励-40级以下</v>
          </cell>
          <cell r="E4229" t="str">
            <v>4|2|60|1</v>
          </cell>
        </row>
        <row r="4230">
          <cell r="A4230">
            <v>57003</v>
          </cell>
          <cell r="B4230">
            <v>0</v>
          </cell>
          <cell r="C4230" t="str">
            <v>4|2|70</v>
          </cell>
          <cell r="D4230" t="str">
            <v>全服BOSS致命一击奖励-60级以下</v>
          </cell>
          <cell r="E4230" t="str">
            <v>4|2|70|1</v>
          </cell>
        </row>
        <row r="4231">
          <cell r="A4231">
            <v>57004</v>
          </cell>
          <cell r="B4231">
            <v>0</v>
          </cell>
          <cell r="C4231" t="str">
            <v>4|2|80</v>
          </cell>
          <cell r="D4231" t="str">
            <v>全服BOSS致命一击奖励-80级以下</v>
          </cell>
          <cell r="E4231" t="str">
            <v>4|2|80|1</v>
          </cell>
        </row>
        <row r="4232">
          <cell r="A4232">
            <v>57005</v>
          </cell>
          <cell r="B4232">
            <v>0</v>
          </cell>
          <cell r="C4232" t="str">
            <v>4|2|90</v>
          </cell>
          <cell r="D4232" t="str">
            <v>全服BOSS致命一击奖励-100级以下</v>
          </cell>
          <cell r="E4232" t="str">
            <v>4|2|90|1</v>
          </cell>
        </row>
        <row r="4233">
          <cell r="A4233">
            <v>57006</v>
          </cell>
          <cell r="B4233">
            <v>0</v>
          </cell>
          <cell r="C4233" t="str">
            <v>4|2|100</v>
          </cell>
          <cell r="D4233" t="str">
            <v>全服BOSS致命一击奖励-999级以下</v>
          </cell>
          <cell r="E4233" t="str">
            <v>4|2|100|1</v>
          </cell>
        </row>
        <row r="4234">
          <cell r="A4234">
            <v>57021</v>
          </cell>
          <cell r="B4234">
            <v>0</v>
          </cell>
          <cell r="C4234" t="str">
            <v>1|16005|10</v>
          </cell>
          <cell r="D4234" t="str">
            <v>全服BOSS最后一击奖励-20级以下</v>
          </cell>
          <cell r="E4234" t="str">
            <v>1|16005|10|1</v>
          </cell>
        </row>
        <row r="4235">
          <cell r="A4235">
            <v>57022</v>
          </cell>
          <cell r="B4235">
            <v>0</v>
          </cell>
          <cell r="C4235" t="str">
            <v>1|14201|12</v>
          </cell>
          <cell r="D4235" t="str">
            <v>全服BOSS最后一击奖励-40级以下</v>
          </cell>
          <cell r="E4235" t="str">
            <v>1|14201|12|1</v>
          </cell>
        </row>
        <row r="4236">
          <cell r="A4236">
            <v>57023</v>
          </cell>
          <cell r="B4236">
            <v>0</v>
          </cell>
          <cell r="C4236" t="str">
            <v>1|14106|14</v>
          </cell>
          <cell r="D4236" t="str">
            <v>全服BOSS最后一击奖励-60级以下</v>
          </cell>
          <cell r="E4236" t="str">
            <v>1|14106|14|1</v>
          </cell>
        </row>
        <row r="4237">
          <cell r="A4237">
            <v>57024</v>
          </cell>
          <cell r="B4237">
            <v>0</v>
          </cell>
          <cell r="C4237" t="str">
            <v>1|17001|16</v>
          </cell>
          <cell r="D4237" t="str">
            <v>全服BOSS最后一击奖励-80级以下</v>
          </cell>
          <cell r="E4237" t="str">
            <v>1|17001|16|1</v>
          </cell>
        </row>
        <row r="4238">
          <cell r="A4238">
            <v>57025</v>
          </cell>
          <cell r="B4238">
            <v>0</v>
          </cell>
          <cell r="C4238" t="str">
            <v>1|16005|18</v>
          </cell>
          <cell r="D4238" t="str">
            <v>全服BOSS最后一击奖励-100级以下</v>
          </cell>
          <cell r="E4238" t="str">
            <v>1|16005|18|1</v>
          </cell>
        </row>
        <row r="4239">
          <cell r="A4239">
            <v>57026</v>
          </cell>
          <cell r="B4239">
            <v>0</v>
          </cell>
          <cell r="C4239" t="str">
            <v>1|14201|20</v>
          </cell>
          <cell r="D4239" t="str">
            <v>全服BOSS最后一击奖励-999级以下</v>
          </cell>
          <cell r="E4239" t="str">
            <v>1|14201|20|1</v>
          </cell>
        </row>
        <row r="4240">
          <cell r="A4240">
            <v>58001</v>
          </cell>
          <cell r="B4240">
            <v>0</v>
          </cell>
          <cell r="C4240" t="str">
            <v>4|30|8000,1|16005|200</v>
          </cell>
          <cell r="D4240" t="str">
            <v>全服Boss荣誉排行奖励1</v>
          </cell>
          <cell r="E4240" t="str">
            <v>4|30|8000|1,1|16005|200|1</v>
          </cell>
        </row>
        <row r="4241">
          <cell r="A4241">
            <v>58002</v>
          </cell>
          <cell r="B4241">
            <v>0</v>
          </cell>
          <cell r="C4241" t="str">
            <v>4|30|7000,1|16005|160</v>
          </cell>
          <cell r="D4241" t="str">
            <v>全服Boss荣誉排行奖励2</v>
          </cell>
          <cell r="E4241" t="str">
            <v>4|30|7000|1,1|16005|160|1</v>
          </cell>
        </row>
        <row r="4242">
          <cell r="A4242">
            <v>58003</v>
          </cell>
          <cell r="B4242">
            <v>0</v>
          </cell>
          <cell r="C4242" t="str">
            <v>4|30|6000,1|16005|120</v>
          </cell>
          <cell r="D4242" t="str">
            <v>全服Boss荣誉排行奖励3</v>
          </cell>
          <cell r="E4242" t="str">
            <v>4|30|6000|1,1|16005|120|1</v>
          </cell>
        </row>
        <row r="4243">
          <cell r="A4243">
            <v>58004</v>
          </cell>
          <cell r="B4243">
            <v>0</v>
          </cell>
          <cell r="C4243" t="str">
            <v>4|30|5500,1|16005|100</v>
          </cell>
          <cell r="D4243" t="str">
            <v>全服Boss荣誉排行奖励4</v>
          </cell>
          <cell r="E4243" t="str">
            <v>4|30|5500|1,1|16005|100|1</v>
          </cell>
        </row>
        <row r="4244">
          <cell r="A4244">
            <v>58005</v>
          </cell>
          <cell r="B4244">
            <v>0</v>
          </cell>
          <cell r="C4244" t="str">
            <v>4|30|5000,1|16005|95</v>
          </cell>
          <cell r="D4244" t="str">
            <v>全服Boss荣誉排行奖励5</v>
          </cell>
          <cell r="E4244" t="str">
            <v>4|30|5000|1,1|16005|95|1</v>
          </cell>
        </row>
        <row r="4245">
          <cell r="A4245">
            <v>58006</v>
          </cell>
          <cell r="B4245">
            <v>0</v>
          </cell>
          <cell r="C4245" t="str">
            <v>4|30|4700,1|16005|90</v>
          </cell>
          <cell r="D4245" t="str">
            <v>全服Boss荣誉排行奖励6</v>
          </cell>
          <cell r="E4245" t="str">
            <v>4|30|4700|1,1|16005|90|1</v>
          </cell>
        </row>
        <row r="4246">
          <cell r="A4246">
            <v>58007</v>
          </cell>
          <cell r="B4246">
            <v>0</v>
          </cell>
          <cell r="C4246" t="str">
            <v>4|30|4400,1|16005|85</v>
          </cell>
          <cell r="D4246" t="str">
            <v>全服Boss荣誉排行奖励7</v>
          </cell>
          <cell r="E4246" t="str">
            <v>4|30|4400|1,1|16005|85|1</v>
          </cell>
        </row>
        <row r="4247">
          <cell r="A4247">
            <v>58008</v>
          </cell>
          <cell r="B4247">
            <v>0</v>
          </cell>
          <cell r="C4247" t="str">
            <v>4|30|4100,1|16005|80</v>
          </cell>
          <cell r="D4247" t="str">
            <v>全服Boss荣誉排行奖励8</v>
          </cell>
          <cell r="E4247" t="str">
            <v>4|30|4100|1,1|16005|80|1</v>
          </cell>
        </row>
        <row r="4248">
          <cell r="A4248">
            <v>58009</v>
          </cell>
          <cell r="B4248">
            <v>0</v>
          </cell>
          <cell r="C4248" t="str">
            <v>4|30|3800,1|16005|75</v>
          </cell>
          <cell r="D4248" t="str">
            <v>全服Boss荣誉排行奖励9</v>
          </cell>
          <cell r="E4248" t="str">
            <v>4|30|3800|1,1|16005|75|1</v>
          </cell>
        </row>
        <row r="4249">
          <cell r="A4249">
            <v>58010</v>
          </cell>
          <cell r="B4249">
            <v>0</v>
          </cell>
          <cell r="C4249" t="str">
            <v>4|30|3600,1|16005|70</v>
          </cell>
          <cell r="D4249" t="str">
            <v>全服Boss荣誉排行奖励10</v>
          </cell>
          <cell r="E4249" t="str">
            <v>4|30|3600|1,1|16005|70|1</v>
          </cell>
        </row>
        <row r="4250">
          <cell r="A4250">
            <v>58011</v>
          </cell>
          <cell r="B4250">
            <v>0</v>
          </cell>
          <cell r="C4250" t="str">
            <v>4|30|3400,1|16005|65</v>
          </cell>
          <cell r="D4250" t="str">
            <v>全服Boss荣誉排行奖励11</v>
          </cell>
          <cell r="E4250" t="str">
            <v>4|30|3400|1,1|16005|65|1</v>
          </cell>
        </row>
        <row r="4251">
          <cell r="A4251">
            <v>58012</v>
          </cell>
          <cell r="B4251">
            <v>0</v>
          </cell>
          <cell r="C4251" t="str">
            <v>4|30|3200,1|16005|60</v>
          </cell>
          <cell r="D4251" t="str">
            <v>全服Boss荣誉排行奖励12</v>
          </cell>
          <cell r="E4251" t="str">
            <v>4|30|3200|1,1|16005|60|1</v>
          </cell>
        </row>
        <row r="4252">
          <cell r="A4252">
            <v>58013</v>
          </cell>
          <cell r="B4252">
            <v>0</v>
          </cell>
          <cell r="C4252" t="str">
            <v>4|30|3000,1|16005|55</v>
          </cell>
          <cell r="D4252" t="str">
            <v>全服Boss荣誉排行奖励13</v>
          </cell>
          <cell r="E4252" t="str">
            <v>4|30|3000|1,1|16005|55|1</v>
          </cell>
        </row>
        <row r="4253">
          <cell r="A4253">
            <v>58014</v>
          </cell>
          <cell r="B4253">
            <v>0</v>
          </cell>
          <cell r="C4253" t="str">
            <v>4|30|2800,1|16005|50</v>
          </cell>
          <cell r="D4253" t="str">
            <v>全服Boss荣誉排行奖励14</v>
          </cell>
          <cell r="E4253" t="str">
            <v>4|30|2800|1,1|16005|50|1</v>
          </cell>
        </row>
        <row r="4254">
          <cell r="A4254">
            <v>58015</v>
          </cell>
          <cell r="B4254">
            <v>0</v>
          </cell>
          <cell r="C4254" t="str">
            <v>4|30|2600,1|16005|45</v>
          </cell>
          <cell r="D4254" t="str">
            <v>全服Boss荣誉排行奖励15</v>
          </cell>
          <cell r="E4254" t="str">
            <v>4|30|2600|1,1|16005|45|1</v>
          </cell>
        </row>
        <row r="4255">
          <cell r="A4255">
            <v>58016</v>
          </cell>
          <cell r="B4255">
            <v>0</v>
          </cell>
          <cell r="C4255" t="str">
            <v>4|30|2400,1|16005|40</v>
          </cell>
          <cell r="D4255" t="str">
            <v>全服Boss荣誉排行奖励16</v>
          </cell>
          <cell r="E4255" t="str">
            <v>4|30|2400|1,1|16005|40|1</v>
          </cell>
        </row>
        <row r="4256">
          <cell r="A4256">
            <v>58017</v>
          </cell>
          <cell r="B4256">
            <v>0</v>
          </cell>
          <cell r="C4256" t="str">
            <v>4|30|2300,1|16005|35</v>
          </cell>
          <cell r="D4256" t="str">
            <v>全服Boss荣誉排行奖励17</v>
          </cell>
          <cell r="E4256" t="str">
            <v>4|30|2300|1,1|16005|35|1</v>
          </cell>
        </row>
        <row r="4257">
          <cell r="A4257">
            <v>58018</v>
          </cell>
          <cell r="B4257">
            <v>0</v>
          </cell>
          <cell r="C4257" t="str">
            <v>4|30|2200,1|16005|30</v>
          </cell>
          <cell r="D4257" t="str">
            <v>全服Boss荣誉排行奖励18</v>
          </cell>
          <cell r="E4257" t="str">
            <v>4|30|2200|1,1|16005|30|1</v>
          </cell>
        </row>
        <row r="4258">
          <cell r="A4258">
            <v>58019</v>
          </cell>
          <cell r="B4258">
            <v>0</v>
          </cell>
          <cell r="C4258" t="str">
            <v>4|30|2100,1|16005|25</v>
          </cell>
          <cell r="D4258" t="str">
            <v>全服Boss荣誉排行奖励19</v>
          </cell>
          <cell r="E4258" t="str">
            <v>4|30|2100|1,1|16005|25|1</v>
          </cell>
        </row>
        <row r="4259">
          <cell r="A4259">
            <v>58020</v>
          </cell>
          <cell r="B4259">
            <v>0</v>
          </cell>
          <cell r="C4259" t="str">
            <v>4|30|2000,1|16005|20</v>
          </cell>
          <cell r="D4259" t="str">
            <v>全服Boss荣誉排行奖励20</v>
          </cell>
          <cell r="E4259" t="str">
            <v>4|30|2000|1,1|16005|20|1</v>
          </cell>
        </row>
        <row r="4260">
          <cell r="A4260">
            <v>58101</v>
          </cell>
          <cell r="B4260">
            <v>0</v>
          </cell>
          <cell r="C4260" t="str">
            <v>4|37|2000,4|30|1000</v>
          </cell>
          <cell r="D4260" t="str">
            <v>全服Boss本服帮会排行奖励(按累计荣誉)1</v>
          </cell>
          <cell r="E4260" t="str">
            <v>1|14418|1|1</v>
          </cell>
        </row>
        <row r="4261">
          <cell r="A4261">
            <v>58102</v>
          </cell>
          <cell r="B4261">
            <v>0</v>
          </cell>
          <cell r="C4261" t="str">
            <v>4|37|1800,4|30|800</v>
          </cell>
          <cell r="D4261" t="str">
            <v>全服Boss本服帮会排行奖励(按累计荣誉)2</v>
          </cell>
          <cell r="E4261" t="str">
            <v>1|14419|1|1</v>
          </cell>
        </row>
        <row r="4262">
          <cell r="A4262">
            <v>58103</v>
          </cell>
          <cell r="B4262">
            <v>0</v>
          </cell>
          <cell r="C4262" t="str">
            <v>4|37|1800,4|30|800</v>
          </cell>
          <cell r="D4262" t="str">
            <v>全服Boss本服帮会排行奖励(按累计荣誉)3</v>
          </cell>
          <cell r="E4262" t="str">
            <v>1|14420|1|1</v>
          </cell>
        </row>
        <row r="4263">
          <cell r="A4263">
            <v>58104</v>
          </cell>
          <cell r="B4263">
            <v>0</v>
          </cell>
          <cell r="C4263" t="str">
            <v>4|37|1500,4|30|500</v>
          </cell>
          <cell r="D4263" t="str">
            <v>全服Boss本服帮会排行奖励(按累计荣誉)4</v>
          </cell>
          <cell r="E4263" t="str">
            <v>4|37|1500|1,4|30|500|1</v>
          </cell>
        </row>
        <row r="4264">
          <cell r="A4264">
            <v>58105</v>
          </cell>
          <cell r="B4264">
            <v>0</v>
          </cell>
          <cell r="C4264" t="str">
            <v>4|37|1500,4|30|500</v>
          </cell>
          <cell r="D4264" t="str">
            <v>全服Boss本服帮会排行奖励(按累计荣誉)5</v>
          </cell>
          <cell r="E4264" t="str">
            <v>4|37|1500|1,4|30|500|1</v>
          </cell>
        </row>
        <row r="4265">
          <cell r="A4265">
            <v>58106</v>
          </cell>
          <cell r="B4265">
            <v>0</v>
          </cell>
          <cell r="C4265" t="str">
            <v>4|37|1000,4|30|500</v>
          </cell>
          <cell r="D4265" t="str">
            <v>全服Boss本服帮会排行奖励(按累计荣誉)6</v>
          </cell>
          <cell r="E4265" t="str">
            <v>4|37|1000|1,4|30|500|1</v>
          </cell>
        </row>
        <row r="4266">
          <cell r="A4266">
            <v>58107</v>
          </cell>
          <cell r="B4266">
            <v>0</v>
          </cell>
          <cell r="C4266" t="str">
            <v>4|37|1000,4|30|500</v>
          </cell>
          <cell r="D4266" t="str">
            <v>全服Boss本服帮会排行奖励(按累计荣誉)7</v>
          </cell>
          <cell r="E4266" t="str">
            <v>4|37|1000|1,4|30|500|1</v>
          </cell>
        </row>
        <row r="4267">
          <cell r="A4267">
            <v>58108</v>
          </cell>
          <cell r="B4267">
            <v>0</v>
          </cell>
          <cell r="C4267" t="str">
            <v>4|37|1000,4|30|500</v>
          </cell>
          <cell r="D4267" t="str">
            <v>全服Boss本服帮会排行奖励(按累计荣誉)8</v>
          </cell>
          <cell r="E4267" t="str">
            <v>4|37|1000|1,4|30|500|1</v>
          </cell>
        </row>
        <row r="4268">
          <cell r="A4268">
            <v>58109</v>
          </cell>
          <cell r="B4268">
            <v>0</v>
          </cell>
          <cell r="C4268" t="str">
            <v>4|37|1000,4|30|500</v>
          </cell>
          <cell r="D4268" t="str">
            <v>全服Boss本服帮会排行奖励(按累计荣誉)9</v>
          </cell>
          <cell r="E4268" t="str">
            <v>4|37|1000|1,4|30|500|1</v>
          </cell>
        </row>
        <row r="4269">
          <cell r="A4269">
            <v>58110</v>
          </cell>
          <cell r="B4269">
            <v>0</v>
          </cell>
          <cell r="C4269" t="str">
            <v>4|37|1000,4|30|500</v>
          </cell>
          <cell r="D4269" t="str">
            <v>全服Boss本服帮会排行奖励(按累计荣誉)10</v>
          </cell>
          <cell r="E4269" t="str">
            <v>4|37|1000|1,4|30|500|1</v>
          </cell>
        </row>
        <row r="4270">
          <cell r="A4270">
            <v>58201</v>
          </cell>
          <cell r="B4270">
            <v>0</v>
          </cell>
          <cell r="C4270" t="str">
            <v>4|37|2000,4|30|1000,4|2|200</v>
          </cell>
          <cell r="D4270" t="str">
            <v>全服Boss跨服帮会排行奖励(按累计荣誉)1</v>
          </cell>
          <cell r="E4270" t="str">
            <v>1|14421|1|1</v>
          </cell>
        </row>
        <row r="4271">
          <cell r="A4271">
            <v>58202</v>
          </cell>
          <cell r="B4271">
            <v>0</v>
          </cell>
          <cell r="C4271" t="str">
            <v>4|37|1800,4|30|800,4|2|150</v>
          </cell>
          <cell r="D4271" t="str">
            <v>全服Boss跨服帮会排行奖励(按累计荣誉)2</v>
          </cell>
          <cell r="E4271" t="str">
            <v>1|14422|1|1</v>
          </cell>
        </row>
        <row r="4272">
          <cell r="A4272">
            <v>58203</v>
          </cell>
          <cell r="B4272">
            <v>0</v>
          </cell>
          <cell r="C4272" t="str">
            <v>4|37|1800,4|30|800,4|2|150</v>
          </cell>
          <cell r="D4272" t="str">
            <v>全服Boss跨服帮会排行奖励(按累计荣誉)3</v>
          </cell>
          <cell r="E4272" t="str">
            <v>1|14422|1|1</v>
          </cell>
        </row>
        <row r="4273">
          <cell r="A4273">
            <v>58204</v>
          </cell>
          <cell r="B4273">
            <v>0</v>
          </cell>
          <cell r="C4273" t="str">
            <v>4|37|1500,4|30|500,4|2|150</v>
          </cell>
          <cell r="D4273" t="str">
            <v>全服Boss跨服帮会排行奖励(按累计荣誉)4</v>
          </cell>
          <cell r="E4273" t="str">
            <v>1|14423|1|1</v>
          </cell>
        </row>
        <row r="4274">
          <cell r="A4274">
            <v>58205</v>
          </cell>
          <cell r="B4274">
            <v>0</v>
          </cell>
          <cell r="C4274" t="str">
            <v>4|37|1500,4|30|500,4|2|150</v>
          </cell>
          <cell r="D4274" t="str">
            <v>全服Boss跨服帮会排行奖励(按累计荣誉)5</v>
          </cell>
          <cell r="E4274" t="str">
            <v>1|14423|1|1</v>
          </cell>
        </row>
        <row r="4275">
          <cell r="A4275">
            <v>58206</v>
          </cell>
          <cell r="B4275">
            <v>0</v>
          </cell>
          <cell r="C4275" t="str">
            <v>4|37|1500,4|30|500,4|2|100</v>
          </cell>
          <cell r="D4275" t="str">
            <v>全服Boss跨服帮会排行奖励(按累计荣誉)6</v>
          </cell>
          <cell r="E4275" t="str">
            <v>1|14424|1|1</v>
          </cell>
        </row>
        <row r="4276">
          <cell r="A4276">
            <v>58207</v>
          </cell>
          <cell r="B4276">
            <v>0</v>
          </cell>
          <cell r="C4276" t="str">
            <v>4|37|1500,4|30|500,4|2|100</v>
          </cell>
          <cell r="D4276" t="str">
            <v>全服Boss跨服帮会排行奖励(按累计荣誉)7</v>
          </cell>
          <cell r="E4276" t="str">
            <v>1|14424|1|1</v>
          </cell>
        </row>
        <row r="4277">
          <cell r="A4277">
            <v>58208</v>
          </cell>
          <cell r="B4277">
            <v>0</v>
          </cell>
          <cell r="C4277" t="str">
            <v>4|37|1500,4|30|500,4|2|100</v>
          </cell>
          <cell r="D4277" t="str">
            <v>全服Boss跨服帮会排行奖励(按累计荣誉)8</v>
          </cell>
          <cell r="E4277" t="str">
            <v>1|14424|1|1</v>
          </cell>
        </row>
        <row r="4278">
          <cell r="A4278">
            <v>58209</v>
          </cell>
          <cell r="B4278">
            <v>0</v>
          </cell>
          <cell r="C4278" t="str">
            <v>4|37|1500,4|30|500,4|2|100</v>
          </cell>
          <cell r="D4278" t="str">
            <v>全服Boss跨服帮会排行奖励(按累计荣誉)9</v>
          </cell>
          <cell r="E4278" t="str">
            <v>1|14424|1|1</v>
          </cell>
        </row>
        <row r="4279">
          <cell r="A4279">
            <v>58210</v>
          </cell>
          <cell r="B4279">
            <v>0</v>
          </cell>
          <cell r="C4279" t="str">
            <v>4|37|1500,4|30|500,4|2|100</v>
          </cell>
          <cell r="D4279" t="str">
            <v>全服Boss跨服帮会排行奖励(按累计荣誉)10</v>
          </cell>
          <cell r="E4279" t="str">
            <v>1|14424|1|1</v>
          </cell>
        </row>
        <row r="4280">
          <cell r="A4280">
            <v>58301</v>
          </cell>
          <cell r="B4280">
            <v>0</v>
          </cell>
          <cell r="C4280" t="str">
            <v>4|30|6000,1|14201|200</v>
          </cell>
          <cell r="D4280" t="str">
            <v>全服Boss单次最高伤害排行奖励1</v>
          </cell>
          <cell r="E4280" t="str">
            <v>4|30|6000|1,1|14201|200|1</v>
          </cell>
        </row>
        <row r="4281">
          <cell r="A4281">
            <v>58302</v>
          </cell>
          <cell r="B4281">
            <v>0</v>
          </cell>
          <cell r="C4281" t="str">
            <v>4|30|5500,1|14201|160</v>
          </cell>
          <cell r="D4281" t="str">
            <v>全服Boss单次最高伤害排行奖励2</v>
          </cell>
          <cell r="E4281" t="str">
            <v>4|30|5500|1,1|14201|160|1</v>
          </cell>
        </row>
        <row r="4282">
          <cell r="A4282">
            <v>58303</v>
          </cell>
          <cell r="B4282">
            <v>0</v>
          </cell>
          <cell r="C4282" t="str">
            <v>4|30|5000,1|14201|120</v>
          </cell>
          <cell r="D4282" t="str">
            <v>全服Boss单次最高伤害排行奖励3</v>
          </cell>
          <cell r="E4282" t="str">
            <v>4|30|5000|1,1|14201|120|1</v>
          </cell>
        </row>
        <row r="4283">
          <cell r="A4283">
            <v>58304</v>
          </cell>
          <cell r="B4283">
            <v>0</v>
          </cell>
          <cell r="C4283" t="str">
            <v>4|30|4500,1|14201|100</v>
          </cell>
          <cell r="D4283" t="str">
            <v>全服Boss单次最高伤害排行奖励4</v>
          </cell>
          <cell r="E4283" t="str">
            <v>4|30|4500|1,1|14201|100|1</v>
          </cell>
        </row>
        <row r="4284">
          <cell r="A4284">
            <v>58305</v>
          </cell>
          <cell r="B4284">
            <v>0</v>
          </cell>
          <cell r="C4284" t="str">
            <v>4|30|4000,1|14201|95</v>
          </cell>
          <cell r="D4284" t="str">
            <v>全服Boss单次最高伤害排行奖励5</v>
          </cell>
          <cell r="E4284" t="str">
            <v>4|30|4000|1,1|14201|95|1</v>
          </cell>
        </row>
        <row r="4285">
          <cell r="A4285">
            <v>58306</v>
          </cell>
          <cell r="B4285">
            <v>0</v>
          </cell>
          <cell r="C4285" t="str">
            <v>4|30|3800,1|14201|90</v>
          </cell>
          <cell r="D4285" t="str">
            <v>全服Boss单次最高伤害排行奖励6</v>
          </cell>
          <cell r="E4285" t="str">
            <v>4|30|3800|1,1|14201|90|1</v>
          </cell>
        </row>
        <row r="4286">
          <cell r="A4286">
            <v>58307</v>
          </cell>
          <cell r="B4286">
            <v>0</v>
          </cell>
          <cell r="C4286" t="str">
            <v>4|30|3600,1|14201|85</v>
          </cell>
          <cell r="D4286" t="str">
            <v>全服Boss单次最高伤害排行奖励7</v>
          </cell>
          <cell r="E4286" t="str">
            <v>4|30|3600|1,1|14201|85|1</v>
          </cell>
        </row>
        <row r="4287">
          <cell r="A4287">
            <v>58308</v>
          </cell>
          <cell r="B4287">
            <v>0</v>
          </cell>
          <cell r="C4287" t="str">
            <v>4|30|3400,1|14201|80</v>
          </cell>
          <cell r="D4287" t="str">
            <v>全服Boss单次最高伤害排行奖励8</v>
          </cell>
          <cell r="E4287" t="str">
            <v>4|30|3400|1,1|14201|80|1</v>
          </cell>
        </row>
        <row r="4288">
          <cell r="A4288">
            <v>58309</v>
          </cell>
          <cell r="B4288">
            <v>0</v>
          </cell>
          <cell r="C4288" t="str">
            <v>4|30|3200,1|14201|75</v>
          </cell>
          <cell r="D4288" t="str">
            <v>全服Boss单次最高伤害排行奖励9</v>
          </cell>
          <cell r="E4288" t="str">
            <v>4|30|3200|1,1|14201|75|1</v>
          </cell>
        </row>
        <row r="4289">
          <cell r="A4289">
            <v>58310</v>
          </cell>
          <cell r="B4289">
            <v>0</v>
          </cell>
          <cell r="C4289" t="str">
            <v>4|30|3000,1|14201|70</v>
          </cell>
          <cell r="D4289" t="str">
            <v>全服Boss单次最高伤害排行奖励10</v>
          </cell>
          <cell r="E4289" t="str">
            <v>4|30|3000|1,1|14201|70|1</v>
          </cell>
        </row>
        <row r="4290">
          <cell r="A4290">
            <v>58311</v>
          </cell>
          <cell r="B4290">
            <v>0</v>
          </cell>
          <cell r="C4290" t="str">
            <v>4|30|2800,1|14201|65</v>
          </cell>
          <cell r="D4290" t="str">
            <v>全服Boss单次最高伤害排行奖励11</v>
          </cell>
          <cell r="E4290" t="str">
            <v>4|30|2800|1,1|14201|65|1</v>
          </cell>
        </row>
        <row r="4291">
          <cell r="A4291">
            <v>58312</v>
          </cell>
          <cell r="B4291">
            <v>0</v>
          </cell>
          <cell r="C4291" t="str">
            <v>4|30|2600,1|14201|60</v>
          </cell>
          <cell r="D4291" t="str">
            <v>全服Boss单次最高伤害排行奖励12</v>
          </cell>
          <cell r="E4291" t="str">
            <v>4|30|2600|1,1|14201|60|1</v>
          </cell>
        </row>
        <row r="4292">
          <cell r="A4292">
            <v>58313</v>
          </cell>
          <cell r="B4292">
            <v>0</v>
          </cell>
          <cell r="C4292" t="str">
            <v>4|30|2400,1|14201|55</v>
          </cell>
          <cell r="D4292" t="str">
            <v>全服Boss单次最高伤害排行奖励13</v>
          </cell>
          <cell r="E4292" t="str">
            <v>4|30|2400|1,1|14201|55|1</v>
          </cell>
        </row>
        <row r="4293">
          <cell r="A4293">
            <v>58314</v>
          </cell>
          <cell r="B4293">
            <v>0</v>
          </cell>
          <cell r="C4293" t="str">
            <v>4|30|2200,1|14201|50</v>
          </cell>
          <cell r="D4293" t="str">
            <v>全服Boss单次最高伤害排行奖励14</v>
          </cell>
          <cell r="E4293" t="str">
            <v>4|30|2200|1,1|14201|50|1</v>
          </cell>
        </row>
        <row r="4294">
          <cell r="A4294">
            <v>58315</v>
          </cell>
          <cell r="B4294">
            <v>0</v>
          </cell>
          <cell r="C4294" t="str">
            <v>4|30|2000,1|14201|45</v>
          </cell>
          <cell r="D4294" t="str">
            <v>全服Boss单次最高伤害排行奖励15</v>
          </cell>
          <cell r="E4294" t="str">
            <v>4|30|2000|1,1|14201|45|1</v>
          </cell>
        </row>
        <row r="4295">
          <cell r="A4295">
            <v>58316</v>
          </cell>
          <cell r="B4295">
            <v>0</v>
          </cell>
          <cell r="C4295" t="str">
            <v>4|30|1900,1|14201|40</v>
          </cell>
          <cell r="D4295" t="str">
            <v>全服Boss单次最高伤害排行奖励16</v>
          </cell>
          <cell r="E4295" t="str">
            <v>4|30|1900|1,1|14201|40|1</v>
          </cell>
        </row>
        <row r="4296">
          <cell r="A4296">
            <v>58317</v>
          </cell>
          <cell r="B4296">
            <v>0</v>
          </cell>
          <cell r="C4296" t="str">
            <v>4|30|1800,1|14201|35</v>
          </cell>
          <cell r="D4296" t="str">
            <v>全服Boss单次最高伤害排行奖励17</v>
          </cell>
          <cell r="E4296" t="str">
            <v>4|30|1800|1,1|14201|35|1</v>
          </cell>
        </row>
        <row r="4297">
          <cell r="A4297">
            <v>58318</v>
          </cell>
          <cell r="B4297">
            <v>0</v>
          </cell>
          <cell r="C4297" t="str">
            <v>4|30|1700,1|14201|30</v>
          </cell>
          <cell r="D4297" t="str">
            <v>全服Boss单次最高伤害排行奖励18</v>
          </cell>
          <cell r="E4297" t="str">
            <v>4|30|1700|1,1|14201|30|1</v>
          </cell>
        </row>
        <row r="4298">
          <cell r="A4298">
            <v>58319</v>
          </cell>
          <cell r="B4298">
            <v>0</v>
          </cell>
          <cell r="C4298" t="str">
            <v>4|30|1600,1|14201|25</v>
          </cell>
          <cell r="D4298" t="str">
            <v>全服Boss单次最高伤害排行奖励19</v>
          </cell>
          <cell r="E4298" t="str">
            <v>4|30|1600|1,1|14201|25|1</v>
          </cell>
        </row>
        <row r="4299">
          <cell r="A4299">
            <v>58320</v>
          </cell>
          <cell r="B4299">
            <v>0</v>
          </cell>
          <cell r="C4299" t="str">
            <v>4|30|1500,1|14201|20</v>
          </cell>
          <cell r="D4299" t="str">
            <v>全服Boss单次最高伤害排行奖励20</v>
          </cell>
          <cell r="E4299" t="str">
            <v>4|30|1500|1,1|14201|20|1</v>
          </cell>
        </row>
        <row r="4300">
          <cell r="A4300">
            <v>59001</v>
          </cell>
          <cell r="B4300">
            <v>0</v>
          </cell>
          <cell r="C4300" t="str">
            <v>4|1|10000</v>
          </cell>
          <cell r="D4300" t="str">
            <v>全服Boss任务-累计伤害奖励1</v>
          </cell>
          <cell r="E4300" t="str">
            <v>4|1|10000|1</v>
          </cell>
        </row>
        <row r="4301">
          <cell r="A4301">
            <v>59002</v>
          </cell>
          <cell r="B4301">
            <v>0</v>
          </cell>
          <cell r="C4301" t="str">
            <v>4|30|100</v>
          </cell>
          <cell r="D4301" t="str">
            <v>全服Boss任务-累计伤害奖励2</v>
          </cell>
          <cell r="E4301" t="str">
            <v>4|30|100|1</v>
          </cell>
        </row>
        <row r="4302">
          <cell r="A4302">
            <v>59003</v>
          </cell>
          <cell r="B4302">
            <v>0</v>
          </cell>
          <cell r="C4302" t="str">
            <v>1|14003|1</v>
          </cell>
          <cell r="D4302" t="str">
            <v>全服Boss任务-累计伤害奖励3</v>
          </cell>
          <cell r="E4302" t="str">
            <v>1|14003|1|1</v>
          </cell>
        </row>
        <row r="4303">
          <cell r="A4303">
            <v>59004</v>
          </cell>
          <cell r="B4303">
            <v>0</v>
          </cell>
          <cell r="C4303" t="str">
            <v>1|14106|2</v>
          </cell>
          <cell r="D4303" t="str">
            <v>全服Boss任务-累计伤害奖励4</v>
          </cell>
          <cell r="E4303" t="str">
            <v>1|14106|2|1</v>
          </cell>
        </row>
        <row r="4304">
          <cell r="A4304">
            <v>59005</v>
          </cell>
          <cell r="B4304">
            <v>0</v>
          </cell>
          <cell r="C4304" t="str">
            <v>4|30|100</v>
          </cell>
          <cell r="D4304" t="str">
            <v>全服Boss任务-累计伤害奖励5</v>
          </cell>
          <cell r="E4304" t="str">
            <v>4|30|100|1</v>
          </cell>
        </row>
        <row r="4305">
          <cell r="A4305">
            <v>59006</v>
          </cell>
          <cell r="B4305">
            <v>0</v>
          </cell>
          <cell r="C4305" t="str">
            <v>1|14201|5</v>
          </cell>
          <cell r="D4305" t="str">
            <v>全服Boss任务-累计伤害奖励6</v>
          </cell>
          <cell r="E4305" t="str">
            <v>1|14201|5|1</v>
          </cell>
        </row>
        <row r="4306">
          <cell r="A4306">
            <v>59007</v>
          </cell>
          <cell r="B4306">
            <v>0</v>
          </cell>
          <cell r="C4306" t="str">
            <v>1|16005|5</v>
          </cell>
          <cell r="D4306" t="str">
            <v>全服Boss任务-累计伤害奖励7</v>
          </cell>
          <cell r="E4306" t="str">
            <v>1|16005|5|1</v>
          </cell>
        </row>
        <row r="4307">
          <cell r="A4307">
            <v>59008</v>
          </cell>
          <cell r="B4307">
            <v>0</v>
          </cell>
          <cell r="C4307" t="str">
            <v>1|17000|10</v>
          </cell>
          <cell r="D4307" t="str">
            <v>全服Boss任务-累计伤害奖励8</v>
          </cell>
          <cell r="E4307" t="str">
            <v>1|17000|10|1</v>
          </cell>
        </row>
        <row r="4308">
          <cell r="A4308">
            <v>59009</v>
          </cell>
          <cell r="B4308">
            <v>0</v>
          </cell>
          <cell r="C4308" t="str">
            <v>1|17001|3</v>
          </cell>
          <cell r="D4308" t="str">
            <v>全服Boss任务-累计伤害奖励9</v>
          </cell>
          <cell r="E4308" t="str">
            <v>1|17001|3|1</v>
          </cell>
        </row>
        <row r="4309">
          <cell r="A4309">
            <v>59010</v>
          </cell>
          <cell r="B4309">
            <v>0</v>
          </cell>
          <cell r="C4309" t="str">
            <v>4|1|20000</v>
          </cell>
          <cell r="D4309" t="str">
            <v>全服Boss任务-累计伤害奖励10</v>
          </cell>
          <cell r="E4309" t="str">
            <v>4|1|20000|1</v>
          </cell>
        </row>
        <row r="4310">
          <cell r="A4310">
            <v>59011</v>
          </cell>
          <cell r="B4310">
            <v>0</v>
          </cell>
          <cell r="C4310" t="str">
            <v>4|30|220</v>
          </cell>
          <cell r="D4310" t="str">
            <v>全服Boss任务-累计伤害奖励11</v>
          </cell>
          <cell r="E4310" t="str">
            <v>4|30|220|1</v>
          </cell>
        </row>
        <row r="4311">
          <cell r="A4311">
            <v>59012</v>
          </cell>
          <cell r="B4311">
            <v>0</v>
          </cell>
          <cell r="C4311" t="str">
            <v>1|14106|3</v>
          </cell>
          <cell r="D4311" t="str">
            <v>全服Boss任务-累计伤害奖励12</v>
          </cell>
          <cell r="E4311" t="str">
            <v>1|14106|3|1</v>
          </cell>
        </row>
        <row r="4312">
          <cell r="A4312">
            <v>59013</v>
          </cell>
          <cell r="B4312">
            <v>0</v>
          </cell>
          <cell r="C4312" t="str">
            <v>1|14201|7</v>
          </cell>
          <cell r="D4312" t="str">
            <v>全服Boss任务-累计伤害奖励13</v>
          </cell>
          <cell r="E4312" t="str">
            <v>1|14201|7|1</v>
          </cell>
        </row>
        <row r="4313">
          <cell r="A4313">
            <v>59014</v>
          </cell>
          <cell r="B4313">
            <v>0</v>
          </cell>
          <cell r="C4313" t="str">
            <v>1|17000|25</v>
          </cell>
          <cell r="D4313" t="str">
            <v>全服Boss任务-累计伤害奖励14</v>
          </cell>
          <cell r="E4313" t="str">
            <v>1|17000|25|1</v>
          </cell>
        </row>
        <row r="4314">
          <cell r="A4314">
            <v>59015</v>
          </cell>
          <cell r="B4314">
            <v>0</v>
          </cell>
          <cell r="C4314" t="str">
            <v>4|1|30000</v>
          </cell>
          <cell r="D4314" t="str">
            <v>全服Boss任务-累计伤害奖励15</v>
          </cell>
          <cell r="E4314" t="str">
            <v>4|1|30000|1</v>
          </cell>
        </row>
        <row r="4315">
          <cell r="A4315">
            <v>59016</v>
          </cell>
          <cell r="B4315">
            <v>0</v>
          </cell>
          <cell r="C4315" t="str">
            <v>1|14003|1</v>
          </cell>
          <cell r="D4315" t="str">
            <v>全服Boss任务-累计伤害奖励16</v>
          </cell>
          <cell r="E4315" t="str">
            <v>1|14003|1|1</v>
          </cell>
        </row>
        <row r="4316">
          <cell r="A4316">
            <v>59017</v>
          </cell>
          <cell r="B4316">
            <v>0</v>
          </cell>
          <cell r="C4316" t="str">
            <v>4|30|340</v>
          </cell>
          <cell r="D4316" t="str">
            <v>全服Boss任务-累计伤害奖励17</v>
          </cell>
          <cell r="E4316" t="str">
            <v>4|30|340|1</v>
          </cell>
        </row>
        <row r="4317">
          <cell r="A4317">
            <v>59018</v>
          </cell>
          <cell r="B4317">
            <v>0</v>
          </cell>
          <cell r="C4317" t="str">
            <v>1|16005|10</v>
          </cell>
          <cell r="D4317" t="str">
            <v>全服Boss任务-累计伤害奖励18</v>
          </cell>
          <cell r="E4317" t="str">
            <v>1|16005|10|1</v>
          </cell>
        </row>
        <row r="4318">
          <cell r="A4318">
            <v>59019</v>
          </cell>
          <cell r="B4318">
            <v>0</v>
          </cell>
          <cell r="C4318" t="str">
            <v>1|17001|15</v>
          </cell>
          <cell r="D4318" t="str">
            <v>全服Boss任务-累计伤害奖励19</v>
          </cell>
          <cell r="E4318" t="str">
            <v>1|17001|15|1</v>
          </cell>
        </row>
        <row r="4319">
          <cell r="A4319">
            <v>59020</v>
          </cell>
          <cell r="B4319">
            <v>0</v>
          </cell>
          <cell r="C4319" t="str">
            <v>4|30|460</v>
          </cell>
          <cell r="D4319" t="str">
            <v>全服Boss任务-累计伤害奖励20</v>
          </cell>
          <cell r="E4319" t="str">
            <v>4|30|460|1</v>
          </cell>
        </row>
        <row r="4320">
          <cell r="A4320">
            <v>59021</v>
          </cell>
          <cell r="B4320">
            <v>0</v>
          </cell>
          <cell r="C4320" t="str">
            <v>1|14106|5</v>
          </cell>
          <cell r="D4320" t="str">
            <v>全服Boss任务-累计伤害奖励21</v>
          </cell>
          <cell r="E4320" t="str">
            <v>1|14106|5|1</v>
          </cell>
        </row>
        <row r="4321">
          <cell r="A4321">
            <v>59022</v>
          </cell>
          <cell r="B4321">
            <v>0</v>
          </cell>
          <cell r="C4321" t="str">
            <v>1|14201|13</v>
          </cell>
          <cell r="D4321" t="str">
            <v>全服Boss任务-累计伤害奖励22</v>
          </cell>
          <cell r="E4321" t="str">
            <v>1|14201|13|1</v>
          </cell>
        </row>
        <row r="4322">
          <cell r="A4322">
            <v>59023</v>
          </cell>
          <cell r="B4322">
            <v>0</v>
          </cell>
          <cell r="C4322" t="str">
            <v>1|17000|55</v>
          </cell>
          <cell r="D4322" t="str">
            <v>全服Boss任务-累计伤害奖励23</v>
          </cell>
          <cell r="E4322" t="str">
            <v>1|17000|55|1</v>
          </cell>
        </row>
        <row r="4323">
          <cell r="A4323">
            <v>59024</v>
          </cell>
          <cell r="B4323">
            <v>0</v>
          </cell>
          <cell r="C4323" t="str">
            <v>4|1|50000</v>
          </cell>
          <cell r="D4323" t="str">
            <v>全服Boss任务-累计伤害奖励24</v>
          </cell>
          <cell r="E4323" t="str">
            <v>4|1|50000|1</v>
          </cell>
        </row>
        <row r="4324">
          <cell r="A4324">
            <v>59025</v>
          </cell>
          <cell r="B4324">
            <v>0</v>
          </cell>
          <cell r="C4324" t="str">
            <v>1|14003|2</v>
          </cell>
          <cell r="D4324" t="str">
            <v>全服Boss任务-累计伤害奖励25</v>
          </cell>
          <cell r="E4324" t="str">
            <v>1|14003|2|1</v>
          </cell>
        </row>
        <row r="4325">
          <cell r="A4325">
            <v>59026</v>
          </cell>
          <cell r="B4325">
            <v>0</v>
          </cell>
          <cell r="C4325" t="str">
            <v>6|4501|3</v>
          </cell>
          <cell r="D4325" t="str">
            <v>全服Boss任务-累计伤害奖励26</v>
          </cell>
          <cell r="E4325" t="str">
            <v>6|4501|3|1</v>
          </cell>
        </row>
        <row r="4326">
          <cell r="A4326">
            <v>59027</v>
          </cell>
          <cell r="B4326">
            <v>0</v>
          </cell>
          <cell r="C4326" t="str">
            <v>1|16005|15</v>
          </cell>
          <cell r="D4326" t="str">
            <v>全服Boss任务-累计伤害奖励27</v>
          </cell>
          <cell r="E4326" t="str">
            <v>1|16005|15|1</v>
          </cell>
        </row>
        <row r="4327">
          <cell r="A4327">
            <v>59028</v>
          </cell>
          <cell r="B4327">
            <v>0</v>
          </cell>
          <cell r="C4327" t="str">
            <v>1|17001|27</v>
          </cell>
          <cell r="D4327" t="str">
            <v>全服Boss任务-累计伤害奖励28</v>
          </cell>
          <cell r="E4327" t="str">
            <v>1|17001|27|1</v>
          </cell>
        </row>
        <row r="4328">
          <cell r="A4328">
            <v>59029</v>
          </cell>
          <cell r="B4328">
            <v>0</v>
          </cell>
          <cell r="C4328" t="str">
            <v>4|30|700</v>
          </cell>
          <cell r="D4328" t="str">
            <v>全服Boss任务-累计伤害奖励29</v>
          </cell>
          <cell r="E4328" t="str">
            <v>4|30|700|1</v>
          </cell>
        </row>
        <row r="4329">
          <cell r="A4329">
            <v>59030</v>
          </cell>
          <cell r="B4329">
            <v>0</v>
          </cell>
          <cell r="C4329" t="str">
            <v>1|14106|7</v>
          </cell>
          <cell r="D4329" t="str">
            <v>全服Boss任务-累计伤害奖励30</v>
          </cell>
          <cell r="E4329" t="str">
            <v>1|14106|7|1</v>
          </cell>
        </row>
        <row r="4330">
          <cell r="A4330">
            <v>59101</v>
          </cell>
          <cell r="B4330">
            <v>0</v>
          </cell>
          <cell r="C4330" t="str">
            <v>1|14003|1</v>
          </cell>
          <cell r="D4330" t="str">
            <v>全服Boss任务-击杀BOSS数量1</v>
          </cell>
          <cell r="E4330" t="str">
            <v>1|14003|1|1</v>
          </cell>
        </row>
        <row r="4331">
          <cell r="A4331">
            <v>59102</v>
          </cell>
          <cell r="B4331">
            <v>0</v>
          </cell>
          <cell r="C4331" t="str">
            <v>4|30|220</v>
          </cell>
          <cell r="D4331" t="str">
            <v>全服Boss任务-击杀BOSS数量2</v>
          </cell>
          <cell r="E4331" t="str">
            <v>4|30|220|1</v>
          </cell>
        </row>
        <row r="4332">
          <cell r="A4332">
            <v>59103</v>
          </cell>
          <cell r="B4332">
            <v>0</v>
          </cell>
          <cell r="C4332" t="str">
            <v>1|16005|7</v>
          </cell>
          <cell r="D4332" t="str">
            <v>全服Boss任务-击杀BOSS数量3</v>
          </cell>
          <cell r="E4332" t="str">
            <v>1|16005|7|1</v>
          </cell>
        </row>
        <row r="4333">
          <cell r="A4333">
            <v>59104</v>
          </cell>
          <cell r="B4333">
            <v>0</v>
          </cell>
          <cell r="C4333" t="str">
            <v>1|17001|9</v>
          </cell>
          <cell r="D4333" t="str">
            <v>全服Boss任务-击杀BOSS数量4</v>
          </cell>
          <cell r="E4333" t="str">
            <v>1|17001|9|1</v>
          </cell>
        </row>
        <row r="4334">
          <cell r="A4334">
            <v>59105</v>
          </cell>
          <cell r="B4334">
            <v>0</v>
          </cell>
          <cell r="C4334" t="str">
            <v>4|30|340</v>
          </cell>
          <cell r="D4334" t="str">
            <v>全服Boss任务-击杀BOSS数量5</v>
          </cell>
          <cell r="E4334" t="str">
            <v>4|30|340|1</v>
          </cell>
        </row>
        <row r="4335">
          <cell r="A4335">
            <v>59106</v>
          </cell>
          <cell r="B4335">
            <v>0</v>
          </cell>
          <cell r="C4335" t="str">
            <v>1|14106|4</v>
          </cell>
          <cell r="D4335" t="str">
            <v>全服Boss任务-击杀BOSS数量6</v>
          </cell>
          <cell r="E4335" t="str">
            <v>1|14106|4|1</v>
          </cell>
        </row>
        <row r="4336">
          <cell r="A4336">
            <v>59107</v>
          </cell>
          <cell r="B4336">
            <v>0</v>
          </cell>
          <cell r="C4336" t="str">
            <v>1|14201|10</v>
          </cell>
          <cell r="D4336" t="str">
            <v>全服Boss任务-击杀BOSS数量7</v>
          </cell>
          <cell r="E4336" t="str">
            <v>1|14201|10|1</v>
          </cell>
        </row>
        <row r="4337">
          <cell r="A4337">
            <v>59108</v>
          </cell>
          <cell r="B4337">
            <v>0</v>
          </cell>
          <cell r="C4337" t="str">
            <v>1|17000|40</v>
          </cell>
          <cell r="D4337" t="str">
            <v>全服Boss任务-击杀BOSS数量8</v>
          </cell>
          <cell r="E4337" t="str">
            <v>1|17000|40|1</v>
          </cell>
        </row>
        <row r="4338">
          <cell r="A4338">
            <v>59109</v>
          </cell>
          <cell r="B4338">
            <v>0</v>
          </cell>
          <cell r="C4338" t="str">
            <v>4|1|40000</v>
          </cell>
          <cell r="D4338" t="str">
            <v>全服Boss任务-击杀BOSS数量9</v>
          </cell>
          <cell r="E4338" t="str">
            <v>4|1|40000|1</v>
          </cell>
        </row>
        <row r="4339">
          <cell r="A4339">
            <v>59110</v>
          </cell>
          <cell r="B4339">
            <v>0</v>
          </cell>
          <cell r="C4339" t="str">
            <v>1|14003|1</v>
          </cell>
          <cell r="D4339" t="str">
            <v>全服Boss任务-击杀BOSS数量10</v>
          </cell>
          <cell r="E4339" t="str">
            <v>1|14003|1|1</v>
          </cell>
        </row>
        <row r="4340">
          <cell r="A4340">
            <v>59111</v>
          </cell>
          <cell r="B4340">
            <v>0</v>
          </cell>
          <cell r="C4340" t="str">
            <v>6|4501|2</v>
          </cell>
          <cell r="D4340" t="str">
            <v>全服Boss任务-击杀BOSS数量11</v>
          </cell>
          <cell r="E4340" t="str">
            <v>6|4501|2|1</v>
          </cell>
        </row>
        <row r="4341">
          <cell r="A4341">
            <v>59112</v>
          </cell>
          <cell r="B4341">
            <v>0</v>
          </cell>
          <cell r="C4341" t="str">
            <v>1|16005|13</v>
          </cell>
          <cell r="D4341" t="str">
            <v>全服Boss任务-击杀BOSS数量12</v>
          </cell>
          <cell r="E4341" t="str">
            <v>1|16005|13|1</v>
          </cell>
        </row>
        <row r="4342">
          <cell r="A4342">
            <v>59113</v>
          </cell>
          <cell r="B4342">
            <v>0</v>
          </cell>
          <cell r="C4342" t="str">
            <v>1|17001|21</v>
          </cell>
          <cell r="D4342" t="str">
            <v>全服Boss任务-击杀BOSS数量13</v>
          </cell>
          <cell r="E4342" t="str">
            <v>1|17001|21|1</v>
          </cell>
        </row>
        <row r="4343">
          <cell r="A4343">
            <v>59114</v>
          </cell>
          <cell r="B4343">
            <v>0</v>
          </cell>
          <cell r="C4343" t="str">
            <v>4|30|580</v>
          </cell>
          <cell r="D4343" t="str">
            <v>全服Boss任务-击杀BOSS数量14</v>
          </cell>
          <cell r="E4343" t="str">
            <v>4|30|580|1</v>
          </cell>
        </row>
        <row r="4344">
          <cell r="A4344">
            <v>59115</v>
          </cell>
          <cell r="B4344">
            <v>0</v>
          </cell>
          <cell r="C4344" t="str">
            <v>1|14106|6</v>
          </cell>
          <cell r="D4344" t="str">
            <v>全服Boss任务-击杀BOSS数量15</v>
          </cell>
          <cell r="E4344" t="str">
            <v>1|14106|6|1</v>
          </cell>
        </row>
        <row r="4345">
          <cell r="A4345">
            <v>59116</v>
          </cell>
          <cell r="B4345">
            <v>0</v>
          </cell>
          <cell r="C4345" t="str">
            <v>1|14201|15</v>
          </cell>
          <cell r="D4345" t="str">
            <v>全服Boss任务-击杀BOSS数量16</v>
          </cell>
          <cell r="E4345" t="str">
            <v>1|14201|15|1</v>
          </cell>
        </row>
        <row r="4346">
          <cell r="A4346">
            <v>59117</v>
          </cell>
          <cell r="B4346">
            <v>0</v>
          </cell>
          <cell r="C4346" t="str">
            <v>1|17000|70</v>
          </cell>
          <cell r="D4346" t="str">
            <v>全服Boss任务-击杀BOSS数量17</v>
          </cell>
          <cell r="E4346" t="str">
            <v>1|17000|70|1</v>
          </cell>
        </row>
        <row r="4347">
          <cell r="A4347">
            <v>59118</v>
          </cell>
          <cell r="B4347">
            <v>0</v>
          </cell>
          <cell r="C4347" t="str">
            <v>4|1|60000</v>
          </cell>
          <cell r="D4347" t="str">
            <v>全服Boss任务-击杀BOSS数量18</v>
          </cell>
          <cell r="E4347" t="str">
            <v>4|1|60000|1</v>
          </cell>
        </row>
        <row r="4348">
          <cell r="A4348">
            <v>59119</v>
          </cell>
          <cell r="B4348">
            <v>0</v>
          </cell>
          <cell r="C4348" t="str">
            <v>1|14003|2</v>
          </cell>
          <cell r="D4348" t="str">
            <v>全服Boss任务-击杀BOSS数量19</v>
          </cell>
          <cell r="E4348" t="str">
            <v>1|14003|2|1</v>
          </cell>
        </row>
        <row r="4349">
          <cell r="A4349">
            <v>59120</v>
          </cell>
          <cell r="B4349">
            <v>0</v>
          </cell>
          <cell r="C4349" t="str">
            <v>1|17001|33</v>
          </cell>
          <cell r="D4349" t="str">
            <v>全服Boss任务-击杀BOSS数量20</v>
          </cell>
          <cell r="E4349" t="str">
            <v>1|17001|33|1</v>
          </cell>
        </row>
        <row r="4350">
          <cell r="A4350">
            <v>59201</v>
          </cell>
          <cell r="B4350">
            <v>0</v>
          </cell>
          <cell r="C4350" t="str">
            <v>1|14418|1</v>
          </cell>
          <cell r="D4350" t="str">
            <v>全服Boss任务-击杀BOSS数量18</v>
          </cell>
          <cell r="E4350" t="str">
            <v>1|14418|1|1</v>
          </cell>
        </row>
        <row r="4351">
          <cell r="A4351">
            <v>59202</v>
          </cell>
          <cell r="B4351">
            <v>0</v>
          </cell>
          <cell r="C4351" t="str">
            <v>1|14419|1</v>
          </cell>
          <cell r="D4351" t="str">
            <v>全服Boss任务-击杀BOSS数量19</v>
          </cell>
          <cell r="E4351" t="str">
            <v>1|14419|1|1</v>
          </cell>
        </row>
        <row r="4352">
          <cell r="A4352">
            <v>59203</v>
          </cell>
          <cell r="B4352">
            <v>0</v>
          </cell>
          <cell r="C4352" t="str">
            <v>1|14420|1</v>
          </cell>
          <cell r="D4352" t="str">
            <v>全服Boss任务-击杀BOSS数量20</v>
          </cell>
          <cell r="E4352" t="str">
            <v>1|14420|1|1</v>
          </cell>
        </row>
        <row r="4353">
          <cell r="A4353">
            <v>59251</v>
          </cell>
          <cell r="B4353">
            <v>0</v>
          </cell>
          <cell r="C4353" t="str">
            <v>[]</v>
          </cell>
          <cell r="D4353" t="str">
            <v>第一帮会礼包</v>
          </cell>
          <cell r="E4353" t="str">
            <v>4|37|2000|1,4|30|2000|1,4|2|300|1</v>
          </cell>
        </row>
        <row r="4354">
          <cell r="A4354">
            <v>59252</v>
          </cell>
          <cell r="B4354">
            <v>0</v>
          </cell>
          <cell r="C4354" t="str">
            <v>[]</v>
          </cell>
          <cell r="D4354" t="str">
            <v>第二帮会礼包</v>
          </cell>
          <cell r="E4354" t="str">
            <v>4|37|1500|1,4|30|1500|1,4|2|250|1</v>
          </cell>
        </row>
        <row r="4355">
          <cell r="A4355">
            <v>59253</v>
          </cell>
          <cell r="B4355">
            <v>0</v>
          </cell>
          <cell r="C4355" t="str">
            <v>[]</v>
          </cell>
          <cell r="D4355" t="str">
            <v>第三帮会礼包</v>
          </cell>
          <cell r="E4355" t="str">
            <v>4|37|1500|1,4|30|1000|1,4|2|200|1</v>
          </cell>
        </row>
        <row r="4356">
          <cell r="A4356">
            <v>59254</v>
          </cell>
          <cell r="B4356">
            <v>0</v>
          </cell>
          <cell r="C4356" t="str">
            <v>[]</v>
          </cell>
          <cell r="D4356" t="str">
            <v>第1帮会礼包（跨服）</v>
          </cell>
          <cell r="E4356" t="str">
            <v>4|37|2000|1,4|30|1000|1,4|2|200|1</v>
          </cell>
        </row>
        <row r="4357">
          <cell r="A4357">
            <v>59255</v>
          </cell>
          <cell r="B4357">
            <v>0</v>
          </cell>
          <cell r="C4357" t="str">
            <v>[]</v>
          </cell>
          <cell r="D4357" t="str">
            <v>第2-3帮会礼包（跨服）</v>
          </cell>
          <cell r="E4357" t="str">
            <v>4|37|1800|1,4|30|800|1,4|2|150|1</v>
          </cell>
        </row>
        <row r="4358">
          <cell r="A4358">
            <v>59256</v>
          </cell>
          <cell r="B4358">
            <v>0</v>
          </cell>
          <cell r="C4358" t="str">
            <v>[]</v>
          </cell>
          <cell r="D4358" t="str">
            <v>第4-5帮会礼包（跨服）</v>
          </cell>
          <cell r="E4358" t="str">
            <v>4|37|1500|1,4|30|500|1,4|2|150|1</v>
          </cell>
        </row>
        <row r="4359">
          <cell r="A4359">
            <v>59257</v>
          </cell>
          <cell r="B4359">
            <v>0</v>
          </cell>
          <cell r="C4359" t="str">
            <v>[]</v>
          </cell>
          <cell r="D4359" t="str">
            <v>第6-10帮会礼包（跨服）</v>
          </cell>
          <cell r="E4359" t="str">
            <v>4|37|1500|1,4|30|500|1,4|2|100|1</v>
          </cell>
        </row>
        <row r="4360">
          <cell r="A4360">
            <v>59301</v>
          </cell>
          <cell r="B4360">
            <v>1</v>
          </cell>
          <cell r="C4360" t="str">
            <v>[]</v>
          </cell>
          <cell r="D4360" t="str">
            <v>红玫瑰</v>
          </cell>
          <cell r="E4360" t="str">
            <v>4|2|520|2,4|2|13|13,4|2|14|13,1|14106|5|10,1|16010|5|10,1|16005|5|10,1|14201|5|10,1|17001|5|15,1|14567|5|2,1|14505|5|15</v>
          </cell>
        </row>
        <row r="4361">
          <cell r="A4361">
            <v>59302</v>
          </cell>
          <cell r="B4361">
            <v>1</v>
          </cell>
          <cell r="C4361" t="str">
            <v>[]</v>
          </cell>
          <cell r="D4361" t="str">
            <v>春节礼盒</v>
          </cell>
          <cell r="E4361" t="str">
            <v>1|14427|1|10,1|14428|1|60,1|14429|1|10,1|14430|1|10,1|14431|1|10</v>
          </cell>
        </row>
        <row r="4362">
          <cell r="A4362">
            <v>59303</v>
          </cell>
          <cell r="B4362">
            <v>1</v>
          </cell>
          <cell r="C4362" t="str">
            <v>[]</v>
          </cell>
          <cell r="D4362" t="str">
            <v>春节红包</v>
          </cell>
          <cell r="E4362" t="str">
            <v>4|2|18|5,4|2|88|60,4|2|888|35</v>
          </cell>
        </row>
        <row r="4363">
          <cell r="A4363">
            <v>59304</v>
          </cell>
          <cell r="B4363">
            <v>1</v>
          </cell>
          <cell r="C4363" t="str">
            <v>[]</v>
          </cell>
          <cell r="D4363" t="str">
            <v>元宵礼盒</v>
          </cell>
          <cell r="E4363" t="str">
            <v>1|14427|1|10,1|14432|1|60,1|14432|5|10,1|14430|1|20</v>
          </cell>
        </row>
        <row r="4364">
          <cell r="A4364">
            <v>60001</v>
          </cell>
          <cell r="B4364">
            <v>1</v>
          </cell>
          <cell r="C4364" t="str">
            <v>1|13001|1</v>
          </cell>
          <cell r="D4364" t="str">
            <v>通天路1-1</v>
          </cell>
          <cell r="E4364" t="str">
            <v>1|13001|1|1</v>
          </cell>
        </row>
        <row r="4365">
          <cell r="A4365">
            <v>60002</v>
          </cell>
          <cell r="B4365">
            <v>1</v>
          </cell>
          <cell r="C4365" t="str">
            <v>1|13002|1</v>
          </cell>
          <cell r="D4365" t="str">
            <v>通天路1-2</v>
          </cell>
          <cell r="E4365" t="str">
            <v>1|13002|1|1</v>
          </cell>
        </row>
        <row r="4366">
          <cell r="A4366">
            <v>60003</v>
          </cell>
          <cell r="B4366">
            <v>1</v>
          </cell>
          <cell r="C4366" t="str">
            <v>1|13003|1</v>
          </cell>
          <cell r="D4366" t="str">
            <v>通天路1-3</v>
          </cell>
          <cell r="E4366" t="str">
            <v>1|13003|1|1</v>
          </cell>
        </row>
        <row r="4367">
          <cell r="A4367">
            <v>60004</v>
          </cell>
          <cell r="B4367">
            <v>1</v>
          </cell>
          <cell r="C4367" t="str">
            <v>1|13004|1</v>
          </cell>
          <cell r="D4367" t="str">
            <v>通天路1-4</v>
          </cell>
          <cell r="E4367" t="str">
            <v>1|13004|1|1</v>
          </cell>
        </row>
        <row r="4368">
          <cell r="A4368">
            <v>60005</v>
          </cell>
          <cell r="B4368">
            <v>1</v>
          </cell>
          <cell r="C4368" t="str">
            <v>1|13005|1</v>
          </cell>
          <cell r="D4368" t="str">
            <v>通天路1-5</v>
          </cell>
          <cell r="E4368" t="str">
            <v>1|13005|1|1</v>
          </cell>
        </row>
        <row r="4369">
          <cell r="A4369">
            <v>60006</v>
          </cell>
          <cell r="B4369">
            <v>1</v>
          </cell>
          <cell r="C4369" t="str">
            <v>1|13006|1</v>
          </cell>
          <cell r="D4369" t="str">
            <v>通天路1-6</v>
          </cell>
          <cell r="E4369" t="str">
            <v>1|13006|1|1</v>
          </cell>
        </row>
        <row r="4370">
          <cell r="A4370">
            <v>60007</v>
          </cell>
          <cell r="B4370">
            <v>1</v>
          </cell>
          <cell r="C4370" t="str">
            <v>1|13001|1</v>
          </cell>
          <cell r="D4370" t="str">
            <v>通天路2-1</v>
          </cell>
          <cell r="E4370" t="str">
            <v>1|13001|1|1</v>
          </cell>
        </row>
        <row r="4371">
          <cell r="A4371">
            <v>60008</v>
          </cell>
          <cell r="B4371">
            <v>1</v>
          </cell>
          <cell r="C4371" t="str">
            <v>1|13002|1</v>
          </cell>
          <cell r="D4371" t="str">
            <v>通天路2-2</v>
          </cell>
          <cell r="E4371" t="str">
            <v>1|13002|1|1</v>
          </cell>
        </row>
        <row r="4372">
          <cell r="A4372">
            <v>60009</v>
          </cell>
          <cell r="B4372">
            <v>1</v>
          </cell>
          <cell r="C4372" t="str">
            <v>1|13003|1</v>
          </cell>
          <cell r="D4372" t="str">
            <v>通天路2-3</v>
          </cell>
          <cell r="E4372" t="str">
            <v>1|13003|1|1</v>
          </cell>
        </row>
        <row r="4373">
          <cell r="A4373">
            <v>60010</v>
          </cell>
          <cell r="B4373">
            <v>1</v>
          </cell>
          <cell r="C4373" t="str">
            <v>1|13004|1</v>
          </cell>
          <cell r="D4373" t="str">
            <v>通天路2-4</v>
          </cell>
          <cell r="E4373" t="str">
            <v>1|13004|1|1</v>
          </cell>
        </row>
        <row r="4374">
          <cell r="A4374">
            <v>60011</v>
          </cell>
          <cell r="B4374">
            <v>1</v>
          </cell>
          <cell r="C4374" t="str">
            <v>1|13005|1</v>
          </cell>
          <cell r="D4374" t="str">
            <v>通天路2-5</v>
          </cell>
          <cell r="E4374" t="str">
            <v>1|13005|1|1</v>
          </cell>
        </row>
        <row r="4375">
          <cell r="A4375">
            <v>60012</v>
          </cell>
          <cell r="B4375">
            <v>1</v>
          </cell>
          <cell r="C4375" t="str">
            <v>1|13006|1</v>
          </cell>
          <cell r="D4375" t="str">
            <v>通天路2-6</v>
          </cell>
          <cell r="E4375" t="str">
            <v>1|13006|1|1</v>
          </cell>
        </row>
        <row r="4376">
          <cell r="A4376">
            <v>60013</v>
          </cell>
          <cell r="B4376">
            <v>1</v>
          </cell>
          <cell r="C4376" t="str">
            <v>1|13001|1</v>
          </cell>
          <cell r="D4376" t="str">
            <v>通天路3-1</v>
          </cell>
          <cell r="E4376" t="str">
            <v>1|13001|1|1</v>
          </cell>
        </row>
        <row r="4377">
          <cell r="A4377">
            <v>60014</v>
          </cell>
          <cell r="B4377">
            <v>1</v>
          </cell>
          <cell r="C4377" t="str">
            <v>1|13002|1</v>
          </cell>
          <cell r="D4377" t="str">
            <v>通天路3-2</v>
          </cell>
          <cell r="E4377" t="str">
            <v>1|13002|1|1</v>
          </cell>
        </row>
        <row r="4378">
          <cell r="A4378">
            <v>60015</v>
          </cell>
          <cell r="B4378">
            <v>1</v>
          </cell>
          <cell r="C4378" t="str">
            <v>1|13003|1</v>
          </cell>
          <cell r="D4378" t="str">
            <v>通天路3-3</v>
          </cell>
          <cell r="E4378" t="str">
            <v>1|13003|1|1</v>
          </cell>
        </row>
        <row r="4379">
          <cell r="A4379">
            <v>60016</v>
          </cell>
          <cell r="B4379">
            <v>1</v>
          </cell>
          <cell r="C4379" t="str">
            <v>1|13004|1</v>
          </cell>
          <cell r="D4379" t="str">
            <v>通天路3-4</v>
          </cell>
          <cell r="E4379" t="str">
            <v>1|13004|1|1</v>
          </cell>
        </row>
        <row r="4380">
          <cell r="A4380">
            <v>60017</v>
          </cell>
          <cell r="B4380">
            <v>1</v>
          </cell>
          <cell r="C4380" t="str">
            <v>1|13005|1</v>
          </cell>
          <cell r="D4380" t="str">
            <v>通天路3-5</v>
          </cell>
          <cell r="E4380" t="str">
            <v>1|13005|1|1</v>
          </cell>
        </row>
        <row r="4381">
          <cell r="A4381">
            <v>60018</v>
          </cell>
          <cell r="B4381">
            <v>1</v>
          </cell>
          <cell r="C4381" t="str">
            <v>1|13006|1</v>
          </cell>
          <cell r="D4381" t="str">
            <v>通天路3-6</v>
          </cell>
          <cell r="E4381" t="str">
            <v>1|13006|1|1</v>
          </cell>
        </row>
        <row r="4382">
          <cell r="A4382">
            <v>60019</v>
          </cell>
          <cell r="B4382">
            <v>1</v>
          </cell>
          <cell r="C4382" t="str">
            <v>1|13007|1</v>
          </cell>
          <cell r="D4382" t="str">
            <v>通天路4-1</v>
          </cell>
          <cell r="E4382" t="str">
            <v>1|13007|1|1</v>
          </cell>
        </row>
        <row r="4383">
          <cell r="A4383">
            <v>60020</v>
          </cell>
          <cell r="B4383">
            <v>1</v>
          </cell>
          <cell r="C4383" t="str">
            <v>1|13008|1</v>
          </cell>
          <cell r="D4383" t="str">
            <v>通天路4-2</v>
          </cell>
          <cell r="E4383" t="str">
            <v>1|13008|1|1</v>
          </cell>
        </row>
        <row r="4384">
          <cell r="A4384">
            <v>60021</v>
          </cell>
          <cell r="B4384">
            <v>1</v>
          </cell>
          <cell r="C4384" t="str">
            <v>1|13009|1</v>
          </cell>
          <cell r="D4384" t="str">
            <v>通天路4-3</v>
          </cell>
          <cell r="E4384" t="str">
            <v>1|13009|1|1</v>
          </cell>
        </row>
        <row r="4385">
          <cell r="A4385">
            <v>60022</v>
          </cell>
          <cell r="B4385">
            <v>1</v>
          </cell>
          <cell r="C4385" t="str">
            <v>1|13010|1</v>
          </cell>
          <cell r="D4385" t="str">
            <v>通天路4-4</v>
          </cell>
          <cell r="E4385" t="str">
            <v>1|13010|1|1</v>
          </cell>
        </row>
        <row r="4386">
          <cell r="A4386">
            <v>60023</v>
          </cell>
          <cell r="B4386">
            <v>1</v>
          </cell>
          <cell r="C4386" t="str">
            <v>1|13011|1</v>
          </cell>
          <cell r="D4386" t="str">
            <v>通天路4-5</v>
          </cell>
          <cell r="E4386" t="str">
            <v>1|13011|1|1</v>
          </cell>
        </row>
        <row r="4387">
          <cell r="A4387">
            <v>60024</v>
          </cell>
          <cell r="B4387">
            <v>1</v>
          </cell>
          <cell r="C4387" t="str">
            <v>1|13012|1</v>
          </cell>
          <cell r="D4387" t="str">
            <v>通天路4-6</v>
          </cell>
          <cell r="E4387" t="str">
            <v>1|13012|1|1</v>
          </cell>
        </row>
        <row r="4388">
          <cell r="A4388">
            <v>60025</v>
          </cell>
          <cell r="B4388">
            <v>1</v>
          </cell>
          <cell r="C4388" t="str">
            <v>1|13001|1</v>
          </cell>
          <cell r="D4388" t="str">
            <v>通天路5-1</v>
          </cell>
          <cell r="E4388" t="str">
            <v>1|13001|1|1</v>
          </cell>
        </row>
        <row r="4389">
          <cell r="A4389">
            <v>60026</v>
          </cell>
          <cell r="B4389">
            <v>1</v>
          </cell>
          <cell r="C4389" t="str">
            <v>1|13002|1</v>
          </cell>
          <cell r="D4389" t="str">
            <v>通天路5-2</v>
          </cell>
          <cell r="E4389" t="str">
            <v>1|13002|1|1</v>
          </cell>
        </row>
        <row r="4390">
          <cell r="A4390">
            <v>60027</v>
          </cell>
          <cell r="B4390">
            <v>1</v>
          </cell>
          <cell r="C4390" t="str">
            <v>1|13003|1</v>
          </cell>
          <cell r="D4390" t="str">
            <v>通天路5-3</v>
          </cell>
          <cell r="E4390" t="str">
            <v>1|13003|1|1</v>
          </cell>
        </row>
        <row r="4391">
          <cell r="A4391">
            <v>60028</v>
          </cell>
          <cell r="B4391">
            <v>1</v>
          </cell>
          <cell r="C4391" t="str">
            <v>1|13004|1</v>
          </cell>
          <cell r="D4391" t="str">
            <v>通天路5-4</v>
          </cell>
          <cell r="E4391" t="str">
            <v>1|13004|1|1</v>
          </cell>
        </row>
        <row r="4392">
          <cell r="A4392">
            <v>60029</v>
          </cell>
          <cell r="B4392">
            <v>1</v>
          </cell>
          <cell r="C4392" t="str">
            <v>1|13005|1</v>
          </cell>
          <cell r="D4392" t="str">
            <v>通天路5-5</v>
          </cell>
          <cell r="E4392" t="str">
            <v>1|13005|1|1</v>
          </cell>
        </row>
        <row r="4393">
          <cell r="A4393">
            <v>60030</v>
          </cell>
          <cell r="B4393">
            <v>1</v>
          </cell>
          <cell r="C4393" t="str">
            <v>1|13006|1</v>
          </cell>
          <cell r="D4393" t="str">
            <v>通天路5-6</v>
          </cell>
          <cell r="E4393" t="str">
            <v>1|13006|1|1</v>
          </cell>
        </row>
        <row r="4394">
          <cell r="A4394">
            <v>60031</v>
          </cell>
          <cell r="B4394">
            <v>1</v>
          </cell>
          <cell r="C4394" t="str">
            <v>1|13001|1</v>
          </cell>
          <cell r="D4394" t="str">
            <v>通天路6-1</v>
          </cell>
          <cell r="E4394" t="str">
            <v>1|13001|1|1</v>
          </cell>
        </row>
        <row r="4395">
          <cell r="A4395">
            <v>60032</v>
          </cell>
          <cell r="B4395">
            <v>1</v>
          </cell>
          <cell r="C4395" t="str">
            <v>1|13002|1</v>
          </cell>
          <cell r="D4395" t="str">
            <v>通天路6-2</v>
          </cell>
          <cell r="E4395" t="str">
            <v>1|13002|1|1</v>
          </cell>
        </row>
        <row r="4396">
          <cell r="A4396">
            <v>60033</v>
          </cell>
          <cell r="B4396">
            <v>1</v>
          </cell>
          <cell r="C4396" t="str">
            <v>1|13003|1</v>
          </cell>
          <cell r="D4396" t="str">
            <v>通天路6-3</v>
          </cell>
          <cell r="E4396" t="str">
            <v>1|13003|1|1</v>
          </cell>
        </row>
        <row r="4397">
          <cell r="A4397">
            <v>60034</v>
          </cell>
          <cell r="B4397">
            <v>1</v>
          </cell>
          <cell r="C4397" t="str">
            <v>1|13004|1</v>
          </cell>
          <cell r="D4397" t="str">
            <v>通天路6-4</v>
          </cell>
          <cell r="E4397" t="str">
            <v>1|13004|1|1</v>
          </cell>
        </row>
        <row r="4398">
          <cell r="A4398">
            <v>60035</v>
          </cell>
          <cell r="B4398">
            <v>1</v>
          </cell>
          <cell r="C4398" t="str">
            <v>1|13005|1</v>
          </cell>
          <cell r="D4398" t="str">
            <v>通天路6-5</v>
          </cell>
          <cell r="E4398" t="str">
            <v>1|13005|1|1</v>
          </cell>
        </row>
        <row r="4399">
          <cell r="A4399">
            <v>60036</v>
          </cell>
          <cell r="B4399">
            <v>1</v>
          </cell>
          <cell r="C4399" t="str">
            <v>1|13006|1</v>
          </cell>
          <cell r="D4399" t="str">
            <v>通天路6-6</v>
          </cell>
          <cell r="E4399" t="str">
            <v>1|13006|1|1</v>
          </cell>
        </row>
        <row r="4400">
          <cell r="A4400">
            <v>60037</v>
          </cell>
          <cell r="B4400">
            <v>1</v>
          </cell>
          <cell r="C4400" t="str">
            <v>1|13001|1</v>
          </cell>
          <cell r="D4400" t="str">
            <v>通天路7-1</v>
          </cell>
          <cell r="E4400" t="str">
            <v>1|13001|1|1</v>
          </cell>
        </row>
        <row r="4401">
          <cell r="A4401">
            <v>60038</v>
          </cell>
          <cell r="B4401">
            <v>1</v>
          </cell>
          <cell r="C4401" t="str">
            <v>1|13002|1</v>
          </cell>
          <cell r="D4401" t="str">
            <v>通天路7-2</v>
          </cell>
          <cell r="E4401" t="str">
            <v>1|13002|1|1</v>
          </cell>
        </row>
        <row r="4402">
          <cell r="A4402">
            <v>60039</v>
          </cell>
          <cell r="B4402">
            <v>1</v>
          </cell>
          <cell r="C4402" t="str">
            <v>1|13003|1</v>
          </cell>
          <cell r="D4402" t="str">
            <v>通天路7-3</v>
          </cell>
          <cell r="E4402" t="str">
            <v>1|13003|1|1</v>
          </cell>
        </row>
        <row r="4403">
          <cell r="A4403">
            <v>60040</v>
          </cell>
          <cell r="B4403">
            <v>1</v>
          </cell>
          <cell r="C4403" t="str">
            <v>1|13004|1</v>
          </cell>
          <cell r="D4403" t="str">
            <v>通天路7-4</v>
          </cell>
          <cell r="E4403" t="str">
            <v>1|13004|1|1</v>
          </cell>
        </row>
        <row r="4404">
          <cell r="A4404">
            <v>60041</v>
          </cell>
          <cell r="B4404">
            <v>1</v>
          </cell>
          <cell r="C4404" t="str">
            <v>1|13005|1</v>
          </cell>
          <cell r="D4404" t="str">
            <v>通天路7-5</v>
          </cell>
          <cell r="E4404" t="str">
            <v>1|13005|1|1</v>
          </cell>
        </row>
        <row r="4405">
          <cell r="A4405">
            <v>60042</v>
          </cell>
          <cell r="B4405">
            <v>1</v>
          </cell>
          <cell r="C4405" t="str">
            <v>1|13006|1</v>
          </cell>
          <cell r="D4405" t="str">
            <v>通天路7-6</v>
          </cell>
          <cell r="E4405" t="str">
            <v>1|13006|1|1</v>
          </cell>
        </row>
        <row r="4406">
          <cell r="A4406">
            <v>60043</v>
          </cell>
          <cell r="B4406">
            <v>1</v>
          </cell>
          <cell r="C4406" t="str">
            <v>1|13007|1</v>
          </cell>
          <cell r="D4406" t="str">
            <v>通天路8-1</v>
          </cell>
          <cell r="E4406" t="str">
            <v>1|13007|1|1</v>
          </cell>
        </row>
        <row r="4407">
          <cell r="A4407">
            <v>60044</v>
          </cell>
          <cell r="B4407">
            <v>1</v>
          </cell>
          <cell r="C4407" t="str">
            <v>1|13008|1</v>
          </cell>
          <cell r="D4407" t="str">
            <v>通天路8-2</v>
          </cell>
          <cell r="E4407" t="str">
            <v>1|13008|1|1</v>
          </cell>
        </row>
        <row r="4408">
          <cell r="A4408">
            <v>60045</v>
          </cell>
          <cell r="B4408">
            <v>1</v>
          </cell>
          <cell r="C4408" t="str">
            <v>1|13009|1</v>
          </cell>
          <cell r="D4408" t="str">
            <v>通天路8-3</v>
          </cell>
          <cell r="E4408" t="str">
            <v>1|13009|1|1</v>
          </cell>
        </row>
        <row r="4409">
          <cell r="A4409">
            <v>60046</v>
          </cell>
          <cell r="B4409">
            <v>1</v>
          </cell>
          <cell r="C4409" t="str">
            <v>1|13010|1</v>
          </cell>
          <cell r="D4409" t="str">
            <v>通天路8-4</v>
          </cell>
          <cell r="E4409" t="str">
            <v>1|13010|1|1</v>
          </cell>
        </row>
        <row r="4410">
          <cell r="A4410">
            <v>60047</v>
          </cell>
          <cell r="B4410">
            <v>1</v>
          </cell>
          <cell r="C4410" t="str">
            <v>1|13011|1</v>
          </cell>
          <cell r="D4410" t="str">
            <v>通天路8-5</v>
          </cell>
          <cell r="E4410" t="str">
            <v>1|13011|1|1</v>
          </cell>
        </row>
        <row r="4411">
          <cell r="A4411">
            <v>60048</v>
          </cell>
          <cell r="B4411">
            <v>1</v>
          </cell>
          <cell r="C4411" t="str">
            <v>1|13012|1</v>
          </cell>
          <cell r="D4411" t="str">
            <v>通天路8-6</v>
          </cell>
          <cell r="E4411" t="str">
            <v>1|13012|1|1</v>
          </cell>
        </row>
        <row r="4412">
          <cell r="A4412">
            <v>60049</v>
          </cell>
          <cell r="B4412">
            <v>1</v>
          </cell>
          <cell r="C4412" t="str">
            <v>1|13005|1</v>
          </cell>
          <cell r="D4412" t="str">
            <v>通天路9-1</v>
          </cell>
          <cell r="E4412" t="str">
            <v>1|13005|1|1</v>
          </cell>
        </row>
        <row r="4413">
          <cell r="A4413">
            <v>60050</v>
          </cell>
          <cell r="B4413">
            <v>1</v>
          </cell>
          <cell r="C4413" t="str">
            <v>1|13006|1</v>
          </cell>
          <cell r="D4413" t="str">
            <v>通天路9-2</v>
          </cell>
          <cell r="E4413" t="str">
            <v>1|13006|1|1</v>
          </cell>
        </row>
        <row r="4414">
          <cell r="A4414">
            <v>60051</v>
          </cell>
          <cell r="B4414">
            <v>1</v>
          </cell>
          <cell r="C4414" t="str">
            <v>1|13007|1</v>
          </cell>
          <cell r="D4414" t="str">
            <v>通天路9-3</v>
          </cell>
          <cell r="E4414" t="str">
            <v>1|13007|1|1</v>
          </cell>
        </row>
        <row r="4415">
          <cell r="A4415">
            <v>60052</v>
          </cell>
          <cell r="B4415">
            <v>1</v>
          </cell>
          <cell r="C4415" t="str">
            <v>1|13008|1</v>
          </cell>
          <cell r="D4415" t="str">
            <v>通天路9-4</v>
          </cell>
          <cell r="E4415" t="str">
            <v>1|13008|1|1</v>
          </cell>
        </row>
        <row r="4416">
          <cell r="A4416">
            <v>60053</v>
          </cell>
          <cell r="B4416">
            <v>1</v>
          </cell>
          <cell r="C4416" t="str">
            <v>1|13009|1</v>
          </cell>
          <cell r="D4416" t="str">
            <v>通天路9-5</v>
          </cell>
          <cell r="E4416" t="str">
            <v>1|13009|1|1</v>
          </cell>
        </row>
        <row r="4417">
          <cell r="A4417">
            <v>60054</v>
          </cell>
          <cell r="B4417">
            <v>1</v>
          </cell>
          <cell r="C4417" t="str">
            <v>1|13010|1</v>
          </cell>
          <cell r="D4417" t="str">
            <v>通天路9-6</v>
          </cell>
          <cell r="E4417" t="str">
            <v>1|13010|1|1</v>
          </cell>
        </row>
        <row r="4418">
          <cell r="A4418">
            <v>60055</v>
          </cell>
          <cell r="B4418">
            <v>1</v>
          </cell>
          <cell r="C4418" t="str">
            <v>1|13011|1</v>
          </cell>
          <cell r="D4418" t="str">
            <v>通天路10-1</v>
          </cell>
          <cell r="E4418" t="str">
            <v>1|13011|1|1</v>
          </cell>
        </row>
        <row r="4419">
          <cell r="A4419">
            <v>60056</v>
          </cell>
          <cell r="B4419">
            <v>1</v>
          </cell>
          <cell r="C4419" t="str">
            <v>1|13012|1</v>
          </cell>
          <cell r="D4419" t="str">
            <v>通天路10-2</v>
          </cell>
          <cell r="E4419" t="str">
            <v>1|13012|1|1</v>
          </cell>
        </row>
        <row r="4420">
          <cell r="A4420">
            <v>60057</v>
          </cell>
          <cell r="B4420">
            <v>1</v>
          </cell>
          <cell r="C4420" t="str">
            <v>1|13009|1</v>
          </cell>
          <cell r="D4420" t="str">
            <v>通天路10-3</v>
          </cell>
          <cell r="E4420" t="str">
            <v>1|13009|1|1</v>
          </cell>
        </row>
        <row r="4421">
          <cell r="A4421">
            <v>60058</v>
          </cell>
          <cell r="B4421">
            <v>1</v>
          </cell>
          <cell r="C4421" t="str">
            <v>1|13010|1</v>
          </cell>
          <cell r="D4421" t="str">
            <v>通天路10-4</v>
          </cell>
          <cell r="E4421" t="str">
            <v>1|13010|1|1</v>
          </cell>
        </row>
        <row r="4422">
          <cell r="A4422">
            <v>60059</v>
          </cell>
          <cell r="B4422">
            <v>1</v>
          </cell>
          <cell r="C4422" t="str">
            <v>1|13011|1</v>
          </cell>
          <cell r="D4422" t="str">
            <v>通天路10-5</v>
          </cell>
          <cell r="E4422" t="str">
            <v>1|13011|1|1</v>
          </cell>
        </row>
        <row r="4423">
          <cell r="A4423">
            <v>60060</v>
          </cell>
          <cell r="B4423">
            <v>1</v>
          </cell>
          <cell r="C4423" t="str">
            <v>1|13012|1</v>
          </cell>
          <cell r="D4423" t="str">
            <v>通天路10-6</v>
          </cell>
          <cell r="E4423" t="str">
            <v>1|13012|1|1</v>
          </cell>
        </row>
        <row r="4424">
          <cell r="A4424">
            <v>61001</v>
          </cell>
          <cell r="B4424">
            <v>1</v>
          </cell>
          <cell r="C4424" t="str">
            <v>4|1|100000</v>
          </cell>
          <cell r="D4424" t="str">
            <v>第一章通天路5星奖励</v>
          </cell>
          <cell r="E4424" t="str">
            <v>4|1|100000|1</v>
          </cell>
        </row>
        <row r="4425">
          <cell r="A4425">
            <v>61002</v>
          </cell>
          <cell r="B4425">
            <v>1</v>
          </cell>
          <cell r="C4425" t="str">
            <v>1|14207|50</v>
          </cell>
          <cell r="D4425" t="str">
            <v>第一章通天路10星奖励</v>
          </cell>
          <cell r="E4425" t="str">
            <v>1|14207|50|1</v>
          </cell>
        </row>
        <row r="4426">
          <cell r="A4426">
            <v>61003</v>
          </cell>
          <cell r="B4426">
            <v>1</v>
          </cell>
          <cell r="C4426" t="str">
            <v>4|2|300</v>
          </cell>
          <cell r="D4426" t="str">
            <v>第一章通天路15星奖励</v>
          </cell>
          <cell r="E4426" t="str">
            <v>4|2|300|1</v>
          </cell>
        </row>
        <row r="4427">
          <cell r="A4427">
            <v>61004</v>
          </cell>
          <cell r="B4427">
            <v>1</v>
          </cell>
          <cell r="C4427" t="str">
            <v>4|1|120000</v>
          </cell>
          <cell r="D4427" t="str">
            <v>第二章通天路5星奖励</v>
          </cell>
          <cell r="E4427" t="str">
            <v>4|1|120000|1</v>
          </cell>
        </row>
        <row r="4428">
          <cell r="A4428">
            <v>61005</v>
          </cell>
          <cell r="B4428">
            <v>1</v>
          </cell>
          <cell r="C4428" t="str">
            <v>1|14207|100</v>
          </cell>
          <cell r="D4428" t="str">
            <v>第二章通天路10星奖励</v>
          </cell>
          <cell r="E4428" t="str">
            <v>1|14207|100|1</v>
          </cell>
        </row>
        <row r="4429">
          <cell r="A4429">
            <v>61006</v>
          </cell>
          <cell r="B4429">
            <v>1</v>
          </cell>
          <cell r="C4429" t="str">
            <v>4|2|300</v>
          </cell>
          <cell r="D4429" t="str">
            <v>第二章通天路15星奖励</v>
          </cell>
          <cell r="E4429" t="str">
            <v>4|2|300|1</v>
          </cell>
        </row>
        <row r="4430">
          <cell r="A4430">
            <v>61007</v>
          </cell>
          <cell r="B4430">
            <v>1</v>
          </cell>
          <cell r="C4430" t="str">
            <v>4|1|140000</v>
          </cell>
          <cell r="D4430" t="str">
            <v>第三章通天路5星奖励</v>
          </cell>
          <cell r="E4430" t="str">
            <v>4|1|140000|1</v>
          </cell>
        </row>
        <row r="4431">
          <cell r="A4431">
            <v>61008</v>
          </cell>
          <cell r="B4431">
            <v>1</v>
          </cell>
          <cell r="C4431" t="str">
            <v>1|14207|150</v>
          </cell>
          <cell r="D4431" t="str">
            <v>第三章通天路10星奖励</v>
          </cell>
          <cell r="E4431" t="str">
            <v>1|14207|150|1</v>
          </cell>
        </row>
        <row r="4432">
          <cell r="A4432">
            <v>61009</v>
          </cell>
          <cell r="B4432">
            <v>1</v>
          </cell>
          <cell r="C4432" t="str">
            <v>4|2|400</v>
          </cell>
          <cell r="D4432" t="str">
            <v>第三章通天路15星奖励</v>
          </cell>
          <cell r="E4432" t="str">
            <v>4|2|400|1</v>
          </cell>
        </row>
        <row r="4433">
          <cell r="A4433">
            <v>61010</v>
          </cell>
          <cell r="B4433">
            <v>1</v>
          </cell>
          <cell r="C4433" t="str">
            <v>4|1|160000</v>
          </cell>
          <cell r="D4433" t="str">
            <v>第四章通天路5星奖励</v>
          </cell>
          <cell r="E4433" t="str">
            <v>4|1|160000|1</v>
          </cell>
        </row>
        <row r="4434">
          <cell r="A4434">
            <v>61011</v>
          </cell>
          <cell r="B4434">
            <v>1</v>
          </cell>
          <cell r="C4434" t="str">
            <v>1|14207|200</v>
          </cell>
          <cell r="D4434" t="str">
            <v>第四章通天路10星奖励</v>
          </cell>
          <cell r="E4434" t="str">
            <v>1|14207|200|1</v>
          </cell>
        </row>
        <row r="4435">
          <cell r="A4435">
            <v>61012</v>
          </cell>
          <cell r="B4435">
            <v>1</v>
          </cell>
          <cell r="C4435" t="str">
            <v>4|2|400</v>
          </cell>
          <cell r="D4435" t="str">
            <v>第四章通天路15星奖励</v>
          </cell>
          <cell r="E4435" t="str">
            <v>4|2|400|1</v>
          </cell>
        </row>
        <row r="4436">
          <cell r="A4436">
            <v>61013</v>
          </cell>
          <cell r="B4436">
            <v>1</v>
          </cell>
          <cell r="C4436" t="str">
            <v>4|1|180000</v>
          </cell>
          <cell r="D4436" t="str">
            <v>第五章通天路5星奖励</v>
          </cell>
          <cell r="E4436" t="str">
            <v>4|1|180000|1</v>
          </cell>
        </row>
        <row r="4437">
          <cell r="A4437">
            <v>61014</v>
          </cell>
          <cell r="B4437">
            <v>1</v>
          </cell>
          <cell r="C4437" t="str">
            <v>1|14207|250</v>
          </cell>
          <cell r="D4437" t="str">
            <v>第五章通天路10星奖励</v>
          </cell>
          <cell r="E4437" t="str">
            <v>1|14207|250|1</v>
          </cell>
        </row>
        <row r="4438">
          <cell r="A4438">
            <v>61015</v>
          </cell>
          <cell r="B4438">
            <v>1</v>
          </cell>
          <cell r="C4438" t="str">
            <v>4|2|500</v>
          </cell>
          <cell r="D4438" t="str">
            <v>第五章通天路15星奖励</v>
          </cell>
          <cell r="E4438" t="str">
            <v>4|2|500|1</v>
          </cell>
        </row>
        <row r="4439">
          <cell r="A4439">
            <v>61016</v>
          </cell>
          <cell r="B4439">
            <v>1</v>
          </cell>
          <cell r="C4439" t="str">
            <v>4|1|200000</v>
          </cell>
          <cell r="D4439" t="str">
            <v>第六章通天路5星奖励</v>
          </cell>
          <cell r="E4439" t="str">
            <v>4|1|200000|1</v>
          </cell>
        </row>
        <row r="4440">
          <cell r="A4440">
            <v>61017</v>
          </cell>
          <cell r="B4440">
            <v>1</v>
          </cell>
          <cell r="C4440" t="str">
            <v>1|14207|300</v>
          </cell>
          <cell r="D4440" t="str">
            <v>第六章通天路10星奖励</v>
          </cell>
          <cell r="E4440" t="str">
            <v>1|14207|300|1</v>
          </cell>
        </row>
        <row r="4441">
          <cell r="A4441">
            <v>61018</v>
          </cell>
          <cell r="B4441">
            <v>1</v>
          </cell>
          <cell r="C4441" t="str">
            <v>4|2|500</v>
          </cell>
          <cell r="D4441" t="str">
            <v>第六章通天路15星奖励</v>
          </cell>
          <cell r="E4441" t="str">
            <v>4|2|500|1</v>
          </cell>
        </row>
        <row r="4442">
          <cell r="A4442">
            <v>61019</v>
          </cell>
          <cell r="B4442">
            <v>1</v>
          </cell>
          <cell r="C4442" t="str">
            <v>4|1|220000</v>
          </cell>
          <cell r="D4442" t="str">
            <v>第七章通天路5星奖励</v>
          </cell>
          <cell r="E4442" t="str">
            <v>4|1|220000|1</v>
          </cell>
        </row>
        <row r="4443">
          <cell r="A4443">
            <v>61020</v>
          </cell>
          <cell r="B4443">
            <v>1</v>
          </cell>
          <cell r="C4443" t="str">
            <v>1|14207|350</v>
          </cell>
          <cell r="D4443" t="str">
            <v>第七章通天路10星奖励</v>
          </cell>
          <cell r="E4443" t="str">
            <v>1|14207|350|1</v>
          </cell>
        </row>
        <row r="4444">
          <cell r="A4444">
            <v>61021</v>
          </cell>
          <cell r="B4444">
            <v>1</v>
          </cell>
          <cell r="C4444" t="str">
            <v>4|2|600</v>
          </cell>
          <cell r="D4444" t="str">
            <v>第七章通天路15星奖励</v>
          </cell>
          <cell r="E4444" t="str">
            <v>4|2|600|1</v>
          </cell>
        </row>
        <row r="4445">
          <cell r="A4445">
            <v>61022</v>
          </cell>
          <cell r="B4445">
            <v>1</v>
          </cell>
          <cell r="C4445" t="str">
            <v>4|1|240000</v>
          </cell>
          <cell r="D4445" t="str">
            <v>第八章通天路5星奖励</v>
          </cell>
          <cell r="E4445" t="str">
            <v>4|1|240000|1</v>
          </cell>
        </row>
        <row r="4446">
          <cell r="A4446">
            <v>61023</v>
          </cell>
          <cell r="B4446">
            <v>1</v>
          </cell>
          <cell r="C4446" t="str">
            <v>1|14207|400</v>
          </cell>
          <cell r="D4446" t="str">
            <v>第八章通天路10星奖励</v>
          </cell>
          <cell r="E4446" t="str">
            <v>1|14207|400|1</v>
          </cell>
        </row>
        <row r="4447">
          <cell r="A4447">
            <v>61024</v>
          </cell>
          <cell r="B4447">
            <v>1</v>
          </cell>
          <cell r="C4447" t="str">
            <v>4|2|600</v>
          </cell>
          <cell r="D4447" t="str">
            <v>第八章通天路15星奖励</v>
          </cell>
          <cell r="E4447" t="str">
            <v>4|2|600|1</v>
          </cell>
        </row>
        <row r="4448">
          <cell r="A4448">
            <v>61025</v>
          </cell>
          <cell r="B4448">
            <v>1</v>
          </cell>
          <cell r="C4448" t="str">
            <v>4|1|260000</v>
          </cell>
          <cell r="D4448" t="str">
            <v>第九章通天路5星奖励</v>
          </cell>
          <cell r="E4448" t="str">
            <v>4|1|260000|1</v>
          </cell>
        </row>
        <row r="4449">
          <cell r="A4449">
            <v>61026</v>
          </cell>
          <cell r="B4449">
            <v>1</v>
          </cell>
          <cell r="C4449" t="str">
            <v>1|14207|450</v>
          </cell>
          <cell r="D4449" t="str">
            <v>第九章通天路10星奖励</v>
          </cell>
          <cell r="E4449" t="str">
            <v>1|14207|450|1</v>
          </cell>
        </row>
        <row r="4450">
          <cell r="A4450">
            <v>61027</v>
          </cell>
          <cell r="B4450">
            <v>1</v>
          </cell>
          <cell r="C4450" t="str">
            <v>4|2|700</v>
          </cell>
          <cell r="D4450" t="str">
            <v>第九章通天路15星奖励</v>
          </cell>
          <cell r="E4450" t="str">
            <v>4|2|700|1</v>
          </cell>
        </row>
        <row r="4451">
          <cell r="A4451">
            <v>61028</v>
          </cell>
          <cell r="B4451">
            <v>1</v>
          </cell>
          <cell r="C4451" t="str">
            <v>4|1|280000</v>
          </cell>
          <cell r="D4451" t="str">
            <v>第十章通天路5星奖励</v>
          </cell>
          <cell r="E4451" t="str">
            <v>4|1|280000|1</v>
          </cell>
        </row>
        <row r="4452">
          <cell r="A4452">
            <v>61029</v>
          </cell>
          <cell r="B4452">
            <v>1</v>
          </cell>
          <cell r="C4452" t="str">
            <v>1|14207|500</v>
          </cell>
          <cell r="D4452" t="str">
            <v>第十章通天路10星奖励</v>
          </cell>
          <cell r="E4452" t="str">
            <v>1|14207|500|1</v>
          </cell>
        </row>
        <row r="4453">
          <cell r="A4453">
            <v>61030</v>
          </cell>
          <cell r="B4453">
            <v>1</v>
          </cell>
          <cell r="C4453" t="str">
            <v>4|2|700</v>
          </cell>
          <cell r="D4453" t="str">
            <v>第十章通天路15星奖励</v>
          </cell>
          <cell r="E4453" t="str">
            <v>4|2|700|1</v>
          </cell>
        </row>
        <row r="4454">
          <cell r="A4454">
            <v>62001</v>
          </cell>
          <cell r="B4454">
            <v>1</v>
          </cell>
          <cell r="C4454" t="str">
            <v>1|14207|5</v>
          </cell>
          <cell r="D4454" t="str">
            <v>5个仙晶掉落</v>
          </cell>
          <cell r="E4454" t="str">
            <v>1|14207|5|1</v>
          </cell>
        </row>
        <row r="4455">
          <cell r="A4455">
            <v>62002</v>
          </cell>
          <cell r="B4455">
            <v>1</v>
          </cell>
          <cell r="C4455" t="str">
            <v>1|14207|10</v>
          </cell>
          <cell r="D4455" t="str">
            <v>10个仙晶掉落</v>
          </cell>
          <cell r="E4455" t="str">
            <v>1|14207|10|1</v>
          </cell>
        </row>
        <row r="4456">
          <cell r="A4456">
            <v>63001</v>
          </cell>
          <cell r="B4456">
            <v>0</v>
          </cell>
          <cell r="C4456" t="str">
            <v>4|2|100</v>
          </cell>
          <cell r="D4456" t="str">
            <v>帮派进度奖励-钻石</v>
          </cell>
          <cell r="E4456" t="str">
            <v>4|2|100|1</v>
          </cell>
        </row>
        <row r="4457">
          <cell r="A4457">
            <v>63002</v>
          </cell>
          <cell r="B4457">
            <v>0</v>
          </cell>
          <cell r="C4457" t="str">
            <v>4|37|200</v>
          </cell>
          <cell r="D4457" t="str">
            <v>帮派进度奖励-帮派贡献</v>
          </cell>
          <cell r="E4457" t="str">
            <v>4|37|200|1</v>
          </cell>
        </row>
        <row r="4458">
          <cell r="A4458">
            <v>63003</v>
          </cell>
          <cell r="B4458">
            <v>0</v>
          </cell>
          <cell r="C4458" t="str">
            <v>4|37|400</v>
          </cell>
          <cell r="D4458" t="str">
            <v>帮派进度奖励-帮派贡献</v>
          </cell>
          <cell r="E4458" t="str">
            <v>4|37|400|1</v>
          </cell>
        </row>
        <row r="4459">
          <cell r="A4459">
            <v>63004</v>
          </cell>
          <cell r="B4459">
            <v>0</v>
          </cell>
          <cell r="C4459" t="str">
            <v>4|7|1500</v>
          </cell>
          <cell r="D4459" t="str">
            <v>帮派进度奖励4</v>
          </cell>
          <cell r="E4459" t="str">
            <v>4|7|1500|1</v>
          </cell>
        </row>
        <row r="4460">
          <cell r="A4460">
            <v>63005</v>
          </cell>
          <cell r="B4460">
            <v>0</v>
          </cell>
          <cell r="C4460" t="str">
            <v>4|7|600</v>
          </cell>
          <cell r="D4460" t="str">
            <v>帮派进度奖励3</v>
          </cell>
          <cell r="E4460" t="str">
            <v>4|7|600|1</v>
          </cell>
        </row>
        <row r="4461">
          <cell r="A4461">
            <v>63006</v>
          </cell>
          <cell r="B4461">
            <v>0</v>
          </cell>
          <cell r="C4461" t="str">
            <v>4|1|30000</v>
          </cell>
          <cell r="D4461" t="str">
            <v>帮派进度奖励3</v>
          </cell>
          <cell r="E4461" t="str">
            <v>4|1|30000|1</v>
          </cell>
        </row>
        <row r="4462">
          <cell r="A4462">
            <v>63007</v>
          </cell>
          <cell r="B4462">
            <v>0</v>
          </cell>
          <cell r="C4462" t="str">
            <v>1|14311|5</v>
          </cell>
          <cell r="D4462" t="str">
            <v>帮派进度奖励4</v>
          </cell>
          <cell r="E4462" t="str">
            <v>1|14311|5|1</v>
          </cell>
        </row>
        <row r="4463">
          <cell r="A4463">
            <v>63008</v>
          </cell>
          <cell r="B4463">
            <v>0</v>
          </cell>
          <cell r="C4463" t="str">
            <v>4|1|50000</v>
          </cell>
          <cell r="D4463" t="str">
            <v>帮派进度奖励4</v>
          </cell>
          <cell r="E4463" t="str">
            <v>4|1|50000|1</v>
          </cell>
        </row>
        <row r="4464">
          <cell r="A4464">
            <v>63101</v>
          </cell>
          <cell r="B4464">
            <v>0</v>
          </cell>
          <cell r="C4464" t="str">
            <v>4|1|15000</v>
          </cell>
          <cell r="D4464" t="str">
            <v>帮派进度奖励-金币-29级</v>
          </cell>
          <cell r="E4464" t="str">
            <v>4|1|15000|1</v>
          </cell>
        </row>
        <row r="4465">
          <cell r="A4465">
            <v>63102</v>
          </cell>
          <cell r="B4465">
            <v>0</v>
          </cell>
          <cell r="C4465" t="str">
            <v>4|1|20000</v>
          </cell>
          <cell r="D4465" t="str">
            <v>帮派进度奖励-金币-39级</v>
          </cell>
          <cell r="E4465" t="str">
            <v>4|1|20000|1</v>
          </cell>
        </row>
        <row r="4466">
          <cell r="A4466">
            <v>63103</v>
          </cell>
          <cell r="B4466">
            <v>0</v>
          </cell>
          <cell r="C4466" t="str">
            <v>4|1|25000</v>
          </cell>
          <cell r="D4466" t="str">
            <v>帮派进度奖励-金币-49级</v>
          </cell>
          <cell r="E4466" t="str">
            <v>4|1|25000|1</v>
          </cell>
        </row>
        <row r="4467">
          <cell r="A4467">
            <v>63104</v>
          </cell>
          <cell r="B4467">
            <v>0</v>
          </cell>
          <cell r="C4467" t="str">
            <v>4|1|30000</v>
          </cell>
          <cell r="D4467" t="str">
            <v>帮派进度奖励-金币-59级</v>
          </cell>
          <cell r="E4467" t="str">
            <v>4|1|30000|1</v>
          </cell>
        </row>
        <row r="4468">
          <cell r="A4468">
            <v>63105</v>
          </cell>
          <cell r="B4468">
            <v>0</v>
          </cell>
          <cell r="C4468" t="str">
            <v>4|1|35000</v>
          </cell>
          <cell r="D4468" t="str">
            <v>帮派进度奖励-金币-69级</v>
          </cell>
          <cell r="E4468" t="str">
            <v>4|1|35000|1</v>
          </cell>
        </row>
        <row r="4469">
          <cell r="A4469">
            <v>63106</v>
          </cell>
          <cell r="B4469">
            <v>0</v>
          </cell>
          <cell r="C4469" t="str">
            <v>4|1|40000</v>
          </cell>
          <cell r="D4469" t="str">
            <v>帮派进度奖励-金币-79级</v>
          </cell>
          <cell r="E4469" t="str">
            <v>4|1|40000|1</v>
          </cell>
        </row>
        <row r="4470">
          <cell r="A4470">
            <v>63107</v>
          </cell>
          <cell r="B4470">
            <v>0</v>
          </cell>
          <cell r="C4470" t="str">
            <v>4|1|45000</v>
          </cell>
          <cell r="D4470" t="str">
            <v>帮派进度奖励-金币-89级</v>
          </cell>
          <cell r="E4470" t="str">
            <v>4|1|45000|1</v>
          </cell>
        </row>
        <row r="4471">
          <cell r="A4471">
            <v>63108</v>
          </cell>
          <cell r="B4471">
            <v>0</v>
          </cell>
          <cell r="C4471" t="str">
            <v>4|1|50000</v>
          </cell>
          <cell r="D4471" t="str">
            <v>帮派进度奖励-金币-99级</v>
          </cell>
          <cell r="E4471" t="str">
            <v>4|1|50000|1</v>
          </cell>
        </row>
        <row r="4472">
          <cell r="A4472">
            <v>63109</v>
          </cell>
          <cell r="B4472">
            <v>0</v>
          </cell>
          <cell r="C4472" t="str">
            <v>4|1|55000</v>
          </cell>
          <cell r="D4472" t="str">
            <v>帮派进度奖励-金币-109级</v>
          </cell>
          <cell r="E4472" t="str">
            <v>4|1|55000|1</v>
          </cell>
        </row>
        <row r="4473">
          <cell r="A4473">
            <v>63110</v>
          </cell>
          <cell r="B4473">
            <v>0</v>
          </cell>
          <cell r="C4473" t="str">
            <v>4|1|60000</v>
          </cell>
          <cell r="D4473" t="str">
            <v>帮派进度奖励-金币-119级</v>
          </cell>
          <cell r="E4473" t="str">
            <v>4|1|60000|1</v>
          </cell>
        </row>
        <row r="4474">
          <cell r="A4474">
            <v>63111</v>
          </cell>
          <cell r="B4474">
            <v>0</v>
          </cell>
          <cell r="C4474" t="str">
            <v>4|1|65000</v>
          </cell>
          <cell r="D4474" t="str">
            <v>帮派进度奖励-金币-129级</v>
          </cell>
          <cell r="E4474" t="str">
            <v>4|1|65000|1</v>
          </cell>
        </row>
        <row r="4475">
          <cell r="A4475">
            <v>63112</v>
          </cell>
          <cell r="B4475">
            <v>0</v>
          </cell>
          <cell r="C4475" t="str">
            <v>4|1|70000</v>
          </cell>
          <cell r="D4475" t="str">
            <v>帮派进度奖励-金币-139级</v>
          </cell>
          <cell r="E4475" t="str">
            <v>4|1|70000|1</v>
          </cell>
        </row>
        <row r="4476">
          <cell r="A4476">
            <v>63113</v>
          </cell>
          <cell r="B4476">
            <v>0</v>
          </cell>
          <cell r="C4476" t="str">
            <v>4|1|75000</v>
          </cell>
          <cell r="D4476" t="str">
            <v>帮派进度奖励-金币-149级</v>
          </cell>
          <cell r="E4476" t="str">
            <v>4|1|75000|1</v>
          </cell>
        </row>
        <row r="4477">
          <cell r="A4477">
            <v>63114</v>
          </cell>
          <cell r="B4477">
            <v>0</v>
          </cell>
          <cell r="C4477" t="str">
            <v>4|1|80000</v>
          </cell>
          <cell r="D4477" t="str">
            <v>帮派进度奖励-金币-159级</v>
          </cell>
          <cell r="E4477" t="str">
            <v>4|1|80000|1</v>
          </cell>
        </row>
        <row r="4478">
          <cell r="A4478">
            <v>65001</v>
          </cell>
          <cell r="B4478">
            <v>0</v>
          </cell>
          <cell r="C4478" t="str">
            <v>4|1|50000</v>
          </cell>
          <cell r="D4478" t="str">
            <v>开服首月_第1天奖励</v>
          </cell>
          <cell r="E4478" t="str">
            <v>4|1|50000|1</v>
          </cell>
        </row>
        <row r="4479">
          <cell r="A4479">
            <v>65002</v>
          </cell>
          <cell r="B4479">
            <v>0</v>
          </cell>
          <cell r="C4479" t="str">
            <v>1|11014|15</v>
          </cell>
          <cell r="D4479" t="str">
            <v>开服首月_第2天奖励</v>
          </cell>
          <cell r="E4479" t="str">
            <v>1|11014|15|1</v>
          </cell>
        </row>
        <row r="4480">
          <cell r="A4480">
            <v>65003</v>
          </cell>
          <cell r="B4480">
            <v>0</v>
          </cell>
          <cell r="C4480" t="str">
            <v>1|11014|15</v>
          </cell>
          <cell r="D4480" t="str">
            <v>开服首月_第3天奖励</v>
          </cell>
          <cell r="E4480" t="str">
            <v>1|11014|15|1</v>
          </cell>
        </row>
        <row r="4481">
          <cell r="A4481">
            <v>65004</v>
          </cell>
          <cell r="B4481">
            <v>0</v>
          </cell>
          <cell r="C4481" t="str">
            <v>1|17000|100</v>
          </cell>
          <cell r="D4481" t="str">
            <v>开服首月_第4天奖励</v>
          </cell>
          <cell r="E4481" t="str">
            <v>1|17000|100|1</v>
          </cell>
        </row>
        <row r="4482">
          <cell r="A4482">
            <v>65005</v>
          </cell>
          <cell r="B4482">
            <v>0</v>
          </cell>
          <cell r="C4482" t="str">
            <v>4|2|100</v>
          </cell>
          <cell r="D4482" t="str">
            <v>开服首月_第5天奖励</v>
          </cell>
          <cell r="E4482" t="str">
            <v>4|2|100|1</v>
          </cell>
        </row>
        <row r="4483">
          <cell r="A4483">
            <v>65006</v>
          </cell>
          <cell r="B4483">
            <v>0</v>
          </cell>
          <cell r="C4483" t="str">
            <v>1|14102|20</v>
          </cell>
          <cell r="D4483" t="str">
            <v>开服首月_第6天奖励</v>
          </cell>
          <cell r="E4483" t="str">
            <v>1|14102|20|1</v>
          </cell>
        </row>
        <row r="4484">
          <cell r="A4484">
            <v>65007</v>
          </cell>
          <cell r="B4484">
            <v>0</v>
          </cell>
          <cell r="C4484" t="str">
            <v>4|1|100000</v>
          </cell>
          <cell r="D4484" t="str">
            <v>开服首月_第7天奖励</v>
          </cell>
          <cell r="E4484" t="str">
            <v>4|1|100000|1</v>
          </cell>
        </row>
        <row r="4485">
          <cell r="A4485">
            <v>65008</v>
          </cell>
          <cell r="B4485">
            <v>0</v>
          </cell>
          <cell r="C4485" t="str">
            <v>1|14535|1</v>
          </cell>
          <cell r="D4485" t="str">
            <v>开服首月_第8天奖励</v>
          </cell>
          <cell r="E4485" t="str">
            <v>1|14535|1|1</v>
          </cell>
        </row>
        <row r="4486">
          <cell r="A4486">
            <v>65009</v>
          </cell>
          <cell r="B4486">
            <v>0</v>
          </cell>
          <cell r="C4486" t="str">
            <v>1|14106|30</v>
          </cell>
          <cell r="D4486" t="str">
            <v>开服首月_第9天奖励</v>
          </cell>
          <cell r="E4486" t="str">
            <v>1|14106|30|1</v>
          </cell>
        </row>
        <row r="4487">
          <cell r="A4487">
            <v>65010</v>
          </cell>
          <cell r="B4487">
            <v>0</v>
          </cell>
          <cell r="C4487" t="str">
            <v>1|17001|30</v>
          </cell>
          <cell r="D4487" t="str">
            <v>开服首月_第10天奖励</v>
          </cell>
          <cell r="E4487" t="str">
            <v>1|17001|30|1</v>
          </cell>
        </row>
        <row r="4488">
          <cell r="A4488">
            <v>65011</v>
          </cell>
          <cell r="B4488">
            <v>0</v>
          </cell>
          <cell r="C4488" t="str">
            <v>4|2|200</v>
          </cell>
          <cell r="D4488" t="str">
            <v>开服首月_第11天奖励</v>
          </cell>
          <cell r="E4488" t="str">
            <v>4|2|200|1</v>
          </cell>
        </row>
        <row r="4489">
          <cell r="A4489">
            <v>65012</v>
          </cell>
          <cell r="B4489">
            <v>0</v>
          </cell>
          <cell r="C4489" t="str">
            <v>1|14101|5</v>
          </cell>
          <cell r="D4489" t="str">
            <v>开服首月_第12天奖励</v>
          </cell>
          <cell r="E4489" t="str">
            <v>1|14101|5|1</v>
          </cell>
        </row>
        <row r="4490">
          <cell r="A4490">
            <v>65013</v>
          </cell>
          <cell r="B4490">
            <v>0</v>
          </cell>
          <cell r="C4490" t="str">
            <v>4|1|150000</v>
          </cell>
          <cell r="D4490" t="str">
            <v>开服首月_第13天奖励</v>
          </cell>
          <cell r="E4490" t="str">
            <v>4|1|150000|1</v>
          </cell>
        </row>
        <row r="4491">
          <cell r="A4491">
            <v>65014</v>
          </cell>
          <cell r="B4491">
            <v>0</v>
          </cell>
          <cell r="C4491" t="str">
            <v>1|14201|100</v>
          </cell>
          <cell r="D4491" t="str">
            <v>开服首月_第14天奖励</v>
          </cell>
          <cell r="E4491" t="str">
            <v>1|14201|100|1</v>
          </cell>
        </row>
        <row r="4492">
          <cell r="A4492">
            <v>65015</v>
          </cell>
          <cell r="B4492">
            <v>0</v>
          </cell>
          <cell r="C4492" t="str">
            <v>1|16010|5</v>
          </cell>
          <cell r="D4492" t="str">
            <v>开服首月_第15天奖励</v>
          </cell>
          <cell r="E4492" t="str">
            <v>1|16010|5|1</v>
          </cell>
        </row>
        <row r="4493">
          <cell r="A4493">
            <v>65016</v>
          </cell>
          <cell r="B4493">
            <v>0</v>
          </cell>
          <cell r="C4493" t="str">
            <v>1|17000|150</v>
          </cell>
          <cell r="D4493" t="str">
            <v>开服首月_第16天奖励</v>
          </cell>
          <cell r="E4493" t="str">
            <v>1|17000|150|1</v>
          </cell>
        </row>
        <row r="4494">
          <cell r="A4494">
            <v>65017</v>
          </cell>
          <cell r="B4494">
            <v>0</v>
          </cell>
          <cell r="C4494" t="str">
            <v>4|2|300</v>
          </cell>
          <cell r="D4494" t="str">
            <v>开服首月_第17天奖励</v>
          </cell>
          <cell r="E4494" t="str">
            <v>4|2|300|1</v>
          </cell>
        </row>
        <row r="4495">
          <cell r="A4495">
            <v>65018</v>
          </cell>
          <cell r="B4495">
            <v>0</v>
          </cell>
          <cell r="C4495" t="str">
            <v>1|14108|5</v>
          </cell>
          <cell r="D4495" t="str">
            <v>开服首月_第18天奖励</v>
          </cell>
          <cell r="E4495" t="str">
            <v>1|14108|5|1</v>
          </cell>
        </row>
        <row r="4496">
          <cell r="A4496">
            <v>65019</v>
          </cell>
          <cell r="B4496">
            <v>0</v>
          </cell>
          <cell r="C4496" t="str">
            <v>4|1|200000</v>
          </cell>
          <cell r="D4496" t="str">
            <v>开服首月_第19天奖励</v>
          </cell>
          <cell r="E4496" t="str">
            <v>4|1|200000|1</v>
          </cell>
        </row>
        <row r="4497">
          <cell r="A4497">
            <v>65020</v>
          </cell>
          <cell r="B4497">
            <v>0</v>
          </cell>
          <cell r="C4497" t="str">
            <v>1|16005|100</v>
          </cell>
          <cell r="D4497" t="str">
            <v>开服首月_第20天奖励</v>
          </cell>
          <cell r="E4497" t="str">
            <v>1|16005|100|1</v>
          </cell>
        </row>
        <row r="4498">
          <cell r="A4498">
            <v>65021</v>
          </cell>
          <cell r="B4498">
            <v>0</v>
          </cell>
          <cell r="C4498" t="str">
            <v>1|14106|50</v>
          </cell>
          <cell r="D4498" t="str">
            <v>开服首月_第21天奖励</v>
          </cell>
          <cell r="E4498" t="str">
            <v>1|14106|50|1</v>
          </cell>
        </row>
        <row r="4499">
          <cell r="A4499">
            <v>65022</v>
          </cell>
          <cell r="B4499">
            <v>0</v>
          </cell>
          <cell r="C4499" t="str">
            <v>1|17001|50</v>
          </cell>
          <cell r="D4499" t="str">
            <v>开服首月_第22天奖励</v>
          </cell>
          <cell r="E4499" t="str">
            <v>1|17001|50|1</v>
          </cell>
        </row>
        <row r="4500">
          <cell r="A4500">
            <v>65023</v>
          </cell>
          <cell r="B4500">
            <v>0</v>
          </cell>
          <cell r="C4500" t="str">
            <v>4|2|400</v>
          </cell>
          <cell r="D4500" t="str">
            <v>开服首月_第23天奖励</v>
          </cell>
          <cell r="E4500" t="str">
            <v>4|2|400|1</v>
          </cell>
        </row>
        <row r="4501">
          <cell r="A4501">
            <v>65024</v>
          </cell>
          <cell r="B4501">
            <v>0</v>
          </cell>
          <cell r="C4501" t="str">
            <v>1|14101|10</v>
          </cell>
          <cell r="D4501" t="str">
            <v>开服首月_第24天奖励</v>
          </cell>
          <cell r="E4501" t="str">
            <v>1|14101|10|1</v>
          </cell>
        </row>
        <row r="4502">
          <cell r="A4502">
            <v>65025</v>
          </cell>
          <cell r="B4502">
            <v>0</v>
          </cell>
          <cell r="C4502" t="str">
            <v>4|1|250000</v>
          </cell>
          <cell r="D4502" t="str">
            <v>开服首月_第25天奖励</v>
          </cell>
          <cell r="E4502" t="str">
            <v>4|1|250000|1</v>
          </cell>
        </row>
        <row r="4503">
          <cell r="A4503">
            <v>65026</v>
          </cell>
          <cell r="B4503">
            <v>0</v>
          </cell>
          <cell r="C4503" t="str">
            <v>1|14201|150</v>
          </cell>
          <cell r="D4503" t="str">
            <v>开服首月_第26天奖励</v>
          </cell>
          <cell r="E4503" t="str">
            <v>1|14201|150|1</v>
          </cell>
        </row>
        <row r="4504">
          <cell r="A4504">
            <v>65027</v>
          </cell>
          <cell r="B4504">
            <v>0</v>
          </cell>
          <cell r="C4504" t="str">
            <v>1|16010|10</v>
          </cell>
          <cell r="D4504" t="str">
            <v>开服首月_第27天奖励</v>
          </cell>
          <cell r="E4504" t="str">
            <v>1|16010|10|1</v>
          </cell>
        </row>
        <row r="4505">
          <cell r="A4505">
            <v>65028</v>
          </cell>
          <cell r="B4505">
            <v>0</v>
          </cell>
          <cell r="C4505" t="str">
            <v>1|17000|200</v>
          </cell>
          <cell r="D4505" t="str">
            <v>开服首月_第28天奖励</v>
          </cell>
          <cell r="E4505" t="str">
            <v>1|17000|200|1</v>
          </cell>
        </row>
        <row r="4506">
          <cell r="A4506">
            <v>65029</v>
          </cell>
          <cell r="B4506">
            <v>0</v>
          </cell>
          <cell r="C4506" t="str">
            <v>4|2|500</v>
          </cell>
          <cell r="D4506" t="str">
            <v>开服首月_第29天奖励</v>
          </cell>
          <cell r="E4506" t="str">
            <v>4|2|500|1</v>
          </cell>
        </row>
        <row r="4507">
          <cell r="A4507">
            <v>65030</v>
          </cell>
          <cell r="B4507">
            <v>0</v>
          </cell>
          <cell r="C4507" t="str">
            <v>1|14108|10</v>
          </cell>
          <cell r="D4507" t="str">
            <v>开服首月_第30天奖励</v>
          </cell>
          <cell r="E4507" t="str">
            <v>1|14108|10|1</v>
          </cell>
        </row>
        <row r="4508">
          <cell r="A4508">
            <v>65051</v>
          </cell>
          <cell r="B4508">
            <v>0</v>
          </cell>
          <cell r="C4508" t="str">
            <v>1|14102|40</v>
          </cell>
          <cell r="D4508" t="str">
            <v>第6天双倍奖励</v>
          </cell>
          <cell r="E4508" t="str">
            <v>1|14102|40|1</v>
          </cell>
        </row>
        <row r="4509">
          <cell r="A4509">
            <v>65052</v>
          </cell>
          <cell r="B4509">
            <v>0</v>
          </cell>
          <cell r="C4509" t="str">
            <v>1|14106|60</v>
          </cell>
          <cell r="D4509" t="str">
            <v>第9天双倍奖励</v>
          </cell>
          <cell r="E4509" t="str">
            <v>1|14106|60|1</v>
          </cell>
        </row>
        <row r="4510">
          <cell r="A4510">
            <v>65053</v>
          </cell>
          <cell r="B4510">
            <v>0</v>
          </cell>
          <cell r="C4510" t="str">
            <v>1|16010|10</v>
          </cell>
          <cell r="D4510" t="str">
            <v>第15天双倍奖励</v>
          </cell>
          <cell r="E4510" t="str">
            <v>1|16010|10|1</v>
          </cell>
        </row>
        <row r="4511">
          <cell r="A4511">
            <v>65054</v>
          </cell>
          <cell r="B4511">
            <v>0</v>
          </cell>
          <cell r="C4511" t="str">
            <v>1|14106|100</v>
          </cell>
          <cell r="D4511" t="str">
            <v>第21天双倍奖励</v>
          </cell>
          <cell r="E4511" t="str">
            <v>1|14106|100|1</v>
          </cell>
        </row>
        <row r="4512">
          <cell r="A4512">
            <v>65055</v>
          </cell>
          <cell r="B4512">
            <v>0</v>
          </cell>
          <cell r="C4512" t="str">
            <v>1|16010|20</v>
          </cell>
          <cell r="D4512" t="str">
            <v>第27天双倍奖励</v>
          </cell>
          <cell r="E4512" t="str">
            <v>1|16010|20|1</v>
          </cell>
        </row>
        <row r="4513">
          <cell r="A4513">
            <v>65101</v>
          </cell>
          <cell r="B4513">
            <v>0</v>
          </cell>
          <cell r="C4513" t="str">
            <v>1|14588|5</v>
          </cell>
          <cell r="D4513" t="str">
            <v>第1期_第1天奖励</v>
          </cell>
          <cell r="E4513" t="str">
            <v>1|14588|5|1</v>
          </cell>
        </row>
        <row r="4514">
          <cell r="A4514">
            <v>65102</v>
          </cell>
          <cell r="B4514">
            <v>0</v>
          </cell>
          <cell r="C4514" t="str">
            <v>1|14201|100</v>
          </cell>
          <cell r="D4514" t="str">
            <v>第1期_第2天奖励</v>
          </cell>
          <cell r="E4514" t="str">
            <v>1|14201|100|1</v>
          </cell>
        </row>
        <row r="4515">
          <cell r="A4515">
            <v>65103</v>
          </cell>
          <cell r="B4515">
            <v>0</v>
          </cell>
          <cell r="C4515" t="str">
            <v>1|14102|20</v>
          </cell>
          <cell r="D4515" t="str">
            <v>第1期_第3天奖励</v>
          </cell>
          <cell r="E4515" t="str">
            <v>1|14102|20|1</v>
          </cell>
        </row>
        <row r="4516">
          <cell r="A4516">
            <v>65104</v>
          </cell>
          <cell r="B4516">
            <v>0</v>
          </cell>
          <cell r="C4516" t="str">
            <v>4|2|200</v>
          </cell>
          <cell r="D4516" t="str">
            <v>第1期_第4天奖励</v>
          </cell>
          <cell r="E4516" t="str">
            <v>4|2|200|1</v>
          </cell>
        </row>
        <row r="4517">
          <cell r="A4517">
            <v>65105</v>
          </cell>
          <cell r="B4517">
            <v>0</v>
          </cell>
          <cell r="C4517" t="str">
            <v>1|16010|30</v>
          </cell>
          <cell r="D4517" t="str">
            <v>第1期_第5天奖励</v>
          </cell>
          <cell r="E4517" t="str">
            <v>1|16010|30|1</v>
          </cell>
        </row>
        <row r="4518">
          <cell r="A4518">
            <v>65106</v>
          </cell>
          <cell r="B4518">
            <v>0</v>
          </cell>
          <cell r="C4518" t="str">
            <v>1|14108|5</v>
          </cell>
          <cell r="D4518" t="str">
            <v>第1期_第6天奖励</v>
          </cell>
          <cell r="E4518" t="str">
            <v>1|14108|5|1</v>
          </cell>
        </row>
        <row r="4519">
          <cell r="A4519">
            <v>65107</v>
          </cell>
          <cell r="B4519">
            <v>0</v>
          </cell>
          <cell r="C4519" t="str">
            <v>1|14567|10</v>
          </cell>
          <cell r="D4519" t="str">
            <v>第1期_第7天奖励</v>
          </cell>
          <cell r="E4519" t="str">
            <v>1|14567|10|1</v>
          </cell>
        </row>
        <row r="4520">
          <cell r="A4520">
            <v>65108</v>
          </cell>
          <cell r="B4520">
            <v>0</v>
          </cell>
          <cell r="C4520" t="str">
            <v>1|16005|100</v>
          </cell>
          <cell r="D4520" t="str">
            <v>第1期_第8天奖励</v>
          </cell>
          <cell r="E4520" t="str">
            <v>1|16005|100|1</v>
          </cell>
        </row>
        <row r="4521">
          <cell r="A4521">
            <v>65109</v>
          </cell>
          <cell r="B4521">
            <v>0</v>
          </cell>
          <cell r="C4521" t="str">
            <v>1|17001|100</v>
          </cell>
          <cell r="D4521" t="str">
            <v>第1期_第9天奖励</v>
          </cell>
          <cell r="E4521" t="str">
            <v>1|17001|100|1</v>
          </cell>
        </row>
        <row r="4522">
          <cell r="A4522">
            <v>65110</v>
          </cell>
          <cell r="B4522">
            <v>0</v>
          </cell>
          <cell r="C4522" t="str">
            <v>4|2|300</v>
          </cell>
          <cell r="D4522" t="str">
            <v>第1期_第10天奖励</v>
          </cell>
          <cell r="E4522" t="str">
            <v>4|2|300|1</v>
          </cell>
        </row>
        <row r="4523">
          <cell r="A4523">
            <v>65111</v>
          </cell>
          <cell r="B4523">
            <v>0</v>
          </cell>
          <cell r="C4523" t="str">
            <v>1|14106|100</v>
          </cell>
          <cell r="D4523" t="str">
            <v>第1期_第11天奖励</v>
          </cell>
          <cell r="E4523" t="str">
            <v>1|14106|100|1</v>
          </cell>
        </row>
        <row r="4524">
          <cell r="A4524">
            <v>65112</v>
          </cell>
          <cell r="B4524">
            <v>0</v>
          </cell>
          <cell r="C4524" t="str">
            <v>1|14101|5</v>
          </cell>
          <cell r="D4524" t="str">
            <v>第1期_第12天奖励</v>
          </cell>
          <cell r="E4524" t="str">
            <v>1|14101|5|1</v>
          </cell>
        </row>
        <row r="4525">
          <cell r="A4525">
            <v>65113</v>
          </cell>
          <cell r="B4525">
            <v>0</v>
          </cell>
          <cell r="C4525" t="str">
            <v>1|14588|5</v>
          </cell>
          <cell r="D4525" t="str">
            <v>第1期_第13天奖励</v>
          </cell>
          <cell r="E4525" t="str">
            <v>1|14588|5|1</v>
          </cell>
        </row>
        <row r="4526">
          <cell r="A4526">
            <v>65114</v>
          </cell>
          <cell r="B4526">
            <v>0</v>
          </cell>
          <cell r="C4526" t="str">
            <v>1|14201|150</v>
          </cell>
          <cell r="D4526" t="str">
            <v>第1期_第14天奖励</v>
          </cell>
          <cell r="E4526" t="str">
            <v>1|14201|150|1</v>
          </cell>
        </row>
        <row r="4527">
          <cell r="A4527">
            <v>65115</v>
          </cell>
          <cell r="B4527">
            <v>0</v>
          </cell>
          <cell r="C4527" t="str">
            <v>1|14102|30</v>
          </cell>
          <cell r="D4527" t="str">
            <v>第1期_第15天奖励</v>
          </cell>
          <cell r="E4527" t="str">
            <v>1|14102|30|1</v>
          </cell>
        </row>
        <row r="4528">
          <cell r="A4528">
            <v>65116</v>
          </cell>
          <cell r="B4528">
            <v>0</v>
          </cell>
          <cell r="C4528" t="str">
            <v>4|2|400</v>
          </cell>
          <cell r="D4528" t="str">
            <v>第1期_第16天奖励</v>
          </cell>
          <cell r="E4528" t="str">
            <v>4|2|400|1</v>
          </cell>
        </row>
        <row r="4529">
          <cell r="A4529">
            <v>65117</v>
          </cell>
          <cell r="B4529">
            <v>0</v>
          </cell>
          <cell r="C4529" t="str">
            <v>1|16010|40</v>
          </cell>
          <cell r="D4529" t="str">
            <v>第1期_第17天奖励</v>
          </cell>
          <cell r="E4529" t="str">
            <v>1|16010|40|1</v>
          </cell>
        </row>
        <row r="4530">
          <cell r="A4530">
            <v>65118</v>
          </cell>
          <cell r="B4530">
            <v>0</v>
          </cell>
          <cell r="C4530" t="str">
            <v>1|14108|10</v>
          </cell>
          <cell r="D4530" t="str">
            <v>第1期_第18天奖励</v>
          </cell>
          <cell r="E4530" t="str">
            <v>1|14108|10|1</v>
          </cell>
        </row>
        <row r="4531">
          <cell r="A4531">
            <v>65119</v>
          </cell>
          <cell r="B4531">
            <v>0</v>
          </cell>
          <cell r="C4531" t="str">
            <v>1|14567|20</v>
          </cell>
          <cell r="D4531" t="str">
            <v>第1期_第19天奖励</v>
          </cell>
          <cell r="E4531" t="str">
            <v>1|14567|20|1</v>
          </cell>
        </row>
        <row r="4532">
          <cell r="A4532">
            <v>65120</v>
          </cell>
          <cell r="B4532">
            <v>0</v>
          </cell>
          <cell r="C4532" t="str">
            <v>1|16005|150</v>
          </cell>
          <cell r="D4532" t="str">
            <v>第1期_第20天奖励</v>
          </cell>
          <cell r="E4532" t="str">
            <v>1|16005|150|1</v>
          </cell>
        </row>
        <row r="4533">
          <cell r="A4533">
            <v>65121</v>
          </cell>
          <cell r="B4533">
            <v>0</v>
          </cell>
          <cell r="C4533" t="str">
            <v>1|17001|150</v>
          </cell>
          <cell r="D4533" t="str">
            <v>第1期_第21天奖励</v>
          </cell>
          <cell r="E4533" t="str">
            <v>1|17001|150|1</v>
          </cell>
        </row>
        <row r="4534">
          <cell r="A4534">
            <v>65122</v>
          </cell>
          <cell r="B4534">
            <v>0</v>
          </cell>
          <cell r="C4534" t="str">
            <v>4|2|500</v>
          </cell>
          <cell r="D4534" t="str">
            <v>第1期_第22天奖励</v>
          </cell>
          <cell r="E4534" t="str">
            <v>4|2|500|1</v>
          </cell>
        </row>
        <row r="4535">
          <cell r="A4535">
            <v>65123</v>
          </cell>
          <cell r="B4535">
            <v>0</v>
          </cell>
          <cell r="C4535" t="str">
            <v>1|14106|150</v>
          </cell>
          <cell r="D4535" t="str">
            <v>第1期_第23天奖励</v>
          </cell>
          <cell r="E4535" t="str">
            <v>1|14106|150|1</v>
          </cell>
        </row>
        <row r="4536">
          <cell r="A4536">
            <v>65124</v>
          </cell>
          <cell r="B4536">
            <v>0</v>
          </cell>
          <cell r="C4536" t="str">
            <v>1|14101|10</v>
          </cell>
          <cell r="D4536" t="str">
            <v>第1期_第24天奖励</v>
          </cell>
          <cell r="E4536" t="str">
            <v>1|14101|10|1</v>
          </cell>
        </row>
        <row r="4537">
          <cell r="A4537">
            <v>65125</v>
          </cell>
          <cell r="B4537">
            <v>0</v>
          </cell>
          <cell r="C4537" t="str">
            <v>1|14588|10</v>
          </cell>
          <cell r="D4537" t="str">
            <v>第1期_第25天奖励</v>
          </cell>
          <cell r="E4537" t="str">
            <v>1|14588|10|1</v>
          </cell>
        </row>
        <row r="4538">
          <cell r="A4538">
            <v>65126</v>
          </cell>
          <cell r="B4538">
            <v>0</v>
          </cell>
          <cell r="C4538" t="str">
            <v>1|14201|200</v>
          </cell>
          <cell r="D4538" t="str">
            <v>第1期_第26天奖励</v>
          </cell>
          <cell r="E4538" t="str">
            <v>1|14201|200|1</v>
          </cell>
        </row>
        <row r="4539">
          <cell r="A4539">
            <v>65127</v>
          </cell>
          <cell r="B4539">
            <v>0</v>
          </cell>
          <cell r="C4539" t="str">
            <v>1|14102|50</v>
          </cell>
          <cell r="D4539" t="str">
            <v>第1期_第27天奖励</v>
          </cell>
          <cell r="E4539" t="str">
            <v>1|14102|50|1</v>
          </cell>
        </row>
        <row r="4540">
          <cell r="A4540">
            <v>65128</v>
          </cell>
          <cell r="B4540">
            <v>0</v>
          </cell>
          <cell r="C4540" t="str">
            <v>4|2|600</v>
          </cell>
          <cell r="D4540" t="str">
            <v>第1期_第28天奖励</v>
          </cell>
          <cell r="E4540" t="str">
            <v>4|2|600|1</v>
          </cell>
        </row>
        <row r="4541">
          <cell r="A4541">
            <v>65129</v>
          </cell>
          <cell r="B4541">
            <v>0</v>
          </cell>
          <cell r="C4541" t="str">
            <v>1|16010|50</v>
          </cell>
          <cell r="D4541" t="str">
            <v>第1期_第29天奖励</v>
          </cell>
          <cell r="E4541" t="str">
            <v>1|16010|50|1</v>
          </cell>
        </row>
        <row r="4542">
          <cell r="A4542">
            <v>65130</v>
          </cell>
          <cell r="B4542">
            <v>0</v>
          </cell>
          <cell r="C4542" t="str">
            <v>1|14108|15</v>
          </cell>
          <cell r="D4542" t="str">
            <v>第1期_第30天奖励</v>
          </cell>
          <cell r="E4542" t="str">
            <v>1|14108|15|1</v>
          </cell>
        </row>
        <row r="4543">
          <cell r="A4543">
            <v>65201</v>
          </cell>
          <cell r="B4543">
            <v>0</v>
          </cell>
          <cell r="C4543" t="str">
            <v>1|14586|1</v>
          </cell>
          <cell r="D4543" t="str">
            <v>第2期_第1天奖励</v>
          </cell>
          <cell r="E4543" t="str">
            <v>1|14586|1|1</v>
          </cell>
        </row>
        <row r="4544">
          <cell r="A4544">
            <v>65202</v>
          </cell>
          <cell r="B4544">
            <v>0</v>
          </cell>
          <cell r="C4544" t="str">
            <v>1|14106|100</v>
          </cell>
          <cell r="D4544" t="str">
            <v>第2期_第2天奖励</v>
          </cell>
          <cell r="E4544" t="str">
            <v>1|14106|100|1</v>
          </cell>
        </row>
        <row r="4545">
          <cell r="A4545">
            <v>65203</v>
          </cell>
          <cell r="B4545">
            <v>0</v>
          </cell>
          <cell r="C4545" t="str">
            <v>4|2|200</v>
          </cell>
          <cell r="D4545" t="str">
            <v>第2期_第3天奖励</v>
          </cell>
          <cell r="E4545" t="str">
            <v>4|2|200|1</v>
          </cell>
        </row>
        <row r="4546">
          <cell r="A4546">
            <v>65204</v>
          </cell>
          <cell r="B4546">
            <v>0</v>
          </cell>
          <cell r="C4546" t="str">
            <v>1|17001|100</v>
          </cell>
          <cell r="D4546" t="str">
            <v>第2期_第4天奖励</v>
          </cell>
          <cell r="E4546" t="str">
            <v>1|17001|100|1</v>
          </cell>
        </row>
        <row r="4547">
          <cell r="A4547">
            <v>65205</v>
          </cell>
          <cell r="B4547">
            <v>0</v>
          </cell>
          <cell r="C4547" t="str">
            <v>1|16005|100</v>
          </cell>
          <cell r="D4547" t="str">
            <v>第2期_第5天奖励</v>
          </cell>
          <cell r="E4547" t="str">
            <v>1|16005|100|1</v>
          </cell>
        </row>
        <row r="4548">
          <cell r="A4548">
            <v>65206</v>
          </cell>
          <cell r="B4548">
            <v>0</v>
          </cell>
          <cell r="C4548" t="str">
            <v>1|14101|5</v>
          </cell>
          <cell r="D4548" t="str">
            <v>第2期_第6天奖励</v>
          </cell>
          <cell r="E4548" t="str">
            <v>1|14101|5|1</v>
          </cell>
        </row>
        <row r="4549">
          <cell r="A4549">
            <v>65207</v>
          </cell>
          <cell r="B4549">
            <v>0</v>
          </cell>
          <cell r="C4549" t="str">
            <v>1|14567|10</v>
          </cell>
          <cell r="D4549" t="str">
            <v>第2期_第7天奖励</v>
          </cell>
          <cell r="E4549" t="str">
            <v>1|14567|10|1</v>
          </cell>
        </row>
        <row r="4550">
          <cell r="A4550">
            <v>65208</v>
          </cell>
          <cell r="B4550">
            <v>0</v>
          </cell>
          <cell r="C4550" t="str">
            <v>1|16010|30</v>
          </cell>
          <cell r="D4550" t="str">
            <v>第2期_第8天奖励</v>
          </cell>
          <cell r="E4550" t="str">
            <v>1|16010|30|1</v>
          </cell>
        </row>
        <row r="4551">
          <cell r="A4551">
            <v>65209</v>
          </cell>
          <cell r="B4551">
            <v>0</v>
          </cell>
          <cell r="C4551" t="str">
            <v>4|2|300</v>
          </cell>
          <cell r="D4551" t="str">
            <v>第2期_第9天奖励</v>
          </cell>
          <cell r="E4551" t="str">
            <v>4|2|300|1</v>
          </cell>
        </row>
        <row r="4552">
          <cell r="A4552">
            <v>65210</v>
          </cell>
          <cell r="B4552">
            <v>0</v>
          </cell>
          <cell r="C4552" t="str">
            <v>1|14102|20</v>
          </cell>
          <cell r="D4552" t="str">
            <v>第2期_第10天奖励</v>
          </cell>
          <cell r="E4552" t="str">
            <v>1|14102|20|1</v>
          </cell>
        </row>
        <row r="4553">
          <cell r="A4553">
            <v>65211</v>
          </cell>
          <cell r="B4553">
            <v>0</v>
          </cell>
          <cell r="C4553" t="str">
            <v>1|14201|100</v>
          </cell>
          <cell r="D4553" t="str">
            <v>第2期_第11天奖励</v>
          </cell>
          <cell r="E4553" t="str">
            <v>1|14201|100|1</v>
          </cell>
        </row>
        <row r="4554">
          <cell r="A4554">
            <v>65212</v>
          </cell>
          <cell r="B4554">
            <v>0</v>
          </cell>
          <cell r="C4554" t="str">
            <v>1|14108|5</v>
          </cell>
          <cell r="D4554" t="str">
            <v>第2期_第12天奖励</v>
          </cell>
          <cell r="E4554" t="str">
            <v>1|14108|5|1</v>
          </cell>
        </row>
        <row r="4555">
          <cell r="A4555">
            <v>65213</v>
          </cell>
          <cell r="B4555">
            <v>0</v>
          </cell>
          <cell r="C4555" t="str">
            <v>1|14586|1</v>
          </cell>
          <cell r="D4555" t="str">
            <v>第2期_第13天奖励</v>
          </cell>
          <cell r="E4555" t="str">
            <v>1|14586|1|1</v>
          </cell>
        </row>
        <row r="4556">
          <cell r="A4556">
            <v>65214</v>
          </cell>
          <cell r="B4556">
            <v>0</v>
          </cell>
          <cell r="C4556" t="str">
            <v>1|14106|150</v>
          </cell>
          <cell r="D4556" t="str">
            <v>第2期_第14天奖励</v>
          </cell>
          <cell r="E4556" t="str">
            <v>1|14106|150|1</v>
          </cell>
        </row>
        <row r="4557">
          <cell r="A4557">
            <v>65215</v>
          </cell>
          <cell r="B4557">
            <v>0</v>
          </cell>
          <cell r="C4557" t="str">
            <v>4|2|400</v>
          </cell>
          <cell r="D4557" t="str">
            <v>第2期_第15天奖励</v>
          </cell>
          <cell r="E4557" t="str">
            <v>4|2|400|1</v>
          </cell>
        </row>
        <row r="4558">
          <cell r="A4558">
            <v>65216</v>
          </cell>
          <cell r="B4558">
            <v>0</v>
          </cell>
          <cell r="C4558" t="str">
            <v>1|17001|150</v>
          </cell>
          <cell r="D4558" t="str">
            <v>第2期_第16天奖励</v>
          </cell>
          <cell r="E4558" t="str">
            <v>1|17001|150|1</v>
          </cell>
        </row>
        <row r="4559">
          <cell r="A4559">
            <v>65217</v>
          </cell>
          <cell r="B4559">
            <v>0</v>
          </cell>
          <cell r="C4559" t="str">
            <v>1|16005|150</v>
          </cell>
          <cell r="D4559" t="str">
            <v>第2期_第17天奖励</v>
          </cell>
          <cell r="E4559" t="str">
            <v>1|16005|150|1</v>
          </cell>
        </row>
        <row r="4560">
          <cell r="A4560">
            <v>65218</v>
          </cell>
          <cell r="B4560">
            <v>0</v>
          </cell>
          <cell r="C4560" t="str">
            <v>1|14101|10</v>
          </cell>
          <cell r="D4560" t="str">
            <v>第2期_第18天奖励</v>
          </cell>
          <cell r="E4560" t="str">
            <v>1|14101|10|1</v>
          </cell>
        </row>
        <row r="4561">
          <cell r="A4561">
            <v>65219</v>
          </cell>
          <cell r="B4561">
            <v>0</v>
          </cell>
          <cell r="C4561" t="str">
            <v>1|14567|20</v>
          </cell>
          <cell r="D4561" t="str">
            <v>第2期_第19天奖励</v>
          </cell>
          <cell r="E4561" t="str">
            <v>1|14567|20|1</v>
          </cell>
        </row>
        <row r="4562">
          <cell r="A4562">
            <v>65220</v>
          </cell>
          <cell r="B4562">
            <v>0</v>
          </cell>
          <cell r="C4562" t="str">
            <v>1|16010|40</v>
          </cell>
          <cell r="D4562" t="str">
            <v>第2期_第20天奖励</v>
          </cell>
          <cell r="E4562" t="str">
            <v>1|16010|40|1</v>
          </cell>
        </row>
        <row r="4563">
          <cell r="A4563">
            <v>65221</v>
          </cell>
          <cell r="B4563">
            <v>0</v>
          </cell>
          <cell r="C4563" t="str">
            <v>4|2|500</v>
          </cell>
          <cell r="D4563" t="str">
            <v>第2期_第21天奖励</v>
          </cell>
          <cell r="E4563" t="str">
            <v>4|2|500|1</v>
          </cell>
        </row>
        <row r="4564">
          <cell r="A4564">
            <v>65222</v>
          </cell>
          <cell r="B4564">
            <v>0</v>
          </cell>
          <cell r="C4564" t="str">
            <v>1|14102|30</v>
          </cell>
          <cell r="D4564" t="str">
            <v>第2期_第22天奖励</v>
          </cell>
          <cell r="E4564" t="str">
            <v>1|14102|30|1</v>
          </cell>
        </row>
        <row r="4565">
          <cell r="A4565">
            <v>65223</v>
          </cell>
          <cell r="B4565">
            <v>0</v>
          </cell>
          <cell r="C4565" t="str">
            <v>1|14201|150</v>
          </cell>
          <cell r="D4565" t="str">
            <v>第2期_第23天奖励</v>
          </cell>
          <cell r="E4565" t="str">
            <v>1|14201|150|1</v>
          </cell>
        </row>
        <row r="4566">
          <cell r="A4566">
            <v>65224</v>
          </cell>
          <cell r="B4566">
            <v>0</v>
          </cell>
          <cell r="C4566" t="str">
            <v>1|14108|10</v>
          </cell>
          <cell r="D4566" t="str">
            <v>第2期_第24天奖励</v>
          </cell>
          <cell r="E4566" t="str">
            <v>1|14108|10|1</v>
          </cell>
        </row>
        <row r="4567">
          <cell r="A4567">
            <v>65225</v>
          </cell>
          <cell r="B4567">
            <v>0</v>
          </cell>
          <cell r="C4567" t="str">
            <v>1|14586|2</v>
          </cell>
          <cell r="D4567" t="str">
            <v>第2期_第25天奖励</v>
          </cell>
          <cell r="E4567" t="str">
            <v>1|14586|2|1</v>
          </cell>
        </row>
        <row r="4568">
          <cell r="A4568">
            <v>65226</v>
          </cell>
          <cell r="B4568">
            <v>0</v>
          </cell>
          <cell r="C4568" t="str">
            <v>1|14106|200</v>
          </cell>
          <cell r="D4568" t="str">
            <v>第2期_第26天奖励</v>
          </cell>
          <cell r="E4568" t="str">
            <v>1|14106|200|1</v>
          </cell>
        </row>
        <row r="4569">
          <cell r="A4569">
            <v>65227</v>
          </cell>
          <cell r="B4569">
            <v>0</v>
          </cell>
          <cell r="C4569" t="str">
            <v>4|2|600</v>
          </cell>
          <cell r="D4569" t="str">
            <v>第2期_第27天奖励</v>
          </cell>
          <cell r="E4569" t="str">
            <v>4|2|600|1</v>
          </cell>
        </row>
        <row r="4570">
          <cell r="A4570">
            <v>65228</v>
          </cell>
          <cell r="B4570">
            <v>0</v>
          </cell>
          <cell r="C4570" t="str">
            <v>1|17001|200</v>
          </cell>
          <cell r="D4570" t="str">
            <v>第2期_第28天奖励</v>
          </cell>
          <cell r="E4570" t="str">
            <v>1|17001|200|1</v>
          </cell>
        </row>
        <row r="4571">
          <cell r="A4571">
            <v>65229</v>
          </cell>
          <cell r="B4571">
            <v>0</v>
          </cell>
          <cell r="C4571" t="str">
            <v>1|16005|200</v>
          </cell>
          <cell r="D4571" t="str">
            <v>第2期_第29天奖励</v>
          </cell>
          <cell r="E4571" t="str">
            <v>1|16005|200|1</v>
          </cell>
        </row>
        <row r="4572">
          <cell r="A4572">
            <v>65230</v>
          </cell>
          <cell r="B4572">
            <v>0</v>
          </cell>
          <cell r="C4572" t="str">
            <v>1|14101|15</v>
          </cell>
          <cell r="D4572" t="str">
            <v>第2期_第30天奖励</v>
          </cell>
          <cell r="E4572" t="str">
            <v>1|14101|15|1</v>
          </cell>
        </row>
        <row r="4573">
          <cell r="A4573">
            <v>65301</v>
          </cell>
          <cell r="B4573">
            <v>0</v>
          </cell>
          <cell r="C4573" t="str">
            <v>1|14572|10</v>
          </cell>
          <cell r="D4573" t="str">
            <v>第3期_第1天奖励</v>
          </cell>
          <cell r="E4573" t="str">
            <v>1|14572|10|1</v>
          </cell>
        </row>
        <row r="4574">
          <cell r="A4574">
            <v>65302</v>
          </cell>
          <cell r="B4574">
            <v>0</v>
          </cell>
          <cell r="C4574" t="str">
            <v>1|14102|20</v>
          </cell>
          <cell r="D4574" t="str">
            <v>第3期_第2天奖励</v>
          </cell>
          <cell r="E4574" t="str">
            <v>1|14102|20|1</v>
          </cell>
        </row>
        <row r="4575">
          <cell r="A4575">
            <v>65303</v>
          </cell>
          <cell r="B4575">
            <v>0</v>
          </cell>
          <cell r="C4575" t="str">
            <v>1|16010|30</v>
          </cell>
          <cell r="D4575" t="str">
            <v>第3期_第3天奖励</v>
          </cell>
          <cell r="E4575" t="str">
            <v>1|16010|30|1</v>
          </cell>
        </row>
        <row r="4576">
          <cell r="A4576">
            <v>65304</v>
          </cell>
          <cell r="B4576">
            <v>0</v>
          </cell>
          <cell r="C4576" t="str">
            <v>1|14201|100</v>
          </cell>
          <cell r="D4576" t="str">
            <v>第3期_第4天奖励</v>
          </cell>
          <cell r="E4576" t="str">
            <v>1|14201|100|1</v>
          </cell>
        </row>
        <row r="4577">
          <cell r="A4577">
            <v>65305</v>
          </cell>
          <cell r="B4577">
            <v>0</v>
          </cell>
          <cell r="C4577" t="str">
            <v>4|2|200</v>
          </cell>
          <cell r="D4577" t="str">
            <v>第3期_第5天奖励</v>
          </cell>
          <cell r="E4577" t="str">
            <v>4|2|200|1</v>
          </cell>
        </row>
        <row r="4578">
          <cell r="A4578">
            <v>65306</v>
          </cell>
          <cell r="B4578">
            <v>0</v>
          </cell>
          <cell r="C4578" t="str">
            <v>1|14108|5</v>
          </cell>
          <cell r="D4578" t="str">
            <v>第3期_第6天奖励</v>
          </cell>
          <cell r="E4578" t="str">
            <v>1|14108|5|1</v>
          </cell>
        </row>
        <row r="4579">
          <cell r="A4579">
            <v>65307</v>
          </cell>
          <cell r="B4579">
            <v>0</v>
          </cell>
          <cell r="C4579" t="str">
            <v>1|14567|10</v>
          </cell>
          <cell r="D4579" t="str">
            <v>第3期_第7天奖励</v>
          </cell>
          <cell r="E4579" t="str">
            <v>1|14567|10|1</v>
          </cell>
        </row>
        <row r="4580">
          <cell r="A4580">
            <v>65308</v>
          </cell>
          <cell r="B4580">
            <v>0</v>
          </cell>
          <cell r="C4580" t="str">
            <v>1|17001|100</v>
          </cell>
          <cell r="D4580" t="str">
            <v>第3期_第8天奖励</v>
          </cell>
          <cell r="E4580" t="str">
            <v>1|17001|100|1</v>
          </cell>
        </row>
        <row r="4581">
          <cell r="A4581">
            <v>65309</v>
          </cell>
          <cell r="B4581">
            <v>0</v>
          </cell>
          <cell r="C4581" t="str">
            <v>1|14106|100</v>
          </cell>
          <cell r="D4581" t="str">
            <v>第3期_第9天奖励</v>
          </cell>
          <cell r="E4581" t="str">
            <v>1|14106|100|1</v>
          </cell>
        </row>
        <row r="4582">
          <cell r="A4582">
            <v>65310</v>
          </cell>
          <cell r="B4582">
            <v>0</v>
          </cell>
          <cell r="C4582" t="str">
            <v>1|16005|100</v>
          </cell>
          <cell r="D4582" t="str">
            <v>第3期_第10天奖励</v>
          </cell>
          <cell r="E4582" t="str">
            <v>1|16005|100|1</v>
          </cell>
        </row>
        <row r="4583">
          <cell r="A4583">
            <v>65311</v>
          </cell>
          <cell r="B4583">
            <v>0</v>
          </cell>
          <cell r="C4583" t="str">
            <v>4|2|300</v>
          </cell>
          <cell r="D4583" t="str">
            <v>第3期_第11天奖励</v>
          </cell>
          <cell r="E4583" t="str">
            <v>4|2|300|1</v>
          </cell>
        </row>
        <row r="4584">
          <cell r="A4584">
            <v>65312</v>
          </cell>
          <cell r="B4584">
            <v>0</v>
          </cell>
          <cell r="C4584" t="str">
            <v>1|14101|5</v>
          </cell>
          <cell r="D4584" t="str">
            <v>第3期_第12天奖励</v>
          </cell>
          <cell r="E4584" t="str">
            <v>1|14101|5|1</v>
          </cell>
        </row>
        <row r="4585">
          <cell r="A4585">
            <v>65313</v>
          </cell>
          <cell r="B4585">
            <v>0</v>
          </cell>
          <cell r="C4585" t="str">
            <v>1|14572|10</v>
          </cell>
          <cell r="D4585" t="str">
            <v>第3期_第13天奖励</v>
          </cell>
          <cell r="E4585" t="str">
            <v>1|14572|10|1</v>
          </cell>
        </row>
        <row r="4586">
          <cell r="A4586">
            <v>65314</v>
          </cell>
          <cell r="B4586">
            <v>0</v>
          </cell>
          <cell r="C4586" t="str">
            <v>1|14102|30</v>
          </cell>
          <cell r="D4586" t="str">
            <v>第3期_第14天奖励</v>
          </cell>
          <cell r="E4586" t="str">
            <v>1|14102|30|1</v>
          </cell>
        </row>
        <row r="4587">
          <cell r="A4587">
            <v>65315</v>
          </cell>
          <cell r="B4587">
            <v>0</v>
          </cell>
          <cell r="C4587" t="str">
            <v>1|16010|40</v>
          </cell>
          <cell r="D4587" t="str">
            <v>第3期_第15天奖励</v>
          </cell>
          <cell r="E4587" t="str">
            <v>1|16010|40|1</v>
          </cell>
        </row>
        <row r="4588">
          <cell r="A4588">
            <v>65316</v>
          </cell>
          <cell r="B4588">
            <v>0</v>
          </cell>
          <cell r="C4588" t="str">
            <v>1|14201|150</v>
          </cell>
          <cell r="D4588" t="str">
            <v>第3期_第16天奖励</v>
          </cell>
          <cell r="E4588" t="str">
            <v>1|14201|150|1</v>
          </cell>
        </row>
        <row r="4589">
          <cell r="A4589">
            <v>65317</v>
          </cell>
          <cell r="B4589">
            <v>0</v>
          </cell>
          <cell r="C4589" t="str">
            <v>4|2|400</v>
          </cell>
          <cell r="D4589" t="str">
            <v>第3期_第17天奖励</v>
          </cell>
          <cell r="E4589" t="str">
            <v>4|2|400|1</v>
          </cell>
        </row>
        <row r="4590">
          <cell r="A4590">
            <v>65318</v>
          </cell>
          <cell r="B4590">
            <v>0</v>
          </cell>
          <cell r="C4590" t="str">
            <v>1|14108|10</v>
          </cell>
          <cell r="D4590" t="str">
            <v>第3期_第18天奖励</v>
          </cell>
          <cell r="E4590" t="str">
            <v>1|14108|10|1</v>
          </cell>
        </row>
        <row r="4591">
          <cell r="A4591">
            <v>65319</v>
          </cell>
          <cell r="B4591">
            <v>0</v>
          </cell>
          <cell r="C4591" t="str">
            <v>1|14567|20</v>
          </cell>
          <cell r="D4591" t="str">
            <v>第3期_第19天奖励</v>
          </cell>
          <cell r="E4591" t="str">
            <v>1|14567|20|1</v>
          </cell>
        </row>
        <row r="4592">
          <cell r="A4592">
            <v>65320</v>
          </cell>
          <cell r="B4592">
            <v>0</v>
          </cell>
          <cell r="C4592" t="str">
            <v>1|17001|150</v>
          </cell>
          <cell r="D4592" t="str">
            <v>第3期_第20天奖励</v>
          </cell>
          <cell r="E4592" t="str">
            <v>1|17001|150|1</v>
          </cell>
        </row>
        <row r="4593">
          <cell r="A4593">
            <v>65321</v>
          </cell>
          <cell r="B4593">
            <v>0</v>
          </cell>
          <cell r="C4593" t="str">
            <v>1|14106|150</v>
          </cell>
          <cell r="D4593" t="str">
            <v>第3期_第21天奖励</v>
          </cell>
          <cell r="E4593" t="str">
            <v>1|14106|150|1</v>
          </cell>
        </row>
        <row r="4594">
          <cell r="A4594">
            <v>65322</v>
          </cell>
          <cell r="B4594">
            <v>0</v>
          </cell>
          <cell r="C4594" t="str">
            <v>1|16005|150</v>
          </cell>
          <cell r="D4594" t="str">
            <v>第3期_第22天奖励</v>
          </cell>
          <cell r="E4594" t="str">
            <v>1|16005|150|1</v>
          </cell>
        </row>
        <row r="4595">
          <cell r="A4595">
            <v>65323</v>
          </cell>
          <cell r="B4595">
            <v>0</v>
          </cell>
          <cell r="C4595" t="str">
            <v>4|2|500</v>
          </cell>
          <cell r="D4595" t="str">
            <v>第3期_第23天奖励</v>
          </cell>
          <cell r="E4595" t="str">
            <v>4|2|500|1</v>
          </cell>
        </row>
        <row r="4596">
          <cell r="A4596">
            <v>65324</v>
          </cell>
          <cell r="B4596">
            <v>0</v>
          </cell>
          <cell r="C4596" t="str">
            <v>1|14101|10</v>
          </cell>
          <cell r="D4596" t="str">
            <v>第3期_第24天奖励</v>
          </cell>
          <cell r="E4596" t="str">
            <v>1|14101|10|1</v>
          </cell>
        </row>
        <row r="4597">
          <cell r="A4597">
            <v>65325</v>
          </cell>
          <cell r="B4597">
            <v>0</v>
          </cell>
          <cell r="C4597" t="str">
            <v>1|14572|25</v>
          </cell>
          <cell r="D4597" t="str">
            <v>第3期_第25天奖励</v>
          </cell>
          <cell r="E4597" t="str">
            <v>1|14572|25|1</v>
          </cell>
        </row>
        <row r="4598">
          <cell r="A4598">
            <v>65326</v>
          </cell>
          <cell r="B4598">
            <v>0</v>
          </cell>
          <cell r="C4598" t="str">
            <v>1|14102|50</v>
          </cell>
          <cell r="D4598" t="str">
            <v>第3期_第26天奖励</v>
          </cell>
          <cell r="E4598" t="str">
            <v>1|14102|50|1</v>
          </cell>
        </row>
        <row r="4599">
          <cell r="A4599">
            <v>65327</v>
          </cell>
          <cell r="B4599">
            <v>0</v>
          </cell>
          <cell r="C4599" t="str">
            <v>1|16010|50</v>
          </cell>
          <cell r="D4599" t="str">
            <v>第3期_第27天奖励</v>
          </cell>
          <cell r="E4599" t="str">
            <v>1|16010|50|1</v>
          </cell>
        </row>
        <row r="4600">
          <cell r="A4600">
            <v>65328</v>
          </cell>
          <cell r="B4600">
            <v>0</v>
          </cell>
          <cell r="C4600" t="str">
            <v>1|14201|200</v>
          </cell>
          <cell r="D4600" t="str">
            <v>第3期_第28天奖励</v>
          </cell>
          <cell r="E4600" t="str">
            <v>1|14201|200|1</v>
          </cell>
        </row>
        <row r="4601">
          <cell r="A4601">
            <v>65329</v>
          </cell>
          <cell r="B4601">
            <v>0</v>
          </cell>
          <cell r="C4601" t="str">
            <v>4|2|600</v>
          </cell>
          <cell r="D4601" t="str">
            <v>第3期_第29天奖励</v>
          </cell>
          <cell r="E4601" t="str">
            <v>4|2|600|1</v>
          </cell>
        </row>
        <row r="4602">
          <cell r="A4602">
            <v>65330</v>
          </cell>
          <cell r="B4602">
            <v>0</v>
          </cell>
          <cell r="C4602" t="str">
            <v>1|14108|15</v>
          </cell>
          <cell r="D4602" t="str">
            <v>第3期_第30天奖励</v>
          </cell>
          <cell r="E4602" t="str">
            <v>1|14108|15|1</v>
          </cell>
        </row>
        <row r="4603">
          <cell r="A4603">
            <v>65701</v>
          </cell>
          <cell r="B4603">
            <v>0</v>
          </cell>
          <cell r="C4603" t="str">
            <v>1|14201|200</v>
          </cell>
          <cell r="D4603" t="str">
            <v>第1期_第2天双倍奖励</v>
          </cell>
          <cell r="E4603" t="str">
            <v>1|14201|200|1</v>
          </cell>
        </row>
        <row r="4604">
          <cell r="A4604">
            <v>65702</v>
          </cell>
          <cell r="B4604">
            <v>0</v>
          </cell>
          <cell r="C4604" t="str">
            <v>1|16005|200</v>
          </cell>
          <cell r="D4604" t="str">
            <v>第1期_第8天双倍奖励</v>
          </cell>
          <cell r="E4604" t="str">
            <v>1|16005|200|1</v>
          </cell>
        </row>
        <row r="4605">
          <cell r="A4605">
            <v>65703</v>
          </cell>
          <cell r="B4605">
            <v>0</v>
          </cell>
          <cell r="C4605" t="str">
            <v>1|14201|300</v>
          </cell>
          <cell r="D4605" t="str">
            <v>第1期_第14天双倍奖励</v>
          </cell>
          <cell r="E4605" t="str">
            <v>1|14201|300|1</v>
          </cell>
        </row>
        <row r="4606">
          <cell r="A4606">
            <v>65704</v>
          </cell>
          <cell r="B4606">
            <v>0</v>
          </cell>
          <cell r="C4606" t="str">
            <v>1|16005|300</v>
          </cell>
          <cell r="D4606" t="str">
            <v>第1期_第20天双倍奖励</v>
          </cell>
          <cell r="E4606" t="str">
            <v>1|16005|300|1</v>
          </cell>
        </row>
        <row r="4607">
          <cell r="A4607">
            <v>65705</v>
          </cell>
          <cell r="B4607">
            <v>0</v>
          </cell>
          <cell r="C4607" t="str">
            <v>1|14201|400</v>
          </cell>
          <cell r="D4607" t="str">
            <v>第1期_第26天双倍奖励</v>
          </cell>
          <cell r="E4607" t="str">
            <v>1|14201|400|1</v>
          </cell>
        </row>
        <row r="4608">
          <cell r="A4608">
            <v>65711</v>
          </cell>
          <cell r="B4608">
            <v>0</v>
          </cell>
          <cell r="C4608" t="str">
            <v>1|17001|200</v>
          </cell>
          <cell r="D4608" t="str">
            <v>第2期_第4天双倍奖励</v>
          </cell>
          <cell r="E4608" t="str">
            <v>1|17001|200|1</v>
          </cell>
        </row>
        <row r="4609">
          <cell r="A4609">
            <v>65712</v>
          </cell>
          <cell r="B4609">
            <v>0</v>
          </cell>
          <cell r="C4609" t="str">
            <v>1|14102|40</v>
          </cell>
          <cell r="D4609" t="str">
            <v>第2期_第10天双倍奖励</v>
          </cell>
          <cell r="E4609" t="str">
            <v>1|14102|40|1</v>
          </cell>
        </row>
        <row r="4610">
          <cell r="A4610">
            <v>65713</v>
          </cell>
          <cell r="B4610">
            <v>0</v>
          </cell>
          <cell r="C4610" t="str">
            <v>1|17001|300</v>
          </cell>
          <cell r="D4610" t="str">
            <v>第2期_第16天双倍奖励</v>
          </cell>
          <cell r="E4610" t="str">
            <v>1|17001|300|1</v>
          </cell>
        </row>
        <row r="4611">
          <cell r="A4611">
            <v>65714</v>
          </cell>
          <cell r="B4611">
            <v>0</v>
          </cell>
          <cell r="C4611" t="str">
            <v>1|14102|60</v>
          </cell>
          <cell r="D4611" t="str">
            <v>第2期_第22天双倍奖励</v>
          </cell>
          <cell r="E4611" t="str">
            <v>1|14102|60|1</v>
          </cell>
        </row>
        <row r="4612">
          <cell r="A4612">
            <v>65715</v>
          </cell>
          <cell r="B4612">
            <v>0</v>
          </cell>
          <cell r="C4612" t="str">
            <v>1|17001|400</v>
          </cell>
          <cell r="D4612" t="str">
            <v>第2期_第28天双倍奖励</v>
          </cell>
          <cell r="E4612" t="str">
            <v>1|17001|400|1</v>
          </cell>
        </row>
        <row r="4613">
          <cell r="A4613">
            <v>65721</v>
          </cell>
          <cell r="B4613">
            <v>0</v>
          </cell>
          <cell r="C4613" t="str">
            <v>1|16010|60</v>
          </cell>
          <cell r="D4613" t="str">
            <v>第3期_第3天双倍奖励</v>
          </cell>
          <cell r="E4613" t="str">
            <v>1|16010|60|1</v>
          </cell>
        </row>
        <row r="4614">
          <cell r="A4614">
            <v>65722</v>
          </cell>
          <cell r="B4614">
            <v>0</v>
          </cell>
          <cell r="C4614" t="str">
            <v>1|14106|200</v>
          </cell>
          <cell r="D4614" t="str">
            <v>第3期_第9天双倍奖励</v>
          </cell>
          <cell r="E4614" t="str">
            <v>1|14106|200|1</v>
          </cell>
        </row>
        <row r="4615">
          <cell r="A4615">
            <v>65723</v>
          </cell>
          <cell r="B4615">
            <v>0</v>
          </cell>
          <cell r="C4615" t="str">
            <v>1|16010|80</v>
          </cell>
          <cell r="D4615" t="str">
            <v>第3期_第15天双倍奖励</v>
          </cell>
          <cell r="E4615" t="str">
            <v>1|16010|80|1</v>
          </cell>
        </row>
        <row r="4616">
          <cell r="A4616">
            <v>65724</v>
          </cell>
          <cell r="B4616">
            <v>0</v>
          </cell>
          <cell r="C4616" t="str">
            <v>1|14106|300</v>
          </cell>
          <cell r="D4616" t="str">
            <v>第3期_第21天双倍奖励</v>
          </cell>
          <cell r="E4616" t="str">
            <v>1|14106|300|1</v>
          </cell>
        </row>
        <row r="4617">
          <cell r="A4617">
            <v>65725</v>
          </cell>
          <cell r="B4617">
            <v>0</v>
          </cell>
          <cell r="C4617" t="str">
            <v>1|16010|100</v>
          </cell>
          <cell r="D4617" t="str">
            <v>第3期_第27天双倍奖励</v>
          </cell>
          <cell r="E4617" t="str">
            <v>1|16010|100|1</v>
          </cell>
        </row>
        <row r="4618">
          <cell r="A4618">
            <v>65801</v>
          </cell>
          <cell r="B4618">
            <v>0</v>
          </cell>
          <cell r="C4618" t="str">
            <v>1|14004|6</v>
          </cell>
          <cell r="D4618" t="str">
            <v>第2天-签到奖励双倍</v>
          </cell>
          <cell r="E4618" t="str">
            <v>1|14004|6|1</v>
          </cell>
        </row>
        <row r="4619">
          <cell r="A4619">
            <v>65802</v>
          </cell>
          <cell r="B4619">
            <v>0</v>
          </cell>
          <cell r="C4619" t="str">
            <v>1|14107|600</v>
          </cell>
          <cell r="D4619" t="str">
            <v>第4天-签到奖励双倍</v>
          </cell>
          <cell r="E4619" t="str">
            <v>1|14107|600|1</v>
          </cell>
        </row>
        <row r="4620">
          <cell r="A4620">
            <v>65803</v>
          </cell>
          <cell r="B4620">
            <v>0</v>
          </cell>
          <cell r="C4620" t="str">
            <v>6|4502|8</v>
          </cell>
          <cell r="D4620" t="str">
            <v>第6天-签到奖励双倍</v>
          </cell>
          <cell r="E4620" t="str">
            <v>6|4502|8|1</v>
          </cell>
        </row>
        <row r="4621">
          <cell r="A4621">
            <v>65804</v>
          </cell>
          <cell r="B4621">
            <v>0</v>
          </cell>
          <cell r="C4621" t="str">
            <v>1|16005|400</v>
          </cell>
          <cell r="D4621" t="str">
            <v>第8天-签到奖励双倍</v>
          </cell>
          <cell r="E4621" t="str">
            <v>1|16005|400|1</v>
          </cell>
        </row>
        <row r="4622">
          <cell r="A4622">
            <v>65805</v>
          </cell>
          <cell r="B4622">
            <v>0</v>
          </cell>
          <cell r="C4622" t="str">
            <v>1|17000|300</v>
          </cell>
          <cell r="D4622" t="str">
            <v>第10天-签到奖励双倍</v>
          </cell>
          <cell r="E4622" t="str">
            <v>1|17000|300|1</v>
          </cell>
        </row>
        <row r="4623">
          <cell r="A4623">
            <v>65806</v>
          </cell>
          <cell r="B4623">
            <v>0</v>
          </cell>
          <cell r="C4623" t="str">
            <v>1|14107|1000</v>
          </cell>
          <cell r="D4623" t="str">
            <v>第12天-签到奖励双倍</v>
          </cell>
          <cell r="E4623" t="str">
            <v>1|14107|1000|1</v>
          </cell>
        </row>
        <row r="4624">
          <cell r="A4624">
            <v>65807</v>
          </cell>
          <cell r="B4624">
            <v>0</v>
          </cell>
          <cell r="C4624" t="str">
            <v>1|14106|80</v>
          </cell>
          <cell r="D4624" t="str">
            <v>第14天-签到奖励双倍</v>
          </cell>
          <cell r="E4624" t="str">
            <v>1|14106|80|1</v>
          </cell>
        </row>
        <row r="4625">
          <cell r="A4625">
            <v>65808</v>
          </cell>
          <cell r="B4625">
            <v>0</v>
          </cell>
          <cell r="C4625" t="str">
            <v>1|14201|400</v>
          </cell>
          <cell r="D4625" t="str">
            <v>第16天-签到奖励双倍</v>
          </cell>
          <cell r="E4625" t="str">
            <v>1|14201|400|1</v>
          </cell>
        </row>
        <row r="4626">
          <cell r="A4626">
            <v>65809</v>
          </cell>
          <cell r="B4626">
            <v>0</v>
          </cell>
          <cell r="C4626" t="str">
            <v>1|17001|160</v>
          </cell>
          <cell r="D4626" t="str">
            <v>第18天-签到奖励双倍</v>
          </cell>
          <cell r="E4626" t="str">
            <v>1|17001|160|1</v>
          </cell>
        </row>
        <row r="4627">
          <cell r="A4627">
            <v>65810</v>
          </cell>
          <cell r="B4627">
            <v>0</v>
          </cell>
          <cell r="C4627" t="str">
            <v>1|14004|12</v>
          </cell>
          <cell r="D4627" t="str">
            <v>第20天-签到奖励双倍</v>
          </cell>
          <cell r="E4627" t="str">
            <v>1|14004|12|1</v>
          </cell>
        </row>
        <row r="4628">
          <cell r="A4628">
            <v>65811</v>
          </cell>
          <cell r="B4628">
            <v>0</v>
          </cell>
          <cell r="C4628" t="str">
            <v>1|14315|16</v>
          </cell>
          <cell r="D4628" t="str">
            <v>第22天-签到奖励双倍</v>
          </cell>
          <cell r="E4628" t="str">
            <v>1|14315|16|1</v>
          </cell>
        </row>
        <row r="4629">
          <cell r="A4629">
            <v>65812</v>
          </cell>
          <cell r="B4629">
            <v>0</v>
          </cell>
          <cell r="C4629" t="str">
            <v>1|16010|16</v>
          </cell>
          <cell r="D4629" t="str">
            <v>第24天-签到奖励双倍</v>
          </cell>
          <cell r="E4629" t="str">
            <v>1|16010|16|1</v>
          </cell>
        </row>
        <row r="4630">
          <cell r="A4630">
            <v>65813</v>
          </cell>
          <cell r="B4630">
            <v>0</v>
          </cell>
          <cell r="C4630" t="str">
            <v>1|17000|500</v>
          </cell>
          <cell r="D4630" t="str">
            <v>第26天-签到奖励双倍</v>
          </cell>
          <cell r="E4630" t="str">
            <v>1|17000|500|1</v>
          </cell>
        </row>
        <row r="4631">
          <cell r="A4631">
            <v>65814</v>
          </cell>
          <cell r="B4631">
            <v>0</v>
          </cell>
          <cell r="C4631" t="str">
            <v>1|14306|8</v>
          </cell>
          <cell r="D4631" t="str">
            <v>第28天-签到奖励双倍</v>
          </cell>
          <cell r="E4631" t="str">
            <v>1|14306|8|1</v>
          </cell>
        </row>
        <row r="4632">
          <cell r="A4632">
            <v>65815</v>
          </cell>
          <cell r="B4632">
            <v>0</v>
          </cell>
          <cell r="C4632" t="str">
            <v>1|17002|30</v>
          </cell>
          <cell r="D4632" t="str">
            <v>第30天-签到奖励双倍</v>
          </cell>
          <cell r="E4632" t="str">
            <v>1|17002|30|1</v>
          </cell>
        </row>
        <row r="4633">
          <cell r="A4633">
            <v>66001</v>
          </cell>
          <cell r="B4633">
            <v>0</v>
          </cell>
          <cell r="C4633" t="str">
            <v>4|2|500</v>
          </cell>
          <cell r="D4633" t="str">
            <v>七日登陆第1天</v>
          </cell>
          <cell r="E4633" t="str">
            <v>4|2|500|1</v>
          </cell>
        </row>
        <row r="4634">
          <cell r="A4634">
            <v>66002</v>
          </cell>
          <cell r="B4634">
            <v>0</v>
          </cell>
          <cell r="C4634" t="str">
            <v>5|1121|1</v>
          </cell>
          <cell r="D4634" t="str">
            <v>七日登陆第2天</v>
          </cell>
          <cell r="E4634" t="str">
            <v>5|1121|1|1</v>
          </cell>
        </row>
        <row r="4635">
          <cell r="A4635">
            <v>66003</v>
          </cell>
          <cell r="B4635">
            <v>0</v>
          </cell>
          <cell r="C4635" t="str">
            <v>4|2|800</v>
          </cell>
          <cell r="D4635" t="str">
            <v>七日登陆第3天</v>
          </cell>
          <cell r="E4635" t="str">
            <v>4|2|800|1</v>
          </cell>
        </row>
        <row r="4636">
          <cell r="A4636">
            <v>66004</v>
          </cell>
          <cell r="B4636">
            <v>0</v>
          </cell>
          <cell r="C4636" t="str">
            <v>4|2|1200</v>
          </cell>
          <cell r="D4636" t="str">
            <v>七日登陆第4天</v>
          </cell>
          <cell r="E4636" t="str">
            <v>4|2|1200|1</v>
          </cell>
        </row>
        <row r="4637">
          <cell r="A4637">
            <v>66005</v>
          </cell>
          <cell r="B4637">
            <v>0</v>
          </cell>
          <cell r="C4637" t="str">
            <v>5|1120|1</v>
          </cell>
          <cell r="D4637" t="str">
            <v>七日登陆第5天</v>
          </cell>
          <cell r="E4637" t="str">
            <v>5|1120|1|1</v>
          </cell>
        </row>
        <row r="4638">
          <cell r="A4638">
            <v>66006</v>
          </cell>
          <cell r="B4638">
            <v>0</v>
          </cell>
          <cell r="C4638" t="str">
            <v>4|2|1500</v>
          </cell>
          <cell r="D4638" t="str">
            <v>七日登陆第6天</v>
          </cell>
          <cell r="E4638" t="str">
            <v>4|2|1500|1</v>
          </cell>
        </row>
        <row r="4639">
          <cell r="A4639">
            <v>66007</v>
          </cell>
          <cell r="B4639">
            <v>0</v>
          </cell>
          <cell r="C4639" t="str">
            <v>5|1119|1</v>
          </cell>
          <cell r="D4639" t="str">
            <v>七日登陆第7天</v>
          </cell>
          <cell r="E4639" t="str">
            <v>5|1119|1|1</v>
          </cell>
        </row>
        <row r="4640">
          <cell r="A4640">
            <v>67001</v>
          </cell>
          <cell r="B4640">
            <v>0</v>
          </cell>
          <cell r="C4640" t="str">
            <v>1|14005|3</v>
          </cell>
          <cell r="D4640" t="str">
            <v>普通聚仙令</v>
          </cell>
          <cell r="E4640" t="str">
            <v>1|14005|3|1</v>
          </cell>
        </row>
        <row r="4641">
          <cell r="A4641">
            <v>67002</v>
          </cell>
          <cell r="B4641">
            <v>0</v>
          </cell>
          <cell r="C4641" t="str">
            <v>4|1|50000</v>
          </cell>
          <cell r="D4641" t="str">
            <v>金币</v>
          </cell>
          <cell r="E4641" t="str">
            <v>4|1|50000|1</v>
          </cell>
        </row>
        <row r="4642">
          <cell r="A4642">
            <v>67003</v>
          </cell>
          <cell r="B4642">
            <v>0</v>
          </cell>
          <cell r="C4642" t="str">
            <v>1|14101|2</v>
          </cell>
          <cell r="D4642" t="str">
            <v>体力药水</v>
          </cell>
          <cell r="E4642" t="str">
            <v>1|14101|2|1</v>
          </cell>
        </row>
        <row r="4643">
          <cell r="A4643">
            <v>67004</v>
          </cell>
          <cell r="B4643">
            <v>0</v>
          </cell>
          <cell r="C4643" t="str">
            <v>1|14108|2</v>
          </cell>
          <cell r="D4643" t="str">
            <v>精力之心</v>
          </cell>
          <cell r="E4643" t="str">
            <v>1|14108|2|1</v>
          </cell>
        </row>
        <row r="4644">
          <cell r="A4644">
            <v>67005</v>
          </cell>
          <cell r="B4644">
            <v>0</v>
          </cell>
          <cell r="C4644" t="str">
            <v>6|3007|1</v>
          </cell>
          <cell r="D4644" t="str">
            <v>相思血</v>
          </cell>
          <cell r="E4644" t="str">
            <v>6|3007|1|1</v>
          </cell>
        </row>
        <row r="4645">
          <cell r="A4645">
            <v>67006</v>
          </cell>
          <cell r="B4645">
            <v>0</v>
          </cell>
          <cell r="C4645" t="str">
            <v>1|14006|1</v>
          </cell>
          <cell r="D4645" t="str">
            <v>高级聚仙令</v>
          </cell>
          <cell r="E4645" t="str">
            <v>1|14006|1|1</v>
          </cell>
        </row>
        <row r="4646">
          <cell r="A4646">
            <v>67007</v>
          </cell>
          <cell r="B4646">
            <v>0</v>
          </cell>
          <cell r="C4646" t="str">
            <v>4|1|100000</v>
          </cell>
          <cell r="D4646" t="str">
            <v>金币</v>
          </cell>
          <cell r="E4646" t="str">
            <v>4|1|100000|1</v>
          </cell>
        </row>
        <row r="4647">
          <cell r="A4647">
            <v>67008</v>
          </cell>
          <cell r="B4647">
            <v>0</v>
          </cell>
          <cell r="C4647" t="str">
            <v>1|14101|2</v>
          </cell>
          <cell r="D4647" t="str">
            <v>体力药水</v>
          </cell>
          <cell r="E4647" t="str">
            <v>1|14101|2|1</v>
          </cell>
        </row>
        <row r="4648">
          <cell r="A4648">
            <v>67009</v>
          </cell>
          <cell r="B4648">
            <v>0</v>
          </cell>
          <cell r="C4648" t="str">
            <v>1|14108|2</v>
          </cell>
          <cell r="D4648" t="str">
            <v>精力之心</v>
          </cell>
          <cell r="E4648" t="str">
            <v>1|14108|2|1</v>
          </cell>
        </row>
        <row r="4649">
          <cell r="A4649">
            <v>67010</v>
          </cell>
          <cell r="B4649">
            <v>0</v>
          </cell>
          <cell r="C4649" t="str">
            <v>1|14006|1</v>
          </cell>
          <cell r="D4649" t="str">
            <v>高级聚仙令</v>
          </cell>
          <cell r="E4649" t="str">
            <v>1|14006|1|1</v>
          </cell>
        </row>
        <row r="4650">
          <cell r="A4650">
            <v>67011</v>
          </cell>
          <cell r="B4650">
            <v>0</v>
          </cell>
          <cell r="C4650" t="str">
            <v>1|14102|20</v>
          </cell>
          <cell r="D4650" t="str">
            <v>刷新符</v>
          </cell>
          <cell r="E4650" t="str">
            <v>1|14102|20|1</v>
          </cell>
        </row>
        <row r="4651">
          <cell r="A4651">
            <v>67012</v>
          </cell>
          <cell r="B4651">
            <v>0</v>
          </cell>
          <cell r="C4651" t="str">
            <v>1|14101|5</v>
          </cell>
          <cell r="D4651" t="str">
            <v>体力药水</v>
          </cell>
          <cell r="E4651" t="str">
            <v>1|14101|5|1</v>
          </cell>
        </row>
        <row r="4652">
          <cell r="A4652">
            <v>67013</v>
          </cell>
          <cell r="B4652">
            <v>0</v>
          </cell>
          <cell r="C4652" t="str">
            <v>1|14108|5</v>
          </cell>
          <cell r="D4652" t="str">
            <v>精力之心</v>
          </cell>
          <cell r="E4652" t="str">
            <v>1|14108|5|1</v>
          </cell>
        </row>
        <row r="4653">
          <cell r="A4653">
            <v>67014</v>
          </cell>
          <cell r="B4653">
            <v>0</v>
          </cell>
          <cell r="C4653" t="str">
            <v>1|14306|2</v>
          </cell>
          <cell r="D4653" t="str">
            <v>橙色法宝碎片宝箱</v>
          </cell>
          <cell r="E4653" t="str">
            <v>1|14306|2|1</v>
          </cell>
        </row>
        <row r="4654">
          <cell r="A4654">
            <v>67015</v>
          </cell>
          <cell r="B4654">
            <v>0</v>
          </cell>
          <cell r="C4654" t="str">
            <v>1|14006|2</v>
          </cell>
          <cell r="D4654" t="str">
            <v>高级聚仙令</v>
          </cell>
          <cell r="E4654" t="str">
            <v>1|14006|2|1</v>
          </cell>
        </row>
        <row r="4655">
          <cell r="A4655">
            <v>67016</v>
          </cell>
          <cell r="B4655">
            <v>0</v>
          </cell>
          <cell r="C4655" t="str">
            <v>4|1|200000</v>
          </cell>
          <cell r="D4655" t="str">
            <v>金币</v>
          </cell>
          <cell r="E4655" t="str">
            <v>4|1|200000|1</v>
          </cell>
        </row>
        <row r="4656">
          <cell r="A4656">
            <v>67017</v>
          </cell>
          <cell r="B4656">
            <v>0</v>
          </cell>
          <cell r="C4656" t="str">
            <v>1|14101|5</v>
          </cell>
          <cell r="D4656" t="str">
            <v>体力药水</v>
          </cell>
          <cell r="E4656" t="str">
            <v>1|14101|5|1</v>
          </cell>
        </row>
        <row r="4657">
          <cell r="A4657">
            <v>67018</v>
          </cell>
          <cell r="B4657">
            <v>0</v>
          </cell>
          <cell r="C4657" t="str">
            <v>6|4502|3</v>
          </cell>
          <cell r="D4657" t="str">
            <v>中级经验法宝</v>
          </cell>
          <cell r="E4657" t="str">
            <v>6|4502|3|1</v>
          </cell>
        </row>
        <row r="4658">
          <cell r="A4658">
            <v>67019</v>
          </cell>
          <cell r="B4658">
            <v>0</v>
          </cell>
          <cell r="C4658" t="str">
            <v>1|14306|3</v>
          </cell>
          <cell r="D4658" t="str">
            <v>橙色法宝碎片宝箱</v>
          </cell>
          <cell r="E4658" t="str">
            <v>1|14306|3|1</v>
          </cell>
        </row>
        <row r="4659">
          <cell r="A4659">
            <v>67020</v>
          </cell>
          <cell r="B4659">
            <v>0</v>
          </cell>
          <cell r="C4659" t="str">
            <v>1|14006|2</v>
          </cell>
          <cell r="D4659" t="str">
            <v>高级聚仙令</v>
          </cell>
          <cell r="E4659" t="str">
            <v>1|14006|2|1</v>
          </cell>
        </row>
        <row r="4660">
          <cell r="A4660">
            <v>67021</v>
          </cell>
          <cell r="B4660">
            <v>0</v>
          </cell>
          <cell r="C4660" t="str">
            <v>4|1|300000</v>
          </cell>
          <cell r="D4660" t="str">
            <v>金币</v>
          </cell>
          <cell r="E4660" t="str">
            <v>4|1|300000|1</v>
          </cell>
        </row>
        <row r="4661">
          <cell r="A4661">
            <v>67022</v>
          </cell>
          <cell r="B4661">
            <v>0</v>
          </cell>
          <cell r="C4661" t="str">
            <v>1|14101|8</v>
          </cell>
          <cell r="D4661" t="str">
            <v>体力药水</v>
          </cell>
          <cell r="E4661" t="str">
            <v>1|14101|8|1</v>
          </cell>
        </row>
        <row r="4662">
          <cell r="A4662">
            <v>67023</v>
          </cell>
          <cell r="B4662">
            <v>0</v>
          </cell>
          <cell r="C4662" t="str">
            <v>6|4502|3</v>
          </cell>
          <cell r="D4662" t="str">
            <v>中级经验法宝</v>
          </cell>
          <cell r="E4662" t="str">
            <v>6|4502|3|1</v>
          </cell>
        </row>
        <row r="4663">
          <cell r="A4663">
            <v>67024</v>
          </cell>
          <cell r="B4663">
            <v>0</v>
          </cell>
          <cell r="C4663" t="str">
            <v>1|14306|5</v>
          </cell>
          <cell r="D4663" t="str">
            <v>橙色法宝碎片宝箱</v>
          </cell>
          <cell r="E4663" t="str">
            <v>1|14306|5|1</v>
          </cell>
        </row>
        <row r="4664">
          <cell r="A4664">
            <v>67025</v>
          </cell>
          <cell r="B4664">
            <v>0</v>
          </cell>
          <cell r="C4664" t="str">
            <v>1|14309|1</v>
          </cell>
          <cell r="D4664" t="str">
            <v>14橙色伙伴碎片宝箱</v>
          </cell>
          <cell r="E4664" t="str">
            <v>1|14309|1|1</v>
          </cell>
        </row>
        <row r="4665">
          <cell r="A4665">
            <v>67026</v>
          </cell>
          <cell r="B4665">
            <v>0</v>
          </cell>
          <cell r="C4665" t="str">
            <v>1|14006|3</v>
          </cell>
          <cell r="D4665" t="str">
            <v>高级聚仙令</v>
          </cell>
          <cell r="E4665" t="str">
            <v>1|14006|3|1</v>
          </cell>
        </row>
        <row r="4666">
          <cell r="A4666">
            <v>67027</v>
          </cell>
          <cell r="B4666">
            <v>0</v>
          </cell>
          <cell r="C4666" t="str">
            <v>4|1|400000</v>
          </cell>
          <cell r="D4666" t="str">
            <v>金币</v>
          </cell>
          <cell r="E4666" t="str">
            <v>4|1|400000|1</v>
          </cell>
        </row>
        <row r="4667">
          <cell r="A4667">
            <v>67028</v>
          </cell>
          <cell r="B4667">
            <v>0</v>
          </cell>
          <cell r="C4667" t="str">
            <v>1|14101|10</v>
          </cell>
          <cell r="D4667" t="str">
            <v>体力药水</v>
          </cell>
          <cell r="E4667" t="str">
            <v>1|14101|10|1</v>
          </cell>
        </row>
        <row r="4668">
          <cell r="A4668">
            <v>67029</v>
          </cell>
          <cell r="B4668">
            <v>0</v>
          </cell>
          <cell r="C4668" t="str">
            <v>6|4503|2</v>
          </cell>
          <cell r="D4668" t="str">
            <v>高级经验法宝</v>
          </cell>
          <cell r="E4668" t="str">
            <v>6|4503|2|1</v>
          </cell>
        </row>
        <row r="4669">
          <cell r="A4669">
            <v>67030</v>
          </cell>
          <cell r="B4669">
            <v>0</v>
          </cell>
          <cell r="C4669" t="str">
            <v>6|3013|1</v>
          </cell>
          <cell r="D4669" t="str">
            <v>千方寂玉</v>
          </cell>
          <cell r="E4669" t="str">
            <v>6|3013|1|1</v>
          </cell>
        </row>
        <row r="4670">
          <cell r="A4670">
            <v>67031</v>
          </cell>
          <cell r="B4670">
            <v>0</v>
          </cell>
          <cell r="C4670" t="str">
            <v>6|3014|1</v>
          </cell>
          <cell r="D4670" t="str">
            <v>噬龙之锋</v>
          </cell>
          <cell r="E4670" t="str">
            <v>6|3014|1|1</v>
          </cell>
        </row>
        <row r="4671">
          <cell r="A4671">
            <v>67032</v>
          </cell>
          <cell r="B4671">
            <v>0</v>
          </cell>
          <cell r="C4671" t="str">
            <v>1|14006|5</v>
          </cell>
          <cell r="D4671" t="str">
            <v>高级聚仙令</v>
          </cell>
          <cell r="E4671" t="str">
            <v>1|14006|5|1</v>
          </cell>
        </row>
        <row r="4672">
          <cell r="A4672">
            <v>67033</v>
          </cell>
          <cell r="B4672">
            <v>0</v>
          </cell>
          <cell r="C4672" t="str">
            <v>4|1|600000</v>
          </cell>
          <cell r="D4672" t="str">
            <v>金币</v>
          </cell>
          <cell r="E4672" t="str">
            <v>4|1|600000|1</v>
          </cell>
        </row>
        <row r="4673">
          <cell r="A4673">
            <v>67034</v>
          </cell>
          <cell r="B4673">
            <v>0</v>
          </cell>
          <cell r="C4673" t="str">
            <v>1|14108|10</v>
          </cell>
          <cell r="D4673" t="str">
            <v>精力之心</v>
          </cell>
          <cell r="E4673" t="str">
            <v>1|14108|10|1</v>
          </cell>
        </row>
        <row r="4674">
          <cell r="A4674">
            <v>67035</v>
          </cell>
          <cell r="B4674">
            <v>0</v>
          </cell>
          <cell r="C4674" t="str">
            <v>2|2042|1</v>
          </cell>
          <cell r="D4674" t="str">
            <v>紫金长剑</v>
          </cell>
          <cell r="E4674" t="str">
            <v>2|2042|1|1</v>
          </cell>
        </row>
        <row r="4675">
          <cell r="A4675">
            <v>67036</v>
          </cell>
          <cell r="B4675">
            <v>0</v>
          </cell>
          <cell r="C4675" t="str">
            <v>2|2041|1</v>
          </cell>
          <cell r="D4675" t="str">
            <v>紫金战甲</v>
          </cell>
          <cell r="E4675" t="str">
            <v>2|2041|1|1</v>
          </cell>
        </row>
        <row r="4676">
          <cell r="A4676">
            <v>67037</v>
          </cell>
          <cell r="B4676">
            <v>0</v>
          </cell>
          <cell r="C4676" t="str">
            <v>1|14101|12</v>
          </cell>
          <cell r="D4676" t="str">
            <v>体力药水</v>
          </cell>
          <cell r="E4676" t="str">
            <v>1|14101|12|1</v>
          </cell>
        </row>
        <row r="4677">
          <cell r="A4677">
            <v>67038</v>
          </cell>
          <cell r="B4677">
            <v>0</v>
          </cell>
          <cell r="C4677" t="str">
            <v>1|14108|12</v>
          </cell>
          <cell r="D4677" t="str">
            <v>精力之心</v>
          </cell>
          <cell r="E4677" t="str">
            <v>1|14108|12|1</v>
          </cell>
        </row>
        <row r="4678">
          <cell r="A4678">
            <v>67039</v>
          </cell>
          <cell r="B4678">
            <v>0</v>
          </cell>
          <cell r="C4678" t="str">
            <v>1|14107|200</v>
          </cell>
          <cell r="D4678" t="str">
            <v>元灵晶石</v>
          </cell>
          <cell r="E4678" t="str">
            <v>1|14107|200|1</v>
          </cell>
        </row>
        <row r="4679">
          <cell r="A4679">
            <v>67040</v>
          </cell>
          <cell r="B4679">
            <v>0</v>
          </cell>
          <cell r="C4679" t="str">
            <v>2|2043|1</v>
          </cell>
          <cell r="D4679" t="str">
            <v>紫金头盔</v>
          </cell>
          <cell r="E4679" t="str">
            <v>2|2043|1|1</v>
          </cell>
        </row>
        <row r="4680">
          <cell r="A4680">
            <v>67041</v>
          </cell>
          <cell r="B4680">
            <v>0</v>
          </cell>
          <cell r="C4680" t="str">
            <v>2|2044|1</v>
          </cell>
          <cell r="D4680" t="str">
            <v>紫金腰带</v>
          </cell>
          <cell r="E4680" t="str">
            <v>2|2044|1|1</v>
          </cell>
        </row>
        <row r="4681">
          <cell r="A4681">
            <v>67042</v>
          </cell>
          <cell r="B4681">
            <v>0</v>
          </cell>
          <cell r="C4681" t="str">
            <v>4|1|800000</v>
          </cell>
          <cell r="D4681" t="str">
            <v>金币</v>
          </cell>
          <cell r="E4681" t="str">
            <v>4|1|800000|1</v>
          </cell>
        </row>
        <row r="4682">
          <cell r="A4682">
            <v>67043</v>
          </cell>
          <cell r="B4682">
            <v>0</v>
          </cell>
          <cell r="C4682" t="str">
            <v>1|14204|20</v>
          </cell>
          <cell r="D4682" t="str">
            <v>高级装备精炼石</v>
          </cell>
          <cell r="E4682" t="str">
            <v>1|14204|20|1</v>
          </cell>
        </row>
        <row r="4683">
          <cell r="A4683">
            <v>67044</v>
          </cell>
          <cell r="B4683">
            <v>0</v>
          </cell>
          <cell r="C4683" t="str">
            <v>6|4503|4</v>
          </cell>
          <cell r="D4683" t="str">
            <v>高级经验法宝</v>
          </cell>
          <cell r="E4683" t="str">
            <v>6|4503|4|1</v>
          </cell>
        </row>
        <row r="4684">
          <cell r="A4684">
            <v>67045</v>
          </cell>
          <cell r="B4684">
            <v>0</v>
          </cell>
          <cell r="C4684" t="str">
            <v>2|2062|1</v>
          </cell>
          <cell r="D4684" t="str">
            <v>龙鳞长剑</v>
          </cell>
          <cell r="E4684" t="str">
            <v>2|2062|1|1</v>
          </cell>
        </row>
        <row r="4685">
          <cell r="A4685">
            <v>67046</v>
          </cell>
          <cell r="B4685">
            <v>0</v>
          </cell>
          <cell r="C4685" t="str">
            <v>2|2061|1</v>
          </cell>
          <cell r="D4685" t="str">
            <v>龙鳞战甲</v>
          </cell>
          <cell r="E4685" t="str">
            <v>2|2061|1|1</v>
          </cell>
        </row>
        <row r="4686">
          <cell r="A4686">
            <v>67047</v>
          </cell>
          <cell r="B4686">
            <v>0</v>
          </cell>
          <cell r="C4686" t="str">
            <v>1|14101|20</v>
          </cell>
          <cell r="D4686" t="str">
            <v>体力药水</v>
          </cell>
          <cell r="E4686" t="str">
            <v>1|14101|20|1</v>
          </cell>
        </row>
        <row r="4687">
          <cell r="A4687">
            <v>67048</v>
          </cell>
          <cell r="B4687">
            <v>0</v>
          </cell>
          <cell r="C4687" t="str">
            <v>1|14107|400</v>
          </cell>
          <cell r="D4687" t="str">
            <v>元灵晶石</v>
          </cell>
          <cell r="E4687" t="str">
            <v>1|14107|400|1</v>
          </cell>
        </row>
        <row r="4688">
          <cell r="A4688">
            <v>67049</v>
          </cell>
          <cell r="B4688">
            <v>0</v>
          </cell>
          <cell r="C4688" t="str">
            <v>6|4503|10</v>
          </cell>
          <cell r="D4688" t="str">
            <v>高级经验法宝</v>
          </cell>
          <cell r="E4688" t="str">
            <v>6|4503|10|1</v>
          </cell>
        </row>
        <row r="4689">
          <cell r="A4689">
            <v>67050</v>
          </cell>
          <cell r="B4689">
            <v>0</v>
          </cell>
          <cell r="C4689" t="str">
            <v>2|2063|1</v>
          </cell>
          <cell r="D4689" t="str">
            <v>龙鳞头盔</v>
          </cell>
          <cell r="E4689" t="str">
            <v>2|2063|1|1</v>
          </cell>
        </row>
        <row r="4690">
          <cell r="A4690">
            <v>67051</v>
          </cell>
          <cell r="B4690">
            <v>0</v>
          </cell>
          <cell r="C4690" t="str">
            <v>2|2064|1</v>
          </cell>
          <cell r="D4690" t="str">
            <v>龙鳞腰带</v>
          </cell>
          <cell r="E4690" t="str">
            <v>2|2064|1|1</v>
          </cell>
        </row>
        <row r="4691">
          <cell r="A4691">
            <v>67052</v>
          </cell>
          <cell r="B4691">
            <v>0</v>
          </cell>
          <cell r="C4691" t="str">
            <v>4|1|1000000</v>
          </cell>
          <cell r="D4691" t="str">
            <v>金币</v>
          </cell>
          <cell r="E4691" t="str">
            <v>4|1|1000000|1</v>
          </cell>
        </row>
        <row r="4692">
          <cell r="A4692">
            <v>67053</v>
          </cell>
          <cell r="B4692">
            <v>0</v>
          </cell>
          <cell r="C4692" t="str">
            <v>4|4|400</v>
          </cell>
          <cell r="D4692" t="str">
            <v>精魄</v>
          </cell>
          <cell r="E4692" t="str">
            <v>4|4|400|1</v>
          </cell>
        </row>
        <row r="4693">
          <cell r="A4693">
            <v>67054</v>
          </cell>
          <cell r="B4693">
            <v>0</v>
          </cell>
          <cell r="C4693" t="str">
            <v>1|14201|150</v>
          </cell>
          <cell r="D4693" t="str">
            <v>法宝精炼石</v>
          </cell>
          <cell r="E4693" t="str">
            <v>1|14201|150|1</v>
          </cell>
        </row>
        <row r="4694">
          <cell r="A4694">
            <v>67055</v>
          </cell>
          <cell r="B4694">
            <v>0</v>
          </cell>
          <cell r="C4694" t="str">
            <v>1|14310|1</v>
          </cell>
          <cell r="D4694" t="str">
            <v>15橙色伙伴碎片宝箱</v>
          </cell>
          <cell r="E4694" t="str">
            <v>1|14310|1|1</v>
          </cell>
        </row>
        <row r="4695">
          <cell r="A4695">
            <v>67056</v>
          </cell>
          <cell r="B4695">
            <v>0</v>
          </cell>
          <cell r="C4695" t="str">
            <v>1|14107|400</v>
          </cell>
          <cell r="D4695" t="str">
            <v>元灵晶石</v>
          </cell>
          <cell r="E4695" t="str">
            <v>1|14107|400|1</v>
          </cell>
        </row>
        <row r="4696">
          <cell r="A4696">
            <v>67057</v>
          </cell>
          <cell r="B4696">
            <v>0</v>
          </cell>
          <cell r="C4696" t="str">
            <v>1|14102|40</v>
          </cell>
          <cell r="D4696" t="str">
            <v>刷新符</v>
          </cell>
          <cell r="E4696" t="str">
            <v>1|14102|40|1</v>
          </cell>
        </row>
        <row r="4697">
          <cell r="A4697">
            <v>67058</v>
          </cell>
          <cell r="B4697">
            <v>0</v>
          </cell>
          <cell r="C4697" t="str">
            <v>4|3|600</v>
          </cell>
          <cell r="D4697" t="str">
            <v>器魂</v>
          </cell>
          <cell r="E4697" t="str">
            <v>4|3|600|1</v>
          </cell>
        </row>
        <row r="4698">
          <cell r="A4698">
            <v>67059</v>
          </cell>
          <cell r="B4698">
            <v>0</v>
          </cell>
          <cell r="C4698" t="str">
            <v>1|14204|50</v>
          </cell>
          <cell r="D4698" t="str">
            <v>高级装备精炼石</v>
          </cell>
          <cell r="E4698" t="str">
            <v>1|14204|50|1</v>
          </cell>
        </row>
        <row r="4699">
          <cell r="A4699">
            <v>67060</v>
          </cell>
          <cell r="B4699">
            <v>0</v>
          </cell>
          <cell r="C4699" t="str">
            <v>2|2070|1</v>
          </cell>
          <cell r="D4699" t="str">
            <v>诛仙长剑</v>
          </cell>
          <cell r="E4699" t="str">
            <v>2|2070|1|1</v>
          </cell>
        </row>
        <row r="4700">
          <cell r="A4700">
            <v>67061</v>
          </cell>
          <cell r="B4700">
            <v>0</v>
          </cell>
          <cell r="C4700" t="str">
            <v>6|3015|1</v>
          </cell>
          <cell r="D4700" t="str">
            <v>鎏金点翠</v>
          </cell>
          <cell r="E4700" t="str">
            <v>6|3015|1|1</v>
          </cell>
        </row>
        <row r="4701">
          <cell r="A4701">
            <v>67062</v>
          </cell>
          <cell r="B4701">
            <v>0</v>
          </cell>
          <cell r="C4701" t="str">
            <v>6|3016|1</v>
          </cell>
          <cell r="D4701" t="str">
            <v>紫金曼陀</v>
          </cell>
          <cell r="E4701" t="str">
            <v>6|3016|1|1</v>
          </cell>
        </row>
        <row r="4702">
          <cell r="A4702">
            <v>67063</v>
          </cell>
          <cell r="B4702">
            <v>0</v>
          </cell>
          <cell r="C4702" t="str">
            <v>1|14107|400</v>
          </cell>
          <cell r="D4702" t="str">
            <v>元灵晶石</v>
          </cell>
          <cell r="E4702" t="str">
            <v>1|14107|400|1</v>
          </cell>
        </row>
        <row r="4703">
          <cell r="A4703">
            <v>67064</v>
          </cell>
          <cell r="B4703">
            <v>0</v>
          </cell>
          <cell r="C4703" t="str">
            <v>6|4503|15</v>
          </cell>
          <cell r="D4703" t="str">
            <v>高级经验法宝</v>
          </cell>
          <cell r="E4703" t="str">
            <v>6|4503|15|1</v>
          </cell>
        </row>
        <row r="4704">
          <cell r="A4704">
            <v>67065</v>
          </cell>
          <cell r="B4704">
            <v>0</v>
          </cell>
          <cell r="C4704" t="str">
            <v>2|2069|1</v>
          </cell>
          <cell r="D4704" t="str">
            <v>诛仙战甲</v>
          </cell>
          <cell r="E4704" t="str">
            <v>2|2069|1|1</v>
          </cell>
        </row>
        <row r="4705">
          <cell r="A4705">
            <v>67066</v>
          </cell>
          <cell r="B4705">
            <v>0</v>
          </cell>
          <cell r="C4705" t="str">
            <v>6|3013|1</v>
          </cell>
          <cell r="D4705" t="str">
            <v>千方寂玉</v>
          </cell>
          <cell r="E4705" t="str">
            <v>6|3013|1|1</v>
          </cell>
        </row>
        <row r="4706">
          <cell r="A4706">
            <v>67067</v>
          </cell>
          <cell r="B4706">
            <v>0</v>
          </cell>
          <cell r="C4706" t="str">
            <v>6|3014|1</v>
          </cell>
          <cell r="D4706" t="str">
            <v>噬龙之锋</v>
          </cell>
          <cell r="E4706" t="str">
            <v>6|3014|1|1</v>
          </cell>
        </row>
        <row r="4707">
          <cell r="A4707">
            <v>67068</v>
          </cell>
          <cell r="B4707">
            <v>0</v>
          </cell>
          <cell r="C4707" t="str">
            <v>4|4|400</v>
          </cell>
          <cell r="D4707" t="str">
            <v>精魄</v>
          </cell>
          <cell r="E4707" t="str">
            <v>4|4|400|1</v>
          </cell>
        </row>
        <row r="4708">
          <cell r="A4708">
            <v>67069</v>
          </cell>
          <cell r="B4708">
            <v>0</v>
          </cell>
          <cell r="C4708" t="str">
            <v>1|14108|20</v>
          </cell>
          <cell r="D4708" t="str">
            <v>精力之心</v>
          </cell>
          <cell r="E4708" t="str">
            <v>1|14108|20|1</v>
          </cell>
        </row>
        <row r="4709">
          <cell r="A4709">
            <v>67070</v>
          </cell>
          <cell r="B4709">
            <v>0</v>
          </cell>
          <cell r="C4709" t="str">
            <v>2|2071|1</v>
          </cell>
          <cell r="D4709" t="str">
            <v>诛仙头盔</v>
          </cell>
          <cell r="E4709" t="str">
            <v>2|2071|1|1</v>
          </cell>
        </row>
        <row r="4710">
          <cell r="A4710">
            <v>67071</v>
          </cell>
          <cell r="B4710">
            <v>0</v>
          </cell>
          <cell r="C4710" t="str">
            <v>1|14101|30</v>
          </cell>
          <cell r="D4710" t="str">
            <v>体力药水</v>
          </cell>
          <cell r="E4710" t="str">
            <v>1|14101|30|1</v>
          </cell>
        </row>
        <row r="4711">
          <cell r="A4711">
            <v>67072</v>
          </cell>
          <cell r="B4711">
            <v>0</v>
          </cell>
          <cell r="C4711" t="str">
            <v>4|1|1500000</v>
          </cell>
          <cell r="D4711" t="str">
            <v>金币</v>
          </cell>
          <cell r="E4711" t="str">
            <v>4|1|1500000|1</v>
          </cell>
        </row>
        <row r="4712">
          <cell r="A4712">
            <v>67073</v>
          </cell>
          <cell r="B4712">
            <v>0</v>
          </cell>
          <cell r="C4712" t="str">
            <v>4|3|600</v>
          </cell>
          <cell r="D4712" t="str">
            <v>器魂</v>
          </cell>
          <cell r="E4712" t="str">
            <v>4|3|600|1</v>
          </cell>
        </row>
        <row r="4713">
          <cell r="A4713">
            <v>67074</v>
          </cell>
          <cell r="B4713">
            <v>0</v>
          </cell>
          <cell r="C4713" t="str">
            <v>1|14006|10</v>
          </cell>
          <cell r="D4713" t="str">
            <v>高级聚仙令</v>
          </cell>
          <cell r="E4713" t="str">
            <v>1|14006|10|1</v>
          </cell>
        </row>
        <row r="4714">
          <cell r="A4714">
            <v>67075</v>
          </cell>
          <cell r="B4714">
            <v>0</v>
          </cell>
          <cell r="C4714" t="str">
            <v>2|2072|1</v>
          </cell>
          <cell r="D4714" t="str">
            <v>诛仙腰带</v>
          </cell>
          <cell r="E4714" t="str">
            <v>2|2072|1|1</v>
          </cell>
        </row>
        <row r="4715">
          <cell r="A4715">
            <v>67076</v>
          </cell>
          <cell r="B4715">
            <v>0</v>
          </cell>
          <cell r="C4715" t="str">
            <v>1|14101|40</v>
          </cell>
          <cell r="D4715" t="str">
            <v>体力药水</v>
          </cell>
          <cell r="E4715" t="str">
            <v>1|14101|40|1</v>
          </cell>
        </row>
        <row r="4716">
          <cell r="A4716">
            <v>67077</v>
          </cell>
          <cell r="B4716">
            <v>0</v>
          </cell>
          <cell r="C4716" t="str">
            <v>4|1|2000000</v>
          </cell>
          <cell r="D4716" t="str">
            <v>金币</v>
          </cell>
          <cell r="E4716" t="str">
            <v>4|1|2000000|1</v>
          </cell>
        </row>
        <row r="4717">
          <cell r="A4717">
            <v>67078</v>
          </cell>
          <cell r="B4717">
            <v>0</v>
          </cell>
          <cell r="C4717" t="str">
            <v>1|14204|100</v>
          </cell>
          <cell r="D4717" t="str">
            <v>高级装备精炼石</v>
          </cell>
          <cell r="E4717" t="str">
            <v>1|14204|100|1</v>
          </cell>
        </row>
        <row r="4718">
          <cell r="A4718">
            <v>67079</v>
          </cell>
          <cell r="B4718">
            <v>0</v>
          </cell>
          <cell r="C4718" t="str">
            <v>1|14201|250</v>
          </cell>
          <cell r="D4718" t="str">
            <v>法宝精炼石</v>
          </cell>
          <cell r="E4718" t="str">
            <v>1|14201|250|1</v>
          </cell>
        </row>
        <row r="4719">
          <cell r="A4719">
            <v>68001</v>
          </cell>
          <cell r="B4719">
            <v>1</v>
          </cell>
          <cell r="C4719" t="str">
            <v>2|2002|1</v>
          </cell>
          <cell r="D4719" t="str">
            <v>行者长剑</v>
          </cell>
          <cell r="E4719" t="str">
            <v>2|2002|1|1</v>
          </cell>
        </row>
        <row r="4720">
          <cell r="A4720">
            <v>68002</v>
          </cell>
          <cell r="B4720">
            <v>1</v>
          </cell>
          <cell r="C4720" t="str">
            <v>2|2001|1</v>
          </cell>
          <cell r="D4720" t="str">
            <v>行者战甲</v>
          </cell>
          <cell r="E4720" t="str">
            <v>2|2001|1|1</v>
          </cell>
        </row>
        <row r="4721">
          <cell r="A4721">
            <v>68003</v>
          </cell>
          <cell r="B4721">
            <v>1</v>
          </cell>
          <cell r="C4721" t="str">
            <v>2|2003|1</v>
          </cell>
          <cell r="D4721" t="str">
            <v>行者头盔</v>
          </cell>
          <cell r="E4721" t="str">
            <v>2|2003|1|1</v>
          </cell>
        </row>
        <row r="4722">
          <cell r="A4722">
            <v>68004</v>
          </cell>
          <cell r="B4722">
            <v>1</v>
          </cell>
          <cell r="C4722" t="str">
            <v>2|2004|1</v>
          </cell>
          <cell r="D4722" t="str">
            <v>行者腰带</v>
          </cell>
          <cell r="E4722" t="str">
            <v>2|2004|1|1</v>
          </cell>
        </row>
        <row r="4723">
          <cell r="A4723">
            <v>68005</v>
          </cell>
          <cell r="B4723">
            <v>1</v>
          </cell>
          <cell r="C4723" t="str">
            <v>4|2|200</v>
          </cell>
          <cell r="D4723" t="str">
            <v>钻石</v>
          </cell>
          <cell r="E4723" t="str">
            <v>4|2|200|1</v>
          </cell>
        </row>
        <row r="4724">
          <cell r="A4724">
            <v>68006</v>
          </cell>
          <cell r="B4724">
            <v>1</v>
          </cell>
          <cell r="C4724" t="str">
            <v>2|2022|1</v>
          </cell>
          <cell r="D4724" t="str">
            <v>勇士长剑</v>
          </cell>
          <cell r="E4724" t="str">
            <v>2|2022|1|1</v>
          </cell>
        </row>
        <row r="4725">
          <cell r="A4725">
            <v>68007</v>
          </cell>
          <cell r="B4725">
            <v>1</v>
          </cell>
          <cell r="C4725" t="str">
            <v>2|2021|1</v>
          </cell>
          <cell r="D4725" t="str">
            <v>勇士战甲</v>
          </cell>
          <cell r="E4725" t="str">
            <v>2|2021|1|1</v>
          </cell>
        </row>
        <row r="4726">
          <cell r="A4726">
            <v>68008</v>
          </cell>
          <cell r="B4726">
            <v>1</v>
          </cell>
          <cell r="C4726" t="str">
            <v>6|3005|1</v>
          </cell>
          <cell r="D4726" t="str">
            <v>凤尾佩</v>
          </cell>
          <cell r="E4726" t="str">
            <v>6|3005|1|1</v>
          </cell>
        </row>
        <row r="4727">
          <cell r="A4727">
            <v>68009</v>
          </cell>
          <cell r="B4727">
            <v>1</v>
          </cell>
          <cell r="C4727" t="str">
            <v>6|3006|1</v>
          </cell>
          <cell r="D4727" t="str">
            <v>玉麟绕</v>
          </cell>
          <cell r="E4727" t="str">
            <v>6|3006|1|1</v>
          </cell>
        </row>
        <row r="4728">
          <cell r="A4728">
            <v>68010</v>
          </cell>
          <cell r="B4728">
            <v>1</v>
          </cell>
          <cell r="C4728" t="str">
            <v>4|2|350</v>
          </cell>
          <cell r="D4728" t="str">
            <v>钻石</v>
          </cell>
          <cell r="E4728" t="str">
            <v>4|2|350|1</v>
          </cell>
        </row>
        <row r="4729">
          <cell r="A4729">
            <v>68011</v>
          </cell>
          <cell r="B4729">
            <v>1</v>
          </cell>
          <cell r="C4729" t="str">
            <v>2|2026|1</v>
          </cell>
          <cell r="D4729" t="str">
            <v>精英长剑</v>
          </cell>
          <cell r="E4729" t="str">
            <v>2|2026|1|1</v>
          </cell>
        </row>
        <row r="4730">
          <cell r="A4730">
            <v>68012</v>
          </cell>
          <cell r="B4730">
            <v>1</v>
          </cell>
          <cell r="C4730" t="str">
            <v>2|2025|1</v>
          </cell>
          <cell r="D4730" t="str">
            <v>精英战甲</v>
          </cell>
          <cell r="E4730" t="str">
            <v>2|2025|1|1</v>
          </cell>
        </row>
        <row r="4731">
          <cell r="A4731">
            <v>68013</v>
          </cell>
          <cell r="B4731">
            <v>1</v>
          </cell>
          <cell r="C4731" t="str">
            <v>4|1|200000</v>
          </cell>
          <cell r="D4731" t="str">
            <v>金币</v>
          </cell>
          <cell r="E4731" t="str">
            <v>4|1|200000|1</v>
          </cell>
        </row>
        <row r="4732">
          <cell r="A4732">
            <v>68014</v>
          </cell>
          <cell r="B4732">
            <v>1</v>
          </cell>
          <cell r="C4732" t="str">
            <v>1|14003|10</v>
          </cell>
          <cell r="D4732" t="str">
            <v>高级经验药水</v>
          </cell>
          <cell r="E4732" t="str">
            <v>1|14003|10|1</v>
          </cell>
        </row>
        <row r="4733">
          <cell r="A4733">
            <v>68015</v>
          </cell>
          <cell r="B4733">
            <v>1</v>
          </cell>
          <cell r="C4733" t="str">
            <v>4|2|500</v>
          </cell>
          <cell r="D4733" t="str">
            <v>钻石</v>
          </cell>
          <cell r="E4733" t="str">
            <v>4|2|500|1</v>
          </cell>
        </row>
        <row r="4734">
          <cell r="A4734">
            <v>68016</v>
          </cell>
          <cell r="B4734">
            <v>1</v>
          </cell>
          <cell r="C4734" t="str">
            <v>2|2027|1</v>
          </cell>
          <cell r="D4734" t="str">
            <v>精英头盔</v>
          </cell>
          <cell r="E4734" t="str">
            <v>2|2027|1|1</v>
          </cell>
        </row>
        <row r="4735">
          <cell r="A4735">
            <v>68017</v>
          </cell>
          <cell r="B4735">
            <v>1</v>
          </cell>
          <cell r="C4735" t="str">
            <v>2|2028|1</v>
          </cell>
          <cell r="D4735" t="str">
            <v>精英腰带</v>
          </cell>
          <cell r="E4735" t="str">
            <v>2|2028|1|1</v>
          </cell>
        </row>
        <row r="4736">
          <cell r="A4736">
            <v>68018</v>
          </cell>
          <cell r="B4736">
            <v>1</v>
          </cell>
          <cell r="C4736" t="str">
            <v>1|14204|10</v>
          </cell>
          <cell r="D4736" t="str">
            <v>高级装备精炼石</v>
          </cell>
          <cell r="E4736" t="str">
            <v>1|14204|10|1</v>
          </cell>
        </row>
        <row r="4737">
          <cell r="A4737">
            <v>68019</v>
          </cell>
          <cell r="B4737">
            <v>1</v>
          </cell>
          <cell r="C4737" t="str">
            <v>6|4502|5</v>
          </cell>
          <cell r="D4737" t="str">
            <v>中级经验法宝</v>
          </cell>
          <cell r="E4737" t="str">
            <v>6|4502|5|1</v>
          </cell>
        </row>
        <row r="4738">
          <cell r="A4738">
            <v>68020</v>
          </cell>
          <cell r="B4738">
            <v>1</v>
          </cell>
          <cell r="C4738" t="str">
            <v>4|2|650</v>
          </cell>
          <cell r="D4738" t="str">
            <v>钻石</v>
          </cell>
          <cell r="E4738" t="str">
            <v>4|2|650|1</v>
          </cell>
        </row>
        <row r="4739">
          <cell r="A4739">
            <v>68021</v>
          </cell>
          <cell r="B4739">
            <v>1</v>
          </cell>
          <cell r="C4739" t="str">
            <v>2|2042|1</v>
          </cell>
          <cell r="D4739" t="str">
            <v>紫金长剑</v>
          </cell>
          <cell r="E4739" t="str">
            <v>2|2042|1|1</v>
          </cell>
        </row>
        <row r="4740">
          <cell r="A4740">
            <v>68022</v>
          </cell>
          <cell r="B4740">
            <v>1</v>
          </cell>
          <cell r="C4740" t="str">
            <v>2|2041|1</v>
          </cell>
          <cell r="D4740" t="str">
            <v>紫金战甲</v>
          </cell>
          <cell r="E4740" t="str">
            <v>2|2041|1|1</v>
          </cell>
        </row>
        <row r="4741">
          <cell r="A4741">
            <v>68023</v>
          </cell>
          <cell r="B4741">
            <v>1</v>
          </cell>
          <cell r="C4741" t="str">
            <v>6|3011|1</v>
          </cell>
          <cell r="D4741" t="str">
            <v>碧海青天</v>
          </cell>
          <cell r="E4741" t="str">
            <v>6|3011|1|1</v>
          </cell>
        </row>
        <row r="4742">
          <cell r="A4742">
            <v>68024</v>
          </cell>
          <cell r="B4742">
            <v>1</v>
          </cell>
          <cell r="C4742" t="str">
            <v>6|3012|1</v>
          </cell>
          <cell r="D4742" t="str">
            <v>九曜光华</v>
          </cell>
          <cell r="E4742" t="str">
            <v>6|3012|1|1</v>
          </cell>
        </row>
        <row r="4743">
          <cell r="A4743">
            <v>68025</v>
          </cell>
          <cell r="B4743">
            <v>1</v>
          </cell>
          <cell r="C4743" t="str">
            <v>4|2|800</v>
          </cell>
          <cell r="D4743" t="str">
            <v>钻石</v>
          </cell>
          <cell r="E4743" t="str">
            <v>4|2|800|1</v>
          </cell>
        </row>
        <row r="4744">
          <cell r="A4744">
            <v>68026</v>
          </cell>
          <cell r="B4744">
            <v>1</v>
          </cell>
          <cell r="C4744" t="str">
            <v>2|2043|1</v>
          </cell>
          <cell r="D4744" t="str">
            <v>紫金头盔</v>
          </cell>
          <cell r="E4744" t="str">
            <v>2|2043|1|1</v>
          </cell>
        </row>
        <row r="4745">
          <cell r="A4745">
            <v>68027</v>
          </cell>
          <cell r="B4745">
            <v>1</v>
          </cell>
          <cell r="C4745" t="str">
            <v>2|2044|1</v>
          </cell>
          <cell r="D4745" t="str">
            <v>紫金腰带</v>
          </cell>
          <cell r="E4745" t="str">
            <v>2|2044|1|1</v>
          </cell>
        </row>
        <row r="4746">
          <cell r="A4746">
            <v>68028</v>
          </cell>
          <cell r="B4746">
            <v>1</v>
          </cell>
          <cell r="C4746" t="str">
            <v>1|14107|300</v>
          </cell>
          <cell r="D4746" t="str">
            <v>元灵晶石</v>
          </cell>
          <cell r="E4746" t="str">
            <v>1|14107|300|1</v>
          </cell>
        </row>
        <row r="4747">
          <cell r="A4747">
            <v>68029</v>
          </cell>
          <cell r="B4747">
            <v>1</v>
          </cell>
          <cell r="C4747" t="str">
            <v>1|14201|200</v>
          </cell>
          <cell r="D4747" t="str">
            <v>法宝精炼石</v>
          </cell>
          <cell r="E4747" t="str">
            <v>1|14201|200|1</v>
          </cell>
        </row>
        <row r="4748">
          <cell r="A4748">
            <v>68030</v>
          </cell>
          <cell r="B4748">
            <v>1</v>
          </cell>
          <cell r="C4748" t="str">
            <v>4|2|1000</v>
          </cell>
          <cell r="D4748" t="str">
            <v>钻石</v>
          </cell>
          <cell r="E4748" t="str">
            <v>4|2|1000|1</v>
          </cell>
        </row>
        <row r="4749">
          <cell r="A4749">
            <v>68501</v>
          </cell>
          <cell r="B4749">
            <v>0</v>
          </cell>
          <cell r="C4749" t="str">
            <v>4|1|10000</v>
          </cell>
          <cell r="D4749" t="str">
            <v>梦魇入侵奖励中心1</v>
          </cell>
          <cell r="E4749" t="str">
            <v>4|1|10000|1</v>
          </cell>
        </row>
        <row r="4750">
          <cell r="A4750">
            <v>68502</v>
          </cell>
          <cell r="B4750">
            <v>0</v>
          </cell>
          <cell r="C4750" t="str">
            <v>4|29|100</v>
          </cell>
          <cell r="D4750" t="str">
            <v>梦魇入侵奖励中心2</v>
          </cell>
          <cell r="E4750" t="str">
            <v>4|29|100|1</v>
          </cell>
        </row>
        <row r="4751">
          <cell r="A4751">
            <v>68503</v>
          </cell>
          <cell r="B4751">
            <v>0</v>
          </cell>
          <cell r="C4751" t="str">
            <v>1|14211|1</v>
          </cell>
          <cell r="D4751" t="str">
            <v>梦魇入侵奖励中心3</v>
          </cell>
          <cell r="E4751" t="str">
            <v>1|14211|1|1</v>
          </cell>
        </row>
        <row r="4752">
          <cell r="A4752">
            <v>68504</v>
          </cell>
          <cell r="B4752">
            <v>0</v>
          </cell>
          <cell r="C4752" t="str">
            <v>6|4502|1</v>
          </cell>
          <cell r="D4752" t="str">
            <v>梦魇入侵奖励中心4</v>
          </cell>
          <cell r="E4752" t="str">
            <v>6|4502|1|1</v>
          </cell>
        </row>
        <row r="4753">
          <cell r="A4753">
            <v>68505</v>
          </cell>
          <cell r="B4753">
            <v>0</v>
          </cell>
          <cell r="C4753" t="str">
            <v>1|14201|2</v>
          </cell>
          <cell r="D4753" t="str">
            <v>梦魇入侵奖励中心5</v>
          </cell>
          <cell r="E4753" t="str">
            <v>1|14201|2|1</v>
          </cell>
        </row>
        <row r="4754">
          <cell r="A4754">
            <v>68506</v>
          </cell>
          <cell r="B4754">
            <v>0</v>
          </cell>
          <cell r="C4754" t="str">
            <v>1|17000|10</v>
          </cell>
          <cell r="D4754" t="str">
            <v>梦魇入侵奖励中心6</v>
          </cell>
          <cell r="E4754" t="str">
            <v>1|17000|10|1</v>
          </cell>
        </row>
        <row r="4755">
          <cell r="A4755">
            <v>68507</v>
          </cell>
          <cell r="B4755">
            <v>0</v>
          </cell>
          <cell r="C4755" t="str">
            <v>4|29|200</v>
          </cell>
          <cell r="D4755" t="str">
            <v>梦魇入侵奖励中心7</v>
          </cell>
          <cell r="E4755" t="str">
            <v>4|29|200|1</v>
          </cell>
        </row>
        <row r="4756">
          <cell r="A4756">
            <v>68508</v>
          </cell>
          <cell r="B4756">
            <v>0</v>
          </cell>
          <cell r="C4756" t="str">
            <v>1|14211|2</v>
          </cell>
          <cell r="D4756" t="str">
            <v>梦魇入侵奖励中心8</v>
          </cell>
          <cell r="E4756" t="str">
            <v>1|14211|2|1</v>
          </cell>
        </row>
        <row r="4757">
          <cell r="A4757">
            <v>68509</v>
          </cell>
          <cell r="B4757">
            <v>0</v>
          </cell>
          <cell r="C4757" t="str">
            <v>6|4502|1</v>
          </cell>
          <cell r="D4757" t="str">
            <v>梦魇入侵奖励中心9</v>
          </cell>
          <cell r="E4757" t="str">
            <v>6|4502|1|1</v>
          </cell>
        </row>
        <row r="4758">
          <cell r="A4758">
            <v>68510</v>
          </cell>
          <cell r="B4758">
            <v>0</v>
          </cell>
          <cell r="C4758" t="str">
            <v>1|17000|30</v>
          </cell>
          <cell r="D4758" t="str">
            <v>梦魇入侵奖励中心10</v>
          </cell>
          <cell r="E4758" t="str">
            <v>1|17000|30|1</v>
          </cell>
        </row>
        <row r="4759">
          <cell r="A4759">
            <v>68511</v>
          </cell>
          <cell r="B4759">
            <v>0</v>
          </cell>
          <cell r="C4759" t="str">
            <v>4|1|40000</v>
          </cell>
          <cell r="D4759" t="str">
            <v>梦魇入侵奖励中心11</v>
          </cell>
          <cell r="E4759" t="str">
            <v>4|1|40000|1</v>
          </cell>
        </row>
        <row r="4760">
          <cell r="A4760">
            <v>68512</v>
          </cell>
          <cell r="B4760">
            <v>0</v>
          </cell>
          <cell r="C4760" t="str">
            <v>1|14003|1</v>
          </cell>
          <cell r="D4760" t="str">
            <v>梦魇入侵奖励中心12</v>
          </cell>
          <cell r="E4760" t="str">
            <v>1|14003|1|1</v>
          </cell>
        </row>
        <row r="4761">
          <cell r="A4761">
            <v>68513</v>
          </cell>
          <cell r="B4761">
            <v>0</v>
          </cell>
          <cell r="C4761" t="str">
            <v>4|29|300</v>
          </cell>
          <cell r="D4761" t="str">
            <v>梦魇入侵奖励中心13</v>
          </cell>
          <cell r="E4761" t="str">
            <v>4|29|300|1</v>
          </cell>
        </row>
        <row r="4762">
          <cell r="A4762">
            <v>68514</v>
          </cell>
          <cell r="B4762">
            <v>0</v>
          </cell>
          <cell r="C4762" t="str">
            <v>1|16005|5</v>
          </cell>
          <cell r="D4762" t="str">
            <v>梦魇入侵奖励中心14</v>
          </cell>
          <cell r="E4762" t="str">
            <v>1|16005|5|1</v>
          </cell>
        </row>
        <row r="4763">
          <cell r="A4763">
            <v>68515</v>
          </cell>
          <cell r="B4763">
            <v>0</v>
          </cell>
          <cell r="C4763" t="str">
            <v>4|1|55000</v>
          </cell>
          <cell r="D4763" t="str">
            <v>梦魇入侵奖励中心15</v>
          </cell>
          <cell r="E4763" t="str">
            <v>4|1|55000|1</v>
          </cell>
        </row>
        <row r="4764">
          <cell r="A4764">
            <v>68516</v>
          </cell>
          <cell r="B4764">
            <v>0</v>
          </cell>
          <cell r="C4764" t="str">
            <v>4|29|400</v>
          </cell>
          <cell r="D4764" t="str">
            <v>梦魇入侵奖励中心16</v>
          </cell>
          <cell r="E4764" t="str">
            <v>4|29|400|1</v>
          </cell>
        </row>
        <row r="4765">
          <cell r="A4765">
            <v>68517</v>
          </cell>
          <cell r="B4765">
            <v>0</v>
          </cell>
          <cell r="C4765" t="str">
            <v>1|14201|6</v>
          </cell>
          <cell r="D4765" t="str">
            <v>梦魇入侵奖励中心17</v>
          </cell>
          <cell r="E4765" t="str">
            <v>1|14201|6|1</v>
          </cell>
        </row>
        <row r="4766">
          <cell r="A4766">
            <v>68518</v>
          </cell>
          <cell r="B4766">
            <v>0</v>
          </cell>
          <cell r="C4766" t="str">
            <v>1|16005|6</v>
          </cell>
          <cell r="D4766" t="str">
            <v>梦魇入侵奖励中心18</v>
          </cell>
          <cell r="E4766" t="str">
            <v>1|16005|6|1</v>
          </cell>
        </row>
        <row r="4767">
          <cell r="A4767">
            <v>68519</v>
          </cell>
          <cell r="B4767">
            <v>0</v>
          </cell>
          <cell r="C4767" t="str">
            <v>1|17000|50</v>
          </cell>
          <cell r="D4767" t="str">
            <v>梦魇入侵奖励中心19</v>
          </cell>
          <cell r="E4767" t="str">
            <v>1|17000|50|1</v>
          </cell>
        </row>
        <row r="4768">
          <cell r="A4768">
            <v>68520</v>
          </cell>
          <cell r="B4768">
            <v>0</v>
          </cell>
          <cell r="C4768" t="str">
            <v>1|17001|5</v>
          </cell>
          <cell r="D4768" t="str">
            <v>梦魇入侵奖励中心20</v>
          </cell>
          <cell r="E4768" t="str">
            <v>1|17001|5|1</v>
          </cell>
        </row>
        <row r="4769">
          <cell r="A4769">
            <v>68521</v>
          </cell>
          <cell r="B4769">
            <v>0</v>
          </cell>
          <cell r="C4769" t="str">
            <v>4|1|70000</v>
          </cell>
          <cell r="D4769" t="str">
            <v>梦魇入侵奖励中心21</v>
          </cell>
          <cell r="E4769" t="str">
            <v>4|1|70000|1</v>
          </cell>
        </row>
        <row r="4770">
          <cell r="A4770">
            <v>68522</v>
          </cell>
          <cell r="B4770">
            <v>0</v>
          </cell>
          <cell r="C4770" t="str">
            <v>4|29|500</v>
          </cell>
          <cell r="D4770" t="str">
            <v>梦魇入侵奖励中心22</v>
          </cell>
          <cell r="E4770" t="str">
            <v>4|29|500|1</v>
          </cell>
        </row>
        <row r="4771">
          <cell r="A4771">
            <v>68523</v>
          </cell>
          <cell r="B4771">
            <v>0</v>
          </cell>
          <cell r="C4771" t="str">
            <v>1|14003|2</v>
          </cell>
          <cell r="D4771" t="str">
            <v>梦魇入侵奖励中心23</v>
          </cell>
          <cell r="E4771" t="str">
            <v>1|14003|2|1</v>
          </cell>
        </row>
        <row r="4772">
          <cell r="A4772">
            <v>68524</v>
          </cell>
          <cell r="B4772">
            <v>0</v>
          </cell>
          <cell r="C4772" t="str">
            <v>1|14211|3</v>
          </cell>
          <cell r="D4772" t="str">
            <v>梦魇入侵奖励中心24</v>
          </cell>
          <cell r="E4772" t="str">
            <v>1|14211|3|1</v>
          </cell>
        </row>
        <row r="4773">
          <cell r="A4773">
            <v>68525</v>
          </cell>
          <cell r="B4773">
            <v>0</v>
          </cell>
          <cell r="C4773" t="str">
            <v>4|29|500</v>
          </cell>
          <cell r="D4773" t="str">
            <v>梦魇入侵奖励中心25</v>
          </cell>
          <cell r="E4773" t="str">
            <v>4|29|500|1</v>
          </cell>
        </row>
        <row r="4774">
          <cell r="A4774">
            <v>68526</v>
          </cell>
          <cell r="B4774">
            <v>0</v>
          </cell>
          <cell r="C4774" t="str">
            <v>6|4502|2</v>
          </cell>
          <cell r="D4774" t="str">
            <v>梦魇入侵奖励中心26</v>
          </cell>
          <cell r="E4774" t="str">
            <v>6|4502|2|1</v>
          </cell>
        </row>
        <row r="4775">
          <cell r="A4775">
            <v>68527</v>
          </cell>
          <cell r="B4775">
            <v>0</v>
          </cell>
          <cell r="C4775" t="str">
            <v>1|14201|7</v>
          </cell>
          <cell r="D4775" t="str">
            <v>梦魇入侵奖励中心27</v>
          </cell>
          <cell r="E4775" t="str">
            <v>1|14201|7|1</v>
          </cell>
        </row>
        <row r="4776">
          <cell r="A4776">
            <v>68528</v>
          </cell>
          <cell r="B4776">
            <v>0</v>
          </cell>
          <cell r="C4776" t="str">
            <v>1|16005|7</v>
          </cell>
          <cell r="D4776" t="str">
            <v>梦魇入侵奖励中心28</v>
          </cell>
          <cell r="E4776" t="str">
            <v>1|16005|7|1</v>
          </cell>
        </row>
        <row r="4777">
          <cell r="A4777">
            <v>68529</v>
          </cell>
          <cell r="B4777">
            <v>0</v>
          </cell>
          <cell r="C4777" t="str">
            <v>1|17000|60</v>
          </cell>
          <cell r="D4777" t="str">
            <v>梦魇入侵奖励中心29</v>
          </cell>
          <cell r="E4777" t="str">
            <v>1|17000|60|1</v>
          </cell>
        </row>
        <row r="4778">
          <cell r="A4778">
            <v>68530</v>
          </cell>
          <cell r="B4778">
            <v>0</v>
          </cell>
          <cell r="C4778" t="str">
            <v>1|17001|6</v>
          </cell>
          <cell r="D4778" t="str">
            <v>梦魇入侵奖励中心30</v>
          </cell>
          <cell r="E4778" t="str">
            <v>1|17001|6|1</v>
          </cell>
        </row>
        <row r="4779">
          <cell r="A4779">
            <v>68531</v>
          </cell>
          <cell r="B4779">
            <v>0</v>
          </cell>
          <cell r="C4779" t="str">
            <v>1|14003|1</v>
          </cell>
          <cell r="D4779" t="str">
            <v>梦魇入侵奖励中心31</v>
          </cell>
          <cell r="E4779" t="str">
            <v>1|14003|1|1</v>
          </cell>
        </row>
        <row r="4780">
          <cell r="A4780">
            <v>68532</v>
          </cell>
          <cell r="B4780">
            <v>0</v>
          </cell>
          <cell r="C4780" t="str">
            <v>4|29|100</v>
          </cell>
          <cell r="D4780" t="str">
            <v>梦魇入侵奖励中心32</v>
          </cell>
          <cell r="E4780" t="str">
            <v>4|29|100|1</v>
          </cell>
        </row>
        <row r="4781">
          <cell r="A4781">
            <v>68533</v>
          </cell>
          <cell r="B4781">
            <v>0</v>
          </cell>
          <cell r="C4781" t="str">
            <v>1|16005|2</v>
          </cell>
          <cell r="D4781" t="str">
            <v>梦魇入侵奖励中心33</v>
          </cell>
          <cell r="E4781" t="str">
            <v>1|16005|2|1</v>
          </cell>
        </row>
        <row r="4782">
          <cell r="A4782">
            <v>68534</v>
          </cell>
          <cell r="B4782">
            <v>0</v>
          </cell>
          <cell r="C4782" t="str">
            <v>1|17001|2</v>
          </cell>
          <cell r="D4782" t="str">
            <v>梦魇入侵奖励中心34</v>
          </cell>
          <cell r="E4782" t="str">
            <v>1|17001|2|1</v>
          </cell>
        </row>
        <row r="4783">
          <cell r="A4783">
            <v>68535</v>
          </cell>
          <cell r="B4783">
            <v>0</v>
          </cell>
          <cell r="C4783" t="str">
            <v>4|1|25000</v>
          </cell>
          <cell r="D4783" t="str">
            <v>梦魇入侵奖励中心35</v>
          </cell>
          <cell r="E4783" t="str">
            <v>4|1|25000|1</v>
          </cell>
        </row>
        <row r="4784">
          <cell r="A4784">
            <v>68536</v>
          </cell>
          <cell r="B4784">
            <v>0</v>
          </cell>
          <cell r="C4784" t="str">
            <v>1|14003|1</v>
          </cell>
          <cell r="D4784" t="str">
            <v>梦魇入侵奖励中心36</v>
          </cell>
          <cell r="E4784" t="str">
            <v>1|14003|1|1</v>
          </cell>
        </row>
        <row r="4785">
          <cell r="A4785">
            <v>68537</v>
          </cell>
          <cell r="B4785">
            <v>0</v>
          </cell>
          <cell r="C4785" t="str">
            <v>4|29|200</v>
          </cell>
          <cell r="D4785" t="str">
            <v>梦魇入侵奖励中心37</v>
          </cell>
          <cell r="E4785" t="str">
            <v>4|29|200|1</v>
          </cell>
        </row>
        <row r="4786">
          <cell r="A4786">
            <v>68538</v>
          </cell>
          <cell r="B4786">
            <v>0</v>
          </cell>
          <cell r="C4786" t="str">
            <v>1|14201|3</v>
          </cell>
          <cell r="D4786" t="str">
            <v>梦魇入侵奖励中心38</v>
          </cell>
          <cell r="E4786" t="str">
            <v>1|14201|3|1</v>
          </cell>
        </row>
        <row r="4787">
          <cell r="A4787">
            <v>68539</v>
          </cell>
          <cell r="B4787">
            <v>0</v>
          </cell>
          <cell r="C4787" t="str">
            <v>1|16005|3</v>
          </cell>
          <cell r="D4787" t="str">
            <v>梦魇入侵奖励中心39</v>
          </cell>
          <cell r="E4787" t="str">
            <v>1|16005|3|1</v>
          </cell>
        </row>
        <row r="4788">
          <cell r="A4788">
            <v>68540</v>
          </cell>
          <cell r="B4788">
            <v>0</v>
          </cell>
          <cell r="C4788" t="str">
            <v>1|17001|3</v>
          </cell>
          <cell r="D4788" t="str">
            <v>梦魇入侵奖励中心40</v>
          </cell>
          <cell r="E4788" t="str">
            <v>1|17001|3|1</v>
          </cell>
        </row>
        <row r="4789">
          <cell r="A4789">
            <v>68541</v>
          </cell>
          <cell r="B4789">
            <v>0</v>
          </cell>
          <cell r="C4789" t="str">
            <v>4|29|300</v>
          </cell>
          <cell r="D4789" t="str">
            <v>梦魇入侵奖励中心41</v>
          </cell>
          <cell r="E4789" t="str">
            <v>4|29|300|1</v>
          </cell>
        </row>
        <row r="4790">
          <cell r="A4790">
            <v>68542</v>
          </cell>
          <cell r="B4790">
            <v>0</v>
          </cell>
          <cell r="C4790" t="str">
            <v>1|14211|2</v>
          </cell>
          <cell r="D4790" t="str">
            <v>梦魇入侵奖励中心42</v>
          </cell>
          <cell r="E4790" t="str">
            <v>1|14211|2|1</v>
          </cell>
        </row>
        <row r="4791">
          <cell r="A4791">
            <v>68543</v>
          </cell>
          <cell r="B4791">
            <v>0</v>
          </cell>
          <cell r="C4791" t="str">
            <v>6|4502|2</v>
          </cell>
          <cell r="D4791" t="str">
            <v>梦魇入侵奖励中心43</v>
          </cell>
          <cell r="E4791" t="str">
            <v>6|4502|2|1</v>
          </cell>
        </row>
        <row r="4792">
          <cell r="A4792">
            <v>68544</v>
          </cell>
          <cell r="B4792">
            <v>0</v>
          </cell>
          <cell r="C4792" t="str">
            <v>1|14201|4</v>
          </cell>
          <cell r="D4792" t="str">
            <v>梦魇入侵奖励中心44</v>
          </cell>
          <cell r="E4792" t="str">
            <v>1|14201|4|1</v>
          </cell>
        </row>
        <row r="4793">
          <cell r="A4793">
            <v>68545</v>
          </cell>
          <cell r="B4793">
            <v>0</v>
          </cell>
          <cell r="C4793" t="str">
            <v>1|17000|40</v>
          </cell>
          <cell r="D4793" t="str">
            <v>梦魇入侵奖励中心45</v>
          </cell>
          <cell r="E4793" t="str">
            <v>1|17000|40|1</v>
          </cell>
        </row>
        <row r="4794">
          <cell r="A4794">
            <v>68546</v>
          </cell>
          <cell r="B4794">
            <v>0</v>
          </cell>
          <cell r="C4794" t="str">
            <v>1|17001|4</v>
          </cell>
          <cell r="D4794" t="str">
            <v>梦魇入侵奖励中心46</v>
          </cell>
          <cell r="E4794" t="str">
            <v>1|17001|4|1</v>
          </cell>
        </row>
        <row r="4795">
          <cell r="A4795">
            <v>68547</v>
          </cell>
          <cell r="B4795">
            <v>0</v>
          </cell>
          <cell r="C4795" t="str">
            <v>4|29|400</v>
          </cell>
          <cell r="D4795" t="str">
            <v>梦魇入侵奖励中心47</v>
          </cell>
          <cell r="E4795" t="str">
            <v>4|29|400|1</v>
          </cell>
        </row>
        <row r="4796">
          <cell r="A4796">
            <v>68548</v>
          </cell>
          <cell r="B4796">
            <v>0</v>
          </cell>
          <cell r="C4796" t="str">
            <v>1|14003|1</v>
          </cell>
          <cell r="D4796" t="str">
            <v>梦魇入侵奖励中心48</v>
          </cell>
          <cell r="E4796" t="str">
            <v>1|14003|1|1</v>
          </cell>
        </row>
        <row r="4797">
          <cell r="A4797">
            <v>68549</v>
          </cell>
          <cell r="B4797">
            <v>0</v>
          </cell>
          <cell r="C4797" t="str">
            <v>1|14211|3</v>
          </cell>
          <cell r="D4797" t="str">
            <v>梦魇入侵奖励中心49</v>
          </cell>
          <cell r="E4797" t="str">
            <v>1|14211|3|1</v>
          </cell>
        </row>
        <row r="4798">
          <cell r="A4798">
            <v>68550</v>
          </cell>
          <cell r="B4798">
            <v>0</v>
          </cell>
          <cell r="C4798" t="str">
            <v>6|4502|2</v>
          </cell>
          <cell r="D4798" t="str">
            <v>梦魇入侵奖励中心50</v>
          </cell>
          <cell r="E4798" t="str">
            <v>6|4502|2|1</v>
          </cell>
        </row>
        <row r="4799">
          <cell r="A4799">
            <v>69001</v>
          </cell>
          <cell r="B4799">
            <v>1</v>
          </cell>
          <cell r="C4799" t="str">
            <v>1|14107|50</v>
          </cell>
          <cell r="D4799" t="str">
            <v>主角等级达到25</v>
          </cell>
          <cell r="E4799" t="str">
            <v>1|14107|50|1</v>
          </cell>
        </row>
        <row r="4800">
          <cell r="A4800">
            <v>69002</v>
          </cell>
          <cell r="B4800">
            <v>1</v>
          </cell>
          <cell r="C4800" t="str">
            <v>4|2|500</v>
          </cell>
          <cell r="D4800" t="str">
            <v>主角等级达到27</v>
          </cell>
          <cell r="E4800" t="str">
            <v>4|2|500|1</v>
          </cell>
        </row>
        <row r="4801">
          <cell r="A4801">
            <v>69003</v>
          </cell>
          <cell r="B4801">
            <v>1</v>
          </cell>
          <cell r="C4801" t="str">
            <v>1|14306|2</v>
          </cell>
          <cell r="D4801" t="str">
            <v>主角等级达到29</v>
          </cell>
          <cell r="E4801" t="str">
            <v>1|14306|2|1</v>
          </cell>
        </row>
        <row r="4802">
          <cell r="A4802">
            <v>69004</v>
          </cell>
          <cell r="B4802">
            <v>1</v>
          </cell>
          <cell r="C4802" t="str">
            <v>4|2|800</v>
          </cell>
          <cell r="D4802" t="str">
            <v>主角等级达到31</v>
          </cell>
          <cell r="E4802" t="str">
            <v>4|2|800|1</v>
          </cell>
        </row>
        <row r="4803">
          <cell r="A4803">
            <v>69005</v>
          </cell>
          <cell r="B4803">
            <v>1</v>
          </cell>
          <cell r="C4803" t="str">
            <v>1|14312|2</v>
          </cell>
          <cell r="D4803" t="str">
            <v>主角等级达到33</v>
          </cell>
          <cell r="E4803" t="str">
            <v>1|14312|2|1</v>
          </cell>
        </row>
        <row r="4804">
          <cell r="A4804">
            <v>69006</v>
          </cell>
          <cell r="B4804">
            <v>1</v>
          </cell>
          <cell r="C4804" t="str">
            <v>1|14313|2</v>
          </cell>
          <cell r="D4804" t="str">
            <v>主角等级达到35</v>
          </cell>
          <cell r="E4804" t="str">
            <v>1|14313|2|1</v>
          </cell>
        </row>
        <row r="4805">
          <cell r="A4805">
            <v>69007</v>
          </cell>
          <cell r="B4805">
            <v>1</v>
          </cell>
          <cell r="C4805" t="str">
            <v>1|14107|500</v>
          </cell>
          <cell r="D4805" t="str">
            <v>主角等级达到37</v>
          </cell>
          <cell r="E4805" t="str">
            <v>1|14107|500|1</v>
          </cell>
        </row>
        <row r="4806">
          <cell r="A4806">
            <v>69008</v>
          </cell>
          <cell r="B4806">
            <v>1</v>
          </cell>
          <cell r="C4806" t="str">
            <v>1|14005|2</v>
          </cell>
          <cell r="D4806" t="str">
            <v>升级技能5次</v>
          </cell>
          <cell r="E4806" t="str">
            <v>1|14005|2|1</v>
          </cell>
        </row>
        <row r="4807">
          <cell r="A4807">
            <v>69009</v>
          </cell>
          <cell r="B4807">
            <v>1</v>
          </cell>
          <cell r="C4807" t="str">
            <v>1|14005|3</v>
          </cell>
          <cell r="D4807" t="str">
            <v>升级技能10次</v>
          </cell>
          <cell r="E4807" t="str">
            <v>1|14005|3|1</v>
          </cell>
        </row>
        <row r="4808">
          <cell r="A4808">
            <v>69010</v>
          </cell>
          <cell r="B4808">
            <v>1</v>
          </cell>
          <cell r="C4808" t="str">
            <v>1|14005|5</v>
          </cell>
          <cell r="D4808" t="str">
            <v>升级技能15次</v>
          </cell>
          <cell r="E4808" t="str">
            <v>1|14005|5|1</v>
          </cell>
        </row>
        <row r="4809">
          <cell r="A4809">
            <v>69011</v>
          </cell>
          <cell r="B4809">
            <v>1</v>
          </cell>
          <cell r="C4809" t="str">
            <v>1|14005|8</v>
          </cell>
          <cell r="D4809" t="str">
            <v>升级技能20次</v>
          </cell>
          <cell r="E4809" t="str">
            <v>1|14005|8|1</v>
          </cell>
        </row>
        <row r="4810">
          <cell r="A4810">
            <v>69012</v>
          </cell>
          <cell r="B4810">
            <v>1</v>
          </cell>
          <cell r="C4810" t="str">
            <v>1|14006|2</v>
          </cell>
          <cell r="D4810" t="str">
            <v>升级技能30次</v>
          </cell>
          <cell r="E4810" t="str">
            <v>1|14006|2|1</v>
          </cell>
        </row>
        <row r="4811">
          <cell r="A4811">
            <v>69013</v>
          </cell>
          <cell r="B4811">
            <v>1</v>
          </cell>
          <cell r="C4811" t="str">
            <v>1|14006|3</v>
          </cell>
          <cell r="D4811" t="str">
            <v>升级技能40次</v>
          </cell>
          <cell r="E4811" t="str">
            <v>1|14006|3|1</v>
          </cell>
        </row>
        <row r="4812">
          <cell r="A4812">
            <v>69014</v>
          </cell>
          <cell r="B4812">
            <v>1</v>
          </cell>
          <cell r="C4812" t="str">
            <v>1|14006|5</v>
          </cell>
          <cell r="D4812" t="str">
            <v>升级技能50次</v>
          </cell>
          <cell r="E4812" t="str">
            <v>1|14006|5|1</v>
          </cell>
        </row>
        <row r="4813">
          <cell r="A4813">
            <v>69015</v>
          </cell>
          <cell r="B4813">
            <v>1</v>
          </cell>
          <cell r="C4813" t="str">
            <v>1|14101|5</v>
          </cell>
          <cell r="D4813" t="str">
            <v>通关花果山第六关</v>
          </cell>
          <cell r="E4813" t="str">
            <v>1|14101|5|1</v>
          </cell>
        </row>
        <row r="4814">
          <cell r="A4814">
            <v>69016</v>
          </cell>
          <cell r="B4814">
            <v>1</v>
          </cell>
          <cell r="C4814" t="str">
            <v>1|14101|10</v>
          </cell>
          <cell r="D4814" t="str">
            <v>通关东海龙宫第三关</v>
          </cell>
          <cell r="E4814" t="str">
            <v>1|14101|10|1</v>
          </cell>
        </row>
        <row r="4815">
          <cell r="A4815">
            <v>69017</v>
          </cell>
          <cell r="B4815">
            <v>1</v>
          </cell>
          <cell r="C4815" t="str">
            <v>1|14101|15</v>
          </cell>
          <cell r="D4815" t="str">
            <v>通关东海龙宫第十关</v>
          </cell>
          <cell r="E4815" t="str">
            <v>1|14101|15|1</v>
          </cell>
        </row>
        <row r="4816">
          <cell r="A4816">
            <v>69018</v>
          </cell>
          <cell r="B4816">
            <v>1</v>
          </cell>
          <cell r="C4816" t="str">
            <v>1|14101|20</v>
          </cell>
          <cell r="D4816" t="str">
            <v>通关阴曹地府第十关</v>
          </cell>
          <cell r="E4816" t="str">
            <v>1|14101|20|1</v>
          </cell>
        </row>
        <row r="4817">
          <cell r="A4817">
            <v>69019</v>
          </cell>
          <cell r="B4817">
            <v>1</v>
          </cell>
          <cell r="C4817" t="str">
            <v>1|14101|25</v>
          </cell>
          <cell r="D4817" t="str">
            <v>通关天宫第十关</v>
          </cell>
          <cell r="E4817" t="str">
            <v>1|14101|25|1</v>
          </cell>
        </row>
        <row r="4818">
          <cell r="A4818">
            <v>69020</v>
          </cell>
          <cell r="B4818">
            <v>1</v>
          </cell>
          <cell r="C4818" t="str">
            <v>1|14101|30</v>
          </cell>
          <cell r="D4818" t="str">
            <v>通关鹰愁涧第十关</v>
          </cell>
          <cell r="E4818" t="str">
            <v>1|14101|30|1</v>
          </cell>
        </row>
        <row r="4819">
          <cell r="A4819">
            <v>69021</v>
          </cell>
          <cell r="B4819">
            <v>1</v>
          </cell>
          <cell r="C4819" t="str">
            <v>1|14101|35</v>
          </cell>
          <cell r="D4819" t="str">
            <v>通关高老庄第十关</v>
          </cell>
          <cell r="E4819" t="str">
            <v>1|14101|35|1</v>
          </cell>
        </row>
        <row r="4820">
          <cell r="A4820">
            <v>69022</v>
          </cell>
          <cell r="B4820">
            <v>1</v>
          </cell>
          <cell r="C4820" t="str">
            <v>1|14101|40</v>
          </cell>
          <cell r="D4820" t="str">
            <v>通关流沙河第十关</v>
          </cell>
          <cell r="E4820" t="str">
            <v>1|14101|40|1</v>
          </cell>
        </row>
        <row r="4821">
          <cell r="A4821">
            <v>69023</v>
          </cell>
          <cell r="B4821">
            <v>1</v>
          </cell>
          <cell r="C4821" t="str">
            <v>4|4|200</v>
          </cell>
          <cell r="D4821" t="str">
            <v>通关精英花果山第六关</v>
          </cell>
          <cell r="E4821" t="str">
            <v>4|4|200|1</v>
          </cell>
        </row>
        <row r="4822">
          <cell r="A4822">
            <v>69024</v>
          </cell>
          <cell r="B4822">
            <v>1</v>
          </cell>
          <cell r="C4822" t="str">
            <v>4|4|300</v>
          </cell>
          <cell r="D4822" t="str">
            <v>通关精英东海龙宫第三关</v>
          </cell>
          <cell r="E4822" t="str">
            <v>4|4|300|1</v>
          </cell>
        </row>
        <row r="4823">
          <cell r="A4823">
            <v>69025</v>
          </cell>
          <cell r="B4823">
            <v>1</v>
          </cell>
          <cell r="C4823" t="str">
            <v>4|4|400</v>
          </cell>
          <cell r="D4823" t="str">
            <v>通关精英东海龙宫第十关</v>
          </cell>
          <cell r="E4823" t="str">
            <v>4|4|400|1</v>
          </cell>
        </row>
        <row r="4824">
          <cell r="A4824">
            <v>69026</v>
          </cell>
          <cell r="B4824">
            <v>1</v>
          </cell>
          <cell r="C4824" t="str">
            <v>4|4|500</v>
          </cell>
          <cell r="D4824" t="str">
            <v>通关精英阴曹地府第十关</v>
          </cell>
          <cell r="E4824" t="str">
            <v>4|4|500|1</v>
          </cell>
        </row>
        <row r="4825">
          <cell r="A4825">
            <v>69027</v>
          </cell>
          <cell r="B4825">
            <v>1</v>
          </cell>
          <cell r="C4825" t="str">
            <v>4|4|600</v>
          </cell>
          <cell r="D4825" t="str">
            <v>通关精英天宫第十关</v>
          </cell>
          <cell r="E4825" t="str">
            <v>4|4|600|1</v>
          </cell>
        </row>
        <row r="4826">
          <cell r="A4826">
            <v>69028</v>
          </cell>
          <cell r="B4826">
            <v>1</v>
          </cell>
          <cell r="C4826" t="str">
            <v>4|4|700</v>
          </cell>
          <cell r="D4826" t="str">
            <v>通关精英鹰愁涧第十关</v>
          </cell>
          <cell r="E4826" t="str">
            <v>4|4|700|1</v>
          </cell>
        </row>
        <row r="4827">
          <cell r="A4827">
            <v>69029</v>
          </cell>
          <cell r="B4827">
            <v>1</v>
          </cell>
          <cell r="C4827" t="str">
            <v>4|4|800</v>
          </cell>
          <cell r="D4827" t="str">
            <v>通关精英高老庄第十关</v>
          </cell>
          <cell r="E4827" t="str">
            <v>4|4|800|1</v>
          </cell>
        </row>
        <row r="4828">
          <cell r="A4828">
            <v>69030</v>
          </cell>
          <cell r="B4828">
            <v>1</v>
          </cell>
          <cell r="C4828" t="str">
            <v>4|4|1000</v>
          </cell>
          <cell r="D4828" t="str">
            <v>通关精英流沙河第十关</v>
          </cell>
          <cell r="E4828" t="str">
            <v>4|4|1000|1</v>
          </cell>
        </row>
        <row r="4829">
          <cell r="A4829">
            <v>69031</v>
          </cell>
          <cell r="B4829">
            <v>1</v>
          </cell>
          <cell r="C4829" t="str">
            <v>1|14305|2</v>
          </cell>
          <cell r="D4829" t="str">
            <v>抢夺法宝10次</v>
          </cell>
          <cell r="E4829" t="str">
            <v>1|14305|2|1</v>
          </cell>
        </row>
        <row r="4830">
          <cell r="A4830">
            <v>69032</v>
          </cell>
          <cell r="B4830">
            <v>1</v>
          </cell>
          <cell r="C4830" t="str">
            <v>1|14305|4</v>
          </cell>
          <cell r="D4830" t="str">
            <v>抢夺法宝20次</v>
          </cell>
          <cell r="E4830" t="str">
            <v>1|14305|4|1</v>
          </cell>
        </row>
        <row r="4831">
          <cell r="A4831">
            <v>69033</v>
          </cell>
          <cell r="B4831">
            <v>1</v>
          </cell>
          <cell r="C4831" t="str">
            <v>1|14305|6</v>
          </cell>
          <cell r="D4831" t="str">
            <v>抢夺法宝30次</v>
          </cell>
          <cell r="E4831" t="str">
            <v>1|14305|6|1</v>
          </cell>
        </row>
        <row r="4832">
          <cell r="A4832">
            <v>69034</v>
          </cell>
          <cell r="B4832">
            <v>1</v>
          </cell>
          <cell r="C4832" t="str">
            <v>1|14305|8</v>
          </cell>
          <cell r="D4832" t="str">
            <v>抢夺法宝50次</v>
          </cell>
          <cell r="E4832" t="str">
            <v>1|14305|8|1</v>
          </cell>
        </row>
        <row r="4833">
          <cell r="A4833">
            <v>69035</v>
          </cell>
          <cell r="B4833">
            <v>1</v>
          </cell>
          <cell r="C4833" t="str">
            <v>1|14306|2</v>
          </cell>
          <cell r="D4833" t="str">
            <v>抢夺法宝80次</v>
          </cell>
          <cell r="E4833" t="str">
            <v>1|14306|2|1</v>
          </cell>
        </row>
        <row r="4834">
          <cell r="A4834">
            <v>69036</v>
          </cell>
          <cell r="B4834">
            <v>1</v>
          </cell>
          <cell r="C4834" t="str">
            <v>1|14306|4</v>
          </cell>
          <cell r="D4834" t="str">
            <v>抢夺法宝120次</v>
          </cell>
          <cell r="E4834" t="str">
            <v>1|14306|4|1</v>
          </cell>
        </row>
        <row r="4835">
          <cell r="A4835">
            <v>69037</v>
          </cell>
          <cell r="B4835">
            <v>1</v>
          </cell>
          <cell r="C4835" t="str">
            <v>1|14306|6</v>
          </cell>
          <cell r="D4835" t="str">
            <v>抢夺法宝180次</v>
          </cell>
          <cell r="E4835" t="str">
            <v>1|14306|6|1</v>
          </cell>
        </row>
        <row r="4836">
          <cell r="A4836">
            <v>69038</v>
          </cell>
          <cell r="B4836">
            <v>1</v>
          </cell>
          <cell r="C4836" t="str">
            <v>1|14306|8</v>
          </cell>
          <cell r="D4836" t="str">
            <v>抢夺法宝250次</v>
          </cell>
          <cell r="E4836" t="str">
            <v>1|14306|8|1</v>
          </cell>
        </row>
        <row r="4837">
          <cell r="A4837">
            <v>69039</v>
          </cell>
          <cell r="B4837">
            <v>1</v>
          </cell>
          <cell r="C4837" t="str">
            <v>6|4502|1</v>
          </cell>
          <cell r="D4837" t="str">
            <v>法宝合成5次</v>
          </cell>
          <cell r="E4837" t="str">
            <v>6|4502|1|1</v>
          </cell>
        </row>
        <row r="4838">
          <cell r="A4838">
            <v>69040</v>
          </cell>
          <cell r="B4838">
            <v>1</v>
          </cell>
          <cell r="C4838" t="str">
            <v>6|4502|2</v>
          </cell>
          <cell r="D4838" t="str">
            <v>法宝合成10次</v>
          </cell>
          <cell r="E4838" t="str">
            <v>6|4502|2|1</v>
          </cell>
        </row>
        <row r="4839">
          <cell r="A4839">
            <v>69041</v>
          </cell>
          <cell r="B4839">
            <v>1</v>
          </cell>
          <cell r="C4839" t="str">
            <v>6|4502|3</v>
          </cell>
          <cell r="D4839" t="str">
            <v>法宝合成20次</v>
          </cell>
          <cell r="E4839" t="str">
            <v>6|4502|3|1</v>
          </cell>
        </row>
        <row r="4840">
          <cell r="A4840">
            <v>69042</v>
          </cell>
          <cell r="B4840">
            <v>1</v>
          </cell>
          <cell r="C4840" t="str">
            <v>6|4502|4</v>
          </cell>
          <cell r="D4840" t="str">
            <v>法宝合成30次</v>
          </cell>
          <cell r="E4840" t="str">
            <v>6|4502|4|1</v>
          </cell>
        </row>
        <row r="4841">
          <cell r="A4841">
            <v>69043</v>
          </cell>
          <cell r="B4841">
            <v>1</v>
          </cell>
          <cell r="C4841" t="str">
            <v>6|4502|5</v>
          </cell>
          <cell r="D4841" t="str">
            <v>法宝合成50次</v>
          </cell>
          <cell r="E4841" t="str">
            <v>6|4502|5|1</v>
          </cell>
        </row>
        <row r="4842">
          <cell r="A4842">
            <v>69044</v>
          </cell>
          <cell r="B4842">
            <v>1</v>
          </cell>
          <cell r="C4842" t="str">
            <v>6|4502|6</v>
          </cell>
          <cell r="D4842" t="str">
            <v>法宝合成70次</v>
          </cell>
          <cell r="E4842" t="str">
            <v>6|4502|6|1</v>
          </cell>
        </row>
        <row r="4843">
          <cell r="A4843">
            <v>69045</v>
          </cell>
          <cell r="B4843">
            <v>1</v>
          </cell>
          <cell r="C4843" t="str">
            <v>6|4502|7</v>
          </cell>
          <cell r="D4843" t="str">
            <v>法宝合成100次</v>
          </cell>
          <cell r="E4843" t="str">
            <v>6|4502|7|1</v>
          </cell>
        </row>
        <row r="4844">
          <cell r="A4844">
            <v>69046</v>
          </cell>
          <cell r="B4844">
            <v>1</v>
          </cell>
          <cell r="C4844" t="str">
            <v>4|3|200</v>
          </cell>
          <cell r="D4844" t="str">
            <v>大雁塔15层</v>
          </cell>
          <cell r="E4844" t="str">
            <v>4|3|200|1</v>
          </cell>
        </row>
        <row r="4845">
          <cell r="A4845">
            <v>69047</v>
          </cell>
          <cell r="B4845">
            <v>1</v>
          </cell>
          <cell r="C4845" t="str">
            <v>4|3|300</v>
          </cell>
          <cell r="D4845" t="str">
            <v>大雁塔25层</v>
          </cell>
          <cell r="E4845" t="str">
            <v>4|3|300|1</v>
          </cell>
        </row>
        <row r="4846">
          <cell r="A4846">
            <v>69048</v>
          </cell>
          <cell r="B4846">
            <v>1</v>
          </cell>
          <cell r="C4846" t="str">
            <v>4|3|400</v>
          </cell>
          <cell r="D4846" t="str">
            <v>大雁塔35层</v>
          </cell>
          <cell r="E4846" t="str">
            <v>4|3|400|1</v>
          </cell>
        </row>
        <row r="4847">
          <cell r="A4847">
            <v>69049</v>
          </cell>
          <cell r="B4847">
            <v>1</v>
          </cell>
          <cell r="C4847" t="str">
            <v>4|3|500</v>
          </cell>
          <cell r="D4847" t="str">
            <v>大雁塔40层</v>
          </cell>
          <cell r="E4847" t="str">
            <v>4|3|500|1</v>
          </cell>
        </row>
        <row r="4848">
          <cell r="A4848">
            <v>69050</v>
          </cell>
          <cell r="B4848">
            <v>1</v>
          </cell>
          <cell r="C4848" t="str">
            <v>4|3|600</v>
          </cell>
          <cell r="D4848" t="str">
            <v>大雁塔45层</v>
          </cell>
          <cell r="E4848" t="str">
            <v>4|3|600|1</v>
          </cell>
        </row>
        <row r="4849">
          <cell r="A4849">
            <v>69051</v>
          </cell>
          <cell r="B4849">
            <v>1</v>
          </cell>
          <cell r="C4849" t="str">
            <v>4|3|800</v>
          </cell>
          <cell r="D4849" t="str">
            <v>大雁塔50层</v>
          </cell>
          <cell r="E4849" t="str">
            <v>4|3|800|1</v>
          </cell>
        </row>
        <row r="4850">
          <cell r="A4850">
            <v>69052</v>
          </cell>
          <cell r="B4850">
            <v>1</v>
          </cell>
          <cell r="C4850" t="str">
            <v>4|3|1000</v>
          </cell>
          <cell r="D4850" t="str">
            <v>大雁塔60层</v>
          </cell>
          <cell r="E4850" t="str">
            <v>4|3|1000|1</v>
          </cell>
        </row>
        <row r="4851">
          <cell r="A4851">
            <v>69053</v>
          </cell>
          <cell r="B4851">
            <v>1</v>
          </cell>
          <cell r="C4851" t="str">
            <v>4|2|1000</v>
          </cell>
          <cell r="D4851" t="str">
            <v>战斗力100000</v>
          </cell>
          <cell r="E4851" t="str">
            <v>4|2|1000|1</v>
          </cell>
        </row>
        <row r="4852">
          <cell r="A4852">
            <v>69054</v>
          </cell>
          <cell r="B4852">
            <v>1</v>
          </cell>
          <cell r="C4852" t="str">
            <v>4|2|1500</v>
          </cell>
          <cell r="D4852" t="str">
            <v>战斗力200000</v>
          </cell>
          <cell r="E4852" t="str">
            <v>4|2|1500|1</v>
          </cell>
        </row>
        <row r="4853">
          <cell r="A4853">
            <v>69055</v>
          </cell>
          <cell r="B4853">
            <v>1</v>
          </cell>
          <cell r="C4853" t="str">
            <v>4|2|2000</v>
          </cell>
          <cell r="D4853" t="str">
            <v>战斗力300000</v>
          </cell>
          <cell r="E4853" t="str">
            <v>4|2|2000|1</v>
          </cell>
        </row>
        <row r="4854">
          <cell r="A4854">
            <v>69056</v>
          </cell>
          <cell r="B4854">
            <v>1</v>
          </cell>
          <cell r="C4854" t="str">
            <v>4|2|2500</v>
          </cell>
          <cell r="D4854" t="str">
            <v>战斗力400000</v>
          </cell>
          <cell r="E4854" t="str">
            <v>4|2|2500|1</v>
          </cell>
        </row>
        <row r="4855">
          <cell r="A4855">
            <v>69057</v>
          </cell>
          <cell r="B4855">
            <v>1</v>
          </cell>
          <cell r="C4855" t="str">
            <v>4|2|3000</v>
          </cell>
          <cell r="D4855" t="str">
            <v>战斗力500000</v>
          </cell>
          <cell r="E4855" t="str">
            <v>4|2|3000|1</v>
          </cell>
        </row>
        <row r="4856">
          <cell r="A4856">
            <v>69058</v>
          </cell>
          <cell r="B4856">
            <v>1</v>
          </cell>
          <cell r="C4856" t="str">
            <v>4|2|3500</v>
          </cell>
          <cell r="D4856" t="str">
            <v>战斗力700000</v>
          </cell>
          <cell r="E4856" t="str">
            <v>4|2|3500|1</v>
          </cell>
        </row>
        <row r="4857">
          <cell r="A4857">
            <v>69059</v>
          </cell>
          <cell r="B4857">
            <v>1</v>
          </cell>
          <cell r="C4857" t="str">
            <v>4|2|4000</v>
          </cell>
          <cell r="D4857" t="str">
            <v>战斗力1000000</v>
          </cell>
          <cell r="E4857" t="str">
            <v>4|2|4000|1</v>
          </cell>
        </row>
        <row r="4858">
          <cell r="A4858">
            <v>69060</v>
          </cell>
          <cell r="B4858">
            <v>1</v>
          </cell>
          <cell r="C4858" t="str">
            <v>1|14203|10</v>
          </cell>
          <cell r="D4858" t="str">
            <v>普通关卡45星</v>
          </cell>
          <cell r="E4858" t="str">
            <v>1|14203|10|1</v>
          </cell>
        </row>
        <row r="4859">
          <cell r="A4859">
            <v>69061</v>
          </cell>
          <cell r="B4859">
            <v>1</v>
          </cell>
          <cell r="C4859" t="str">
            <v>1|14203|20</v>
          </cell>
          <cell r="D4859" t="str">
            <v>普通关卡90星</v>
          </cell>
          <cell r="E4859" t="str">
            <v>1|14203|20|1</v>
          </cell>
        </row>
        <row r="4860">
          <cell r="A4860">
            <v>69062</v>
          </cell>
          <cell r="B4860">
            <v>1</v>
          </cell>
          <cell r="C4860" t="str">
            <v>1|14203|30</v>
          </cell>
          <cell r="D4860" t="str">
            <v>普通关卡120星</v>
          </cell>
          <cell r="E4860" t="str">
            <v>1|14203|30|1</v>
          </cell>
        </row>
        <row r="4861">
          <cell r="A4861">
            <v>69063</v>
          </cell>
          <cell r="B4861">
            <v>1</v>
          </cell>
          <cell r="C4861" t="str">
            <v>1|14204|10</v>
          </cell>
          <cell r="D4861" t="str">
            <v>普通关卡150星</v>
          </cell>
          <cell r="E4861" t="str">
            <v>1|14204|10|1</v>
          </cell>
        </row>
        <row r="4862">
          <cell r="A4862">
            <v>69064</v>
          </cell>
          <cell r="B4862">
            <v>1</v>
          </cell>
          <cell r="C4862" t="str">
            <v>1|14204|20</v>
          </cell>
          <cell r="D4862" t="str">
            <v>普通关卡180星</v>
          </cell>
          <cell r="E4862" t="str">
            <v>1|14204|20|1</v>
          </cell>
        </row>
        <row r="4863">
          <cell r="A4863">
            <v>69065</v>
          </cell>
          <cell r="B4863">
            <v>1</v>
          </cell>
          <cell r="C4863" t="str">
            <v>1|14204|30</v>
          </cell>
          <cell r="D4863" t="str">
            <v>普通关卡210星</v>
          </cell>
          <cell r="E4863" t="str">
            <v>1|14204|30|1</v>
          </cell>
        </row>
        <row r="4864">
          <cell r="A4864">
            <v>69066</v>
          </cell>
          <cell r="B4864">
            <v>1</v>
          </cell>
          <cell r="C4864" t="str">
            <v>4|5|300</v>
          </cell>
          <cell r="D4864" t="str">
            <v>灵台斗法挑战10次</v>
          </cell>
          <cell r="E4864" t="str">
            <v>4|5|300|1</v>
          </cell>
        </row>
        <row r="4865">
          <cell r="A4865">
            <v>69067</v>
          </cell>
          <cell r="B4865">
            <v>1</v>
          </cell>
          <cell r="C4865" t="str">
            <v>4|5|400</v>
          </cell>
          <cell r="D4865" t="str">
            <v>灵台斗法挑战20次</v>
          </cell>
          <cell r="E4865" t="str">
            <v>4|5|400|1</v>
          </cell>
        </row>
        <row r="4866">
          <cell r="A4866">
            <v>69068</v>
          </cell>
          <cell r="B4866">
            <v>1</v>
          </cell>
          <cell r="C4866" t="str">
            <v>4|5|500</v>
          </cell>
          <cell r="D4866" t="str">
            <v>灵台斗法挑战30次</v>
          </cell>
          <cell r="E4866" t="str">
            <v>4|5|500|1</v>
          </cell>
        </row>
        <row r="4867">
          <cell r="A4867">
            <v>69069</v>
          </cell>
          <cell r="B4867">
            <v>1</v>
          </cell>
          <cell r="C4867" t="str">
            <v>4|5|600</v>
          </cell>
          <cell r="D4867" t="str">
            <v>灵台斗法挑战40次</v>
          </cell>
          <cell r="E4867" t="str">
            <v>4|5|600|1</v>
          </cell>
        </row>
        <row r="4868">
          <cell r="A4868">
            <v>69070</v>
          </cell>
          <cell r="B4868">
            <v>1</v>
          </cell>
          <cell r="C4868" t="str">
            <v>4|5|700</v>
          </cell>
          <cell r="D4868" t="str">
            <v>灵台斗法挑战50次</v>
          </cell>
          <cell r="E4868" t="str">
            <v>4|5|700|1</v>
          </cell>
        </row>
        <row r="4869">
          <cell r="A4869">
            <v>69071</v>
          </cell>
          <cell r="B4869">
            <v>1</v>
          </cell>
          <cell r="C4869" t="str">
            <v>4|5|800</v>
          </cell>
          <cell r="D4869" t="str">
            <v>灵台斗法挑战60次</v>
          </cell>
          <cell r="E4869" t="str">
            <v>4|5|800|1</v>
          </cell>
        </row>
        <row r="4870">
          <cell r="A4870">
            <v>69072</v>
          </cell>
          <cell r="B4870">
            <v>1</v>
          </cell>
          <cell r="C4870" t="str">
            <v>4|5|1000</v>
          </cell>
          <cell r="D4870" t="str">
            <v>灵台斗法挑战70次</v>
          </cell>
          <cell r="E4870" t="str">
            <v>4|5|1000|1</v>
          </cell>
        </row>
        <row r="4871">
          <cell r="A4871">
            <v>69073</v>
          </cell>
          <cell r="B4871">
            <v>1</v>
          </cell>
          <cell r="C4871" t="str">
            <v>4|1|100000</v>
          </cell>
          <cell r="D4871" t="str">
            <v>灵台斗法1500名</v>
          </cell>
          <cell r="E4871" t="str">
            <v>4|1|100000|1</v>
          </cell>
        </row>
        <row r="4872">
          <cell r="A4872">
            <v>69074</v>
          </cell>
          <cell r="B4872">
            <v>1</v>
          </cell>
          <cell r="C4872" t="str">
            <v>4|1|150000</v>
          </cell>
          <cell r="D4872" t="str">
            <v>灵台斗法1000名</v>
          </cell>
          <cell r="E4872" t="str">
            <v>4|1|150000|1</v>
          </cell>
        </row>
        <row r="4873">
          <cell r="A4873">
            <v>69075</v>
          </cell>
          <cell r="B4873">
            <v>1</v>
          </cell>
          <cell r="C4873" t="str">
            <v>4|1|200000</v>
          </cell>
          <cell r="D4873" t="str">
            <v>灵台斗法500名</v>
          </cell>
          <cell r="E4873" t="str">
            <v>4|1|200000|1</v>
          </cell>
        </row>
        <row r="4874">
          <cell r="A4874">
            <v>69076</v>
          </cell>
          <cell r="B4874">
            <v>1</v>
          </cell>
          <cell r="C4874" t="str">
            <v>4|1|250000</v>
          </cell>
          <cell r="D4874" t="str">
            <v>灵台斗法100名</v>
          </cell>
          <cell r="E4874" t="str">
            <v>4|1|250000|1</v>
          </cell>
        </row>
        <row r="4875">
          <cell r="A4875">
            <v>69077</v>
          </cell>
          <cell r="B4875">
            <v>1</v>
          </cell>
          <cell r="C4875" t="str">
            <v>4|1|300000</v>
          </cell>
          <cell r="D4875" t="str">
            <v>灵台斗法30名</v>
          </cell>
          <cell r="E4875" t="str">
            <v>4|1|300000|1</v>
          </cell>
        </row>
        <row r="4876">
          <cell r="A4876">
            <v>69078</v>
          </cell>
          <cell r="B4876">
            <v>1</v>
          </cell>
          <cell r="C4876" t="str">
            <v>4|1|400000</v>
          </cell>
          <cell r="D4876" t="str">
            <v>灵台斗法10名</v>
          </cell>
          <cell r="E4876" t="str">
            <v>4|1|400000|1</v>
          </cell>
        </row>
        <row r="4877">
          <cell r="A4877">
            <v>69079</v>
          </cell>
          <cell r="B4877">
            <v>1</v>
          </cell>
          <cell r="C4877" t="str">
            <v>4|1|500000</v>
          </cell>
          <cell r="D4877" t="str">
            <v>灵台斗法3名</v>
          </cell>
          <cell r="E4877" t="str">
            <v>4|1|500000|1</v>
          </cell>
        </row>
        <row r="4878">
          <cell r="A4878">
            <v>69080</v>
          </cell>
          <cell r="B4878">
            <v>1</v>
          </cell>
          <cell r="C4878" t="str">
            <v>4|1|700000</v>
          </cell>
          <cell r="D4878" t="str">
            <v>灵台斗法1名</v>
          </cell>
          <cell r="E4878" t="str">
            <v>4|1|700000|1</v>
          </cell>
        </row>
        <row r="4879">
          <cell r="A4879">
            <v>69081</v>
          </cell>
          <cell r="B4879">
            <v>1</v>
          </cell>
          <cell r="C4879" t="str">
            <v>1|14107|100</v>
          </cell>
          <cell r="D4879" t="str">
            <v>上阵所有伙伴等级达到30</v>
          </cell>
          <cell r="E4879" t="str">
            <v>1|14107|100|1</v>
          </cell>
        </row>
        <row r="4880">
          <cell r="A4880">
            <v>69082</v>
          </cell>
          <cell r="B4880">
            <v>1</v>
          </cell>
          <cell r="C4880" t="str">
            <v>1|14107|150</v>
          </cell>
          <cell r="D4880" t="str">
            <v>上阵所有伙伴等级达到35</v>
          </cell>
          <cell r="E4880" t="str">
            <v>1|14107|150|1</v>
          </cell>
        </row>
        <row r="4881">
          <cell r="A4881">
            <v>69083</v>
          </cell>
          <cell r="B4881">
            <v>1</v>
          </cell>
          <cell r="C4881" t="str">
            <v>1|14107|200</v>
          </cell>
          <cell r="D4881" t="str">
            <v>上阵所有伙伴等级达到40</v>
          </cell>
          <cell r="E4881" t="str">
            <v>1|14107|200|1</v>
          </cell>
        </row>
        <row r="4882">
          <cell r="A4882">
            <v>69084</v>
          </cell>
          <cell r="B4882">
            <v>1</v>
          </cell>
          <cell r="C4882" t="str">
            <v>1|14107|300</v>
          </cell>
          <cell r="D4882" t="str">
            <v>上阵所有伙伴等级达到43</v>
          </cell>
          <cell r="E4882" t="str">
            <v>1|14107|300|1</v>
          </cell>
        </row>
        <row r="4883">
          <cell r="A4883">
            <v>69085</v>
          </cell>
          <cell r="B4883">
            <v>1</v>
          </cell>
          <cell r="C4883" t="str">
            <v>1|14107|400</v>
          </cell>
          <cell r="D4883" t="str">
            <v>上阵所有伙伴等级达到45</v>
          </cell>
          <cell r="E4883" t="str">
            <v>1|14107|400|1</v>
          </cell>
        </row>
        <row r="4884">
          <cell r="A4884">
            <v>69086</v>
          </cell>
          <cell r="B4884">
            <v>1</v>
          </cell>
          <cell r="C4884" t="str">
            <v>1|14107|500</v>
          </cell>
          <cell r="D4884" t="str">
            <v>上阵所有伙伴等级达到48</v>
          </cell>
          <cell r="E4884" t="str">
            <v>1|14107|500|1</v>
          </cell>
        </row>
        <row r="4885">
          <cell r="A4885">
            <v>69087</v>
          </cell>
          <cell r="B4885">
            <v>1</v>
          </cell>
          <cell r="C4885" t="str">
            <v>1|14107|600</v>
          </cell>
          <cell r="D4885" t="str">
            <v>上阵所有伙伴等级达到51</v>
          </cell>
          <cell r="E4885" t="str">
            <v>1|14107|600|1</v>
          </cell>
        </row>
        <row r="4886">
          <cell r="A4886">
            <v>69088</v>
          </cell>
          <cell r="B4886">
            <v>1</v>
          </cell>
          <cell r="C4886" t="str">
            <v>1|14107|700</v>
          </cell>
          <cell r="D4886" t="str">
            <v>上阵所有伙伴等级达到53</v>
          </cell>
          <cell r="E4886" t="str">
            <v>1|14107|700|1</v>
          </cell>
        </row>
        <row r="4887">
          <cell r="A4887">
            <v>69089</v>
          </cell>
          <cell r="B4887">
            <v>1</v>
          </cell>
          <cell r="C4887" t="str">
            <v>4|2|500</v>
          </cell>
          <cell r="D4887" t="str">
            <v>主角等级达到42</v>
          </cell>
          <cell r="E4887" t="str">
            <v>4|2|500|1</v>
          </cell>
        </row>
        <row r="4888">
          <cell r="A4888">
            <v>69090</v>
          </cell>
          <cell r="B4888">
            <v>1</v>
          </cell>
          <cell r="C4888" t="str">
            <v>4|2|750</v>
          </cell>
          <cell r="D4888" t="str">
            <v>主角等级达到44</v>
          </cell>
          <cell r="E4888" t="str">
            <v>4|2|750|1</v>
          </cell>
        </row>
        <row r="4889">
          <cell r="A4889">
            <v>69091</v>
          </cell>
          <cell r="B4889">
            <v>1</v>
          </cell>
          <cell r="C4889" t="str">
            <v>4|2|1000</v>
          </cell>
          <cell r="D4889" t="str">
            <v>主角等级达到46</v>
          </cell>
          <cell r="E4889" t="str">
            <v>4|2|1000|1</v>
          </cell>
        </row>
        <row r="4890">
          <cell r="A4890">
            <v>69092</v>
          </cell>
          <cell r="B4890">
            <v>1</v>
          </cell>
          <cell r="C4890" t="str">
            <v>4|2|1250</v>
          </cell>
          <cell r="D4890" t="str">
            <v>主角等级达到48</v>
          </cell>
          <cell r="E4890" t="str">
            <v>4|2|1250|1</v>
          </cell>
        </row>
        <row r="4891">
          <cell r="A4891">
            <v>69093</v>
          </cell>
          <cell r="B4891">
            <v>1</v>
          </cell>
          <cell r="C4891" t="str">
            <v>4|2|1750</v>
          </cell>
          <cell r="D4891" t="str">
            <v>主角等级达到51</v>
          </cell>
          <cell r="E4891" t="str">
            <v>4|2|1750|1</v>
          </cell>
        </row>
        <row r="4892">
          <cell r="A4892">
            <v>69094</v>
          </cell>
          <cell r="B4892">
            <v>1</v>
          </cell>
          <cell r="C4892" t="str">
            <v>4|2|2250</v>
          </cell>
          <cell r="D4892" t="str">
            <v>主角等级达到53</v>
          </cell>
          <cell r="E4892" t="str">
            <v>4|2|2250|1</v>
          </cell>
        </row>
        <row r="4893">
          <cell r="A4893">
            <v>69095</v>
          </cell>
          <cell r="B4893">
            <v>1</v>
          </cell>
          <cell r="C4893" t="str">
            <v>4|2|2750</v>
          </cell>
          <cell r="D4893" t="str">
            <v>主角等级达到55</v>
          </cell>
          <cell r="E4893" t="str">
            <v>4|2|2750|1</v>
          </cell>
        </row>
        <row r="4894">
          <cell r="A4894">
            <v>69096</v>
          </cell>
          <cell r="B4894">
            <v>1</v>
          </cell>
          <cell r="C4894" t="str">
            <v>1|14108|5</v>
          </cell>
          <cell r="D4894" t="str">
            <v>法宝强化3次</v>
          </cell>
          <cell r="E4894" t="str">
            <v>1|14108|5|1</v>
          </cell>
        </row>
        <row r="4895">
          <cell r="A4895">
            <v>69097</v>
          </cell>
          <cell r="B4895">
            <v>1</v>
          </cell>
          <cell r="C4895" t="str">
            <v>1|14108|10</v>
          </cell>
          <cell r="D4895" t="str">
            <v>法宝强化5次</v>
          </cell>
          <cell r="E4895" t="str">
            <v>1|14108|10|1</v>
          </cell>
        </row>
        <row r="4896">
          <cell r="A4896">
            <v>69098</v>
          </cell>
          <cell r="B4896">
            <v>1</v>
          </cell>
          <cell r="C4896" t="str">
            <v>1|14108|15</v>
          </cell>
          <cell r="D4896" t="str">
            <v>法宝强化8次</v>
          </cell>
          <cell r="E4896" t="str">
            <v>1|14108|15|1</v>
          </cell>
        </row>
        <row r="4897">
          <cell r="A4897">
            <v>69099</v>
          </cell>
          <cell r="B4897">
            <v>1</v>
          </cell>
          <cell r="C4897" t="str">
            <v>1|14108|20</v>
          </cell>
          <cell r="D4897" t="str">
            <v>法宝强化12次</v>
          </cell>
          <cell r="E4897" t="str">
            <v>1|14108|20|1</v>
          </cell>
        </row>
        <row r="4898">
          <cell r="A4898">
            <v>69100</v>
          </cell>
          <cell r="B4898">
            <v>1</v>
          </cell>
          <cell r="C4898" t="str">
            <v>1|14108|25</v>
          </cell>
          <cell r="D4898" t="str">
            <v>法宝强化16次</v>
          </cell>
          <cell r="E4898" t="str">
            <v>1|14108|25|1</v>
          </cell>
        </row>
        <row r="4899">
          <cell r="A4899">
            <v>69101</v>
          </cell>
          <cell r="B4899">
            <v>1</v>
          </cell>
          <cell r="C4899" t="str">
            <v>1|14108|30</v>
          </cell>
          <cell r="D4899" t="str">
            <v>法宝强化24次</v>
          </cell>
          <cell r="E4899" t="str">
            <v>1|14108|30|1</v>
          </cell>
        </row>
        <row r="4900">
          <cell r="A4900">
            <v>69102</v>
          </cell>
          <cell r="B4900">
            <v>1</v>
          </cell>
          <cell r="C4900" t="str">
            <v>1|14108|35</v>
          </cell>
          <cell r="D4900" t="str">
            <v>法宝强化32次</v>
          </cell>
          <cell r="E4900" t="str">
            <v>1|14108|35|1</v>
          </cell>
        </row>
        <row r="4901">
          <cell r="A4901">
            <v>69103</v>
          </cell>
          <cell r="B4901">
            <v>1</v>
          </cell>
          <cell r="C4901" t="str">
            <v>1|14108|40</v>
          </cell>
          <cell r="D4901" t="str">
            <v>法宝强化40次</v>
          </cell>
          <cell r="E4901" t="str">
            <v>1|14108|40|1</v>
          </cell>
        </row>
        <row r="4902">
          <cell r="A4902">
            <v>69104</v>
          </cell>
          <cell r="B4902">
            <v>1</v>
          </cell>
          <cell r="C4902" t="str">
            <v>1|14201|50</v>
          </cell>
          <cell r="D4902" t="str">
            <v>装备强化4次</v>
          </cell>
          <cell r="E4902" t="str">
            <v>1|14201|50|1</v>
          </cell>
        </row>
        <row r="4903">
          <cell r="A4903">
            <v>69105</v>
          </cell>
          <cell r="B4903">
            <v>1</v>
          </cell>
          <cell r="C4903" t="str">
            <v>1|14201|100</v>
          </cell>
          <cell r="D4903" t="str">
            <v>装备强化8次</v>
          </cell>
          <cell r="E4903" t="str">
            <v>1|14201|100|1</v>
          </cell>
        </row>
        <row r="4904">
          <cell r="A4904">
            <v>69106</v>
          </cell>
          <cell r="B4904">
            <v>1</v>
          </cell>
          <cell r="C4904" t="str">
            <v>1|14201|150</v>
          </cell>
          <cell r="D4904" t="str">
            <v>装备强化16次</v>
          </cell>
          <cell r="E4904" t="str">
            <v>1|14201|150|1</v>
          </cell>
        </row>
        <row r="4905">
          <cell r="A4905">
            <v>69107</v>
          </cell>
          <cell r="B4905">
            <v>1</v>
          </cell>
          <cell r="C4905" t="str">
            <v>1|14201|200</v>
          </cell>
          <cell r="D4905" t="str">
            <v>装备强化24次</v>
          </cell>
          <cell r="E4905" t="str">
            <v>1|14201|200|1</v>
          </cell>
        </row>
        <row r="4906">
          <cell r="A4906">
            <v>69108</v>
          </cell>
          <cell r="B4906">
            <v>1</v>
          </cell>
          <cell r="C4906" t="str">
            <v>1|14201|250</v>
          </cell>
          <cell r="D4906" t="str">
            <v>装备强化32次</v>
          </cell>
          <cell r="E4906" t="str">
            <v>1|14201|250|1</v>
          </cell>
        </row>
        <row r="4907">
          <cell r="A4907">
            <v>69109</v>
          </cell>
          <cell r="B4907">
            <v>1</v>
          </cell>
          <cell r="C4907" t="str">
            <v>1|14201|300</v>
          </cell>
          <cell r="D4907" t="str">
            <v>装备强化40次</v>
          </cell>
          <cell r="E4907" t="str">
            <v>1|14201|300|1</v>
          </cell>
        </row>
        <row r="4908">
          <cell r="A4908">
            <v>69110</v>
          </cell>
          <cell r="B4908">
            <v>1</v>
          </cell>
          <cell r="C4908" t="str">
            <v>1|14201|400</v>
          </cell>
          <cell r="D4908" t="str">
            <v>装备精炼48次</v>
          </cell>
          <cell r="E4908" t="str">
            <v>1|14201|400|1</v>
          </cell>
        </row>
        <row r="4909">
          <cell r="A4909">
            <v>69111</v>
          </cell>
          <cell r="B4909">
            <v>1</v>
          </cell>
          <cell r="C4909" t="str">
            <v>1|14201|500</v>
          </cell>
          <cell r="D4909" t="str">
            <v>装备精炼64次</v>
          </cell>
          <cell r="E4909" t="str">
            <v>1|14201|500|1</v>
          </cell>
        </row>
        <row r="4910">
          <cell r="A4910">
            <v>69112</v>
          </cell>
          <cell r="B4910">
            <v>1</v>
          </cell>
          <cell r="C4910" t="str">
            <v>4|2|1000</v>
          </cell>
          <cell r="D4910" t="str">
            <v>今日登录</v>
          </cell>
          <cell r="E4910" t="str">
            <v>4|2|1000|1</v>
          </cell>
        </row>
        <row r="4911">
          <cell r="A4911">
            <v>69113</v>
          </cell>
          <cell r="B4911">
            <v>1</v>
          </cell>
          <cell r="C4911" t="str">
            <v>4|2|1000</v>
          </cell>
          <cell r="D4911" t="str">
            <v>今日登录</v>
          </cell>
          <cell r="E4911" t="str">
            <v>4|2|1000|1</v>
          </cell>
        </row>
        <row r="4912">
          <cell r="A4912">
            <v>69114</v>
          </cell>
          <cell r="B4912">
            <v>1</v>
          </cell>
          <cell r="C4912" t="str">
            <v>4|2|1500</v>
          </cell>
          <cell r="D4912" t="str">
            <v>今日登录</v>
          </cell>
          <cell r="E4912" t="str">
            <v>4|2|1500|1</v>
          </cell>
        </row>
        <row r="4913">
          <cell r="A4913">
            <v>69115</v>
          </cell>
          <cell r="B4913">
            <v>1</v>
          </cell>
          <cell r="C4913" t="str">
            <v>4|2|1500</v>
          </cell>
          <cell r="D4913" t="str">
            <v>今日登录</v>
          </cell>
          <cell r="E4913" t="str">
            <v>4|2|1500|1</v>
          </cell>
        </row>
        <row r="4914">
          <cell r="A4914">
            <v>69116</v>
          </cell>
          <cell r="B4914">
            <v>1</v>
          </cell>
          <cell r="C4914" t="str">
            <v>4|2|2000</v>
          </cell>
          <cell r="D4914" t="str">
            <v>今日登录</v>
          </cell>
          <cell r="E4914" t="str">
            <v>4|2|2000|1</v>
          </cell>
        </row>
        <row r="4915">
          <cell r="A4915">
            <v>69117</v>
          </cell>
          <cell r="B4915">
            <v>1</v>
          </cell>
          <cell r="C4915" t="str">
            <v>4|2|2000</v>
          </cell>
          <cell r="D4915" t="str">
            <v>今日登录</v>
          </cell>
          <cell r="E4915" t="str">
            <v>4|2|2000|1</v>
          </cell>
        </row>
        <row r="4916">
          <cell r="A4916">
            <v>69118</v>
          </cell>
          <cell r="B4916">
            <v>1</v>
          </cell>
          <cell r="C4916" t="str">
            <v>4|2|3000</v>
          </cell>
          <cell r="D4916" t="str">
            <v>今日登录</v>
          </cell>
          <cell r="E4916" t="str">
            <v>4|2|3000|1</v>
          </cell>
        </row>
        <row r="4917">
          <cell r="A4917">
            <v>69119</v>
          </cell>
          <cell r="B4917">
            <v>1</v>
          </cell>
          <cell r="C4917" t="str">
            <v>4|1|50000</v>
          </cell>
          <cell r="D4917" t="str">
            <v>今日登录</v>
          </cell>
          <cell r="E4917" t="str">
            <v>4|1|50000|1</v>
          </cell>
        </row>
        <row r="4918">
          <cell r="A4918">
            <v>69120</v>
          </cell>
          <cell r="B4918">
            <v>1</v>
          </cell>
          <cell r="C4918" t="str">
            <v>4|1|50000</v>
          </cell>
          <cell r="D4918" t="str">
            <v>主角等级</v>
          </cell>
          <cell r="E4918" t="str">
            <v>4|1|50000|1</v>
          </cell>
        </row>
        <row r="4919">
          <cell r="A4919">
            <v>69121</v>
          </cell>
          <cell r="B4919">
            <v>1</v>
          </cell>
          <cell r="C4919" t="str">
            <v>4|1|80000</v>
          </cell>
          <cell r="D4919" t="str">
            <v>今日登录</v>
          </cell>
          <cell r="E4919" t="str">
            <v>4|1|80000|1</v>
          </cell>
        </row>
        <row r="4920">
          <cell r="A4920">
            <v>69122</v>
          </cell>
          <cell r="B4920">
            <v>1</v>
          </cell>
          <cell r="C4920" t="str">
            <v>1|14102|20</v>
          </cell>
          <cell r="D4920" t="str">
            <v>主角等级</v>
          </cell>
          <cell r="E4920" t="str">
            <v>1|14102|20|1</v>
          </cell>
        </row>
        <row r="4921">
          <cell r="A4921">
            <v>69123</v>
          </cell>
          <cell r="B4921">
            <v>1</v>
          </cell>
          <cell r="C4921" t="str">
            <v>1|14306|2</v>
          </cell>
          <cell r="D4921" t="str">
            <v>今日登录</v>
          </cell>
          <cell r="E4921" t="str">
            <v>1|14306|2|1</v>
          </cell>
        </row>
        <row r="4922">
          <cell r="A4922">
            <v>69124</v>
          </cell>
          <cell r="B4922">
            <v>1</v>
          </cell>
          <cell r="C4922" t="str">
            <v>1|14108|5</v>
          </cell>
          <cell r="D4922" t="str">
            <v>主角等级</v>
          </cell>
          <cell r="E4922" t="str">
            <v>1|14108|5|1</v>
          </cell>
        </row>
        <row r="4923">
          <cell r="A4923">
            <v>69125</v>
          </cell>
          <cell r="B4923">
            <v>1</v>
          </cell>
          <cell r="C4923" t="str">
            <v>1|14104|100</v>
          </cell>
          <cell r="D4923" t="str">
            <v>今日登录</v>
          </cell>
          <cell r="E4923" t="str">
            <v>1|14104|100|1</v>
          </cell>
        </row>
        <row r="4924">
          <cell r="A4924">
            <v>69126</v>
          </cell>
          <cell r="B4924">
            <v>1</v>
          </cell>
          <cell r="C4924" t="str">
            <v>1|14107|150</v>
          </cell>
          <cell r="D4924" t="str">
            <v>主角等级</v>
          </cell>
          <cell r="E4924" t="str">
            <v>1|14107|150|1</v>
          </cell>
        </row>
        <row r="4925">
          <cell r="A4925">
            <v>69127</v>
          </cell>
          <cell r="B4925">
            <v>1</v>
          </cell>
          <cell r="C4925" t="str">
            <v>4|1|100000</v>
          </cell>
          <cell r="D4925" t="str">
            <v>今日登录</v>
          </cell>
          <cell r="E4925" t="str">
            <v>4|1|100000|1</v>
          </cell>
        </row>
        <row r="4926">
          <cell r="A4926">
            <v>69128</v>
          </cell>
          <cell r="B4926">
            <v>1</v>
          </cell>
          <cell r="C4926" t="str">
            <v>4|4|500</v>
          </cell>
          <cell r="D4926" t="str">
            <v>主角等级</v>
          </cell>
          <cell r="E4926" t="str">
            <v>4|4|500|1</v>
          </cell>
        </row>
        <row r="4927">
          <cell r="A4927">
            <v>69129</v>
          </cell>
          <cell r="B4927">
            <v>1</v>
          </cell>
          <cell r="C4927" t="str">
            <v>4|1|150000</v>
          </cell>
          <cell r="D4927" t="str">
            <v>今日登录</v>
          </cell>
          <cell r="E4927" t="str">
            <v>4|1|150000|1</v>
          </cell>
        </row>
        <row r="4928">
          <cell r="A4928">
            <v>69130</v>
          </cell>
          <cell r="B4928">
            <v>1</v>
          </cell>
          <cell r="C4928" t="str">
            <v>4|3|300</v>
          </cell>
          <cell r="D4928" t="str">
            <v>主角等级</v>
          </cell>
          <cell r="E4928" t="str">
            <v>4|3|300|1</v>
          </cell>
        </row>
        <row r="4929">
          <cell r="A4929">
            <v>69131</v>
          </cell>
          <cell r="B4929">
            <v>1</v>
          </cell>
          <cell r="C4929" t="str">
            <v>4|1|200000</v>
          </cell>
          <cell r="D4929" t="str">
            <v>今日登录</v>
          </cell>
          <cell r="E4929" t="str">
            <v>4|1|200000|1</v>
          </cell>
        </row>
        <row r="4930">
          <cell r="A4930">
            <v>69132</v>
          </cell>
          <cell r="B4930">
            <v>1</v>
          </cell>
          <cell r="C4930" t="str">
            <v>1|14201|100</v>
          </cell>
          <cell r="D4930" t="str">
            <v>主角等级</v>
          </cell>
          <cell r="E4930" t="str">
            <v>1|14201|100|1</v>
          </cell>
        </row>
        <row r="4931">
          <cell r="A4931">
            <v>69201</v>
          </cell>
          <cell r="B4931">
            <v>1</v>
          </cell>
          <cell r="C4931" t="str">
            <v>1|14405|6</v>
          </cell>
          <cell r="D4931" t="str">
            <v>登录赠送vip</v>
          </cell>
          <cell r="E4931" t="str">
            <v>1|14405|6|1</v>
          </cell>
        </row>
        <row r="4932">
          <cell r="A4932">
            <v>69202</v>
          </cell>
          <cell r="B4932">
            <v>1</v>
          </cell>
          <cell r="C4932" t="str">
            <v>1|14405|12</v>
          </cell>
          <cell r="D4932" t="str">
            <v>登录赠送vip</v>
          </cell>
          <cell r="E4932" t="str">
            <v>1|14405|12|1</v>
          </cell>
        </row>
        <row r="4933">
          <cell r="A4933">
            <v>69203</v>
          </cell>
          <cell r="B4933">
            <v>1</v>
          </cell>
          <cell r="C4933" t="str">
            <v>1|14405|12</v>
          </cell>
          <cell r="D4933" t="str">
            <v>登录赠送vip</v>
          </cell>
          <cell r="E4933" t="str">
            <v>1|14405|12|1</v>
          </cell>
        </row>
        <row r="4934">
          <cell r="A4934">
            <v>69204</v>
          </cell>
          <cell r="B4934">
            <v>1</v>
          </cell>
          <cell r="C4934" t="str">
            <v>1|14405|30</v>
          </cell>
          <cell r="D4934" t="str">
            <v>登录赠送vip</v>
          </cell>
          <cell r="E4934" t="str">
            <v>1|14405|30|1</v>
          </cell>
        </row>
        <row r="4935">
          <cell r="A4935">
            <v>69205</v>
          </cell>
          <cell r="B4935">
            <v>1</v>
          </cell>
          <cell r="C4935" t="str">
            <v>1|14405|120</v>
          </cell>
          <cell r="D4935" t="str">
            <v>登录赠送vip</v>
          </cell>
          <cell r="E4935" t="str">
            <v>1|14405|120|1</v>
          </cell>
        </row>
        <row r="4936">
          <cell r="A4936">
            <v>69206</v>
          </cell>
          <cell r="B4936">
            <v>1</v>
          </cell>
          <cell r="C4936" t="str">
            <v>1|14405|120</v>
          </cell>
          <cell r="D4936" t="str">
            <v>登录赠送vip</v>
          </cell>
          <cell r="E4936" t="str">
            <v>1|14405|120|1</v>
          </cell>
        </row>
        <row r="4937">
          <cell r="A4937">
            <v>69207</v>
          </cell>
          <cell r="B4937">
            <v>1</v>
          </cell>
          <cell r="C4937" t="str">
            <v>1|14405|300</v>
          </cell>
          <cell r="D4937" t="str">
            <v>登录赠送vip</v>
          </cell>
          <cell r="E4937" t="str">
            <v>1|14405|300|1</v>
          </cell>
        </row>
        <row r="4938">
          <cell r="A4938">
            <v>69211</v>
          </cell>
          <cell r="B4938">
            <v>1</v>
          </cell>
          <cell r="C4938" t="str">
            <v>4|2|1200</v>
          </cell>
          <cell r="D4938" t="str">
            <v>主角等级达到39</v>
          </cell>
          <cell r="E4938" t="str">
            <v>4|2|1200|1</v>
          </cell>
        </row>
        <row r="4939">
          <cell r="A4939">
            <v>69212</v>
          </cell>
          <cell r="B4939">
            <v>1</v>
          </cell>
          <cell r="C4939" t="str">
            <v>1|14102|50</v>
          </cell>
          <cell r="D4939" t="str">
            <v>主角等级达到41</v>
          </cell>
          <cell r="E4939" t="str">
            <v>1|14102|50|1</v>
          </cell>
        </row>
        <row r="4940">
          <cell r="A4940">
            <v>69213</v>
          </cell>
          <cell r="B4940">
            <v>1</v>
          </cell>
          <cell r="C4940" t="str">
            <v>4|2|1400</v>
          </cell>
          <cell r="D4940" t="str">
            <v>主角等级达到43</v>
          </cell>
          <cell r="E4940" t="str">
            <v>4|2|1400|1</v>
          </cell>
        </row>
        <row r="4941">
          <cell r="A4941">
            <v>69214</v>
          </cell>
          <cell r="B4941">
            <v>1</v>
          </cell>
          <cell r="C4941" t="str">
            <v>4|2|1600</v>
          </cell>
          <cell r="D4941" t="str">
            <v>主角等级达到45</v>
          </cell>
          <cell r="E4941" t="str">
            <v>4|2|1600|1</v>
          </cell>
        </row>
        <row r="4942">
          <cell r="A4942">
            <v>69215</v>
          </cell>
          <cell r="B4942">
            <v>1</v>
          </cell>
          <cell r="C4942" t="str">
            <v>4|4|1000</v>
          </cell>
          <cell r="D4942" t="str">
            <v>主角等级达到47</v>
          </cell>
          <cell r="E4942" t="str">
            <v>4|4|1000|1</v>
          </cell>
        </row>
        <row r="4943">
          <cell r="A4943">
            <v>69216</v>
          </cell>
          <cell r="B4943">
            <v>1</v>
          </cell>
          <cell r="C4943" t="str">
            <v>4|3|1000</v>
          </cell>
          <cell r="D4943" t="str">
            <v>主角等级达到49</v>
          </cell>
          <cell r="E4943" t="str">
            <v>4|3|1000|1</v>
          </cell>
        </row>
        <row r="4944">
          <cell r="A4944">
            <v>69217</v>
          </cell>
          <cell r="B4944">
            <v>1</v>
          </cell>
          <cell r="C4944" t="str">
            <v>1|14201|500</v>
          </cell>
          <cell r="D4944" t="str">
            <v>主角等级达到51</v>
          </cell>
          <cell r="E4944" t="str">
            <v>1|14201|500|1</v>
          </cell>
        </row>
        <row r="4945">
          <cell r="A4945">
            <v>70001</v>
          </cell>
          <cell r="B4945">
            <v>0</v>
          </cell>
          <cell r="C4945" t="str">
            <v>1|14106|4,1|16010|4</v>
          </cell>
          <cell r="D4945" t="str">
            <v>40级大闹三界-简单</v>
          </cell>
          <cell r="E4945" t="str">
            <v>1|14106|4|1,1|16010|4|1</v>
          </cell>
        </row>
        <row r="4946">
          <cell r="A4946">
            <v>70002</v>
          </cell>
          <cell r="B4946">
            <v>0</v>
          </cell>
          <cell r="C4946" t="str">
            <v>1|14106|4,1|16010|4</v>
          </cell>
          <cell r="D4946" t="str">
            <v>40级大闹三界-简单</v>
          </cell>
          <cell r="E4946" t="str">
            <v>1|14106|4|1,1|16010|4|1</v>
          </cell>
        </row>
        <row r="4947">
          <cell r="A4947">
            <v>70003</v>
          </cell>
          <cell r="B4947">
            <v>0</v>
          </cell>
          <cell r="C4947" t="str">
            <v>1|14106|4,1|16010|4</v>
          </cell>
          <cell r="D4947" t="str">
            <v>40级大闹三界-简单</v>
          </cell>
          <cell r="E4947" t="str">
            <v>1|14106|4|1,1|16010|4|1</v>
          </cell>
        </row>
        <row r="4948">
          <cell r="A4948">
            <v>70004</v>
          </cell>
          <cell r="B4948">
            <v>0</v>
          </cell>
          <cell r="C4948" t="str">
            <v>1|14106|6,1|16010|6</v>
          </cell>
          <cell r="D4948" t="str">
            <v>40级大闹三界-困难</v>
          </cell>
          <cell r="E4948" t="str">
            <v>1|14106|6|1,1|16010|6|1</v>
          </cell>
        </row>
        <row r="4949">
          <cell r="A4949">
            <v>70005</v>
          </cell>
          <cell r="B4949">
            <v>0</v>
          </cell>
          <cell r="C4949" t="str">
            <v>1|14106|6,1|16010|6</v>
          </cell>
          <cell r="D4949" t="str">
            <v>40级大闹三界-困难</v>
          </cell>
          <cell r="E4949" t="str">
            <v>1|14106|6|1,1|16010|6|1</v>
          </cell>
        </row>
        <row r="4950">
          <cell r="A4950">
            <v>70006</v>
          </cell>
          <cell r="B4950">
            <v>0</v>
          </cell>
          <cell r="C4950" t="str">
            <v>1|14106|6,1|16010|6</v>
          </cell>
          <cell r="D4950" t="str">
            <v>40级大闹三界-困难</v>
          </cell>
          <cell r="E4950" t="str">
            <v>1|14106|6|1,1|16010|6|1</v>
          </cell>
        </row>
        <row r="4951">
          <cell r="A4951">
            <v>70007</v>
          </cell>
          <cell r="B4951">
            <v>0</v>
          </cell>
          <cell r="C4951" t="str">
            <v>1|14106|8,1|16010|8</v>
          </cell>
          <cell r="D4951" t="str">
            <v>50级大闹三界-简单</v>
          </cell>
          <cell r="E4951" t="str">
            <v>1|14106|8|1,1|16010|8|1</v>
          </cell>
        </row>
        <row r="4952">
          <cell r="A4952">
            <v>70008</v>
          </cell>
          <cell r="B4952">
            <v>0</v>
          </cell>
          <cell r="C4952" t="str">
            <v>1|14106|8,1|16010|8</v>
          </cell>
          <cell r="D4952" t="str">
            <v>50级大闹三界-简单</v>
          </cell>
          <cell r="E4952" t="str">
            <v>1|14106|8|1,1|16010|8|1</v>
          </cell>
        </row>
        <row r="4953">
          <cell r="A4953">
            <v>70009</v>
          </cell>
          <cell r="B4953">
            <v>0</v>
          </cell>
          <cell r="C4953" t="str">
            <v>1|14106|8,1|16010|8</v>
          </cell>
          <cell r="D4953" t="str">
            <v>50级大闹三界-简单</v>
          </cell>
          <cell r="E4953" t="str">
            <v>1|14106|8|1,1|16010|8|1</v>
          </cell>
        </row>
        <row r="4954">
          <cell r="A4954">
            <v>70010</v>
          </cell>
          <cell r="B4954">
            <v>0</v>
          </cell>
          <cell r="C4954" t="str">
            <v>1|14106|10,1|16010|10</v>
          </cell>
          <cell r="D4954" t="str">
            <v>50级大闹三界-困难</v>
          </cell>
          <cell r="E4954" t="str">
            <v>1|14106|10|1,1|16010|10|1</v>
          </cell>
        </row>
        <row r="4955">
          <cell r="A4955">
            <v>70011</v>
          </cell>
          <cell r="B4955">
            <v>0</v>
          </cell>
          <cell r="C4955" t="str">
            <v>1|14106|10,1|16010|10</v>
          </cell>
          <cell r="D4955" t="str">
            <v>50级大闹三界-困难</v>
          </cell>
          <cell r="E4955" t="str">
            <v>1|14106|10|1,1|16010|10|1</v>
          </cell>
        </row>
        <row r="4956">
          <cell r="A4956">
            <v>70012</v>
          </cell>
          <cell r="B4956">
            <v>0</v>
          </cell>
          <cell r="C4956" t="str">
            <v>1|14106|10,1|16010|10</v>
          </cell>
          <cell r="D4956" t="str">
            <v>50级大闹三界-困难</v>
          </cell>
          <cell r="E4956" t="str">
            <v>1|14106|10|1,1|16010|10|1</v>
          </cell>
        </row>
        <row r="4957">
          <cell r="A4957">
            <v>70013</v>
          </cell>
          <cell r="B4957">
            <v>0</v>
          </cell>
          <cell r="C4957" t="str">
            <v>1|14106|12,1|16010|12</v>
          </cell>
          <cell r="D4957" t="str">
            <v>60级大闹三界-简单</v>
          </cell>
          <cell r="E4957" t="str">
            <v>1|14106|12|1,1|16010|12|1</v>
          </cell>
        </row>
        <row r="4958">
          <cell r="A4958">
            <v>70014</v>
          </cell>
          <cell r="B4958">
            <v>0</v>
          </cell>
          <cell r="C4958" t="str">
            <v>1|14106|12,1|16010|12</v>
          </cell>
          <cell r="D4958" t="str">
            <v>60级大闹三界-简单</v>
          </cell>
          <cell r="E4958" t="str">
            <v>1|14106|12|1,1|16010|12|1</v>
          </cell>
        </row>
        <row r="4959">
          <cell r="A4959">
            <v>70015</v>
          </cell>
          <cell r="B4959">
            <v>0</v>
          </cell>
          <cell r="C4959" t="str">
            <v>1|14106|12,1|16010|12</v>
          </cell>
          <cell r="D4959" t="str">
            <v>60级大闹三界-简单</v>
          </cell>
          <cell r="E4959" t="str">
            <v>1|14106|12|1,1|16010|12|1</v>
          </cell>
        </row>
        <row r="4960">
          <cell r="A4960">
            <v>70016</v>
          </cell>
          <cell r="B4960">
            <v>0</v>
          </cell>
          <cell r="C4960" t="str">
            <v>1|14106|14,1|16010|14</v>
          </cell>
          <cell r="D4960" t="str">
            <v>60级大闹三界-困难</v>
          </cell>
          <cell r="E4960" t="str">
            <v>1|14106|14|1,1|16010|14|1</v>
          </cell>
        </row>
        <row r="4961">
          <cell r="A4961">
            <v>70017</v>
          </cell>
          <cell r="B4961">
            <v>0</v>
          </cell>
          <cell r="C4961" t="str">
            <v>1|14106|14,1|16010|14</v>
          </cell>
          <cell r="D4961" t="str">
            <v>60级大闹三界-困难</v>
          </cell>
          <cell r="E4961" t="str">
            <v>1|14106|14|1,1|16010|14|1</v>
          </cell>
        </row>
        <row r="4962">
          <cell r="A4962">
            <v>70018</v>
          </cell>
          <cell r="B4962">
            <v>0</v>
          </cell>
          <cell r="C4962" t="str">
            <v>1|14106|14,1|16010|14</v>
          </cell>
          <cell r="D4962" t="str">
            <v>60级大闹三界-困难</v>
          </cell>
          <cell r="E4962" t="str">
            <v>1|14106|14|1,1|16010|14|1</v>
          </cell>
        </row>
        <row r="4963">
          <cell r="A4963">
            <v>70019</v>
          </cell>
          <cell r="B4963">
            <v>0</v>
          </cell>
          <cell r="C4963" t="str">
            <v>1|14106|16,1|16010|16</v>
          </cell>
          <cell r="D4963" t="str">
            <v>70级大闹三界-简单</v>
          </cell>
          <cell r="E4963" t="str">
            <v>1|14106|16|1,1|16010|16|1</v>
          </cell>
        </row>
        <row r="4964">
          <cell r="A4964">
            <v>70020</v>
          </cell>
          <cell r="B4964">
            <v>0</v>
          </cell>
          <cell r="C4964" t="str">
            <v>1|14106|16,1|16010|16</v>
          </cell>
          <cell r="D4964" t="str">
            <v>70级大闹三界-简单</v>
          </cell>
          <cell r="E4964" t="str">
            <v>1|14106|16|1,1|16010|16|1</v>
          </cell>
        </row>
        <row r="4965">
          <cell r="A4965">
            <v>70021</v>
          </cell>
          <cell r="B4965">
            <v>0</v>
          </cell>
          <cell r="C4965" t="str">
            <v>1|14106|16,1|16010|16</v>
          </cell>
          <cell r="D4965" t="str">
            <v>70级大闹三界-简单</v>
          </cell>
          <cell r="E4965" t="str">
            <v>1|14106|16|1,1|16010|16|1</v>
          </cell>
        </row>
        <row r="4966">
          <cell r="A4966">
            <v>70022</v>
          </cell>
          <cell r="B4966">
            <v>0</v>
          </cell>
          <cell r="C4966" t="str">
            <v>1|14106|18,1|16010|18</v>
          </cell>
          <cell r="D4966" t="str">
            <v>70级大闹三界-困难</v>
          </cell>
          <cell r="E4966" t="str">
            <v>1|14106|18|1,1|16010|18|1</v>
          </cell>
        </row>
        <row r="4967">
          <cell r="A4967">
            <v>70023</v>
          </cell>
          <cell r="B4967">
            <v>0</v>
          </cell>
          <cell r="C4967" t="str">
            <v>1|14106|18,1|16010|18</v>
          </cell>
          <cell r="D4967" t="str">
            <v>70级大闹三界-困难</v>
          </cell>
          <cell r="E4967" t="str">
            <v>1|14106|18|1,1|16010|18|1</v>
          </cell>
        </row>
        <row r="4968">
          <cell r="A4968">
            <v>70024</v>
          </cell>
          <cell r="B4968">
            <v>0</v>
          </cell>
          <cell r="C4968" t="str">
            <v>1|14106|18,1|16010|18</v>
          </cell>
          <cell r="D4968" t="str">
            <v>70级大闹三界-困难</v>
          </cell>
          <cell r="E4968" t="str">
            <v>1|14106|18|1,1|16010|18|1</v>
          </cell>
        </row>
        <row r="4969">
          <cell r="A4969">
            <v>70025</v>
          </cell>
          <cell r="B4969">
            <v>0</v>
          </cell>
          <cell r="C4969" t="str">
            <v>1|14106|20,1|16010|20</v>
          </cell>
          <cell r="D4969" t="str">
            <v>80级大闹三界-简单</v>
          </cell>
          <cell r="E4969" t="str">
            <v>1|14106|20|1,1|16010|20|1</v>
          </cell>
        </row>
        <row r="4970">
          <cell r="A4970">
            <v>70026</v>
          </cell>
          <cell r="B4970">
            <v>0</v>
          </cell>
          <cell r="C4970" t="str">
            <v>1|14106|20,1|16010|20</v>
          </cell>
          <cell r="D4970" t="str">
            <v>80级大闹三界-简单</v>
          </cell>
          <cell r="E4970" t="str">
            <v>1|14106|20|1,1|16010|20|1</v>
          </cell>
        </row>
        <row r="4971">
          <cell r="A4971">
            <v>70027</v>
          </cell>
          <cell r="B4971">
            <v>0</v>
          </cell>
          <cell r="C4971" t="str">
            <v>1|14106|20,1|16010|20</v>
          </cell>
          <cell r="D4971" t="str">
            <v>80级大闹三界-简单</v>
          </cell>
          <cell r="E4971" t="str">
            <v>1|14106|20|1,1|16010|20|1</v>
          </cell>
        </row>
        <row r="4972">
          <cell r="A4972">
            <v>70028</v>
          </cell>
          <cell r="B4972">
            <v>0</v>
          </cell>
          <cell r="C4972" t="str">
            <v>1|14106|22,1|16010|22</v>
          </cell>
          <cell r="D4972" t="str">
            <v>80级大闹三界-困难</v>
          </cell>
          <cell r="E4972" t="str">
            <v>1|14106|22|1,1|16010|22|1</v>
          </cell>
        </row>
        <row r="4973">
          <cell r="A4973">
            <v>70029</v>
          </cell>
          <cell r="B4973">
            <v>0</v>
          </cell>
          <cell r="C4973" t="str">
            <v>1|14106|22,1|16010|22</v>
          </cell>
          <cell r="D4973" t="str">
            <v>80级大闹三界-困难</v>
          </cell>
          <cell r="E4973" t="str">
            <v>1|14106|22|1,1|16010|22|1</v>
          </cell>
        </row>
        <row r="4974">
          <cell r="A4974">
            <v>70030</v>
          </cell>
          <cell r="B4974">
            <v>0</v>
          </cell>
          <cell r="C4974" t="str">
            <v>1|14106|22,1|16010|22</v>
          </cell>
          <cell r="D4974" t="str">
            <v>80级大闹三界-困难</v>
          </cell>
          <cell r="E4974" t="str">
            <v>1|14106|22|1,1|16010|22|1</v>
          </cell>
        </row>
        <row r="4975">
          <cell r="A4975">
            <v>70031</v>
          </cell>
          <cell r="B4975">
            <v>0</v>
          </cell>
          <cell r="C4975" t="str">
            <v>1|14106|24,1|16010|24</v>
          </cell>
          <cell r="D4975" t="str">
            <v>90级大闹三界-简单</v>
          </cell>
          <cell r="E4975" t="str">
            <v>1|14106|24|1,1|16010|24|1</v>
          </cell>
        </row>
        <row r="4976">
          <cell r="A4976">
            <v>70032</v>
          </cell>
          <cell r="B4976">
            <v>0</v>
          </cell>
          <cell r="C4976" t="str">
            <v>1|14106|24,1|16010|24</v>
          </cell>
          <cell r="D4976" t="str">
            <v>90级大闹三界-简单</v>
          </cell>
          <cell r="E4976" t="str">
            <v>1|14106|24|1,1|16010|24|1</v>
          </cell>
        </row>
        <row r="4977">
          <cell r="A4977">
            <v>70033</v>
          </cell>
          <cell r="B4977">
            <v>0</v>
          </cell>
          <cell r="C4977" t="str">
            <v>1|14106|24,1|16010|24</v>
          </cell>
          <cell r="D4977" t="str">
            <v>90级大闹三界-简单</v>
          </cell>
          <cell r="E4977" t="str">
            <v>1|14106|24|1,1|16010|24|1</v>
          </cell>
        </row>
        <row r="4978">
          <cell r="A4978">
            <v>70034</v>
          </cell>
          <cell r="B4978">
            <v>0</v>
          </cell>
          <cell r="C4978" t="str">
            <v>1|14106|24,1|16010|24</v>
          </cell>
          <cell r="D4978" t="str">
            <v>90级大闹三界-困难</v>
          </cell>
          <cell r="E4978" t="str">
            <v>1|14106|24|1,1|16010|24|1</v>
          </cell>
        </row>
        <row r="4979">
          <cell r="A4979">
            <v>70035</v>
          </cell>
          <cell r="B4979">
            <v>0</v>
          </cell>
          <cell r="C4979" t="str">
            <v>1|14106|24,1|16010|24</v>
          </cell>
          <cell r="D4979" t="str">
            <v>90级大闹三界-困难</v>
          </cell>
          <cell r="E4979" t="str">
            <v>1|14106|24|1,1|16010|24|1</v>
          </cell>
        </row>
        <row r="4980">
          <cell r="A4980">
            <v>70036</v>
          </cell>
          <cell r="B4980">
            <v>0</v>
          </cell>
          <cell r="C4980" t="str">
            <v>1|14106|24,1|16010|24</v>
          </cell>
          <cell r="D4980" t="str">
            <v>90级大闹三界-困难</v>
          </cell>
          <cell r="E4980" t="str">
            <v>1|14106|24|1,1|16010|24|1</v>
          </cell>
        </row>
        <row r="4981">
          <cell r="A4981">
            <v>70037</v>
          </cell>
          <cell r="B4981">
            <v>0</v>
          </cell>
          <cell r="C4981" t="str">
            <v>1|14106|24,1|16010|24</v>
          </cell>
          <cell r="D4981" t="str">
            <v>100级大闹三界-简单</v>
          </cell>
          <cell r="E4981" t="str">
            <v>1|14106|24|1,1|16010|24|1</v>
          </cell>
        </row>
        <row r="4982">
          <cell r="A4982">
            <v>70038</v>
          </cell>
          <cell r="B4982">
            <v>0</v>
          </cell>
          <cell r="C4982" t="str">
            <v>1|14106|24,1|16010|24</v>
          </cell>
          <cell r="D4982" t="str">
            <v>100级大闹三界-简单</v>
          </cell>
          <cell r="E4982" t="str">
            <v>1|14106|24|1,1|16010|24|1</v>
          </cell>
        </row>
        <row r="4983">
          <cell r="A4983">
            <v>70039</v>
          </cell>
          <cell r="B4983">
            <v>0</v>
          </cell>
          <cell r="C4983" t="str">
            <v>1|14106|24,1|16010|24</v>
          </cell>
          <cell r="D4983" t="str">
            <v>100级大闹三界-简单</v>
          </cell>
          <cell r="E4983" t="str">
            <v>1|14106|24|1,1|16010|24|1</v>
          </cell>
        </row>
        <row r="4984">
          <cell r="A4984">
            <v>70040</v>
          </cell>
          <cell r="B4984">
            <v>0</v>
          </cell>
          <cell r="C4984" t="str">
            <v>1|14106|24,1|16010|24</v>
          </cell>
          <cell r="D4984" t="str">
            <v>100级大闹三界-困难</v>
          </cell>
          <cell r="E4984" t="str">
            <v>1|14106|24|1,1|16010|24|1</v>
          </cell>
        </row>
        <row r="4985">
          <cell r="A4985">
            <v>70041</v>
          </cell>
          <cell r="B4985">
            <v>0</v>
          </cell>
          <cell r="C4985" t="str">
            <v>1|14106|24,1|16010|24</v>
          </cell>
          <cell r="D4985" t="str">
            <v>100级大闹三界-困难</v>
          </cell>
          <cell r="E4985" t="str">
            <v>1|14106|24|1,1|16010|24|1</v>
          </cell>
        </row>
        <row r="4986">
          <cell r="A4986">
            <v>70042</v>
          </cell>
          <cell r="B4986">
            <v>0</v>
          </cell>
          <cell r="C4986" t="str">
            <v>1|14106|24,1|16010|24</v>
          </cell>
          <cell r="D4986" t="str">
            <v>100级大闹三界-困难</v>
          </cell>
          <cell r="E4986" t="str">
            <v>1|14106|24|1,1|16010|24|1</v>
          </cell>
        </row>
        <row r="4987">
          <cell r="A4987">
            <v>70043</v>
          </cell>
          <cell r="B4987">
            <v>0</v>
          </cell>
          <cell r="C4987" t="str">
            <v>1|14106|24,1|16010|24</v>
          </cell>
          <cell r="D4987" t="str">
            <v>110级大闹三界-简单</v>
          </cell>
          <cell r="E4987" t="str">
            <v>1|14106|24|1,1|16010|24|1</v>
          </cell>
        </row>
        <row r="4988">
          <cell r="A4988">
            <v>70044</v>
          </cell>
          <cell r="B4988">
            <v>0</v>
          </cell>
          <cell r="C4988" t="str">
            <v>1|14106|24,1|16010|24</v>
          </cell>
          <cell r="D4988" t="str">
            <v>110级大闹三界-简单</v>
          </cell>
          <cell r="E4988" t="str">
            <v>1|14106|24|1,1|16010|24|1</v>
          </cell>
        </row>
        <row r="4989">
          <cell r="A4989">
            <v>70045</v>
          </cell>
          <cell r="B4989">
            <v>0</v>
          </cell>
          <cell r="C4989" t="str">
            <v>1|14106|24,1|16010|24</v>
          </cell>
          <cell r="D4989" t="str">
            <v>110级大闹三界-简单</v>
          </cell>
          <cell r="E4989" t="str">
            <v>1|14106|24|1,1|16010|24|1</v>
          </cell>
        </row>
        <row r="4990">
          <cell r="A4990">
            <v>70046</v>
          </cell>
          <cell r="B4990">
            <v>0</v>
          </cell>
          <cell r="C4990" t="str">
            <v>1|14106|24,1|16010|24</v>
          </cell>
          <cell r="D4990" t="str">
            <v>110级大闹三界-困难</v>
          </cell>
          <cell r="E4990" t="str">
            <v>1|14106|24|1,1|16010|24|1</v>
          </cell>
        </row>
        <row r="4991">
          <cell r="A4991">
            <v>70047</v>
          </cell>
          <cell r="B4991">
            <v>0</v>
          </cell>
          <cell r="C4991" t="str">
            <v>1|14106|24,1|16010|24</v>
          </cell>
          <cell r="D4991" t="str">
            <v>110级大闹三界-困难</v>
          </cell>
          <cell r="E4991" t="str">
            <v>1|14106|24|1,1|16010|24|1</v>
          </cell>
        </row>
        <row r="4992">
          <cell r="A4992">
            <v>70048</v>
          </cell>
          <cell r="B4992">
            <v>0</v>
          </cell>
          <cell r="C4992" t="str">
            <v>1|14106|24,1|16010|24</v>
          </cell>
          <cell r="D4992" t="str">
            <v>110级大闹三界-困难</v>
          </cell>
          <cell r="E4992" t="str">
            <v>1|14106|24|1,1|16010|24|1</v>
          </cell>
        </row>
        <row r="4993">
          <cell r="A4993">
            <v>70049</v>
          </cell>
          <cell r="B4993">
            <v>0</v>
          </cell>
          <cell r="C4993" t="str">
            <v>1|14106|24,1|16010|24</v>
          </cell>
          <cell r="D4993" t="str">
            <v>120级大闹三界-简单</v>
          </cell>
          <cell r="E4993" t="str">
            <v>1|14106|24|1,1|16010|24|1</v>
          </cell>
        </row>
        <row r="4994">
          <cell r="A4994">
            <v>70050</v>
          </cell>
          <cell r="B4994">
            <v>0</v>
          </cell>
          <cell r="C4994" t="str">
            <v>1|14106|24,1|16010|24</v>
          </cell>
          <cell r="D4994" t="str">
            <v>120级大闹三界-简单</v>
          </cell>
          <cell r="E4994" t="str">
            <v>1|14106|24|1,1|16010|24|1</v>
          </cell>
        </row>
        <row r="4995">
          <cell r="A4995">
            <v>70051</v>
          </cell>
          <cell r="B4995">
            <v>0</v>
          </cell>
          <cell r="C4995" t="str">
            <v>1|14106|24,1|16010|24</v>
          </cell>
          <cell r="D4995" t="str">
            <v>120级大闹三界-简单</v>
          </cell>
          <cell r="E4995" t="str">
            <v>1|14106|24|1,1|16010|24|1</v>
          </cell>
        </row>
        <row r="4996">
          <cell r="A4996">
            <v>70052</v>
          </cell>
          <cell r="B4996">
            <v>0</v>
          </cell>
          <cell r="C4996" t="str">
            <v>1|14106|24,1|16010|24</v>
          </cell>
          <cell r="D4996" t="str">
            <v>120级大闹三界-困难</v>
          </cell>
          <cell r="E4996" t="str">
            <v>1|14106|24|1,1|16010|24|1</v>
          </cell>
        </row>
        <row r="4997">
          <cell r="A4997">
            <v>70053</v>
          </cell>
          <cell r="B4997">
            <v>0</v>
          </cell>
          <cell r="C4997" t="str">
            <v>1|14106|24,1|16010|24</v>
          </cell>
          <cell r="D4997" t="str">
            <v>120级大闹三界-困难</v>
          </cell>
          <cell r="E4997" t="str">
            <v>1|14106|24|1,1|16010|24|1</v>
          </cell>
        </row>
        <row r="4998">
          <cell r="A4998">
            <v>70054</v>
          </cell>
          <cell r="B4998">
            <v>0</v>
          </cell>
          <cell r="C4998" t="str">
            <v>1|14106|24,1|16010|24</v>
          </cell>
          <cell r="D4998" t="str">
            <v>120级大闹三界-困难</v>
          </cell>
          <cell r="E4998" t="str">
            <v>1|14106|24|1,1|16010|24|1</v>
          </cell>
        </row>
        <row r="4999">
          <cell r="A4999">
            <v>70055</v>
          </cell>
          <cell r="B4999">
            <v>0</v>
          </cell>
          <cell r="C4999" t="str">
            <v>1|14106|24,1|16010|24</v>
          </cell>
          <cell r="D4999" t="str">
            <v>130级大闹三界-简单</v>
          </cell>
          <cell r="E4999" t="str">
            <v>1|14106|24|1,1|16010|24|1</v>
          </cell>
        </row>
        <row r="5000">
          <cell r="A5000">
            <v>70056</v>
          </cell>
          <cell r="B5000">
            <v>0</v>
          </cell>
          <cell r="C5000" t="str">
            <v>1|14106|24,1|16010|24</v>
          </cell>
          <cell r="D5000" t="str">
            <v>130级大闹三界-简单</v>
          </cell>
          <cell r="E5000" t="str">
            <v>1|14106|24|1,1|16010|24|1</v>
          </cell>
        </row>
        <row r="5001">
          <cell r="A5001">
            <v>70057</v>
          </cell>
          <cell r="B5001">
            <v>0</v>
          </cell>
          <cell r="C5001" t="str">
            <v>1|14106|24,1|16010|24</v>
          </cell>
          <cell r="D5001" t="str">
            <v>130级大闹三界-简单</v>
          </cell>
          <cell r="E5001" t="str">
            <v>1|14106|24|1,1|16010|24|1</v>
          </cell>
        </row>
        <row r="5002">
          <cell r="A5002">
            <v>70058</v>
          </cell>
          <cell r="B5002">
            <v>0</v>
          </cell>
          <cell r="C5002" t="str">
            <v>1|14106|24,1|16010|24</v>
          </cell>
          <cell r="D5002" t="str">
            <v>130级大闹三界-困难</v>
          </cell>
          <cell r="E5002" t="str">
            <v>1|14106|24|1,1|16010|24|1</v>
          </cell>
        </row>
        <row r="5003">
          <cell r="A5003">
            <v>70059</v>
          </cell>
          <cell r="B5003">
            <v>0</v>
          </cell>
          <cell r="C5003" t="str">
            <v>1|14106|24,1|16010|24</v>
          </cell>
          <cell r="D5003" t="str">
            <v>130级大闹三界-困难</v>
          </cell>
          <cell r="E5003" t="str">
            <v>1|14106|24|1,1|16010|24|1</v>
          </cell>
        </row>
        <row r="5004">
          <cell r="A5004">
            <v>70060</v>
          </cell>
          <cell r="B5004">
            <v>0</v>
          </cell>
          <cell r="C5004" t="str">
            <v>1|14106|24,1|16010|24</v>
          </cell>
          <cell r="D5004" t="str">
            <v>130级大闹三界-困难</v>
          </cell>
          <cell r="E5004" t="str">
            <v>1|14106|24|1,1|16010|24|1</v>
          </cell>
        </row>
        <row r="5005">
          <cell r="A5005">
            <v>70061</v>
          </cell>
          <cell r="B5005">
            <v>0</v>
          </cell>
          <cell r="C5005" t="str">
            <v>1|14106|24,1|16010|24</v>
          </cell>
          <cell r="D5005" t="str">
            <v>140级大闹三界-简单</v>
          </cell>
          <cell r="E5005" t="str">
            <v>1|14106|24|1,1|16010|24|1</v>
          </cell>
        </row>
        <row r="5006">
          <cell r="A5006">
            <v>70062</v>
          </cell>
          <cell r="B5006">
            <v>0</v>
          </cell>
          <cell r="C5006" t="str">
            <v>1|14106|24,1|16010|24</v>
          </cell>
          <cell r="D5006" t="str">
            <v>140级大闹三界-简单</v>
          </cell>
          <cell r="E5006" t="str">
            <v>1|14106|24|1,1|16010|24|1</v>
          </cell>
        </row>
        <row r="5007">
          <cell r="A5007">
            <v>70063</v>
          </cell>
          <cell r="B5007">
            <v>0</v>
          </cell>
          <cell r="C5007" t="str">
            <v>1|14106|24,1|16010|24</v>
          </cell>
          <cell r="D5007" t="str">
            <v>140级大闹三界-简单</v>
          </cell>
          <cell r="E5007" t="str">
            <v>1|14106|24|1,1|16010|24|1</v>
          </cell>
        </row>
        <row r="5008">
          <cell r="A5008">
            <v>70064</v>
          </cell>
          <cell r="B5008">
            <v>0</v>
          </cell>
          <cell r="C5008" t="str">
            <v>1|14106|24,1|16010|24</v>
          </cell>
          <cell r="D5008" t="str">
            <v>140级大闹三界-困难</v>
          </cell>
          <cell r="E5008" t="str">
            <v>1|14106|24|1,1|16010|24|1</v>
          </cell>
        </row>
        <row r="5009">
          <cell r="A5009">
            <v>70065</v>
          </cell>
          <cell r="B5009">
            <v>0</v>
          </cell>
          <cell r="C5009" t="str">
            <v>1|14106|24,1|16010|24</v>
          </cell>
          <cell r="D5009" t="str">
            <v>140级大闹三界-困难</v>
          </cell>
          <cell r="E5009" t="str">
            <v>1|14106|24|1,1|16010|24|1</v>
          </cell>
        </row>
        <row r="5010">
          <cell r="A5010">
            <v>70066</v>
          </cell>
          <cell r="B5010">
            <v>0</v>
          </cell>
          <cell r="C5010" t="str">
            <v>1|14106|24,1|16010|24</v>
          </cell>
          <cell r="D5010" t="str">
            <v>140级大闹三界-困难</v>
          </cell>
          <cell r="E5010" t="str">
            <v>1|14106|24|1,1|16010|24|1</v>
          </cell>
        </row>
        <row r="5011">
          <cell r="A5011">
            <v>70067</v>
          </cell>
          <cell r="B5011">
            <v>1</v>
          </cell>
          <cell r="C5011" t="str">
            <v>1|16001|2</v>
          </cell>
          <cell r="D5011" t="str">
            <v>普通血战第4关核心精炼材料</v>
          </cell>
          <cell r="E5011" t="str">
            <v>1|16001|2|5,1|16002|2|5,1|16003|2|5,1|16004|2|5,1|16001|3|3,1|16002|3|3,1|16003|3|3,1|16004|3|3,1|16001|4|2,1|16002|4|2,1|16003|4|2,1|16004|4|2</v>
          </cell>
        </row>
        <row r="5012">
          <cell r="A5012">
            <v>70068</v>
          </cell>
          <cell r="B5012">
            <v>1</v>
          </cell>
          <cell r="C5012" t="str">
            <v>1|16001|3</v>
          </cell>
          <cell r="D5012" t="str">
            <v>困难血战第4关核心精炼材料</v>
          </cell>
          <cell r="E5012" t="str">
            <v>1|16001|3|3,1|16002|3|3,1|16003|3|3,1|16004|3|3,1|16001|4|4,1|16002|4|4,1|16003|4|4,1|16004|4|4,1|16001|5|3,1|16002|5|3,1|16003|5|3,1|16004|5|3</v>
          </cell>
        </row>
        <row r="5013">
          <cell r="A5013">
            <v>70069</v>
          </cell>
          <cell r="B5013">
            <v>1</v>
          </cell>
          <cell r="C5013" t="str">
            <v>1|16001|2</v>
          </cell>
          <cell r="D5013" t="str">
            <v>普通血战第5关核心精炼材料</v>
          </cell>
          <cell r="E5013" t="str">
            <v>1|16001|2|2,1|16002|2|2,1|16003|2|2,1|16004|2|2,1|16001|3|4,1|16002|3|4,1|16003|3|4,1|16004|3|4,1|16001|4|3,1|16002|4|3,1|16003|4|3,1|16004|4|3,1|16001|5|1,1|16002|5|1,1|16003|5|1,1|16004|5|1</v>
          </cell>
        </row>
        <row r="5014">
          <cell r="A5014">
            <v>70070</v>
          </cell>
          <cell r="B5014">
            <v>1</v>
          </cell>
          <cell r="C5014" t="str">
            <v>1|16001|4</v>
          </cell>
          <cell r="D5014" t="str">
            <v>困难血战第5关核心精炼材料</v>
          </cell>
          <cell r="E5014" t="str">
            <v>1|16001|4|3,1|16002|4|3,1|16003|4|3,1|16004|4|3,1|16001|5|4,1|16002|5|4,1|16003|5|4,1|16004|5|4,1|16001|6|3,1|16002|6|3,1|16003|6|3,1|16004|6|3</v>
          </cell>
        </row>
        <row r="5015">
          <cell r="A5015">
            <v>70071</v>
          </cell>
          <cell r="B5015">
            <v>1</v>
          </cell>
          <cell r="C5015" t="str">
            <v>1|16006|0</v>
          </cell>
          <cell r="D5015" t="str">
            <v>困难血战第1关突破精炼石</v>
          </cell>
          <cell r="E5015" t="str">
            <v>1|16006|0|67,1|16006|1|33</v>
          </cell>
        </row>
        <row r="5016">
          <cell r="A5016">
            <v>70072</v>
          </cell>
          <cell r="B5016">
            <v>1</v>
          </cell>
          <cell r="C5016" t="str">
            <v>1|16006|0</v>
          </cell>
          <cell r="D5016" t="str">
            <v>困难血战第2关突破精炼石</v>
          </cell>
          <cell r="E5016" t="str">
            <v>1|16006|0|33,1|16006|1|67</v>
          </cell>
        </row>
        <row r="5017">
          <cell r="A5017">
            <v>70073</v>
          </cell>
          <cell r="B5017">
            <v>1</v>
          </cell>
          <cell r="C5017" t="str">
            <v>1|16006|0</v>
          </cell>
          <cell r="D5017" t="str">
            <v>困难血战第3关突破精炼石</v>
          </cell>
          <cell r="E5017" t="str">
            <v>1|16006|0|30,1|16006|1|40,1|16006|2|30</v>
          </cell>
        </row>
        <row r="5018">
          <cell r="A5018">
            <v>70074</v>
          </cell>
          <cell r="B5018">
            <v>1</v>
          </cell>
          <cell r="C5018" t="str">
            <v>1|16006|0</v>
          </cell>
          <cell r="D5018" t="str">
            <v>困难血战第4关突破精炼石</v>
          </cell>
          <cell r="E5018" t="str">
            <v>1|16006|0|27,1|16006|1|33,1|16006|2|20,1|16006|3|20</v>
          </cell>
        </row>
        <row r="5019">
          <cell r="A5019">
            <v>70075</v>
          </cell>
          <cell r="B5019">
            <v>1</v>
          </cell>
          <cell r="C5019" t="str">
            <v>1|16006|1</v>
          </cell>
          <cell r="D5019" t="str">
            <v>困难血战第5关突破精炼石</v>
          </cell>
          <cell r="E5019" t="str">
            <v>1|16006|1|54,1|16006|2|26,1|16006|3|20</v>
          </cell>
        </row>
        <row r="5020">
          <cell r="A5020">
            <v>70076</v>
          </cell>
          <cell r="B5020">
            <v>1</v>
          </cell>
          <cell r="C5020" t="str">
            <v>1|16503|12</v>
          </cell>
          <cell r="D5020" t="str">
            <v>普通血战第6关第1回奖励主角进阶丹</v>
          </cell>
          <cell r="E5020" t="str">
            <v>1|16503|12|1</v>
          </cell>
        </row>
        <row r="5021">
          <cell r="A5021">
            <v>70077</v>
          </cell>
          <cell r="B5021">
            <v>1</v>
          </cell>
          <cell r="C5021" t="str">
            <v>1|16503|12</v>
          </cell>
          <cell r="D5021" t="str">
            <v>普通血战第6关第2回奖励主角进阶丹</v>
          </cell>
          <cell r="E5021" t="str">
            <v>1|16503|12|1</v>
          </cell>
        </row>
        <row r="5022">
          <cell r="A5022">
            <v>70078</v>
          </cell>
          <cell r="B5022">
            <v>1</v>
          </cell>
          <cell r="C5022" t="str">
            <v>1|16503|12</v>
          </cell>
          <cell r="D5022" t="str">
            <v>普通血战第6关第3回奖励主角进阶丹</v>
          </cell>
          <cell r="E5022" t="str">
            <v>1|16503|12|1</v>
          </cell>
        </row>
        <row r="5023">
          <cell r="A5023">
            <v>70079</v>
          </cell>
          <cell r="B5023">
            <v>1</v>
          </cell>
          <cell r="C5023" t="str">
            <v>1|16503|18</v>
          </cell>
          <cell r="D5023" t="str">
            <v>困难血战第6关第1回奖励主角进阶丹</v>
          </cell>
          <cell r="E5023" t="str">
            <v>1|16503|18|1</v>
          </cell>
        </row>
        <row r="5024">
          <cell r="A5024">
            <v>70080</v>
          </cell>
          <cell r="B5024">
            <v>1</v>
          </cell>
          <cell r="C5024" t="str">
            <v>1|16503|18</v>
          </cell>
          <cell r="D5024" t="str">
            <v>困难血战第6关第2回奖励主角进阶丹</v>
          </cell>
          <cell r="E5024" t="str">
            <v>1|16503|18|1</v>
          </cell>
        </row>
        <row r="5025">
          <cell r="A5025">
            <v>70081</v>
          </cell>
          <cell r="B5025">
            <v>1</v>
          </cell>
          <cell r="C5025" t="str">
            <v>1|16503|18</v>
          </cell>
          <cell r="D5025" t="str">
            <v>困难血战第6关第3回奖励主角进阶丹</v>
          </cell>
          <cell r="E5025" t="str">
            <v>1|16503|18|1</v>
          </cell>
        </row>
        <row r="5026">
          <cell r="A5026">
            <v>70082</v>
          </cell>
          <cell r="B5026">
            <v>1</v>
          </cell>
          <cell r="C5026" t="str">
            <v>1|16005|46</v>
          </cell>
          <cell r="D5026" t="str">
            <v>普通血战第6关第1回奖励通用精炼石</v>
          </cell>
          <cell r="E5026" t="str">
            <v>1|16005|38|20,1|16005|40|20,1|16005|42|20,1|16005|44|20,1|16005|46|20</v>
          </cell>
        </row>
        <row r="5027">
          <cell r="A5027">
            <v>70083</v>
          </cell>
          <cell r="B5027">
            <v>1</v>
          </cell>
          <cell r="C5027" t="str">
            <v>1|16005|46</v>
          </cell>
          <cell r="D5027" t="str">
            <v>普通血战第6关第2回奖励通用精炼石</v>
          </cell>
          <cell r="E5027" t="str">
            <v>1|16005|38|20,1|16005|40|20,1|16005|42|20,1|16005|44|20,1|16005|46|20</v>
          </cell>
        </row>
        <row r="5028">
          <cell r="A5028">
            <v>70084</v>
          </cell>
          <cell r="B5028">
            <v>1</v>
          </cell>
          <cell r="C5028" t="str">
            <v>1|16005|46</v>
          </cell>
          <cell r="D5028" t="str">
            <v>普通血战第6关第3回奖励通用精炼石</v>
          </cell>
          <cell r="E5028" t="str">
            <v>1|16005|38|20,1|16005|40|20,1|16005|42|20,1|16005|44|20,1|16005|46|20</v>
          </cell>
        </row>
        <row r="5029">
          <cell r="A5029">
            <v>70085</v>
          </cell>
          <cell r="B5029">
            <v>1</v>
          </cell>
          <cell r="C5029" t="str">
            <v>1|16005|46</v>
          </cell>
          <cell r="D5029" t="str">
            <v>困难血战第6关第1回奖励通用精炼石</v>
          </cell>
          <cell r="E5029" t="str">
            <v>1|16005|38|20,1|16005|40|20,1|16005|42|20,1|16005|44|20,1|16005|46|20</v>
          </cell>
        </row>
        <row r="5030">
          <cell r="A5030">
            <v>70086</v>
          </cell>
          <cell r="B5030">
            <v>1</v>
          </cell>
          <cell r="C5030" t="str">
            <v>1|16005|46</v>
          </cell>
          <cell r="D5030" t="str">
            <v>困难血战第6关第2回奖励通用精炼石</v>
          </cell>
          <cell r="E5030" t="str">
            <v>1|16005|38|20,1|16005|40|20,1|16005|42|20,1|16005|44|20,1|16005|46|20</v>
          </cell>
        </row>
        <row r="5031">
          <cell r="A5031">
            <v>70087</v>
          </cell>
          <cell r="B5031">
            <v>1</v>
          </cell>
          <cell r="C5031" t="str">
            <v>1|16005|46</v>
          </cell>
          <cell r="D5031" t="str">
            <v>困难血战第6关第3回奖励通用精炼石</v>
          </cell>
          <cell r="E5031" t="str">
            <v>1|16005|38|20,1|16005|40|20,1|16005|42|20,1|16005|44|20,1|16005|46|20</v>
          </cell>
        </row>
        <row r="5032">
          <cell r="A5032">
            <v>70088</v>
          </cell>
          <cell r="B5032">
            <v>1</v>
          </cell>
          <cell r="C5032" t="str">
            <v>1|16001|3</v>
          </cell>
          <cell r="D5032" t="str">
            <v>普通血战第6关核心精炼材料</v>
          </cell>
          <cell r="E5032" t="str">
            <v>1|16001|2|2,1|16002|2|2,1|16003|2|2,1|16004|2|2,1|16001|3|4,1|16002|3|4,1|16003|3|4,1|16004|3|4,1|16001|4|3,1|16002|4|3,1|16003|4|3,1|16004|4|3,1|16001|5|1,1|16002|5|1,1|16003|5|1,1|16004|5|1</v>
          </cell>
        </row>
        <row r="5033">
          <cell r="A5033">
            <v>70089</v>
          </cell>
          <cell r="B5033">
            <v>1</v>
          </cell>
          <cell r="C5033" t="str">
            <v>1|16001|5</v>
          </cell>
          <cell r="D5033" t="str">
            <v>困难血战第6关核心精炼材料</v>
          </cell>
          <cell r="E5033" t="str">
            <v>1|16001|4|3,1|16002|4|3,1|16003|4|3,1|16004|4|3,1|16001|5|4,1|16002|5|4,1|16003|5|4,1|16004|5|4,1|16001|6|3,1|16002|6|3,1|16003|6|3,1|16004|6|3</v>
          </cell>
        </row>
        <row r="5034">
          <cell r="A5034">
            <v>70090</v>
          </cell>
          <cell r="B5034">
            <v>1</v>
          </cell>
          <cell r="C5034" t="str">
            <v>1|16006|2</v>
          </cell>
          <cell r="D5034" t="str">
            <v>困难血战第6关突破精炼石</v>
          </cell>
          <cell r="E5034" t="str">
            <v>1|16006|1|54,1|16006|2|26,1|16006|3|20</v>
          </cell>
        </row>
        <row r="5035">
          <cell r="A5035">
            <v>70101</v>
          </cell>
          <cell r="B5035">
            <v>1</v>
          </cell>
          <cell r="C5035" t="str">
            <v>1|16001|1</v>
          </cell>
          <cell r="D5035" t="str">
            <v>专有精炼箱</v>
          </cell>
          <cell r="E5035" t="str">
            <v>1|16001|1|1,1|16002|1|1,1|16003|1|1,1|16004|1|1</v>
          </cell>
        </row>
        <row r="5036">
          <cell r="A5036">
            <v>70111</v>
          </cell>
          <cell r="B5036">
            <v>1</v>
          </cell>
          <cell r="C5036" t="str">
            <v>1|16501|20</v>
          </cell>
          <cell r="D5036" t="str">
            <v>普通进阶箱</v>
          </cell>
          <cell r="E5036" t="str">
            <v>1|16501|20|13,1|16502|20|7</v>
          </cell>
        </row>
        <row r="5037">
          <cell r="A5037">
            <v>70112</v>
          </cell>
          <cell r="B5037">
            <v>1</v>
          </cell>
          <cell r="C5037" t="str">
            <v>1|16501|20</v>
          </cell>
          <cell r="D5037" t="str">
            <v>困难进阶箱</v>
          </cell>
          <cell r="E5037" t="str">
            <v>1|16501|20|7,1|16502|20|13</v>
          </cell>
        </row>
        <row r="5038">
          <cell r="A5038">
            <v>70501</v>
          </cell>
          <cell r="B5038">
            <v>1</v>
          </cell>
          <cell r="C5038" t="str">
            <v>1|14311|1</v>
          </cell>
          <cell r="D5038" t="str">
            <v>血战5关宝箱</v>
          </cell>
          <cell r="E5038" t="str">
            <v>1|14311|1|1</v>
          </cell>
        </row>
        <row r="5039">
          <cell r="A5039">
            <v>70502</v>
          </cell>
          <cell r="B5039">
            <v>1</v>
          </cell>
          <cell r="C5039" t="str">
            <v>1|14311|1</v>
          </cell>
          <cell r="D5039" t="str">
            <v>血战10关宝箱</v>
          </cell>
          <cell r="E5039" t="str">
            <v>1|14311|1|1</v>
          </cell>
        </row>
        <row r="5040">
          <cell r="A5040">
            <v>70503</v>
          </cell>
          <cell r="B5040">
            <v>1</v>
          </cell>
          <cell r="C5040" t="str">
            <v>1|14311|1</v>
          </cell>
          <cell r="D5040" t="str">
            <v>血战15关宝箱</v>
          </cell>
          <cell r="E5040" t="str">
            <v>1|14311|1|1</v>
          </cell>
        </row>
        <row r="5041">
          <cell r="A5041">
            <v>70504</v>
          </cell>
          <cell r="B5041">
            <v>1</v>
          </cell>
          <cell r="C5041" t="str">
            <v>1|14311|2</v>
          </cell>
          <cell r="D5041" t="str">
            <v>血战20关宝箱</v>
          </cell>
          <cell r="E5041" t="str">
            <v>1|14311|2|1</v>
          </cell>
        </row>
        <row r="5042">
          <cell r="A5042">
            <v>70505</v>
          </cell>
          <cell r="B5042">
            <v>1</v>
          </cell>
          <cell r="C5042" t="str">
            <v>1|14311|2</v>
          </cell>
          <cell r="D5042" t="str">
            <v>血战25关宝箱</v>
          </cell>
          <cell r="E5042" t="str">
            <v>1|14311|2|1</v>
          </cell>
        </row>
        <row r="5043">
          <cell r="A5043">
            <v>70506</v>
          </cell>
          <cell r="B5043">
            <v>1</v>
          </cell>
          <cell r="C5043" t="str">
            <v>1|14311|3</v>
          </cell>
          <cell r="D5043" t="str">
            <v>血战30关宝箱</v>
          </cell>
          <cell r="E5043" t="str">
            <v>1|14311|3|1</v>
          </cell>
        </row>
        <row r="5044">
          <cell r="A5044">
            <v>70601</v>
          </cell>
          <cell r="B5044">
            <v>1</v>
          </cell>
          <cell r="C5044" t="str">
            <v>[]</v>
          </cell>
          <cell r="D5044" t="str">
            <v>40级大闹三界-简单-洗炼丹</v>
          </cell>
          <cell r="E5044" t="str">
            <v>1|14106|4|1</v>
          </cell>
        </row>
        <row r="5045">
          <cell r="A5045">
            <v>70602</v>
          </cell>
          <cell r="B5045">
            <v>1</v>
          </cell>
          <cell r="C5045" t="str">
            <v>[]</v>
          </cell>
          <cell r="D5045" t="str">
            <v>40级大闹三界-困难-洗炼丹</v>
          </cell>
          <cell r="E5045" t="str">
            <v>1|14106|6|1</v>
          </cell>
        </row>
        <row r="5046">
          <cell r="A5046">
            <v>70603</v>
          </cell>
          <cell r="B5046">
            <v>1</v>
          </cell>
          <cell r="C5046" t="str">
            <v>[]</v>
          </cell>
          <cell r="D5046" t="str">
            <v>50级大闹三界-简单-洗炼丹</v>
          </cell>
          <cell r="E5046" t="str">
            <v>1|14106|8|1</v>
          </cell>
        </row>
        <row r="5047">
          <cell r="A5047">
            <v>70604</v>
          </cell>
          <cell r="B5047">
            <v>1</v>
          </cell>
          <cell r="C5047" t="str">
            <v>[]</v>
          </cell>
          <cell r="D5047" t="str">
            <v>50级大闹三界-困难-洗炼丹</v>
          </cell>
          <cell r="E5047" t="str">
            <v>1|14106|10|1</v>
          </cell>
        </row>
        <row r="5048">
          <cell r="A5048">
            <v>70605</v>
          </cell>
          <cell r="B5048">
            <v>1</v>
          </cell>
          <cell r="C5048" t="str">
            <v>[]</v>
          </cell>
          <cell r="D5048" t="str">
            <v>60级大闹三界-简单-洗炼丹</v>
          </cell>
          <cell r="E5048" t="str">
            <v>1|14106|12|1</v>
          </cell>
        </row>
        <row r="5049">
          <cell r="A5049">
            <v>70606</v>
          </cell>
          <cell r="B5049">
            <v>1</v>
          </cell>
          <cell r="C5049" t="str">
            <v>[]</v>
          </cell>
          <cell r="D5049" t="str">
            <v>60级大闹三界-困难-洗炼丹</v>
          </cell>
          <cell r="E5049" t="str">
            <v>1|14106|14|1</v>
          </cell>
        </row>
        <row r="5050">
          <cell r="A5050">
            <v>70607</v>
          </cell>
          <cell r="B5050">
            <v>1</v>
          </cell>
          <cell r="C5050" t="str">
            <v>[]</v>
          </cell>
          <cell r="D5050" t="str">
            <v>70级大闹三界-简单-洗炼丹</v>
          </cell>
          <cell r="E5050" t="str">
            <v>1|14106|16|1</v>
          </cell>
        </row>
        <row r="5051">
          <cell r="A5051">
            <v>70608</v>
          </cell>
          <cell r="B5051">
            <v>1</v>
          </cell>
          <cell r="C5051" t="str">
            <v>[]</v>
          </cell>
          <cell r="D5051" t="str">
            <v>70级大闹三界-困难-洗炼丹</v>
          </cell>
          <cell r="E5051" t="str">
            <v>1|14106|18|1</v>
          </cell>
        </row>
        <row r="5052">
          <cell r="A5052">
            <v>70609</v>
          </cell>
          <cell r="B5052">
            <v>1</v>
          </cell>
          <cell r="C5052" t="str">
            <v>[]</v>
          </cell>
          <cell r="D5052" t="str">
            <v>80级大闹三界-简单-洗炼丹</v>
          </cell>
          <cell r="E5052" t="str">
            <v>1|14106|20|1</v>
          </cell>
        </row>
        <row r="5053">
          <cell r="A5053">
            <v>70610</v>
          </cell>
          <cell r="B5053">
            <v>1</v>
          </cell>
          <cell r="C5053" t="str">
            <v>[]</v>
          </cell>
          <cell r="D5053" t="str">
            <v>80级大闹三界-困难-洗炼丹</v>
          </cell>
          <cell r="E5053" t="str">
            <v>1|14106|22|1</v>
          </cell>
        </row>
        <row r="5054">
          <cell r="A5054">
            <v>70611</v>
          </cell>
          <cell r="B5054">
            <v>1</v>
          </cell>
          <cell r="C5054" t="str">
            <v>[]</v>
          </cell>
          <cell r="D5054" t="str">
            <v>90级大闹三界-困难-洗炼丹</v>
          </cell>
          <cell r="E5054" t="str">
            <v>1|14106|24|1</v>
          </cell>
        </row>
        <row r="5055">
          <cell r="A5055">
            <v>70612</v>
          </cell>
          <cell r="B5055">
            <v>1</v>
          </cell>
          <cell r="C5055" t="str">
            <v>[]</v>
          </cell>
          <cell r="D5055" t="str">
            <v>90级大闹三界-困难-洗炼丹</v>
          </cell>
          <cell r="E5055" t="str">
            <v>1|14106|24|1</v>
          </cell>
        </row>
        <row r="5056">
          <cell r="A5056">
            <v>70613</v>
          </cell>
          <cell r="B5056">
            <v>1</v>
          </cell>
          <cell r="C5056" t="str">
            <v>[]</v>
          </cell>
          <cell r="D5056" t="str">
            <v>100级大闹三界-简单-洗炼丹</v>
          </cell>
          <cell r="E5056" t="str">
            <v>1|14106|24|1</v>
          </cell>
        </row>
        <row r="5057">
          <cell r="A5057">
            <v>70614</v>
          </cell>
          <cell r="B5057">
            <v>1</v>
          </cell>
          <cell r="C5057" t="str">
            <v>[]</v>
          </cell>
          <cell r="D5057" t="str">
            <v>100级大闹三界-简单-洗炼丹</v>
          </cell>
          <cell r="E5057" t="str">
            <v>1|14106|24|1</v>
          </cell>
        </row>
        <row r="5058">
          <cell r="A5058">
            <v>70615</v>
          </cell>
          <cell r="B5058">
            <v>1</v>
          </cell>
          <cell r="C5058" t="str">
            <v>[]</v>
          </cell>
          <cell r="D5058" t="str">
            <v>110级大闹三界-简单-洗炼丹</v>
          </cell>
          <cell r="E5058" t="str">
            <v>1|14106|24|1</v>
          </cell>
        </row>
        <row r="5059">
          <cell r="A5059">
            <v>70616</v>
          </cell>
          <cell r="B5059">
            <v>1</v>
          </cell>
          <cell r="C5059" t="str">
            <v>[]</v>
          </cell>
          <cell r="D5059" t="str">
            <v>110级大闹三界-简单-洗炼丹</v>
          </cell>
          <cell r="E5059" t="str">
            <v>1|14106|24|1</v>
          </cell>
        </row>
        <row r="5060">
          <cell r="A5060">
            <v>70617</v>
          </cell>
          <cell r="B5060">
            <v>1</v>
          </cell>
          <cell r="C5060" t="str">
            <v>[]</v>
          </cell>
          <cell r="D5060" t="str">
            <v>120级大闹三界-简单-洗炼丹</v>
          </cell>
          <cell r="E5060" t="str">
            <v>1|14106|24|1</v>
          </cell>
        </row>
        <row r="5061">
          <cell r="A5061">
            <v>70618</v>
          </cell>
          <cell r="B5061">
            <v>1</v>
          </cell>
          <cell r="C5061" t="str">
            <v>[]</v>
          </cell>
          <cell r="D5061" t="str">
            <v>120级大闹三界-简单-洗炼丹</v>
          </cell>
          <cell r="E5061" t="str">
            <v>1|14106|24|1</v>
          </cell>
        </row>
        <row r="5062">
          <cell r="A5062">
            <v>70619</v>
          </cell>
          <cell r="B5062">
            <v>1</v>
          </cell>
          <cell r="C5062" t="str">
            <v>[]</v>
          </cell>
          <cell r="D5062" t="str">
            <v>130级大闹三界-简单-洗炼丹</v>
          </cell>
          <cell r="E5062" t="str">
            <v>1|14106|24|1</v>
          </cell>
        </row>
        <row r="5063">
          <cell r="A5063">
            <v>70620</v>
          </cell>
          <cell r="B5063">
            <v>1</v>
          </cell>
          <cell r="C5063" t="str">
            <v>[]</v>
          </cell>
          <cell r="D5063" t="str">
            <v>130级大闹三界-简单-洗炼丹</v>
          </cell>
          <cell r="E5063" t="str">
            <v>1|14106|24|1</v>
          </cell>
        </row>
        <row r="5064">
          <cell r="A5064">
            <v>70621</v>
          </cell>
          <cell r="B5064">
            <v>1</v>
          </cell>
          <cell r="C5064" t="str">
            <v>[]</v>
          </cell>
          <cell r="D5064" t="str">
            <v>140级大闹三界-简单-洗炼丹</v>
          </cell>
          <cell r="E5064" t="str">
            <v>1|14106|24|1</v>
          </cell>
        </row>
        <row r="5065">
          <cell r="A5065">
            <v>70622</v>
          </cell>
          <cell r="B5065">
            <v>1</v>
          </cell>
          <cell r="C5065" t="str">
            <v>[]</v>
          </cell>
          <cell r="D5065" t="str">
            <v>140级大闹三界-简单-洗炼丹</v>
          </cell>
          <cell r="E5065" t="str">
            <v>1|14106|24|1</v>
          </cell>
        </row>
        <row r="5066">
          <cell r="A5066">
            <v>70701</v>
          </cell>
          <cell r="B5066">
            <v>1</v>
          </cell>
          <cell r="C5066" t="str">
            <v>[]</v>
          </cell>
          <cell r="D5066" t="str">
            <v>40级大闹三界-简单-洗炼突破丹</v>
          </cell>
          <cell r="E5066" t="str">
            <v>1|16010|4|1</v>
          </cell>
        </row>
        <row r="5067">
          <cell r="A5067">
            <v>70702</v>
          </cell>
          <cell r="B5067">
            <v>1</v>
          </cell>
          <cell r="C5067" t="str">
            <v>[]</v>
          </cell>
          <cell r="D5067" t="str">
            <v>40级大闹三界-困难-洗炼突破丹</v>
          </cell>
          <cell r="E5067" t="str">
            <v>1|16010|6|1</v>
          </cell>
        </row>
        <row r="5068">
          <cell r="A5068">
            <v>70703</v>
          </cell>
          <cell r="B5068">
            <v>1</v>
          </cell>
          <cell r="C5068" t="str">
            <v>[]</v>
          </cell>
          <cell r="D5068" t="str">
            <v>50级大闹三界-简单-洗炼突破丹</v>
          </cell>
          <cell r="E5068" t="str">
            <v>1|16010|8|1</v>
          </cell>
        </row>
        <row r="5069">
          <cell r="A5069">
            <v>70704</v>
          </cell>
          <cell r="B5069">
            <v>1</v>
          </cell>
          <cell r="C5069" t="str">
            <v>[]</v>
          </cell>
          <cell r="D5069" t="str">
            <v>50级大闹三界-困难-洗炼突破丹</v>
          </cell>
          <cell r="E5069" t="str">
            <v>1|16010|10|1</v>
          </cell>
        </row>
        <row r="5070">
          <cell r="A5070">
            <v>70705</v>
          </cell>
          <cell r="B5070">
            <v>1</v>
          </cell>
          <cell r="C5070" t="str">
            <v>[]</v>
          </cell>
          <cell r="D5070" t="str">
            <v>60级大闹三界-简单-洗炼突破丹</v>
          </cell>
          <cell r="E5070" t="str">
            <v>1|16010|12|1</v>
          </cell>
        </row>
        <row r="5071">
          <cell r="A5071">
            <v>70706</v>
          </cell>
          <cell r="B5071">
            <v>1</v>
          </cell>
          <cell r="C5071" t="str">
            <v>[]</v>
          </cell>
          <cell r="D5071" t="str">
            <v>60级大闹三界-困难-洗炼突破丹</v>
          </cell>
          <cell r="E5071" t="str">
            <v>1|16010|14|1</v>
          </cell>
        </row>
        <row r="5072">
          <cell r="A5072">
            <v>70707</v>
          </cell>
          <cell r="B5072">
            <v>1</v>
          </cell>
          <cell r="C5072" t="str">
            <v>[]</v>
          </cell>
          <cell r="D5072" t="str">
            <v>70级大闹三界-简单-洗炼突破丹</v>
          </cell>
          <cell r="E5072" t="str">
            <v>1|16010|16|1</v>
          </cell>
        </row>
        <row r="5073">
          <cell r="A5073">
            <v>70708</v>
          </cell>
          <cell r="B5073">
            <v>1</v>
          </cell>
          <cell r="C5073" t="str">
            <v>[]</v>
          </cell>
          <cell r="D5073" t="str">
            <v>70级大闹三界-困难-洗炼突破丹</v>
          </cell>
          <cell r="E5073" t="str">
            <v>1|16010|18|1</v>
          </cell>
        </row>
        <row r="5074">
          <cell r="A5074">
            <v>70709</v>
          </cell>
          <cell r="B5074">
            <v>1</v>
          </cell>
          <cell r="C5074" t="str">
            <v>[]</v>
          </cell>
          <cell r="D5074" t="str">
            <v>80级大闹三界-简单-洗炼突破丹</v>
          </cell>
          <cell r="E5074" t="str">
            <v>1|16010|20|1</v>
          </cell>
        </row>
        <row r="5075">
          <cell r="A5075">
            <v>70710</v>
          </cell>
          <cell r="B5075">
            <v>1</v>
          </cell>
          <cell r="C5075" t="str">
            <v>[]</v>
          </cell>
          <cell r="D5075" t="str">
            <v>80级大闹三界-困难-洗炼突破丹</v>
          </cell>
          <cell r="E5075" t="str">
            <v>1|16010|22|1</v>
          </cell>
        </row>
        <row r="5076">
          <cell r="A5076">
            <v>70711</v>
          </cell>
          <cell r="B5076">
            <v>1</v>
          </cell>
          <cell r="C5076" t="str">
            <v>[]</v>
          </cell>
          <cell r="D5076" t="str">
            <v>90级大闹三界-困难-洗炼突破丹</v>
          </cell>
          <cell r="E5076" t="str">
            <v>1|16010|24|1</v>
          </cell>
        </row>
        <row r="5077">
          <cell r="A5077">
            <v>70712</v>
          </cell>
          <cell r="B5077">
            <v>1</v>
          </cell>
          <cell r="C5077" t="str">
            <v>[]</v>
          </cell>
          <cell r="D5077" t="str">
            <v>90级大闹三界-困难-洗炼突破丹</v>
          </cell>
          <cell r="E5077" t="str">
            <v>1|16010|24|1</v>
          </cell>
        </row>
        <row r="5078">
          <cell r="A5078">
            <v>70713</v>
          </cell>
          <cell r="B5078">
            <v>1</v>
          </cell>
          <cell r="C5078" t="str">
            <v>[]</v>
          </cell>
          <cell r="D5078" t="str">
            <v>100级大闹三界-简单-洗炼突破丹</v>
          </cell>
          <cell r="E5078" t="str">
            <v>1|16010|24|1</v>
          </cell>
        </row>
        <row r="5079">
          <cell r="A5079">
            <v>70714</v>
          </cell>
          <cell r="B5079">
            <v>1</v>
          </cell>
          <cell r="C5079" t="str">
            <v>[]</v>
          </cell>
          <cell r="D5079" t="str">
            <v>100级大闹三界-简单-洗炼突破丹</v>
          </cell>
          <cell r="E5079" t="str">
            <v>1|16010|24|1</v>
          </cell>
        </row>
        <row r="5080">
          <cell r="A5080">
            <v>70715</v>
          </cell>
          <cell r="B5080">
            <v>1</v>
          </cell>
          <cell r="C5080" t="str">
            <v>[]</v>
          </cell>
          <cell r="D5080" t="str">
            <v>110级大闹三界-简单-洗炼突破丹</v>
          </cell>
          <cell r="E5080" t="str">
            <v>1|16010|24|1</v>
          </cell>
        </row>
        <row r="5081">
          <cell r="A5081">
            <v>70716</v>
          </cell>
          <cell r="B5081">
            <v>1</v>
          </cell>
          <cell r="C5081" t="str">
            <v>[]</v>
          </cell>
          <cell r="D5081" t="str">
            <v>110级大闹三界-简单-洗炼突破丹</v>
          </cell>
          <cell r="E5081" t="str">
            <v>1|16010|24|1</v>
          </cell>
        </row>
        <row r="5082">
          <cell r="A5082">
            <v>70717</v>
          </cell>
          <cell r="B5082">
            <v>1</v>
          </cell>
          <cell r="C5082" t="str">
            <v>[]</v>
          </cell>
          <cell r="D5082" t="str">
            <v>120级大闹三界-简单-洗炼突破丹</v>
          </cell>
          <cell r="E5082" t="str">
            <v>1|16010|24|1</v>
          </cell>
        </row>
        <row r="5083">
          <cell r="A5083">
            <v>70718</v>
          </cell>
          <cell r="B5083">
            <v>1</v>
          </cell>
          <cell r="C5083" t="str">
            <v>[]</v>
          </cell>
          <cell r="D5083" t="str">
            <v>120级大闹三界-简单-洗炼突破丹</v>
          </cell>
          <cell r="E5083" t="str">
            <v>1|16010|24|1</v>
          </cell>
        </row>
        <row r="5084">
          <cell r="A5084">
            <v>70719</v>
          </cell>
          <cell r="B5084">
            <v>1</v>
          </cell>
          <cell r="C5084" t="str">
            <v>[]</v>
          </cell>
          <cell r="D5084" t="str">
            <v>130级大闹三界-简单-洗炼突破丹</v>
          </cell>
          <cell r="E5084" t="str">
            <v>1|16010|24|1</v>
          </cell>
        </row>
        <row r="5085">
          <cell r="A5085">
            <v>70720</v>
          </cell>
          <cell r="B5085">
            <v>1</v>
          </cell>
          <cell r="C5085" t="str">
            <v>[]</v>
          </cell>
          <cell r="D5085" t="str">
            <v>130级大闹三界-简单-洗炼突破丹</v>
          </cell>
          <cell r="E5085" t="str">
            <v>1|16010|24|1</v>
          </cell>
        </row>
        <row r="5086">
          <cell r="A5086">
            <v>70721</v>
          </cell>
          <cell r="B5086">
            <v>1</v>
          </cell>
          <cell r="C5086" t="str">
            <v>[]</v>
          </cell>
          <cell r="D5086" t="str">
            <v>140级大闹三界-简单-洗炼突破丹</v>
          </cell>
          <cell r="E5086" t="str">
            <v>1|16010|24|1</v>
          </cell>
        </row>
        <row r="5087">
          <cell r="A5087">
            <v>70722</v>
          </cell>
          <cell r="B5087">
            <v>1</v>
          </cell>
          <cell r="C5087" t="str">
            <v>[]</v>
          </cell>
          <cell r="D5087" t="str">
            <v>140级大闹三界-简单-洗炼突破丹</v>
          </cell>
          <cell r="E5087" t="str">
            <v>1|16010|24|1</v>
          </cell>
        </row>
        <row r="5088">
          <cell r="A5088">
            <v>72001</v>
          </cell>
          <cell r="B5088">
            <v>1</v>
          </cell>
          <cell r="C5088" t="str">
            <v>4|1|200000</v>
          </cell>
          <cell r="D5088" t="str">
            <v>竞技场排名1名奖励</v>
          </cell>
          <cell r="E5088" t="str">
            <v>4|1|200000|1</v>
          </cell>
        </row>
        <row r="5089">
          <cell r="A5089">
            <v>72002</v>
          </cell>
          <cell r="B5089">
            <v>1</v>
          </cell>
          <cell r="C5089" t="str">
            <v>4|2|500</v>
          </cell>
          <cell r="D5089" t="str">
            <v>竞技场排名1名奖励</v>
          </cell>
          <cell r="E5089" t="str">
            <v>4|2|500|1</v>
          </cell>
        </row>
        <row r="5090">
          <cell r="A5090">
            <v>72003</v>
          </cell>
          <cell r="B5090">
            <v>1</v>
          </cell>
          <cell r="C5090" t="str">
            <v>4|5|5000</v>
          </cell>
          <cell r="D5090" t="str">
            <v>竞技场排名1名奖励</v>
          </cell>
          <cell r="E5090" t="str">
            <v>4|5|5000|1</v>
          </cell>
        </row>
        <row r="5091">
          <cell r="A5091">
            <v>72004</v>
          </cell>
          <cell r="B5091">
            <v>1</v>
          </cell>
          <cell r="C5091" t="str">
            <v>4|1|180000</v>
          </cell>
          <cell r="D5091" t="str">
            <v>竞技场排名2-5名奖励</v>
          </cell>
          <cell r="E5091" t="str">
            <v>4|1|180000|1</v>
          </cell>
        </row>
        <row r="5092">
          <cell r="A5092">
            <v>72005</v>
          </cell>
          <cell r="B5092">
            <v>1</v>
          </cell>
          <cell r="C5092" t="str">
            <v>4|2|400</v>
          </cell>
          <cell r="D5092" t="str">
            <v>竞技场排名2-5名奖励</v>
          </cell>
          <cell r="E5092" t="str">
            <v>4|2|400|1</v>
          </cell>
        </row>
        <row r="5093">
          <cell r="A5093">
            <v>72006</v>
          </cell>
          <cell r="B5093">
            <v>1</v>
          </cell>
          <cell r="C5093" t="str">
            <v>4|5|4000</v>
          </cell>
          <cell r="D5093" t="str">
            <v>竞技场排名2-5名奖励</v>
          </cell>
          <cell r="E5093" t="str">
            <v>4|5|4000|1</v>
          </cell>
        </row>
        <row r="5094">
          <cell r="A5094">
            <v>72007</v>
          </cell>
          <cell r="B5094">
            <v>1</v>
          </cell>
          <cell r="C5094" t="str">
            <v>4|1|150000</v>
          </cell>
          <cell r="D5094" t="str">
            <v>竞技场排名6-20名奖励</v>
          </cell>
          <cell r="E5094" t="str">
            <v>4|1|150000|1</v>
          </cell>
        </row>
        <row r="5095">
          <cell r="A5095">
            <v>72008</v>
          </cell>
          <cell r="B5095">
            <v>1</v>
          </cell>
          <cell r="C5095" t="str">
            <v>4|2|300</v>
          </cell>
          <cell r="D5095" t="str">
            <v>竞技场排名6-20名奖励</v>
          </cell>
          <cell r="E5095" t="str">
            <v>4|2|300|1</v>
          </cell>
        </row>
        <row r="5096">
          <cell r="A5096">
            <v>72009</v>
          </cell>
          <cell r="B5096">
            <v>1</v>
          </cell>
          <cell r="C5096" t="str">
            <v>4|5|3500</v>
          </cell>
          <cell r="D5096" t="str">
            <v>竞技场排名6-20名奖励</v>
          </cell>
          <cell r="E5096" t="str">
            <v>4|5|3500|1</v>
          </cell>
        </row>
        <row r="5097">
          <cell r="A5097">
            <v>72010</v>
          </cell>
          <cell r="B5097">
            <v>1</v>
          </cell>
          <cell r="C5097" t="str">
            <v>4|1|100000</v>
          </cell>
          <cell r="D5097" t="str">
            <v>竞技场排名21-50名奖励</v>
          </cell>
          <cell r="E5097" t="str">
            <v>4|1|100000|1</v>
          </cell>
        </row>
        <row r="5098">
          <cell r="A5098">
            <v>72011</v>
          </cell>
          <cell r="B5098">
            <v>1</v>
          </cell>
          <cell r="C5098" t="str">
            <v>4|2|250</v>
          </cell>
          <cell r="D5098" t="str">
            <v>竞技场排名21-50名奖励</v>
          </cell>
          <cell r="E5098" t="str">
            <v>4|2|250|1</v>
          </cell>
        </row>
        <row r="5099">
          <cell r="A5099">
            <v>72012</v>
          </cell>
          <cell r="B5099">
            <v>1</v>
          </cell>
          <cell r="C5099" t="str">
            <v>4|5|3000</v>
          </cell>
          <cell r="D5099" t="str">
            <v>竞技场排名21-50名奖励</v>
          </cell>
          <cell r="E5099" t="str">
            <v>4|5|3000|1</v>
          </cell>
        </row>
        <row r="5100">
          <cell r="A5100">
            <v>72013</v>
          </cell>
          <cell r="B5100">
            <v>1</v>
          </cell>
          <cell r="C5100" t="str">
            <v>4|1|80000</v>
          </cell>
          <cell r="D5100" t="str">
            <v>竞技场排名51-100名奖励</v>
          </cell>
          <cell r="E5100" t="str">
            <v>4|1|80000|1</v>
          </cell>
        </row>
        <row r="5101">
          <cell r="A5101">
            <v>72014</v>
          </cell>
          <cell r="B5101">
            <v>1</v>
          </cell>
          <cell r="C5101" t="str">
            <v>4|2|200</v>
          </cell>
          <cell r="D5101" t="str">
            <v>竞技场排名51-100名奖励</v>
          </cell>
          <cell r="E5101" t="str">
            <v>4|2|200|1</v>
          </cell>
        </row>
        <row r="5102">
          <cell r="A5102">
            <v>72015</v>
          </cell>
          <cell r="B5102">
            <v>1</v>
          </cell>
          <cell r="C5102" t="str">
            <v>4|5|2500</v>
          </cell>
          <cell r="D5102" t="str">
            <v>竞技场排名51-100名奖励</v>
          </cell>
          <cell r="E5102" t="str">
            <v>4|5|2500|1</v>
          </cell>
        </row>
        <row r="5103">
          <cell r="A5103">
            <v>72016</v>
          </cell>
          <cell r="B5103">
            <v>1</v>
          </cell>
          <cell r="C5103" t="str">
            <v>4|1|50000</v>
          </cell>
          <cell r="D5103" t="str">
            <v>竞技场排名101-300名奖励</v>
          </cell>
          <cell r="E5103" t="str">
            <v>4|1|50000|1</v>
          </cell>
        </row>
        <row r="5104">
          <cell r="A5104">
            <v>72017</v>
          </cell>
          <cell r="B5104">
            <v>1</v>
          </cell>
          <cell r="C5104" t="str">
            <v>4|2|150</v>
          </cell>
          <cell r="D5104" t="str">
            <v>竞技场排名101-300名奖励</v>
          </cell>
          <cell r="E5104" t="str">
            <v>4|2|150|1</v>
          </cell>
        </row>
        <row r="5105">
          <cell r="A5105">
            <v>72018</v>
          </cell>
          <cell r="B5105">
            <v>1</v>
          </cell>
          <cell r="C5105" t="str">
            <v>4|5|2000</v>
          </cell>
          <cell r="D5105" t="str">
            <v>竞技场排名101-300名奖励</v>
          </cell>
          <cell r="E5105" t="str">
            <v>4|5|2000|1</v>
          </cell>
        </row>
        <row r="5106">
          <cell r="A5106">
            <v>72019</v>
          </cell>
          <cell r="B5106">
            <v>1</v>
          </cell>
          <cell r="C5106" t="str">
            <v>4|1|30000</v>
          </cell>
          <cell r="D5106" t="str">
            <v>竞技场排名301-500名奖励</v>
          </cell>
          <cell r="E5106" t="str">
            <v>4|1|30000|1</v>
          </cell>
        </row>
        <row r="5107">
          <cell r="A5107">
            <v>72020</v>
          </cell>
          <cell r="B5107">
            <v>1</v>
          </cell>
          <cell r="C5107" t="str">
            <v>4|2|100</v>
          </cell>
          <cell r="D5107" t="str">
            <v>竞技场排名301-500名奖励</v>
          </cell>
          <cell r="E5107" t="str">
            <v>4|2|100|1</v>
          </cell>
        </row>
        <row r="5108">
          <cell r="A5108">
            <v>72021</v>
          </cell>
          <cell r="B5108">
            <v>1</v>
          </cell>
          <cell r="C5108" t="str">
            <v>4|5|1000</v>
          </cell>
          <cell r="D5108" t="str">
            <v>竞技场排名301-500名奖励</v>
          </cell>
          <cell r="E5108" t="str">
            <v>4|5|1000|1</v>
          </cell>
        </row>
        <row r="5109">
          <cell r="A5109">
            <v>72022</v>
          </cell>
          <cell r="B5109">
            <v>1</v>
          </cell>
          <cell r="C5109" t="str">
            <v>4|1|10000</v>
          </cell>
          <cell r="D5109" t="str">
            <v>竞技场排名501-1000名奖励</v>
          </cell>
          <cell r="E5109" t="str">
            <v>4|1|10000|1</v>
          </cell>
        </row>
        <row r="5110">
          <cell r="A5110">
            <v>72023</v>
          </cell>
          <cell r="B5110">
            <v>1</v>
          </cell>
          <cell r="C5110" t="str">
            <v>4|2|50</v>
          </cell>
          <cell r="D5110" t="str">
            <v>竞技场排名501-1000名奖励</v>
          </cell>
          <cell r="E5110" t="str">
            <v>4|2|50|1</v>
          </cell>
        </row>
        <row r="5111">
          <cell r="A5111">
            <v>72024</v>
          </cell>
          <cell r="B5111">
            <v>1</v>
          </cell>
          <cell r="C5111" t="str">
            <v>4|5|500</v>
          </cell>
          <cell r="D5111" t="str">
            <v>竞技场排名501-1000名奖励</v>
          </cell>
          <cell r="E5111" t="str">
            <v>4|5|500|1</v>
          </cell>
        </row>
        <row r="5112">
          <cell r="A5112">
            <v>72025</v>
          </cell>
          <cell r="B5112">
            <v>1</v>
          </cell>
          <cell r="C5112" t="str">
            <v>4|1|1000</v>
          </cell>
          <cell r="D5112" t="str">
            <v>竞技场排名1001-2000名奖励</v>
          </cell>
          <cell r="E5112" t="str">
            <v>4|1|1000|1</v>
          </cell>
        </row>
        <row r="5113">
          <cell r="A5113">
            <v>72026</v>
          </cell>
          <cell r="B5113">
            <v>1</v>
          </cell>
          <cell r="C5113" t="str">
            <v>4|2|100</v>
          </cell>
          <cell r="D5113" t="str">
            <v>竞技场排名1001-2000名奖励</v>
          </cell>
          <cell r="E5113" t="str">
            <v>4|2|100|1</v>
          </cell>
        </row>
        <row r="5114">
          <cell r="A5114">
            <v>72027</v>
          </cell>
          <cell r="B5114">
            <v>1</v>
          </cell>
          <cell r="C5114" t="str">
            <v>4|5|800</v>
          </cell>
          <cell r="D5114" t="str">
            <v>竞技场排名1001-2000名奖励</v>
          </cell>
          <cell r="E5114" t="str">
            <v>4|5|800|1</v>
          </cell>
        </row>
        <row r="5115">
          <cell r="A5115">
            <v>72028</v>
          </cell>
          <cell r="B5115">
            <v>1</v>
          </cell>
          <cell r="C5115" t="str">
            <v>4|1|5000</v>
          </cell>
          <cell r="D5115" t="str">
            <v>竞技场排名2001-5000名奖励</v>
          </cell>
          <cell r="E5115" t="str">
            <v>4|1|5000|1</v>
          </cell>
        </row>
        <row r="5116">
          <cell r="A5116">
            <v>72029</v>
          </cell>
          <cell r="B5116">
            <v>1</v>
          </cell>
          <cell r="C5116" t="str">
            <v>4|2|100</v>
          </cell>
          <cell r="D5116" t="str">
            <v>竞技场排名2001-5000名奖励</v>
          </cell>
          <cell r="E5116" t="str">
            <v>4|2|100|1</v>
          </cell>
        </row>
        <row r="5117">
          <cell r="A5117">
            <v>72030</v>
          </cell>
          <cell r="B5117">
            <v>1</v>
          </cell>
          <cell r="C5117" t="str">
            <v>4|5|700</v>
          </cell>
          <cell r="D5117" t="str">
            <v>竞技场排名2001-5000名奖励</v>
          </cell>
          <cell r="E5117" t="str">
            <v>4|5|700|1</v>
          </cell>
        </row>
        <row r="5118">
          <cell r="A5118">
            <v>72031</v>
          </cell>
          <cell r="B5118">
            <v>1</v>
          </cell>
          <cell r="C5118" t="str">
            <v>4|1|5000</v>
          </cell>
          <cell r="D5118" t="str">
            <v>竞技场排名5001~10000名奖励</v>
          </cell>
          <cell r="E5118" t="str">
            <v>4|1|5000|1</v>
          </cell>
        </row>
        <row r="5119">
          <cell r="A5119">
            <v>72032</v>
          </cell>
          <cell r="B5119">
            <v>1</v>
          </cell>
          <cell r="C5119" t="str">
            <v>4|2|100</v>
          </cell>
          <cell r="D5119" t="str">
            <v>竞技场排名5001~10000名奖励</v>
          </cell>
          <cell r="E5119" t="str">
            <v>4|2|100|1</v>
          </cell>
        </row>
        <row r="5120">
          <cell r="A5120">
            <v>72033</v>
          </cell>
          <cell r="B5120">
            <v>1</v>
          </cell>
          <cell r="C5120" t="str">
            <v>4|5|600</v>
          </cell>
          <cell r="D5120" t="str">
            <v>竞技场排名5001~10000名奖励</v>
          </cell>
          <cell r="E5120" t="str">
            <v>4|5|600|1</v>
          </cell>
        </row>
        <row r="5121">
          <cell r="A5121">
            <v>72034</v>
          </cell>
          <cell r="B5121">
            <v>1</v>
          </cell>
          <cell r="C5121" t="str">
            <v>4|1|5000</v>
          </cell>
          <cell r="D5121" t="str">
            <v>竞技场排名51~100名奖励</v>
          </cell>
          <cell r="E5121" t="str">
            <v>4|1|5000|1</v>
          </cell>
        </row>
        <row r="5122">
          <cell r="A5122">
            <v>72035</v>
          </cell>
          <cell r="B5122">
            <v>1</v>
          </cell>
          <cell r="C5122" t="str">
            <v>4|2|100</v>
          </cell>
          <cell r="D5122" t="str">
            <v>竞技场排名51~100名奖励</v>
          </cell>
          <cell r="E5122" t="str">
            <v>4|2|100|1</v>
          </cell>
        </row>
        <row r="5123">
          <cell r="A5123">
            <v>72036</v>
          </cell>
          <cell r="B5123">
            <v>1</v>
          </cell>
          <cell r="C5123" t="str">
            <v>4|5|500</v>
          </cell>
          <cell r="D5123" t="str">
            <v>竞技场排名51~100名奖励</v>
          </cell>
          <cell r="E5123" t="str">
            <v>4|5|500|1</v>
          </cell>
        </row>
        <row r="5124">
          <cell r="A5124">
            <v>72037</v>
          </cell>
          <cell r="B5124">
            <v>1</v>
          </cell>
          <cell r="C5124" t="str">
            <v>4|1|5000</v>
          </cell>
          <cell r="D5124" t="str">
            <v>竞技场排名101~500名奖励</v>
          </cell>
          <cell r="E5124" t="str">
            <v>4|1|5000|1</v>
          </cell>
        </row>
        <row r="5125">
          <cell r="A5125">
            <v>72038</v>
          </cell>
          <cell r="B5125">
            <v>1</v>
          </cell>
          <cell r="C5125" t="str">
            <v>4|2|100</v>
          </cell>
          <cell r="D5125" t="str">
            <v>竞技场排名101~500名奖励</v>
          </cell>
          <cell r="E5125" t="str">
            <v>4|2|100|1</v>
          </cell>
        </row>
        <row r="5126">
          <cell r="A5126">
            <v>72039</v>
          </cell>
          <cell r="B5126">
            <v>1</v>
          </cell>
          <cell r="C5126" t="str">
            <v>4|5|500</v>
          </cell>
          <cell r="D5126" t="str">
            <v>竞技场排名101~500名奖励</v>
          </cell>
          <cell r="E5126" t="str">
            <v>4|5|500|1</v>
          </cell>
        </row>
        <row r="5127">
          <cell r="A5127">
            <v>72040</v>
          </cell>
          <cell r="B5127">
            <v>1</v>
          </cell>
          <cell r="C5127" t="str">
            <v>4|1|5000</v>
          </cell>
          <cell r="D5127" t="str">
            <v>竞技场排名501~1000名奖励</v>
          </cell>
          <cell r="E5127" t="str">
            <v>4|1|5000|1</v>
          </cell>
        </row>
        <row r="5128">
          <cell r="A5128">
            <v>72041</v>
          </cell>
          <cell r="B5128">
            <v>1</v>
          </cell>
          <cell r="C5128" t="str">
            <v>4|2|100</v>
          </cell>
          <cell r="D5128" t="str">
            <v>竞技场排名501~1000名奖励</v>
          </cell>
          <cell r="E5128" t="str">
            <v>4|2|100|1</v>
          </cell>
        </row>
        <row r="5129">
          <cell r="A5129">
            <v>72042</v>
          </cell>
          <cell r="B5129">
            <v>1</v>
          </cell>
          <cell r="C5129" t="str">
            <v>4|5|500</v>
          </cell>
          <cell r="D5129" t="str">
            <v>竞技场排名501~1000名奖励</v>
          </cell>
          <cell r="E5129" t="str">
            <v>4|5|500|1</v>
          </cell>
        </row>
        <row r="5130">
          <cell r="A5130">
            <v>72043</v>
          </cell>
          <cell r="B5130">
            <v>1</v>
          </cell>
          <cell r="C5130" t="str">
            <v>4|2|100</v>
          </cell>
          <cell r="D5130" t="str">
            <v>竞技场排名1001~2000名奖励</v>
          </cell>
          <cell r="E5130" t="str">
            <v>4|2|100|1</v>
          </cell>
        </row>
        <row r="5131">
          <cell r="A5131">
            <v>72044</v>
          </cell>
          <cell r="B5131">
            <v>1</v>
          </cell>
          <cell r="C5131" t="str">
            <v>4|5|500</v>
          </cell>
          <cell r="D5131" t="str">
            <v>竞技场排名1001~2000名奖励</v>
          </cell>
          <cell r="E5131" t="str">
            <v>4|5|500|1</v>
          </cell>
        </row>
        <row r="5132">
          <cell r="A5132">
            <v>72045</v>
          </cell>
          <cell r="B5132">
            <v>1</v>
          </cell>
          <cell r="C5132" t="str">
            <v>4|2|100</v>
          </cell>
          <cell r="D5132" t="str">
            <v>竞技场排名2001~4000名奖励</v>
          </cell>
          <cell r="E5132" t="str">
            <v>4|2|100|1</v>
          </cell>
        </row>
        <row r="5133">
          <cell r="A5133">
            <v>72046</v>
          </cell>
          <cell r="B5133">
            <v>1</v>
          </cell>
          <cell r="C5133" t="str">
            <v>4|5|500</v>
          </cell>
          <cell r="D5133" t="str">
            <v>竞技场排名2001~4000名奖励</v>
          </cell>
          <cell r="E5133" t="str">
            <v>4|5|500|1</v>
          </cell>
        </row>
        <row r="5134">
          <cell r="A5134">
            <v>72047</v>
          </cell>
          <cell r="B5134">
            <v>1</v>
          </cell>
          <cell r="C5134" t="str">
            <v>4|2|100</v>
          </cell>
          <cell r="D5134" t="str">
            <v>竞技场排名4001~6000名奖励</v>
          </cell>
          <cell r="E5134" t="str">
            <v>4|2|100|1</v>
          </cell>
        </row>
        <row r="5135">
          <cell r="A5135">
            <v>72048</v>
          </cell>
          <cell r="B5135">
            <v>1</v>
          </cell>
          <cell r="C5135" t="str">
            <v>4|5|500</v>
          </cell>
          <cell r="D5135" t="str">
            <v>竞技场排名4001~6000名奖励</v>
          </cell>
          <cell r="E5135" t="str">
            <v>4|5|500|1</v>
          </cell>
        </row>
        <row r="5136">
          <cell r="A5136">
            <v>72049</v>
          </cell>
          <cell r="B5136">
            <v>1</v>
          </cell>
          <cell r="C5136" t="str">
            <v>4|2|100</v>
          </cell>
          <cell r="D5136" t="str">
            <v>竞技场排名6001~10000名奖励</v>
          </cell>
          <cell r="E5136" t="str">
            <v>4|2|100|1</v>
          </cell>
        </row>
        <row r="5137">
          <cell r="A5137">
            <v>72050</v>
          </cell>
          <cell r="B5137">
            <v>1</v>
          </cell>
          <cell r="C5137" t="str">
            <v>4|5|500</v>
          </cell>
          <cell r="D5137" t="str">
            <v>竞技场排名6001~10000名奖励</v>
          </cell>
          <cell r="E5137" t="str">
            <v>4|5|500|1</v>
          </cell>
        </row>
        <row r="5138">
          <cell r="A5138">
            <v>73001</v>
          </cell>
          <cell r="B5138">
            <v>0</v>
          </cell>
          <cell r="C5138" t="str">
            <v>4|1|100000</v>
          </cell>
          <cell r="D5138" t="str">
            <v>金币日常1</v>
          </cell>
          <cell r="E5138" t="str">
            <v>4|1|100000|1</v>
          </cell>
        </row>
        <row r="5139">
          <cell r="A5139">
            <v>73002</v>
          </cell>
          <cell r="B5139">
            <v>0</v>
          </cell>
          <cell r="C5139" t="str">
            <v>4|1|150000</v>
          </cell>
          <cell r="D5139" t="str">
            <v>金币日常2</v>
          </cell>
          <cell r="E5139" t="str">
            <v>4|1|150000|1</v>
          </cell>
        </row>
        <row r="5140">
          <cell r="A5140">
            <v>73003</v>
          </cell>
          <cell r="B5140">
            <v>0</v>
          </cell>
          <cell r="C5140" t="str">
            <v>4|1|200000</v>
          </cell>
          <cell r="D5140" t="str">
            <v>金币日常3</v>
          </cell>
          <cell r="E5140" t="str">
            <v>4|1|200000|1</v>
          </cell>
        </row>
        <row r="5141">
          <cell r="A5141">
            <v>73004</v>
          </cell>
          <cell r="B5141">
            <v>0</v>
          </cell>
          <cell r="C5141" t="str">
            <v>4|1|250000</v>
          </cell>
          <cell r="D5141" t="str">
            <v>金币日常4</v>
          </cell>
          <cell r="E5141" t="str">
            <v>4|1|250000|1</v>
          </cell>
        </row>
        <row r="5142">
          <cell r="A5142">
            <v>73005</v>
          </cell>
          <cell r="B5142">
            <v>0</v>
          </cell>
          <cell r="C5142" t="str">
            <v>4|1|300000</v>
          </cell>
          <cell r="D5142" t="str">
            <v>金币日常5</v>
          </cell>
          <cell r="E5142" t="str">
            <v>4|1|300000|1</v>
          </cell>
        </row>
        <row r="5143">
          <cell r="A5143">
            <v>73006</v>
          </cell>
          <cell r="B5143">
            <v>0</v>
          </cell>
          <cell r="C5143" t="str">
            <v>4|1|350000</v>
          </cell>
          <cell r="D5143" t="str">
            <v>金币日常6</v>
          </cell>
          <cell r="E5143" t="str">
            <v>4|1|350000|1</v>
          </cell>
        </row>
        <row r="5144">
          <cell r="A5144">
            <v>73007</v>
          </cell>
          <cell r="B5144">
            <v>0</v>
          </cell>
          <cell r="C5144" t="str">
            <v>4|1|400000</v>
          </cell>
          <cell r="D5144" t="str">
            <v>金币日常7</v>
          </cell>
          <cell r="E5144" t="str">
            <v>4|1|400000|1</v>
          </cell>
        </row>
        <row r="5145">
          <cell r="A5145">
            <v>73008</v>
          </cell>
          <cell r="B5145">
            <v>0</v>
          </cell>
          <cell r="C5145" t="str">
            <v>4|1|450000</v>
          </cell>
          <cell r="D5145" t="str">
            <v>金币日常8</v>
          </cell>
          <cell r="E5145" t="str">
            <v>4|1|450000|1</v>
          </cell>
        </row>
        <row r="5146">
          <cell r="A5146">
            <v>73009</v>
          </cell>
          <cell r="B5146">
            <v>0</v>
          </cell>
          <cell r="C5146" t="str">
            <v>4|1|500000</v>
          </cell>
          <cell r="D5146" t="str">
            <v>金币日常9</v>
          </cell>
          <cell r="E5146" t="str">
            <v>4|1|500000|1</v>
          </cell>
        </row>
        <row r="5147">
          <cell r="A5147">
            <v>73010</v>
          </cell>
          <cell r="B5147">
            <v>0</v>
          </cell>
          <cell r="C5147" t="str">
            <v>4|1|550000</v>
          </cell>
          <cell r="D5147" t="str">
            <v>金币日常10</v>
          </cell>
          <cell r="E5147" t="str">
            <v>4|1|550000|1</v>
          </cell>
        </row>
        <row r="5148">
          <cell r="A5148">
            <v>73011</v>
          </cell>
          <cell r="B5148">
            <v>0</v>
          </cell>
          <cell r="C5148" t="str">
            <v>4|1|600000</v>
          </cell>
          <cell r="D5148" t="str">
            <v>金币日常11</v>
          </cell>
          <cell r="E5148" t="str">
            <v>4|1|600000|1</v>
          </cell>
        </row>
        <row r="5149">
          <cell r="A5149">
            <v>73012</v>
          </cell>
          <cell r="B5149">
            <v>0</v>
          </cell>
          <cell r="C5149" t="str">
            <v>4|1|650000</v>
          </cell>
          <cell r="D5149" t="str">
            <v>金币日常12</v>
          </cell>
          <cell r="E5149" t="str">
            <v>4|1|650000|1</v>
          </cell>
        </row>
        <row r="5150">
          <cell r="A5150">
            <v>73013</v>
          </cell>
          <cell r="B5150">
            <v>0</v>
          </cell>
          <cell r="C5150" t="str">
            <v>4|1|700000</v>
          </cell>
          <cell r="D5150" t="str">
            <v>金币日常13</v>
          </cell>
          <cell r="E5150" t="str">
            <v>4|1|700000|1</v>
          </cell>
        </row>
        <row r="5151">
          <cell r="A5151">
            <v>73014</v>
          </cell>
          <cell r="B5151">
            <v>0</v>
          </cell>
          <cell r="C5151" t="str">
            <v>4|1|750000</v>
          </cell>
          <cell r="D5151" t="str">
            <v>金币日常14</v>
          </cell>
          <cell r="E5151" t="str">
            <v>4|1|750000|1</v>
          </cell>
        </row>
        <row r="5152">
          <cell r="A5152">
            <v>73015</v>
          </cell>
          <cell r="B5152">
            <v>0</v>
          </cell>
          <cell r="C5152" t="str">
            <v>4|1|800000</v>
          </cell>
          <cell r="D5152" t="str">
            <v>金币日常15</v>
          </cell>
          <cell r="E5152" t="str">
            <v>4|1|800000|1</v>
          </cell>
        </row>
        <row r="5153">
          <cell r="A5153">
            <v>73016</v>
          </cell>
          <cell r="B5153">
            <v>0</v>
          </cell>
          <cell r="C5153" t="str">
            <v>4|1|850000</v>
          </cell>
          <cell r="D5153" t="str">
            <v>金币日常16</v>
          </cell>
          <cell r="E5153" t="str">
            <v>4|1|850000|1</v>
          </cell>
        </row>
        <row r="5154">
          <cell r="A5154">
            <v>73017</v>
          </cell>
          <cell r="B5154">
            <v>0</v>
          </cell>
          <cell r="C5154" t="str">
            <v>4|1|900000</v>
          </cell>
          <cell r="D5154" t="str">
            <v>金币日常17</v>
          </cell>
          <cell r="E5154" t="str">
            <v>4|1|900000|1</v>
          </cell>
        </row>
        <row r="5155">
          <cell r="A5155">
            <v>73101</v>
          </cell>
          <cell r="B5155">
            <v>0</v>
          </cell>
          <cell r="C5155" t="str">
            <v>1|14001|30</v>
          </cell>
          <cell r="D5155" t="str">
            <v>伙伴经验丹日常1</v>
          </cell>
          <cell r="E5155" t="str">
            <v>1|14001|30|1</v>
          </cell>
        </row>
        <row r="5156">
          <cell r="A5156">
            <v>73102</v>
          </cell>
          <cell r="B5156">
            <v>0</v>
          </cell>
          <cell r="C5156" t="str">
            <v>1|14002|12</v>
          </cell>
          <cell r="D5156" t="str">
            <v>伙伴经验丹日常2</v>
          </cell>
          <cell r="E5156" t="str">
            <v>1|14002|12|1</v>
          </cell>
        </row>
        <row r="5157">
          <cell r="A5157">
            <v>73103</v>
          </cell>
          <cell r="B5157">
            <v>0</v>
          </cell>
          <cell r="C5157" t="str">
            <v>1|14002|16</v>
          </cell>
          <cell r="D5157" t="str">
            <v>伙伴经验丹日常3</v>
          </cell>
          <cell r="E5157" t="str">
            <v>1|14002|16|1</v>
          </cell>
        </row>
        <row r="5158">
          <cell r="A5158">
            <v>73104</v>
          </cell>
          <cell r="B5158">
            <v>0</v>
          </cell>
          <cell r="C5158" t="str">
            <v>1|14002|20</v>
          </cell>
          <cell r="D5158" t="str">
            <v>伙伴经验丹日常4</v>
          </cell>
          <cell r="E5158" t="str">
            <v>1|14002|20|1</v>
          </cell>
        </row>
        <row r="5159">
          <cell r="A5159">
            <v>73105</v>
          </cell>
          <cell r="B5159">
            <v>0</v>
          </cell>
          <cell r="C5159" t="str">
            <v>1|14003|12</v>
          </cell>
          <cell r="D5159" t="str">
            <v>伙伴经验丹日常5</v>
          </cell>
          <cell r="E5159" t="str">
            <v>1|14003|12|1</v>
          </cell>
        </row>
        <row r="5160">
          <cell r="A5160">
            <v>73106</v>
          </cell>
          <cell r="B5160">
            <v>0</v>
          </cell>
          <cell r="C5160" t="str">
            <v>1|14003|14</v>
          </cell>
          <cell r="D5160" t="str">
            <v>伙伴经验丹日常6</v>
          </cell>
          <cell r="E5160" t="str">
            <v>1|14003|14|1</v>
          </cell>
        </row>
        <row r="5161">
          <cell r="A5161">
            <v>73107</v>
          </cell>
          <cell r="B5161">
            <v>0</v>
          </cell>
          <cell r="C5161" t="str">
            <v>1|14003|16</v>
          </cell>
          <cell r="D5161" t="str">
            <v>伙伴经验丹日常7</v>
          </cell>
          <cell r="E5161" t="str">
            <v>1|14003|16|1</v>
          </cell>
        </row>
        <row r="5162">
          <cell r="A5162">
            <v>73108</v>
          </cell>
          <cell r="B5162">
            <v>0</v>
          </cell>
          <cell r="C5162" t="str">
            <v>1|14003|18</v>
          </cell>
          <cell r="D5162" t="str">
            <v>伙伴经验丹日常8</v>
          </cell>
          <cell r="E5162" t="str">
            <v>1|14003|18|1</v>
          </cell>
        </row>
        <row r="5163">
          <cell r="A5163">
            <v>73109</v>
          </cell>
          <cell r="B5163">
            <v>0</v>
          </cell>
          <cell r="C5163" t="str">
            <v>1|14003|20</v>
          </cell>
          <cell r="D5163" t="str">
            <v>伙伴经验丹日常9</v>
          </cell>
          <cell r="E5163" t="str">
            <v>1|14003|20|1</v>
          </cell>
        </row>
        <row r="5164">
          <cell r="A5164">
            <v>73110</v>
          </cell>
          <cell r="B5164">
            <v>0</v>
          </cell>
          <cell r="C5164" t="str">
            <v>1|14003|22</v>
          </cell>
          <cell r="D5164" t="str">
            <v>伙伴经验丹日常10</v>
          </cell>
          <cell r="E5164" t="str">
            <v>1|14003|22|1</v>
          </cell>
        </row>
        <row r="5165">
          <cell r="A5165">
            <v>73111</v>
          </cell>
          <cell r="B5165">
            <v>0</v>
          </cell>
          <cell r="C5165" t="str">
            <v>1|14003|24</v>
          </cell>
          <cell r="D5165" t="str">
            <v>伙伴经验丹日常11</v>
          </cell>
          <cell r="E5165" t="str">
            <v>1|14003|24|1</v>
          </cell>
        </row>
        <row r="5166">
          <cell r="A5166">
            <v>73112</v>
          </cell>
          <cell r="B5166">
            <v>0</v>
          </cell>
          <cell r="C5166" t="str">
            <v>1|14004|13</v>
          </cell>
          <cell r="D5166" t="str">
            <v>伙伴经验丹日常12</v>
          </cell>
          <cell r="E5166" t="str">
            <v>1|14004|13|1</v>
          </cell>
        </row>
        <row r="5167">
          <cell r="A5167">
            <v>73113</v>
          </cell>
          <cell r="B5167">
            <v>0</v>
          </cell>
          <cell r="C5167" t="str">
            <v>1|14004|14</v>
          </cell>
          <cell r="D5167" t="str">
            <v>伙伴经验丹日常13</v>
          </cell>
          <cell r="E5167" t="str">
            <v>1|14004|14|1</v>
          </cell>
        </row>
        <row r="5168">
          <cell r="A5168">
            <v>73114</v>
          </cell>
          <cell r="B5168">
            <v>0</v>
          </cell>
          <cell r="C5168" t="str">
            <v>1|14004|15</v>
          </cell>
          <cell r="D5168" t="str">
            <v>伙伴经验丹日常14</v>
          </cell>
          <cell r="E5168" t="str">
            <v>1|14004|15|1</v>
          </cell>
        </row>
        <row r="5169">
          <cell r="A5169">
            <v>73115</v>
          </cell>
          <cell r="B5169">
            <v>0</v>
          </cell>
          <cell r="C5169" t="str">
            <v>1|14004|16</v>
          </cell>
          <cell r="D5169" t="str">
            <v>伙伴经验丹日常15</v>
          </cell>
          <cell r="E5169" t="str">
            <v>1|14004|16|1</v>
          </cell>
        </row>
        <row r="5170">
          <cell r="A5170">
            <v>73116</v>
          </cell>
          <cell r="B5170">
            <v>0</v>
          </cell>
          <cell r="C5170" t="str">
            <v>1|14004|17</v>
          </cell>
          <cell r="D5170" t="str">
            <v>伙伴经验丹日常16</v>
          </cell>
          <cell r="E5170" t="str">
            <v>1|14004|17|1</v>
          </cell>
        </row>
        <row r="5171">
          <cell r="A5171">
            <v>73117</v>
          </cell>
          <cell r="B5171">
            <v>0</v>
          </cell>
          <cell r="C5171" t="str">
            <v>1|14004|18</v>
          </cell>
          <cell r="D5171" t="str">
            <v>伙伴经验丹日常17</v>
          </cell>
          <cell r="E5171" t="str">
            <v>1|14004|18|1</v>
          </cell>
        </row>
        <row r="5172">
          <cell r="A5172">
            <v>73201</v>
          </cell>
          <cell r="B5172">
            <v>0</v>
          </cell>
          <cell r="C5172" t="str">
            <v>1|14107|30</v>
          </cell>
          <cell r="D5172" t="str">
            <v>伙伴进阶丹日常1</v>
          </cell>
          <cell r="E5172" t="str">
            <v>1|14107|30|1</v>
          </cell>
        </row>
        <row r="5173">
          <cell r="A5173">
            <v>73202</v>
          </cell>
          <cell r="B5173">
            <v>0</v>
          </cell>
          <cell r="C5173" t="str">
            <v>1|14107|42</v>
          </cell>
          <cell r="D5173" t="str">
            <v>伙伴进阶丹日常2</v>
          </cell>
          <cell r="E5173" t="str">
            <v>1|14107|42|1</v>
          </cell>
        </row>
        <row r="5174">
          <cell r="A5174">
            <v>73203</v>
          </cell>
          <cell r="B5174">
            <v>0</v>
          </cell>
          <cell r="C5174" t="str">
            <v>1|14107|54</v>
          </cell>
          <cell r="D5174" t="str">
            <v>伙伴进阶丹日常3</v>
          </cell>
          <cell r="E5174" t="str">
            <v>1|14107|54|1</v>
          </cell>
        </row>
        <row r="5175">
          <cell r="A5175">
            <v>73204</v>
          </cell>
          <cell r="B5175">
            <v>0</v>
          </cell>
          <cell r="C5175" t="str">
            <v>1|14107|66</v>
          </cell>
          <cell r="D5175" t="str">
            <v>伙伴进阶丹日常4</v>
          </cell>
          <cell r="E5175" t="str">
            <v>1|14107|66|1</v>
          </cell>
        </row>
        <row r="5176">
          <cell r="A5176">
            <v>73205</v>
          </cell>
          <cell r="B5176">
            <v>0</v>
          </cell>
          <cell r="C5176" t="str">
            <v>1|14107|78</v>
          </cell>
          <cell r="D5176" t="str">
            <v>伙伴进阶丹日常5</v>
          </cell>
          <cell r="E5176" t="str">
            <v>1|14107|78|1</v>
          </cell>
        </row>
        <row r="5177">
          <cell r="A5177">
            <v>73206</v>
          </cell>
          <cell r="B5177">
            <v>0</v>
          </cell>
          <cell r="C5177" t="str">
            <v>1|14107|90</v>
          </cell>
          <cell r="D5177" t="str">
            <v>伙伴进阶丹日常6</v>
          </cell>
          <cell r="E5177" t="str">
            <v>1|14107|90|1</v>
          </cell>
        </row>
        <row r="5178">
          <cell r="A5178">
            <v>73207</v>
          </cell>
          <cell r="B5178">
            <v>0</v>
          </cell>
          <cell r="C5178" t="str">
            <v>1|14107|102</v>
          </cell>
          <cell r="D5178" t="str">
            <v>伙伴进阶丹日常7</v>
          </cell>
          <cell r="E5178" t="str">
            <v>1|14107|102|1</v>
          </cell>
        </row>
        <row r="5179">
          <cell r="A5179">
            <v>73208</v>
          </cell>
          <cell r="B5179">
            <v>0</v>
          </cell>
          <cell r="C5179" t="str">
            <v>1|14107|114</v>
          </cell>
          <cell r="D5179" t="str">
            <v>伙伴进阶丹日常8</v>
          </cell>
          <cell r="E5179" t="str">
            <v>1|14107|114|1</v>
          </cell>
        </row>
        <row r="5180">
          <cell r="A5180">
            <v>73209</v>
          </cell>
          <cell r="B5180">
            <v>0</v>
          </cell>
          <cell r="C5180" t="str">
            <v>1|14107|126</v>
          </cell>
          <cell r="D5180" t="str">
            <v>伙伴进阶丹日常9</v>
          </cell>
          <cell r="E5180" t="str">
            <v>1|14107|126|1</v>
          </cell>
        </row>
        <row r="5181">
          <cell r="A5181">
            <v>73210</v>
          </cell>
          <cell r="B5181">
            <v>0</v>
          </cell>
          <cell r="C5181" t="str">
            <v>1|14107|138</v>
          </cell>
          <cell r="D5181" t="str">
            <v>伙伴进阶丹日常10</v>
          </cell>
          <cell r="E5181" t="str">
            <v>1|14107|138|1</v>
          </cell>
        </row>
        <row r="5182">
          <cell r="A5182">
            <v>73211</v>
          </cell>
          <cell r="B5182">
            <v>0</v>
          </cell>
          <cell r="C5182" t="str">
            <v>1|14107|150</v>
          </cell>
          <cell r="D5182" t="str">
            <v>伙伴进阶丹日常11</v>
          </cell>
          <cell r="E5182" t="str">
            <v>1|14107|150|1</v>
          </cell>
        </row>
        <row r="5183">
          <cell r="A5183">
            <v>73212</v>
          </cell>
          <cell r="B5183">
            <v>0</v>
          </cell>
          <cell r="C5183" t="str">
            <v>1|14107|162</v>
          </cell>
          <cell r="D5183" t="str">
            <v>伙伴进阶丹日常12</v>
          </cell>
          <cell r="E5183" t="str">
            <v>1|14107|162|1</v>
          </cell>
        </row>
        <row r="5184">
          <cell r="A5184">
            <v>73213</v>
          </cell>
          <cell r="B5184">
            <v>0</v>
          </cell>
          <cell r="C5184" t="str">
            <v>1|14107|174</v>
          </cell>
          <cell r="D5184" t="str">
            <v>伙伴进阶丹日常13</v>
          </cell>
          <cell r="E5184" t="str">
            <v>1|14107|174|1</v>
          </cell>
        </row>
        <row r="5185">
          <cell r="A5185">
            <v>73214</v>
          </cell>
          <cell r="B5185">
            <v>0</v>
          </cell>
          <cell r="C5185" t="str">
            <v>1|14107|186</v>
          </cell>
          <cell r="D5185" t="str">
            <v>伙伴进阶丹日常14</v>
          </cell>
          <cell r="E5185" t="str">
            <v>1|14107|186|1</v>
          </cell>
        </row>
        <row r="5186">
          <cell r="A5186">
            <v>73215</v>
          </cell>
          <cell r="B5186">
            <v>0</v>
          </cell>
          <cell r="C5186" t="str">
            <v>1|14107|198</v>
          </cell>
          <cell r="D5186" t="str">
            <v>伙伴进阶丹日常15</v>
          </cell>
          <cell r="E5186" t="str">
            <v>1|14107|198|1</v>
          </cell>
        </row>
        <row r="5187">
          <cell r="A5187">
            <v>73216</v>
          </cell>
          <cell r="B5187">
            <v>0</v>
          </cell>
          <cell r="C5187" t="str">
            <v>1|14107|210</v>
          </cell>
          <cell r="D5187" t="str">
            <v>伙伴进阶丹日常16</v>
          </cell>
          <cell r="E5187" t="str">
            <v>1|14107|210|1</v>
          </cell>
        </row>
        <row r="5188">
          <cell r="A5188">
            <v>73217</v>
          </cell>
          <cell r="B5188">
            <v>0</v>
          </cell>
          <cell r="C5188" t="str">
            <v>1|14107|222</v>
          </cell>
          <cell r="D5188" t="str">
            <v>伙伴进阶丹日常17</v>
          </cell>
          <cell r="E5188" t="str">
            <v>1|14107|222|1</v>
          </cell>
        </row>
        <row r="5189">
          <cell r="A5189">
            <v>73301</v>
          </cell>
          <cell r="B5189">
            <v>0</v>
          </cell>
          <cell r="C5189" t="str">
            <v>1|16005|18</v>
          </cell>
          <cell r="D5189" t="str">
            <v>日常副本掉落-装备普通精炼石1</v>
          </cell>
          <cell r="E5189" t="str">
            <v>1|16005|18|1</v>
          </cell>
        </row>
        <row r="5190">
          <cell r="A5190">
            <v>73302</v>
          </cell>
          <cell r="B5190">
            <v>0</v>
          </cell>
          <cell r="C5190" t="str">
            <v>1|16005|22</v>
          </cell>
          <cell r="D5190" t="str">
            <v>日常副本掉落-装备普通精炼石2</v>
          </cell>
          <cell r="E5190" t="str">
            <v>1|16005|22|1</v>
          </cell>
        </row>
        <row r="5191">
          <cell r="A5191">
            <v>73303</v>
          </cell>
          <cell r="B5191">
            <v>0</v>
          </cell>
          <cell r="C5191" t="str">
            <v>1|16005|26</v>
          </cell>
          <cell r="D5191" t="str">
            <v>日常副本掉落-装备普通精炼石3</v>
          </cell>
          <cell r="E5191" t="str">
            <v>1|16005|26|1</v>
          </cell>
        </row>
        <row r="5192">
          <cell r="A5192">
            <v>73304</v>
          </cell>
          <cell r="B5192">
            <v>0</v>
          </cell>
          <cell r="C5192" t="str">
            <v>1|16005|30</v>
          </cell>
          <cell r="D5192" t="str">
            <v>日常副本掉落-装备普通精炼石4</v>
          </cell>
          <cell r="E5192" t="str">
            <v>1|16005|30|1</v>
          </cell>
        </row>
        <row r="5193">
          <cell r="A5193">
            <v>73305</v>
          </cell>
          <cell r="B5193">
            <v>0</v>
          </cell>
          <cell r="C5193" t="str">
            <v>1|16005|34</v>
          </cell>
          <cell r="D5193" t="str">
            <v>日常副本掉落-装备普通精炼石5</v>
          </cell>
          <cell r="E5193" t="str">
            <v>1|16005|34|1</v>
          </cell>
        </row>
        <row r="5194">
          <cell r="A5194">
            <v>73306</v>
          </cell>
          <cell r="B5194">
            <v>0</v>
          </cell>
          <cell r="C5194" t="str">
            <v>1|16005|38</v>
          </cell>
          <cell r="D5194" t="str">
            <v>日常副本掉落-装备普通精炼石6</v>
          </cell>
          <cell r="E5194" t="str">
            <v>1|16005|38|1</v>
          </cell>
        </row>
        <row r="5195">
          <cell r="A5195">
            <v>73307</v>
          </cell>
          <cell r="B5195">
            <v>0</v>
          </cell>
          <cell r="C5195" t="str">
            <v>1|16005|42</v>
          </cell>
          <cell r="D5195" t="str">
            <v>日常副本掉落-装备普通精炼石7</v>
          </cell>
          <cell r="E5195" t="str">
            <v>1|16005|42|1</v>
          </cell>
        </row>
        <row r="5196">
          <cell r="A5196">
            <v>73308</v>
          </cell>
          <cell r="B5196">
            <v>0</v>
          </cell>
          <cell r="C5196" t="str">
            <v>1|16005|46</v>
          </cell>
          <cell r="D5196" t="str">
            <v>日常副本掉落-装备普通精炼石8</v>
          </cell>
          <cell r="E5196" t="str">
            <v>1|16005|46|1</v>
          </cell>
        </row>
        <row r="5197">
          <cell r="A5197">
            <v>73309</v>
          </cell>
          <cell r="B5197">
            <v>0</v>
          </cell>
          <cell r="C5197" t="str">
            <v>1|16005|50</v>
          </cell>
          <cell r="D5197" t="str">
            <v>日常副本掉落-装备普通精炼石9</v>
          </cell>
          <cell r="E5197" t="str">
            <v>1|16005|50|1</v>
          </cell>
        </row>
        <row r="5198">
          <cell r="A5198">
            <v>73310</v>
          </cell>
          <cell r="B5198">
            <v>0</v>
          </cell>
          <cell r="C5198" t="str">
            <v>1|16005|54</v>
          </cell>
          <cell r="D5198" t="str">
            <v>日常副本掉落-装备普通精炼石10</v>
          </cell>
          <cell r="E5198" t="str">
            <v>1|16005|54|1</v>
          </cell>
        </row>
        <row r="5199">
          <cell r="A5199">
            <v>73311</v>
          </cell>
          <cell r="B5199">
            <v>0</v>
          </cell>
          <cell r="C5199" t="str">
            <v>1|16005|58</v>
          </cell>
          <cell r="D5199" t="str">
            <v>日常副本掉落-装备普通精炼石11</v>
          </cell>
          <cell r="E5199" t="str">
            <v>1|16005|58|1</v>
          </cell>
        </row>
        <row r="5200">
          <cell r="A5200">
            <v>73312</v>
          </cell>
          <cell r="B5200">
            <v>0</v>
          </cell>
          <cell r="C5200" t="str">
            <v>1|16005|62</v>
          </cell>
          <cell r="D5200" t="str">
            <v>日常副本掉落-装备普通精炼石12</v>
          </cell>
          <cell r="E5200" t="str">
            <v>1|16005|62|1</v>
          </cell>
        </row>
        <row r="5201">
          <cell r="A5201">
            <v>73313</v>
          </cell>
          <cell r="B5201">
            <v>0</v>
          </cell>
          <cell r="C5201" t="str">
            <v>1|16005|66</v>
          </cell>
          <cell r="D5201" t="str">
            <v>日常副本掉落-装备普通精炼石13</v>
          </cell>
          <cell r="E5201" t="str">
            <v>1|16005|66|1</v>
          </cell>
        </row>
        <row r="5202">
          <cell r="A5202">
            <v>73314</v>
          </cell>
          <cell r="B5202">
            <v>0</v>
          </cell>
          <cell r="C5202" t="str">
            <v>1|16005|70</v>
          </cell>
          <cell r="D5202" t="str">
            <v>日常副本掉落-装备普通精炼石14</v>
          </cell>
          <cell r="E5202" t="str">
            <v>1|16005|70|1</v>
          </cell>
        </row>
        <row r="5203">
          <cell r="A5203">
            <v>73315</v>
          </cell>
          <cell r="B5203">
            <v>0</v>
          </cell>
          <cell r="C5203" t="str">
            <v>1|16005|74</v>
          </cell>
          <cell r="D5203" t="str">
            <v>日常副本掉落-装备普通精炼石15</v>
          </cell>
          <cell r="E5203" t="str">
            <v>1|16005|74|1</v>
          </cell>
        </row>
        <row r="5204">
          <cell r="A5204">
            <v>73401</v>
          </cell>
          <cell r="B5204">
            <v>0</v>
          </cell>
          <cell r="C5204" t="str">
            <v>1|17000|16</v>
          </cell>
          <cell r="D5204" t="str">
            <v>神兵强化石日常1</v>
          </cell>
          <cell r="E5204" t="str">
            <v>1|17000|16|1</v>
          </cell>
        </row>
        <row r="5205">
          <cell r="A5205">
            <v>73402</v>
          </cell>
          <cell r="B5205">
            <v>0</v>
          </cell>
          <cell r="C5205" t="str">
            <v>1|17000|24</v>
          </cell>
          <cell r="D5205" t="str">
            <v>神兵强化石日常2</v>
          </cell>
          <cell r="E5205" t="str">
            <v>1|17000|24|1</v>
          </cell>
        </row>
        <row r="5206">
          <cell r="A5206">
            <v>73403</v>
          </cell>
          <cell r="B5206">
            <v>0</v>
          </cell>
          <cell r="C5206" t="str">
            <v>1|17000|32</v>
          </cell>
          <cell r="D5206" t="str">
            <v>神兵强化石日常3</v>
          </cell>
          <cell r="E5206" t="str">
            <v>1|17000|32|1</v>
          </cell>
        </row>
        <row r="5207">
          <cell r="A5207">
            <v>73404</v>
          </cell>
          <cell r="B5207">
            <v>0</v>
          </cell>
          <cell r="C5207" t="str">
            <v>1|17000|40</v>
          </cell>
          <cell r="D5207" t="str">
            <v>神兵强化石日常4</v>
          </cell>
          <cell r="E5207" t="str">
            <v>1|17000|40|1</v>
          </cell>
        </row>
        <row r="5208">
          <cell r="A5208">
            <v>73405</v>
          </cell>
          <cell r="B5208">
            <v>0</v>
          </cell>
          <cell r="C5208" t="str">
            <v>1|17000|48</v>
          </cell>
          <cell r="D5208" t="str">
            <v>神兵强化石日常5</v>
          </cell>
          <cell r="E5208" t="str">
            <v>1|17000|48|1</v>
          </cell>
        </row>
        <row r="5209">
          <cell r="A5209">
            <v>73406</v>
          </cell>
          <cell r="B5209">
            <v>0</v>
          </cell>
          <cell r="C5209" t="str">
            <v>1|17000|56</v>
          </cell>
          <cell r="D5209" t="str">
            <v>神兵强化石日常6</v>
          </cell>
          <cell r="E5209" t="str">
            <v>1|17000|56|1</v>
          </cell>
        </row>
        <row r="5210">
          <cell r="A5210">
            <v>73407</v>
          </cell>
          <cell r="B5210">
            <v>0</v>
          </cell>
          <cell r="C5210" t="str">
            <v>1|17000|64</v>
          </cell>
          <cell r="D5210" t="str">
            <v>神兵强化石日常7</v>
          </cell>
          <cell r="E5210" t="str">
            <v>1|17000|64|1</v>
          </cell>
        </row>
        <row r="5211">
          <cell r="A5211">
            <v>73408</v>
          </cell>
          <cell r="B5211">
            <v>0</v>
          </cell>
          <cell r="C5211" t="str">
            <v>1|17000|72</v>
          </cell>
          <cell r="D5211" t="str">
            <v>神兵强化石日常8</v>
          </cell>
          <cell r="E5211" t="str">
            <v>1|17000|72|1</v>
          </cell>
        </row>
        <row r="5212">
          <cell r="A5212">
            <v>73409</v>
          </cell>
          <cell r="B5212">
            <v>0</v>
          </cell>
          <cell r="C5212" t="str">
            <v>1|17000|80</v>
          </cell>
          <cell r="D5212" t="str">
            <v>神兵强化石日常9</v>
          </cell>
          <cell r="E5212" t="str">
            <v>1|17000|80|1</v>
          </cell>
        </row>
        <row r="5213">
          <cell r="A5213">
            <v>73410</v>
          </cell>
          <cell r="B5213">
            <v>0</v>
          </cell>
          <cell r="C5213" t="str">
            <v>1|17000|88</v>
          </cell>
          <cell r="D5213" t="str">
            <v>神兵强化石日常10</v>
          </cell>
          <cell r="E5213" t="str">
            <v>1|17000|88|1</v>
          </cell>
        </row>
        <row r="5214">
          <cell r="A5214">
            <v>73411</v>
          </cell>
          <cell r="B5214">
            <v>0</v>
          </cell>
          <cell r="C5214" t="str">
            <v>1|17000|96</v>
          </cell>
          <cell r="D5214" t="str">
            <v>神兵强化石日常11</v>
          </cell>
          <cell r="E5214" t="str">
            <v>1|17000|96|1</v>
          </cell>
        </row>
        <row r="5215">
          <cell r="A5215">
            <v>73412</v>
          </cell>
          <cell r="B5215">
            <v>0</v>
          </cell>
          <cell r="C5215" t="str">
            <v>1|17000|104</v>
          </cell>
          <cell r="D5215" t="str">
            <v>神兵强化石日常12</v>
          </cell>
          <cell r="E5215" t="str">
            <v>1|17000|104|1</v>
          </cell>
        </row>
        <row r="5216">
          <cell r="A5216">
            <v>73413</v>
          </cell>
          <cell r="B5216">
            <v>0</v>
          </cell>
          <cell r="C5216" t="str">
            <v>1|17000|112</v>
          </cell>
          <cell r="D5216" t="str">
            <v>神兵强化石日常13</v>
          </cell>
          <cell r="E5216" t="str">
            <v>1|17000|112|1</v>
          </cell>
        </row>
        <row r="5217">
          <cell r="A5217">
            <v>73414</v>
          </cell>
          <cell r="B5217">
            <v>0</v>
          </cell>
          <cell r="C5217" t="str">
            <v>1|17000|120</v>
          </cell>
          <cell r="D5217" t="str">
            <v>神兵强化石日常14</v>
          </cell>
          <cell r="E5217" t="str">
            <v>1|17000|120|1</v>
          </cell>
        </row>
        <row r="5218">
          <cell r="A5218">
            <v>73415</v>
          </cell>
          <cell r="B5218">
            <v>0</v>
          </cell>
          <cell r="C5218" t="str">
            <v>1|17000|128</v>
          </cell>
          <cell r="D5218" t="str">
            <v>神兵强化石日常15</v>
          </cell>
          <cell r="E5218" t="str">
            <v>1|17000|128|1</v>
          </cell>
        </row>
        <row r="5219">
          <cell r="A5219">
            <v>73416</v>
          </cell>
          <cell r="B5219">
            <v>0</v>
          </cell>
          <cell r="C5219" t="str">
            <v>1|17000|136</v>
          </cell>
          <cell r="D5219" t="str">
            <v>神兵强化石日常16</v>
          </cell>
          <cell r="E5219" t="str">
            <v>1|17000|136|1</v>
          </cell>
        </row>
        <row r="5220">
          <cell r="A5220">
            <v>73417</v>
          </cell>
          <cell r="B5220">
            <v>0</v>
          </cell>
          <cell r="C5220" t="str">
            <v>1|17000|144</v>
          </cell>
          <cell r="D5220" t="str">
            <v>神兵强化石日常17</v>
          </cell>
          <cell r="E5220" t="str">
            <v>1|17000|144|1</v>
          </cell>
        </row>
        <row r="5221">
          <cell r="A5221">
            <v>73418</v>
          </cell>
          <cell r="B5221">
            <v>0</v>
          </cell>
          <cell r="C5221" t="str">
            <v>1|17000|152</v>
          </cell>
          <cell r="D5221" t="str">
            <v>神兵强化石日常18</v>
          </cell>
          <cell r="E5221" t="str">
            <v>1|17000|152|1</v>
          </cell>
        </row>
        <row r="5222">
          <cell r="A5222">
            <v>73419</v>
          </cell>
          <cell r="B5222">
            <v>0</v>
          </cell>
          <cell r="C5222" t="str">
            <v>1|17000|160</v>
          </cell>
          <cell r="D5222" t="str">
            <v>神兵强化石日常19</v>
          </cell>
          <cell r="E5222" t="str">
            <v>1|17000|160|1</v>
          </cell>
        </row>
        <row r="5223">
          <cell r="A5223">
            <v>73420</v>
          </cell>
          <cell r="B5223">
            <v>0</v>
          </cell>
          <cell r="C5223" t="str">
            <v>1|17000|168</v>
          </cell>
          <cell r="D5223" t="str">
            <v>神兵强化石日常20</v>
          </cell>
          <cell r="E5223" t="str">
            <v>1|17000|168|1</v>
          </cell>
        </row>
        <row r="5224">
          <cell r="A5224">
            <v>73421</v>
          </cell>
          <cell r="B5224">
            <v>0</v>
          </cell>
          <cell r="C5224" t="str">
            <v>1|17000|176</v>
          </cell>
          <cell r="D5224" t="str">
            <v>神兵强化石日常21</v>
          </cell>
          <cell r="E5224" t="str">
            <v>1|17000|176|1</v>
          </cell>
        </row>
        <row r="5225">
          <cell r="A5225">
            <v>73422</v>
          </cell>
          <cell r="B5225">
            <v>0</v>
          </cell>
          <cell r="C5225" t="str">
            <v>1|17000|184</v>
          </cell>
          <cell r="D5225" t="str">
            <v>神兵强化石日常22</v>
          </cell>
          <cell r="E5225" t="str">
            <v>1|17000|184|1</v>
          </cell>
        </row>
        <row r="5226">
          <cell r="A5226">
            <v>73423</v>
          </cell>
          <cell r="B5226">
            <v>0</v>
          </cell>
          <cell r="C5226" t="str">
            <v>1|17000|192</v>
          </cell>
          <cell r="D5226" t="str">
            <v>神兵强化石日常23</v>
          </cell>
          <cell r="E5226" t="str">
            <v>1|17000|192|1</v>
          </cell>
        </row>
        <row r="5227">
          <cell r="A5227">
            <v>73424</v>
          </cell>
          <cell r="B5227">
            <v>0</v>
          </cell>
          <cell r="C5227" t="str">
            <v>1|17000|200</v>
          </cell>
          <cell r="D5227" t="str">
            <v>神兵强化石日常24</v>
          </cell>
          <cell r="E5227" t="str">
            <v>1|17000|200|1</v>
          </cell>
        </row>
        <row r="5228">
          <cell r="A5228">
            <v>73501</v>
          </cell>
          <cell r="B5228">
            <v>0</v>
          </cell>
          <cell r="C5228" t="str">
            <v>6|4501|4</v>
          </cell>
          <cell r="D5228" t="str">
            <v>法宝经验日常1</v>
          </cell>
          <cell r="E5228" t="str">
            <v>6|4501|4|1</v>
          </cell>
        </row>
        <row r="5229">
          <cell r="A5229">
            <v>73502</v>
          </cell>
          <cell r="B5229">
            <v>0</v>
          </cell>
          <cell r="C5229" t="str">
            <v>6|4501|5</v>
          </cell>
          <cell r="D5229" t="str">
            <v>法宝经验日常2</v>
          </cell>
          <cell r="E5229" t="str">
            <v>6|4501|5|1</v>
          </cell>
        </row>
        <row r="5230">
          <cell r="A5230">
            <v>73503</v>
          </cell>
          <cell r="B5230">
            <v>0</v>
          </cell>
          <cell r="C5230" t="str">
            <v>6|4501|6</v>
          </cell>
          <cell r="D5230" t="str">
            <v>法宝经验日常3</v>
          </cell>
          <cell r="E5230" t="str">
            <v>6|4501|6|1</v>
          </cell>
        </row>
        <row r="5231">
          <cell r="A5231">
            <v>73504</v>
          </cell>
          <cell r="B5231">
            <v>0</v>
          </cell>
          <cell r="C5231" t="str">
            <v>6|4502|1,6|4501|3</v>
          </cell>
          <cell r="D5231" t="str">
            <v>法宝经验日常4</v>
          </cell>
          <cell r="E5231" t="str">
            <v>6|4502|1|1,6|4501|3|1</v>
          </cell>
        </row>
        <row r="5232">
          <cell r="A5232">
            <v>73505</v>
          </cell>
          <cell r="B5232">
            <v>0</v>
          </cell>
          <cell r="C5232" t="str">
            <v>6|4502|1,6|4501|4</v>
          </cell>
          <cell r="D5232" t="str">
            <v>法宝经验日常5</v>
          </cell>
          <cell r="E5232" t="str">
            <v>6|4502|1|1,6|4501|4|1</v>
          </cell>
        </row>
        <row r="5233">
          <cell r="A5233">
            <v>73506</v>
          </cell>
          <cell r="B5233">
            <v>0</v>
          </cell>
          <cell r="C5233" t="str">
            <v>6|4502|1,6|4501|5</v>
          </cell>
          <cell r="D5233" t="str">
            <v>法宝经验日常6</v>
          </cell>
          <cell r="E5233" t="str">
            <v>6|4502|1|1,6|4501|5|1</v>
          </cell>
        </row>
        <row r="5234">
          <cell r="A5234">
            <v>73507</v>
          </cell>
          <cell r="B5234">
            <v>0</v>
          </cell>
          <cell r="C5234" t="str">
            <v>6|4502|1,6|4501|6</v>
          </cell>
          <cell r="D5234" t="str">
            <v>法宝经验日常7</v>
          </cell>
          <cell r="E5234" t="str">
            <v>6|4502|1|1,6|4501|6|1</v>
          </cell>
        </row>
        <row r="5235">
          <cell r="A5235">
            <v>73508</v>
          </cell>
          <cell r="B5235">
            <v>0</v>
          </cell>
          <cell r="C5235" t="str">
            <v>6|4502|2,6|4501|3</v>
          </cell>
          <cell r="D5235" t="str">
            <v>法宝经验日常8</v>
          </cell>
          <cell r="E5235" t="str">
            <v>6|4502|2|1,6|4501|3|1</v>
          </cell>
        </row>
        <row r="5236">
          <cell r="A5236">
            <v>73509</v>
          </cell>
          <cell r="B5236">
            <v>0</v>
          </cell>
          <cell r="C5236" t="str">
            <v>6|4502|2,6|4501|4</v>
          </cell>
          <cell r="D5236" t="str">
            <v>法宝经验日常9</v>
          </cell>
          <cell r="E5236" t="str">
            <v>6|4502|2|1,6|4501|4|1</v>
          </cell>
        </row>
        <row r="5237">
          <cell r="A5237">
            <v>73510</v>
          </cell>
          <cell r="B5237">
            <v>0</v>
          </cell>
          <cell r="C5237" t="str">
            <v>6|4502|2,6|4501|5</v>
          </cell>
          <cell r="D5237" t="str">
            <v>法宝经验日常10</v>
          </cell>
          <cell r="E5237" t="str">
            <v>6|4502|2|1,6|4501|5|1</v>
          </cell>
        </row>
        <row r="5238">
          <cell r="A5238">
            <v>73511</v>
          </cell>
          <cell r="B5238">
            <v>0</v>
          </cell>
          <cell r="C5238" t="str">
            <v>6|4502|2,6|4501|6</v>
          </cell>
          <cell r="D5238" t="str">
            <v>法宝经验日常11</v>
          </cell>
          <cell r="E5238" t="str">
            <v>6|4502|2|1,6|4501|6|1</v>
          </cell>
        </row>
        <row r="5239">
          <cell r="A5239">
            <v>73512</v>
          </cell>
          <cell r="B5239">
            <v>0</v>
          </cell>
          <cell r="C5239" t="str">
            <v>6|4502|3,6|4501|3</v>
          </cell>
          <cell r="D5239" t="str">
            <v>法宝经验日常12</v>
          </cell>
          <cell r="E5239" t="str">
            <v>6|4502|3|1,6|4501|3|1</v>
          </cell>
        </row>
        <row r="5240">
          <cell r="A5240">
            <v>73513</v>
          </cell>
          <cell r="B5240">
            <v>0</v>
          </cell>
          <cell r="C5240" t="str">
            <v>6|4502|3,6|4501|4</v>
          </cell>
          <cell r="D5240" t="str">
            <v>法宝经验日常13</v>
          </cell>
          <cell r="E5240" t="str">
            <v>6|4502|3|1,6|4501|4|1</v>
          </cell>
        </row>
        <row r="5241">
          <cell r="A5241">
            <v>73514</v>
          </cell>
          <cell r="B5241">
            <v>0</v>
          </cell>
          <cell r="C5241" t="str">
            <v>6|4502|3,6|4501|5</v>
          </cell>
          <cell r="D5241" t="str">
            <v>法宝经验日常14</v>
          </cell>
          <cell r="E5241" t="str">
            <v>6|4502|3|1,6|4501|5|1</v>
          </cell>
        </row>
        <row r="5242">
          <cell r="A5242">
            <v>73515</v>
          </cell>
          <cell r="B5242">
            <v>0</v>
          </cell>
          <cell r="C5242" t="str">
            <v>6|4502|3,6|4501|6</v>
          </cell>
          <cell r="D5242" t="str">
            <v>法宝经验日常15</v>
          </cell>
          <cell r="E5242" t="str">
            <v>6|4502|3|1,6|4501|6|1</v>
          </cell>
        </row>
        <row r="5243">
          <cell r="A5243">
            <v>73516</v>
          </cell>
          <cell r="B5243">
            <v>0</v>
          </cell>
          <cell r="C5243" t="str">
            <v>6|4502|4,6|4501|3</v>
          </cell>
          <cell r="D5243" t="str">
            <v>法宝经验日常16</v>
          </cell>
          <cell r="E5243" t="str">
            <v>6|4502|4|1,6|4501|3|1</v>
          </cell>
        </row>
        <row r="5244">
          <cell r="A5244">
            <v>73517</v>
          </cell>
          <cell r="B5244">
            <v>0</v>
          </cell>
          <cell r="C5244" t="str">
            <v>6|4502|4,6|4501|4</v>
          </cell>
          <cell r="D5244" t="str">
            <v>法宝经验日常17</v>
          </cell>
          <cell r="E5244" t="str">
            <v>6|4502|4|1,6|4501|4|1</v>
          </cell>
        </row>
        <row r="5245">
          <cell r="A5245">
            <v>73601</v>
          </cell>
          <cell r="B5245">
            <v>0</v>
          </cell>
          <cell r="C5245" t="str">
            <v>1|14201|30</v>
          </cell>
          <cell r="D5245" t="str">
            <v>法宝精炼日常1</v>
          </cell>
          <cell r="E5245" t="str">
            <v>1|14201|30|1</v>
          </cell>
        </row>
        <row r="5246">
          <cell r="A5246">
            <v>73602</v>
          </cell>
          <cell r="B5246">
            <v>0</v>
          </cell>
          <cell r="C5246" t="str">
            <v>1|14201|60</v>
          </cell>
          <cell r="D5246" t="str">
            <v>法宝精炼日常2</v>
          </cell>
          <cell r="E5246" t="str">
            <v>1|14201|60|1</v>
          </cell>
        </row>
        <row r="5247">
          <cell r="A5247">
            <v>73603</v>
          </cell>
          <cell r="B5247">
            <v>0</v>
          </cell>
          <cell r="C5247" t="str">
            <v>1|14201|90</v>
          </cell>
          <cell r="D5247" t="str">
            <v>法宝精炼日常3</v>
          </cell>
          <cell r="E5247" t="str">
            <v>1|14201|90|1</v>
          </cell>
        </row>
        <row r="5248">
          <cell r="A5248">
            <v>73604</v>
          </cell>
          <cell r="B5248">
            <v>0</v>
          </cell>
          <cell r="C5248" t="str">
            <v>1|14201|120</v>
          </cell>
          <cell r="D5248" t="str">
            <v>法宝精炼日常4</v>
          </cell>
          <cell r="E5248" t="str">
            <v>1|14201|120|1</v>
          </cell>
        </row>
        <row r="5249">
          <cell r="A5249">
            <v>73605</v>
          </cell>
          <cell r="B5249">
            <v>0</v>
          </cell>
          <cell r="C5249" t="str">
            <v>1|14201|150</v>
          </cell>
          <cell r="D5249" t="str">
            <v>法宝精炼日常5</v>
          </cell>
          <cell r="E5249" t="str">
            <v>1|14201|150|1</v>
          </cell>
        </row>
        <row r="5250">
          <cell r="A5250">
            <v>73606</v>
          </cell>
          <cell r="B5250">
            <v>0</v>
          </cell>
          <cell r="C5250" t="str">
            <v>1|14201|180</v>
          </cell>
          <cell r="D5250" t="str">
            <v>法宝精炼日常6</v>
          </cell>
          <cell r="E5250" t="str">
            <v>1|14201|180|1</v>
          </cell>
        </row>
        <row r="5251">
          <cell r="A5251">
            <v>73607</v>
          </cell>
          <cell r="B5251">
            <v>0</v>
          </cell>
          <cell r="C5251" t="str">
            <v>1|14201|210</v>
          </cell>
          <cell r="D5251" t="str">
            <v>法宝精炼日常7</v>
          </cell>
          <cell r="E5251" t="str">
            <v>1|14201|210|1</v>
          </cell>
        </row>
        <row r="5252">
          <cell r="A5252">
            <v>73608</v>
          </cell>
          <cell r="B5252">
            <v>0</v>
          </cell>
          <cell r="C5252" t="str">
            <v>1|14201|240</v>
          </cell>
          <cell r="D5252" t="str">
            <v>法宝精炼日常8</v>
          </cell>
          <cell r="E5252" t="str">
            <v>1|14201|240|1</v>
          </cell>
        </row>
        <row r="5253">
          <cell r="A5253">
            <v>73609</v>
          </cell>
          <cell r="B5253">
            <v>0</v>
          </cell>
          <cell r="C5253" t="str">
            <v>1|14201|270</v>
          </cell>
          <cell r="D5253" t="str">
            <v>法宝精炼日常9</v>
          </cell>
          <cell r="E5253" t="str">
            <v>1|14201|270|1</v>
          </cell>
        </row>
        <row r="5254">
          <cell r="A5254">
            <v>73610</v>
          </cell>
          <cell r="B5254">
            <v>0</v>
          </cell>
          <cell r="C5254" t="str">
            <v>1|14201|300</v>
          </cell>
          <cell r="D5254" t="str">
            <v>法宝精炼日常10</v>
          </cell>
          <cell r="E5254" t="str">
            <v>1|14201|300|1</v>
          </cell>
        </row>
        <row r="5255">
          <cell r="A5255">
            <v>73611</v>
          </cell>
          <cell r="B5255">
            <v>0</v>
          </cell>
          <cell r="C5255" t="str">
            <v>1|14201|330</v>
          </cell>
          <cell r="D5255" t="str">
            <v>法宝精炼日常11</v>
          </cell>
          <cell r="E5255" t="str">
            <v>1|14201|330|1</v>
          </cell>
        </row>
        <row r="5256">
          <cell r="A5256">
            <v>73612</v>
          </cell>
          <cell r="B5256">
            <v>0</v>
          </cell>
          <cell r="C5256" t="str">
            <v>1|14201|360</v>
          </cell>
          <cell r="D5256" t="str">
            <v>法宝精炼日常12</v>
          </cell>
          <cell r="E5256" t="str">
            <v>1|14201|360|1</v>
          </cell>
        </row>
        <row r="5257">
          <cell r="A5257">
            <v>73613</v>
          </cell>
          <cell r="B5257">
            <v>0</v>
          </cell>
          <cell r="C5257" t="str">
            <v>1|14201|390</v>
          </cell>
          <cell r="D5257" t="str">
            <v>法宝精炼日常13</v>
          </cell>
          <cell r="E5257" t="str">
            <v>1|14201|390|1</v>
          </cell>
        </row>
        <row r="5258">
          <cell r="A5258">
            <v>73614</v>
          </cell>
          <cell r="B5258">
            <v>0</v>
          </cell>
          <cell r="C5258" t="str">
            <v>1|14201|420</v>
          </cell>
          <cell r="D5258" t="str">
            <v>法宝精炼日常14</v>
          </cell>
          <cell r="E5258" t="str">
            <v>1|14201|420|1</v>
          </cell>
        </row>
        <row r="5259">
          <cell r="A5259">
            <v>73615</v>
          </cell>
          <cell r="B5259">
            <v>0</v>
          </cell>
          <cell r="C5259" t="str">
            <v>1|14201|450</v>
          </cell>
          <cell r="D5259" t="str">
            <v>法宝精炼日常15</v>
          </cell>
          <cell r="E5259" t="str">
            <v>1|14201|450|1</v>
          </cell>
        </row>
        <row r="5260">
          <cell r="A5260">
            <v>75000</v>
          </cell>
          <cell r="B5260">
            <v>1</v>
          </cell>
          <cell r="C5260" t="str">
            <v>4|2|4000</v>
          </cell>
          <cell r="D5260" t="str">
            <v>今日登陆赠送</v>
          </cell>
          <cell r="E5260" t="str">
            <v>4|2|4000|1</v>
          </cell>
        </row>
        <row r="5261">
          <cell r="A5261">
            <v>75001</v>
          </cell>
          <cell r="B5261">
            <v>1</v>
          </cell>
          <cell r="C5261" t="str">
            <v>4|2|200</v>
          </cell>
          <cell r="D5261" t="str">
            <v>主角等级到达10级</v>
          </cell>
          <cell r="E5261" t="str">
            <v>4|2|200|1</v>
          </cell>
        </row>
        <row r="5262">
          <cell r="A5262">
            <v>75002</v>
          </cell>
          <cell r="B5262">
            <v>1</v>
          </cell>
          <cell r="C5262" t="str">
            <v>4|4|200</v>
          </cell>
          <cell r="D5262" t="str">
            <v>主角等级到达15级</v>
          </cell>
          <cell r="E5262" t="str">
            <v>4|4|200|1</v>
          </cell>
        </row>
        <row r="5263">
          <cell r="A5263">
            <v>75003</v>
          </cell>
          <cell r="B5263">
            <v>1</v>
          </cell>
          <cell r="C5263" t="str">
            <v>4|4|200</v>
          </cell>
          <cell r="D5263" t="str">
            <v>主角等级到达20级</v>
          </cell>
          <cell r="E5263" t="str">
            <v>4|4|200|1</v>
          </cell>
        </row>
        <row r="5264">
          <cell r="A5264">
            <v>75004</v>
          </cell>
          <cell r="B5264">
            <v>1</v>
          </cell>
          <cell r="C5264" t="str">
            <v>4|4|200</v>
          </cell>
          <cell r="D5264" t="str">
            <v>主角等级到达25级</v>
          </cell>
          <cell r="E5264" t="str">
            <v>4|4|200|1</v>
          </cell>
        </row>
        <row r="5265">
          <cell r="A5265">
            <v>75005</v>
          </cell>
          <cell r="B5265">
            <v>1</v>
          </cell>
          <cell r="C5265" t="str">
            <v>4|4|300</v>
          </cell>
          <cell r="D5265" t="str">
            <v>主角等级到达30级</v>
          </cell>
          <cell r="E5265" t="str">
            <v>4|4|300|1</v>
          </cell>
        </row>
        <row r="5266">
          <cell r="A5266">
            <v>75006</v>
          </cell>
          <cell r="B5266">
            <v>1</v>
          </cell>
          <cell r="C5266" t="str">
            <v>2|2022|1</v>
          </cell>
          <cell r="D5266" t="str">
            <v>通关主线副本第4章</v>
          </cell>
          <cell r="E5266" t="str">
            <v>2|2022|1|1</v>
          </cell>
        </row>
        <row r="5267">
          <cell r="A5267">
            <v>75007</v>
          </cell>
          <cell r="B5267">
            <v>1</v>
          </cell>
          <cell r="C5267" t="str">
            <v>1|14003|2</v>
          </cell>
          <cell r="D5267" t="str">
            <v>通关主线副本第5章</v>
          </cell>
          <cell r="E5267" t="str">
            <v>1|14003|2|1</v>
          </cell>
        </row>
        <row r="5268">
          <cell r="A5268">
            <v>75008</v>
          </cell>
          <cell r="B5268">
            <v>1</v>
          </cell>
          <cell r="C5268" t="str">
            <v>4|1|100000</v>
          </cell>
          <cell r="D5268" t="str">
            <v>通关主线副本第6章</v>
          </cell>
          <cell r="E5268" t="str">
            <v>4|1|100000|1</v>
          </cell>
        </row>
        <row r="5269">
          <cell r="A5269">
            <v>75009</v>
          </cell>
          <cell r="B5269">
            <v>1</v>
          </cell>
          <cell r="C5269" t="str">
            <v>1|14003|2</v>
          </cell>
          <cell r="D5269" t="str">
            <v>通关主线副本第7章</v>
          </cell>
          <cell r="E5269" t="str">
            <v>1|14003|2|1</v>
          </cell>
        </row>
        <row r="5270">
          <cell r="A5270">
            <v>75010</v>
          </cell>
          <cell r="B5270">
            <v>1</v>
          </cell>
          <cell r="C5270" t="str">
            <v>4|1|100000</v>
          </cell>
          <cell r="D5270" t="str">
            <v>通关主线副本第8章</v>
          </cell>
          <cell r="E5270" t="str">
            <v>4|1|100000|1</v>
          </cell>
        </row>
        <row r="5271">
          <cell r="A5271">
            <v>75011</v>
          </cell>
          <cell r="B5271">
            <v>1</v>
          </cell>
          <cell r="C5271" t="str">
            <v>1|14003|2</v>
          </cell>
          <cell r="D5271" t="str">
            <v>通关主线副本第9章</v>
          </cell>
          <cell r="E5271" t="str">
            <v>1|14003|2|1</v>
          </cell>
        </row>
        <row r="5272">
          <cell r="A5272">
            <v>75012</v>
          </cell>
          <cell r="B5272">
            <v>1</v>
          </cell>
          <cell r="C5272" t="str">
            <v>4|1|100000</v>
          </cell>
          <cell r="D5272" t="str">
            <v>通关主线副本第10章</v>
          </cell>
          <cell r="E5272" t="str">
            <v>4|1|100000|1</v>
          </cell>
        </row>
        <row r="5273">
          <cell r="A5273">
            <v>75013</v>
          </cell>
          <cell r="B5273">
            <v>1</v>
          </cell>
          <cell r="C5273" t="str">
            <v>1|14003|2</v>
          </cell>
          <cell r="D5273" t="str">
            <v>通关主线副本第11章</v>
          </cell>
          <cell r="E5273" t="str">
            <v>1|14003|2|1</v>
          </cell>
        </row>
        <row r="5274">
          <cell r="A5274">
            <v>75014</v>
          </cell>
          <cell r="B5274">
            <v>1</v>
          </cell>
          <cell r="C5274" t="str">
            <v>4|1|100000</v>
          </cell>
          <cell r="D5274" t="str">
            <v>通关主线副本第12章</v>
          </cell>
          <cell r="E5274" t="str">
            <v>4|1|100000|1</v>
          </cell>
        </row>
        <row r="5275">
          <cell r="A5275">
            <v>75015</v>
          </cell>
          <cell r="B5275">
            <v>1</v>
          </cell>
          <cell r="C5275" t="str">
            <v>4|1|10000</v>
          </cell>
          <cell r="D5275" t="str">
            <v>上阵伙伴的装备强化至10级</v>
          </cell>
          <cell r="E5275" t="str">
            <v>4|1|10000|1</v>
          </cell>
        </row>
        <row r="5276">
          <cell r="A5276">
            <v>75016</v>
          </cell>
          <cell r="B5276">
            <v>1</v>
          </cell>
          <cell r="C5276" t="str">
            <v>4|1|20000</v>
          </cell>
          <cell r="D5276" t="str">
            <v>上阵伙伴的装备强化至20级</v>
          </cell>
          <cell r="E5276" t="str">
            <v>4|1|20000|1</v>
          </cell>
        </row>
        <row r="5277">
          <cell r="A5277">
            <v>75017</v>
          </cell>
          <cell r="B5277">
            <v>1</v>
          </cell>
          <cell r="C5277" t="str">
            <v>4|1|40000</v>
          </cell>
          <cell r="D5277" t="str">
            <v>上阵伙伴的装备强化至30级</v>
          </cell>
          <cell r="E5277" t="str">
            <v>4|1|40000|1</v>
          </cell>
        </row>
        <row r="5278">
          <cell r="A5278">
            <v>75018</v>
          </cell>
          <cell r="B5278">
            <v>1</v>
          </cell>
          <cell r="C5278" t="str">
            <v>4|1|60000</v>
          </cell>
          <cell r="D5278" t="str">
            <v>上阵伙伴的装备强化至40级</v>
          </cell>
          <cell r="E5278" t="str">
            <v>4|1|60000|1</v>
          </cell>
        </row>
        <row r="5279">
          <cell r="A5279">
            <v>75019</v>
          </cell>
          <cell r="B5279">
            <v>1</v>
          </cell>
          <cell r="C5279" t="str">
            <v>4|1|80000</v>
          </cell>
          <cell r="D5279" t="str">
            <v>上阵伙伴的装备强化至50级</v>
          </cell>
          <cell r="E5279" t="str">
            <v>4|1|80000|1</v>
          </cell>
        </row>
        <row r="5280">
          <cell r="A5280">
            <v>75020</v>
          </cell>
          <cell r="B5280">
            <v>1</v>
          </cell>
          <cell r="C5280" t="str">
            <v>4|1|100000</v>
          </cell>
          <cell r="D5280" t="str">
            <v>上阵伙伴的装备强化至60级</v>
          </cell>
          <cell r="E5280" t="str">
            <v>4|1|100000|1</v>
          </cell>
        </row>
        <row r="5281">
          <cell r="A5281">
            <v>75021</v>
          </cell>
          <cell r="B5281">
            <v>1</v>
          </cell>
          <cell r="C5281" t="str">
            <v>1|14300|2</v>
          </cell>
          <cell r="D5281" t="str">
            <v>大雁塔达到10层</v>
          </cell>
          <cell r="E5281" t="str">
            <v>1|14300|2|1</v>
          </cell>
        </row>
        <row r="5282">
          <cell r="A5282">
            <v>75022</v>
          </cell>
          <cell r="B5282">
            <v>1</v>
          </cell>
          <cell r="C5282" t="str">
            <v>1|14300|4</v>
          </cell>
          <cell r="D5282" t="str">
            <v>大雁塔达到15层</v>
          </cell>
          <cell r="E5282" t="str">
            <v>1|14300|4|1</v>
          </cell>
        </row>
        <row r="5283">
          <cell r="A5283">
            <v>75023</v>
          </cell>
          <cell r="B5283">
            <v>1</v>
          </cell>
          <cell r="C5283" t="str">
            <v>1|14300|6</v>
          </cell>
          <cell r="D5283" t="str">
            <v>大雁塔达到20层</v>
          </cell>
          <cell r="E5283" t="str">
            <v>1|14300|6|1</v>
          </cell>
        </row>
        <row r="5284">
          <cell r="A5284">
            <v>75024</v>
          </cell>
          <cell r="B5284">
            <v>1</v>
          </cell>
          <cell r="C5284" t="str">
            <v>1|14314|4</v>
          </cell>
          <cell r="D5284" t="str">
            <v>大雁塔达到25层</v>
          </cell>
          <cell r="E5284" t="str">
            <v>1|14314|4|1</v>
          </cell>
        </row>
        <row r="5285">
          <cell r="A5285">
            <v>75025</v>
          </cell>
          <cell r="B5285">
            <v>1</v>
          </cell>
          <cell r="C5285" t="str">
            <v>1|14314|5</v>
          </cell>
          <cell r="D5285" t="str">
            <v>大雁塔达到30层</v>
          </cell>
          <cell r="E5285" t="str">
            <v>1|14314|5|1</v>
          </cell>
        </row>
        <row r="5286">
          <cell r="A5286">
            <v>75026</v>
          </cell>
          <cell r="B5286">
            <v>1</v>
          </cell>
          <cell r="C5286" t="str">
            <v>4|2|6000</v>
          </cell>
          <cell r="D5286" t="str">
            <v>今日登陆赠送</v>
          </cell>
          <cell r="E5286" t="str">
            <v>4|2|6000|1</v>
          </cell>
        </row>
        <row r="5287">
          <cell r="A5287">
            <v>75027</v>
          </cell>
          <cell r="B5287">
            <v>1</v>
          </cell>
          <cell r="C5287" t="str">
            <v>1|14106|30</v>
          </cell>
          <cell r="D5287" t="str">
            <v>主角等级到达35级</v>
          </cell>
          <cell r="E5287" t="str">
            <v>1|14106|30|1</v>
          </cell>
        </row>
        <row r="5288">
          <cell r="A5288">
            <v>75028</v>
          </cell>
          <cell r="B5288">
            <v>1</v>
          </cell>
          <cell r="C5288" t="str">
            <v>1|14107|400</v>
          </cell>
          <cell r="D5288" t="str">
            <v>竞技场最高排名到达第1名</v>
          </cell>
          <cell r="E5288" t="str">
            <v>1|14107|400|1</v>
          </cell>
        </row>
        <row r="5289">
          <cell r="A5289">
            <v>75029</v>
          </cell>
          <cell r="B5289">
            <v>1</v>
          </cell>
          <cell r="C5289" t="str">
            <v>1|14107|350</v>
          </cell>
          <cell r="D5289" t="str">
            <v>竞技场最高排名到达第3名</v>
          </cell>
          <cell r="E5289" t="str">
            <v>1|14107|350|1</v>
          </cell>
        </row>
        <row r="5290">
          <cell r="A5290">
            <v>75030</v>
          </cell>
          <cell r="B5290">
            <v>1</v>
          </cell>
          <cell r="C5290" t="str">
            <v>1|14107|300</v>
          </cell>
          <cell r="D5290" t="str">
            <v>竞技场最高排名到达第10名</v>
          </cell>
          <cell r="E5290" t="str">
            <v>1|14107|300|1</v>
          </cell>
        </row>
        <row r="5291">
          <cell r="A5291">
            <v>75031</v>
          </cell>
          <cell r="B5291">
            <v>1</v>
          </cell>
          <cell r="C5291" t="str">
            <v>1|14107|250</v>
          </cell>
          <cell r="D5291" t="str">
            <v>竞技场最高排名到达第30名</v>
          </cell>
          <cell r="E5291" t="str">
            <v>1|14107|250|1</v>
          </cell>
        </row>
        <row r="5292">
          <cell r="A5292">
            <v>75032</v>
          </cell>
          <cell r="B5292">
            <v>1</v>
          </cell>
          <cell r="C5292" t="str">
            <v>1|14107|200</v>
          </cell>
          <cell r="D5292" t="str">
            <v>竞技场最高排名到达第100名</v>
          </cell>
          <cell r="E5292" t="str">
            <v>1|14107|200|1</v>
          </cell>
        </row>
        <row r="5293">
          <cell r="A5293">
            <v>75033</v>
          </cell>
          <cell r="B5293">
            <v>1</v>
          </cell>
          <cell r="C5293" t="str">
            <v>1|14107|150</v>
          </cell>
          <cell r="D5293" t="str">
            <v>竞技场最高排名到达第500名</v>
          </cell>
          <cell r="E5293" t="str">
            <v>1|14107|150|1</v>
          </cell>
        </row>
        <row r="5294">
          <cell r="A5294">
            <v>75034</v>
          </cell>
          <cell r="B5294">
            <v>1</v>
          </cell>
          <cell r="C5294" t="str">
            <v>1|14107|100</v>
          </cell>
          <cell r="D5294" t="str">
            <v>竞技场最高排名到达第1000名</v>
          </cell>
          <cell r="E5294" t="str">
            <v>1|14107|100|1</v>
          </cell>
        </row>
        <row r="5295">
          <cell r="A5295">
            <v>75035</v>
          </cell>
          <cell r="B5295">
            <v>1</v>
          </cell>
          <cell r="C5295" t="str">
            <v>1|14107|50</v>
          </cell>
          <cell r="D5295" t="str">
            <v>竞技场最高排名到达第3000名</v>
          </cell>
          <cell r="E5295" t="str">
            <v>1|14107|50|1</v>
          </cell>
        </row>
        <row r="5296">
          <cell r="A5296">
            <v>75036</v>
          </cell>
          <cell r="B5296">
            <v>1</v>
          </cell>
          <cell r="C5296" t="str">
            <v>1|14305|2</v>
          </cell>
          <cell r="D5296" t="str">
            <v>累计合成20个法宝</v>
          </cell>
          <cell r="E5296" t="str">
            <v>1|14305|2|1</v>
          </cell>
        </row>
        <row r="5297">
          <cell r="A5297">
            <v>75037</v>
          </cell>
          <cell r="B5297">
            <v>1</v>
          </cell>
          <cell r="C5297" t="str">
            <v>1|14305|4</v>
          </cell>
          <cell r="D5297" t="str">
            <v>累计合成40个法宝</v>
          </cell>
          <cell r="E5297" t="str">
            <v>1|14305|4|1</v>
          </cell>
        </row>
        <row r="5298">
          <cell r="A5298">
            <v>75038</v>
          </cell>
          <cell r="B5298">
            <v>1</v>
          </cell>
          <cell r="C5298" t="str">
            <v>1|14305|6</v>
          </cell>
          <cell r="D5298" t="str">
            <v>累计合成60个法宝</v>
          </cell>
          <cell r="E5298" t="str">
            <v>1|14305|6|1</v>
          </cell>
        </row>
        <row r="5299">
          <cell r="A5299">
            <v>75039</v>
          </cell>
          <cell r="B5299">
            <v>1</v>
          </cell>
          <cell r="C5299" t="str">
            <v>1|14305|8</v>
          </cell>
          <cell r="D5299" t="str">
            <v>累计合成80个法宝</v>
          </cell>
          <cell r="E5299" t="str">
            <v>1|14305|8|1</v>
          </cell>
        </row>
        <row r="5300">
          <cell r="A5300">
            <v>75040</v>
          </cell>
          <cell r="B5300">
            <v>1</v>
          </cell>
          <cell r="C5300" t="str">
            <v>1|14305|10</v>
          </cell>
          <cell r="D5300" t="str">
            <v>累计合成100个法宝</v>
          </cell>
          <cell r="E5300" t="str">
            <v>1|14305|10|1</v>
          </cell>
        </row>
        <row r="5301">
          <cell r="A5301">
            <v>75041</v>
          </cell>
          <cell r="B5301">
            <v>1</v>
          </cell>
          <cell r="C5301" t="str">
            <v>1|14106|5</v>
          </cell>
          <cell r="D5301" t="str">
            <v>挑战夜探无底洞至5层</v>
          </cell>
          <cell r="E5301" t="str">
            <v>1|14106|5|1</v>
          </cell>
        </row>
        <row r="5302">
          <cell r="A5302">
            <v>75042</v>
          </cell>
          <cell r="B5302">
            <v>1</v>
          </cell>
          <cell r="C5302" t="str">
            <v>1|14106|10</v>
          </cell>
          <cell r="D5302" t="str">
            <v>挑战夜探无底洞至10层</v>
          </cell>
          <cell r="E5302" t="str">
            <v>1|14106|10|1</v>
          </cell>
        </row>
        <row r="5303">
          <cell r="A5303">
            <v>75043</v>
          </cell>
          <cell r="B5303">
            <v>1</v>
          </cell>
          <cell r="C5303" t="str">
            <v>1|14106|15</v>
          </cell>
          <cell r="D5303" t="str">
            <v>挑战夜探无底洞至15层</v>
          </cell>
          <cell r="E5303" t="str">
            <v>1|14106|15|1</v>
          </cell>
        </row>
        <row r="5304">
          <cell r="A5304">
            <v>75044</v>
          </cell>
          <cell r="B5304">
            <v>1</v>
          </cell>
          <cell r="C5304" t="str">
            <v>1|14106|20</v>
          </cell>
          <cell r="D5304" t="str">
            <v>挑战夜探无底洞至20层</v>
          </cell>
          <cell r="E5304" t="str">
            <v>1|14106|20|1</v>
          </cell>
        </row>
        <row r="5305">
          <cell r="A5305">
            <v>75045</v>
          </cell>
          <cell r="B5305">
            <v>1</v>
          </cell>
          <cell r="C5305" t="str">
            <v>4|2|6000</v>
          </cell>
          <cell r="D5305" t="str">
            <v>今日登陆赠送</v>
          </cell>
          <cell r="E5305" t="str">
            <v>4|2|6000|1</v>
          </cell>
        </row>
        <row r="5306">
          <cell r="A5306">
            <v>75046</v>
          </cell>
          <cell r="B5306">
            <v>1</v>
          </cell>
          <cell r="C5306" t="str">
            <v>4|4|400</v>
          </cell>
          <cell r="D5306" t="str">
            <v>主角等级到达40级</v>
          </cell>
          <cell r="E5306" t="str">
            <v>4|4|400|1</v>
          </cell>
        </row>
        <row r="5307">
          <cell r="A5307">
            <v>75047</v>
          </cell>
          <cell r="B5307">
            <v>1</v>
          </cell>
          <cell r="C5307" t="str">
            <v>4|1|140000</v>
          </cell>
          <cell r="D5307" t="str">
            <v>上阵伙伴的装备强化至70级</v>
          </cell>
          <cell r="E5307" t="str">
            <v>4|1|140000|1</v>
          </cell>
        </row>
        <row r="5308">
          <cell r="A5308">
            <v>75048</v>
          </cell>
          <cell r="B5308">
            <v>1</v>
          </cell>
          <cell r="C5308" t="str">
            <v>4|1|160000</v>
          </cell>
          <cell r="D5308" t="str">
            <v>上阵伙伴的装备强化至80级</v>
          </cell>
          <cell r="E5308" t="str">
            <v>4|1|160000|1</v>
          </cell>
        </row>
        <row r="5309">
          <cell r="A5309">
            <v>75049</v>
          </cell>
          <cell r="B5309">
            <v>1</v>
          </cell>
          <cell r="C5309" t="str">
            <v>4|1|180000</v>
          </cell>
          <cell r="D5309" t="str">
            <v>上阵伙伴的装备强化至90级</v>
          </cell>
          <cell r="E5309" t="str">
            <v>4|1|180000|1</v>
          </cell>
        </row>
        <row r="5310">
          <cell r="A5310">
            <v>75050</v>
          </cell>
          <cell r="B5310">
            <v>1</v>
          </cell>
          <cell r="C5310" t="str">
            <v>4|1|200000</v>
          </cell>
          <cell r="D5310" t="str">
            <v>上阵伙伴的装备强化至100级</v>
          </cell>
          <cell r="E5310" t="str">
            <v>4|1|200000|1</v>
          </cell>
        </row>
        <row r="5311">
          <cell r="A5311">
            <v>75051</v>
          </cell>
          <cell r="B5311">
            <v>1</v>
          </cell>
          <cell r="C5311" t="str">
            <v>1|14314|5</v>
          </cell>
          <cell r="D5311" t="str">
            <v>大雁塔达到35层</v>
          </cell>
          <cell r="E5311" t="str">
            <v>1|14314|5|1</v>
          </cell>
        </row>
        <row r="5312">
          <cell r="A5312">
            <v>75052</v>
          </cell>
          <cell r="B5312">
            <v>1</v>
          </cell>
          <cell r="C5312" t="str">
            <v>1|14314|6</v>
          </cell>
          <cell r="D5312" t="str">
            <v>大雁塔达到40层</v>
          </cell>
          <cell r="E5312" t="str">
            <v>1|14314|6|1</v>
          </cell>
        </row>
        <row r="5313">
          <cell r="A5313">
            <v>75053</v>
          </cell>
          <cell r="B5313">
            <v>1</v>
          </cell>
          <cell r="C5313" t="str">
            <v>1|14314|7</v>
          </cell>
          <cell r="D5313" t="str">
            <v>大雁塔达到45层</v>
          </cell>
          <cell r="E5313" t="str">
            <v>1|14314|7|1</v>
          </cell>
        </row>
        <row r="5314">
          <cell r="A5314">
            <v>75054</v>
          </cell>
          <cell r="B5314">
            <v>1</v>
          </cell>
          <cell r="C5314" t="str">
            <v>1|14314|8</v>
          </cell>
          <cell r="D5314" t="str">
            <v>大雁塔达到50层</v>
          </cell>
          <cell r="E5314" t="str">
            <v>1|14314|8|1</v>
          </cell>
        </row>
        <row r="5315">
          <cell r="A5315">
            <v>75055</v>
          </cell>
          <cell r="B5315">
            <v>1</v>
          </cell>
          <cell r="C5315" t="str">
            <v>1|14314|9</v>
          </cell>
          <cell r="D5315" t="str">
            <v>大雁塔达到55层</v>
          </cell>
          <cell r="E5315" t="str">
            <v>1|14314|9|1</v>
          </cell>
        </row>
        <row r="5316">
          <cell r="A5316">
            <v>75056</v>
          </cell>
          <cell r="B5316">
            <v>1</v>
          </cell>
          <cell r="C5316" t="str">
            <v>1|14314|10</v>
          </cell>
          <cell r="D5316" t="str">
            <v>大雁塔达到60层</v>
          </cell>
          <cell r="E5316" t="str">
            <v>1|14314|10|1</v>
          </cell>
        </row>
        <row r="5317">
          <cell r="A5317">
            <v>75057</v>
          </cell>
          <cell r="B5317">
            <v>1</v>
          </cell>
          <cell r="C5317" t="str">
            <v>1|16005|20</v>
          </cell>
          <cell r="D5317" t="str">
            <v>上阵伙伴的装备精炼等级到达1级</v>
          </cell>
          <cell r="E5317" t="str">
            <v>1|16005|20|1</v>
          </cell>
        </row>
        <row r="5318">
          <cell r="A5318">
            <v>75058</v>
          </cell>
          <cell r="B5318">
            <v>1</v>
          </cell>
          <cell r="C5318" t="str">
            <v>1|16005|40</v>
          </cell>
          <cell r="D5318" t="str">
            <v>上阵伙伴的装备精炼等级到达2级</v>
          </cell>
          <cell r="E5318" t="str">
            <v>1|16005|40|1</v>
          </cell>
        </row>
        <row r="5319">
          <cell r="A5319">
            <v>75059</v>
          </cell>
          <cell r="B5319">
            <v>1</v>
          </cell>
          <cell r="C5319" t="str">
            <v>1|16005|60</v>
          </cell>
          <cell r="D5319" t="str">
            <v>上阵伙伴的装备精炼等级到达3级</v>
          </cell>
          <cell r="E5319" t="str">
            <v>1|16005|60|1</v>
          </cell>
        </row>
        <row r="5320">
          <cell r="A5320">
            <v>75060</v>
          </cell>
          <cell r="B5320">
            <v>1</v>
          </cell>
          <cell r="C5320" t="str">
            <v>1|16005|80</v>
          </cell>
          <cell r="D5320" t="str">
            <v>上阵伙伴的装备精炼等级到达4级</v>
          </cell>
          <cell r="E5320" t="str">
            <v>1|16005|80|1</v>
          </cell>
        </row>
        <row r="5321">
          <cell r="A5321">
            <v>75061</v>
          </cell>
          <cell r="B5321">
            <v>1</v>
          </cell>
          <cell r="C5321" t="str">
            <v>1|16005|100</v>
          </cell>
          <cell r="D5321" t="str">
            <v>上阵伙伴的装备精炼等级到达5级</v>
          </cell>
          <cell r="E5321" t="str">
            <v>1|16005|100|1</v>
          </cell>
        </row>
        <row r="5322">
          <cell r="A5322">
            <v>75062</v>
          </cell>
          <cell r="B5322">
            <v>1</v>
          </cell>
          <cell r="C5322" t="str">
            <v>6|4502|2</v>
          </cell>
          <cell r="D5322" t="str">
            <v>上阵伙伴的法宝强化等级到达4级</v>
          </cell>
          <cell r="E5322" t="str">
            <v>6|4502|2|1</v>
          </cell>
        </row>
        <row r="5323">
          <cell r="A5323">
            <v>75063</v>
          </cell>
          <cell r="B5323">
            <v>1</v>
          </cell>
          <cell r="C5323" t="str">
            <v>6|4502|4</v>
          </cell>
          <cell r="D5323" t="str">
            <v>上阵伙伴的法宝强化等级到达8级</v>
          </cell>
          <cell r="E5323" t="str">
            <v>6|4502|4|1</v>
          </cell>
        </row>
        <row r="5324">
          <cell r="A5324">
            <v>75064</v>
          </cell>
          <cell r="B5324">
            <v>1</v>
          </cell>
          <cell r="C5324" t="str">
            <v>6|4502|6</v>
          </cell>
          <cell r="D5324" t="str">
            <v>上阵伙伴的法宝强化等级到达12级</v>
          </cell>
          <cell r="E5324" t="str">
            <v>6|4502|6|1</v>
          </cell>
        </row>
        <row r="5325">
          <cell r="A5325">
            <v>75065</v>
          </cell>
          <cell r="B5325">
            <v>1</v>
          </cell>
          <cell r="C5325" t="str">
            <v>6|4502|8</v>
          </cell>
          <cell r="D5325" t="str">
            <v>上阵伙伴的法宝强化等级到达16级</v>
          </cell>
          <cell r="E5325" t="str">
            <v>6|4502|8|1</v>
          </cell>
        </row>
        <row r="5326">
          <cell r="A5326">
            <v>75066</v>
          </cell>
          <cell r="B5326">
            <v>1</v>
          </cell>
          <cell r="C5326" t="str">
            <v>6|4502|10</v>
          </cell>
          <cell r="D5326" t="str">
            <v>上阵伙伴的法宝强化等级到达20级</v>
          </cell>
          <cell r="E5326" t="str">
            <v>6|4502|10|1</v>
          </cell>
        </row>
        <row r="5327">
          <cell r="A5327">
            <v>75067</v>
          </cell>
          <cell r="B5327">
            <v>1</v>
          </cell>
          <cell r="C5327" t="str">
            <v>4|2|6000</v>
          </cell>
          <cell r="D5327" t="str">
            <v>今日登陆赠送</v>
          </cell>
          <cell r="E5327" t="str">
            <v>4|2|6000|1</v>
          </cell>
        </row>
        <row r="5328">
          <cell r="A5328">
            <v>75068</v>
          </cell>
          <cell r="B5328">
            <v>1</v>
          </cell>
          <cell r="C5328" t="str">
            <v>4|4|500</v>
          </cell>
          <cell r="D5328" t="str">
            <v>主角等级到达43级</v>
          </cell>
          <cell r="E5328" t="str">
            <v>4|4|500|1</v>
          </cell>
        </row>
        <row r="5329">
          <cell r="A5329">
            <v>75069</v>
          </cell>
          <cell r="B5329">
            <v>1</v>
          </cell>
          <cell r="C5329" t="str">
            <v>1|17000|20</v>
          </cell>
          <cell r="D5329" t="str">
            <v>累计击杀梦魇20个</v>
          </cell>
          <cell r="E5329" t="str">
            <v>1|17000|20|1</v>
          </cell>
        </row>
        <row r="5330">
          <cell r="A5330">
            <v>75070</v>
          </cell>
          <cell r="B5330">
            <v>1</v>
          </cell>
          <cell r="C5330" t="str">
            <v>1|17000|40</v>
          </cell>
          <cell r="D5330" t="str">
            <v>累计击杀梦魇40个</v>
          </cell>
          <cell r="E5330" t="str">
            <v>1|17000|40|1</v>
          </cell>
        </row>
        <row r="5331">
          <cell r="A5331">
            <v>75071</v>
          </cell>
          <cell r="B5331">
            <v>1</v>
          </cell>
          <cell r="C5331" t="str">
            <v>1|17000|60</v>
          </cell>
          <cell r="D5331" t="str">
            <v>累计击杀梦魇60个</v>
          </cell>
          <cell r="E5331" t="str">
            <v>1|17000|60|1</v>
          </cell>
        </row>
        <row r="5332">
          <cell r="A5332">
            <v>75072</v>
          </cell>
          <cell r="B5332">
            <v>1</v>
          </cell>
          <cell r="C5332" t="str">
            <v>1|17000|80</v>
          </cell>
          <cell r="D5332" t="str">
            <v>累计击杀梦魇80个</v>
          </cell>
          <cell r="E5332" t="str">
            <v>1|17000|80|1</v>
          </cell>
        </row>
        <row r="5333">
          <cell r="A5333">
            <v>75073</v>
          </cell>
          <cell r="B5333">
            <v>1</v>
          </cell>
          <cell r="C5333" t="str">
            <v>1|17000|100</v>
          </cell>
          <cell r="D5333" t="str">
            <v>累计击杀梦魇100个</v>
          </cell>
          <cell r="E5333" t="str">
            <v>1|17000|100|1</v>
          </cell>
        </row>
        <row r="5334">
          <cell r="A5334">
            <v>75074</v>
          </cell>
          <cell r="B5334">
            <v>1</v>
          </cell>
          <cell r="C5334" t="str">
            <v>1|16010|1</v>
          </cell>
          <cell r="D5334" t="str">
            <v>累计进行武将培养10次</v>
          </cell>
          <cell r="E5334" t="str">
            <v>1|16010|1|1</v>
          </cell>
        </row>
        <row r="5335">
          <cell r="A5335">
            <v>75075</v>
          </cell>
          <cell r="B5335">
            <v>1</v>
          </cell>
          <cell r="C5335" t="str">
            <v>1|16010|2</v>
          </cell>
          <cell r="D5335" t="str">
            <v>累计进行武将培养20次</v>
          </cell>
          <cell r="E5335" t="str">
            <v>1|16010|2|1</v>
          </cell>
        </row>
        <row r="5336">
          <cell r="A5336">
            <v>75076</v>
          </cell>
          <cell r="B5336">
            <v>1</v>
          </cell>
          <cell r="C5336" t="str">
            <v>1|16010|3</v>
          </cell>
          <cell r="D5336" t="str">
            <v>累计进行武将培养30次</v>
          </cell>
          <cell r="E5336" t="str">
            <v>1|16010|3|1</v>
          </cell>
        </row>
        <row r="5337">
          <cell r="A5337">
            <v>75077</v>
          </cell>
          <cell r="B5337">
            <v>1</v>
          </cell>
          <cell r="C5337" t="str">
            <v>1|16010|4</v>
          </cell>
          <cell r="D5337" t="str">
            <v>累计进行武将培养40次</v>
          </cell>
          <cell r="E5337" t="str">
            <v>1|16010|4|1</v>
          </cell>
        </row>
        <row r="5338">
          <cell r="A5338">
            <v>75078</v>
          </cell>
          <cell r="B5338">
            <v>1</v>
          </cell>
          <cell r="C5338" t="str">
            <v>1|16010|5</v>
          </cell>
          <cell r="D5338" t="str">
            <v>累计进行武将培养50次</v>
          </cell>
          <cell r="E5338" t="str">
            <v>1|16010|5|1</v>
          </cell>
        </row>
        <row r="5339">
          <cell r="A5339">
            <v>75079</v>
          </cell>
          <cell r="B5339">
            <v>1</v>
          </cell>
          <cell r="C5339" t="str">
            <v>1|17001|10</v>
          </cell>
          <cell r="D5339" t="str">
            <v>上阵伙伴的神兵全部强化至2级</v>
          </cell>
          <cell r="E5339" t="str">
            <v>1|17001|10|1</v>
          </cell>
        </row>
        <row r="5340">
          <cell r="A5340">
            <v>75080</v>
          </cell>
          <cell r="B5340">
            <v>1</v>
          </cell>
          <cell r="C5340" t="str">
            <v>1|17001|20</v>
          </cell>
          <cell r="D5340" t="str">
            <v>上阵伙伴的神兵全部强化至4级</v>
          </cell>
          <cell r="E5340" t="str">
            <v>1|17001|20|1</v>
          </cell>
        </row>
        <row r="5341">
          <cell r="A5341">
            <v>75081</v>
          </cell>
          <cell r="B5341">
            <v>1</v>
          </cell>
          <cell r="C5341" t="str">
            <v>1|17001|30</v>
          </cell>
          <cell r="D5341" t="str">
            <v>上阵伙伴的神兵全部强化至6级</v>
          </cell>
          <cell r="E5341" t="str">
            <v>1|17001|30|1</v>
          </cell>
        </row>
        <row r="5342">
          <cell r="A5342">
            <v>75082</v>
          </cell>
          <cell r="B5342">
            <v>1</v>
          </cell>
          <cell r="C5342" t="str">
            <v>1|17001|40</v>
          </cell>
          <cell r="D5342" t="str">
            <v>上阵伙伴的神兵全部强化至8级</v>
          </cell>
          <cell r="E5342" t="str">
            <v>1|17001|40|1</v>
          </cell>
        </row>
        <row r="5343">
          <cell r="A5343">
            <v>75083</v>
          </cell>
          <cell r="B5343">
            <v>1</v>
          </cell>
          <cell r="C5343" t="str">
            <v>1|17001|50</v>
          </cell>
          <cell r="D5343" t="str">
            <v>上阵伙伴的神兵全部强化至10级</v>
          </cell>
          <cell r="E5343" t="str">
            <v>1|17001|50|1</v>
          </cell>
        </row>
        <row r="5344">
          <cell r="A5344">
            <v>75084</v>
          </cell>
          <cell r="B5344">
            <v>1</v>
          </cell>
          <cell r="C5344" t="str">
            <v>1|14201|20</v>
          </cell>
          <cell r="D5344" t="str">
            <v>上阵伙伴的法宝精炼等级到达1级</v>
          </cell>
          <cell r="E5344" t="str">
            <v>1|14201|20|1</v>
          </cell>
        </row>
        <row r="5345">
          <cell r="A5345">
            <v>75085</v>
          </cell>
          <cell r="B5345">
            <v>1</v>
          </cell>
          <cell r="C5345" t="str">
            <v>1|14201|40</v>
          </cell>
          <cell r="D5345" t="str">
            <v>上阵伙伴的法宝精炼等级到达2级</v>
          </cell>
          <cell r="E5345" t="str">
            <v>1|14201|40|1</v>
          </cell>
        </row>
        <row r="5346">
          <cell r="A5346">
            <v>75086</v>
          </cell>
          <cell r="B5346">
            <v>1</v>
          </cell>
          <cell r="C5346" t="str">
            <v>1|14201|60</v>
          </cell>
          <cell r="D5346" t="str">
            <v>上阵伙伴的法宝精炼等级到达3级</v>
          </cell>
          <cell r="E5346" t="str">
            <v>1|14201|60|1</v>
          </cell>
        </row>
        <row r="5347">
          <cell r="A5347">
            <v>75087</v>
          </cell>
          <cell r="B5347">
            <v>1</v>
          </cell>
          <cell r="C5347" t="str">
            <v>1|14201|80</v>
          </cell>
          <cell r="D5347" t="str">
            <v>上阵伙伴的法宝精炼等级到达4级</v>
          </cell>
          <cell r="E5347" t="str">
            <v>1|14201|80|1</v>
          </cell>
        </row>
        <row r="5348">
          <cell r="A5348">
            <v>75088</v>
          </cell>
          <cell r="B5348">
            <v>1</v>
          </cell>
          <cell r="C5348" t="str">
            <v>1|14201|100</v>
          </cell>
          <cell r="D5348" t="str">
            <v>上阵伙伴的法宝精炼等级到达5级</v>
          </cell>
          <cell r="E5348" t="str">
            <v>1|14201|100|1</v>
          </cell>
        </row>
        <row r="5349">
          <cell r="A5349">
            <v>75089</v>
          </cell>
          <cell r="B5349">
            <v>1</v>
          </cell>
          <cell r="C5349" t="str">
            <v>4|2|6000</v>
          </cell>
          <cell r="D5349" t="str">
            <v>今日登陆赠送</v>
          </cell>
          <cell r="E5349" t="str">
            <v>4|2|6000|1</v>
          </cell>
        </row>
        <row r="5350">
          <cell r="A5350">
            <v>75090</v>
          </cell>
          <cell r="B5350">
            <v>1</v>
          </cell>
          <cell r="C5350" t="str">
            <v>4|2|600</v>
          </cell>
          <cell r="D5350" t="str">
            <v>主角等级到达45级</v>
          </cell>
          <cell r="E5350" t="str">
            <v>4|2|600|1</v>
          </cell>
        </row>
        <row r="5351">
          <cell r="A5351">
            <v>75091</v>
          </cell>
          <cell r="B5351">
            <v>1</v>
          </cell>
          <cell r="C5351" t="str">
            <v>4|4|300</v>
          </cell>
          <cell r="D5351" t="str">
            <v>通关幻境副本第3章</v>
          </cell>
          <cell r="E5351" t="str">
            <v>4|4|300|1</v>
          </cell>
        </row>
        <row r="5352">
          <cell r="A5352">
            <v>75092</v>
          </cell>
          <cell r="B5352">
            <v>1</v>
          </cell>
          <cell r="C5352" t="str">
            <v>4|4|450</v>
          </cell>
          <cell r="D5352" t="str">
            <v>通关幻境副本第4章</v>
          </cell>
          <cell r="E5352" t="str">
            <v>4|4|450|1</v>
          </cell>
        </row>
        <row r="5353">
          <cell r="A5353">
            <v>75093</v>
          </cell>
          <cell r="B5353">
            <v>1</v>
          </cell>
          <cell r="C5353" t="str">
            <v>4|4|600</v>
          </cell>
          <cell r="D5353" t="str">
            <v>通关幻境副本第5章</v>
          </cell>
          <cell r="E5353" t="str">
            <v>4|4|600|1</v>
          </cell>
        </row>
        <row r="5354">
          <cell r="A5354">
            <v>75094</v>
          </cell>
          <cell r="B5354">
            <v>1</v>
          </cell>
          <cell r="C5354" t="str">
            <v>4|4|750</v>
          </cell>
          <cell r="D5354" t="str">
            <v>通关幻境副本第6章</v>
          </cell>
          <cell r="E5354" t="str">
            <v>4|4|750|1</v>
          </cell>
        </row>
        <row r="5355">
          <cell r="A5355">
            <v>75095</v>
          </cell>
          <cell r="B5355">
            <v>1</v>
          </cell>
          <cell r="C5355" t="str">
            <v>1|17000|120</v>
          </cell>
          <cell r="D5355" t="str">
            <v>累计击杀梦魇120个</v>
          </cell>
          <cell r="E5355" t="str">
            <v>1|17000|120|1</v>
          </cell>
        </row>
        <row r="5356">
          <cell r="A5356">
            <v>75096</v>
          </cell>
          <cell r="B5356">
            <v>1</v>
          </cell>
          <cell r="C5356" t="str">
            <v>1|17000|140</v>
          </cell>
          <cell r="D5356" t="str">
            <v>累计击杀梦魇140个</v>
          </cell>
          <cell r="E5356" t="str">
            <v>1|17000|140|1</v>
          </cell>
        </row>
        <row r="5357">
          <cell r="A5357">
            <v>75097</v>
          </cell>
          <cell r="B5357">
            <v>1</v>
          </cell>
          <cell r="C5357" t="str">
            <v>1|17000|160</v>
          </cell>
          <cell r="D5357" t="str">
            <v>累计击杀梦魇160个</v>
          </cell>
          <cell r="E5357" t="str">
            <v>1|17000|160|1</v>
          </cell>
        </row>
        <row r="5358">
          <cell r="A5358">
            <v>75098</v>
          </cell>
          <cell r="B5358">
            <v>1</v>
          </cell>
          <cell r="C5358" t="str">
            <v>1|17000|180</v>
          </cell>
          <cell r="D5358" t="str">
            <v>累计击杀梦魇180个</v>
          </cell>
          <cell r="E5358" t="str">
            <v>1|17000|180|1</v>
          </cell>
        </row>
        <row r="5359">
          <cell r="A5359">
            <v>75099</v>
          </cell>
          <cell r="B5359">
            <v>1</v>
          </cell>
          <cell r="C5359" t="str">
            <v>1|17000|200</v>
          </cell>
          <cell r="D5359" t="str">
            <v>累计击杀梦魇200个</v>
          </cell>
          <cell r="E5359" t="str">
            <v>1|17000|200|1</v>
          </cell>
        </row>
        <row r="5360">
          <cell r="A5360">
            <v>75100</v>
          </cell>
          <cell r="B5360">
            <v>1</v>
          </cell>
          <cell r="C5360" t="str">
            <v>1|14102|5</v>
          </cell>
          <cell r="D5360" t="str">
            <v>累计刷新伙伴商店10次</v>
          </cell>
          <cell r="E5360" t="str">
            <v>1|14102|5|1</v>
          </cell>
        </row>
        <row r="5361">
          <cell r="A5361">
            <v>75101</v>
          </cell>
          <cell r="B5361">
            <v>1</v>
          </cell>
          <cell r="C5361" t="str">
            <v>1|14102|10</v>
          </cell>
          <cell r="D5361" t="str">
            <v>累计刷新伙伴商店20次</v>
          </cell>
          <cell r="E5361" t="str">
            <v>1|14102|10|1</v>
          </cell>
        </row>
        <row r="5362">
          <cell r="A5362">
            <v>75102</v>
          </cell>
          <cell r="B5362">
            <v>1</v>
          </cell>
          <cell r="C5362" t="str">
            <v>1|14102|15</v>
          </cell>
          <cell r="D5362" t="str">
            <v>累计刷新伙伴商店30次</v>
          </cell>
          <cell r="E5362" t="str">
            <v>1|14102|15|1</v>
          </cell>
        </row>
        <row r="5363">
          <cell r="A5363">
            <v>75103</v>
          </cell>
          <cell r="B5363">
            <v>1</v>
          </cell>
          <cell r="C5363" t="str">
            <v>1|14102|20</v>
          </cell>
          <cell r="D5363" t="str">
            <v>累计刷新伙伴商店40次</v>
          </cell>
          <cell r="E5363" t="str">
            <v>1|14102|20|1</v>
          </cell>
        </row>
        <row r="5364">
          <cell r="A5364">
            <v>75104</v>
          </cell>
          <cell r="B5364">
            <v>1</v>
          </cell>
          <cell r="C5364" t="str">
            <v>1|14102|25</v>
          </cell>
          <cell r="D5364" t="str">
            <v>累计刷新伙伴商店50次</v>
          </cell>
          <cell r="E5364" t="str">
            <v>1|14102|25|1</v>
          </cell>
        </row>
        <row r="5365">
          <cell r="A5365">
            <v>75105</v>
          </cell>
          <cell r="B5365">
            <v>1</v>
          </cell>
          <cell r="C5365" t="str">
            <v>1|14102|30</v>
          </cell>
          <cell r="D5365" t="str">
            <v>累计刷新伙伴商店60次</v>
          </cell>
          <cell r="E5365" t="str">
            <v>1|14102|30|1</v>
          </cell>
        </row>
        <row r="5366">
          <cell r="A5366">
            <v>75106</v>
          </cell>
          <cell r="B5366">
            <v>1</v>
          </cell>
          <cell r="C5366" t="str">
            <v>1|14102|35</v>
          </cell>
          <cell r="D5366" t="str">
            <v>累计刷新伙伴商店70次</v>
          </cell>
          <cell r="E5366" t="str">
            <v>1|14102|35|1</v>
          </cell>
        </row>
        <row r="5367">
          <cell r="A5367">
            <v>75107</v>
          </cell>
          <cell r="B5367">
            <v>1</v>
          </cell>
          <cell r="C5367" t="str">
            <v>1|14102|40</v>
          </cell>
          <cell r="D5367" t="str">
            <v>累计刷新伙伴商店80次</v>
          </cell>
          <cell r="E5367" t="str">
            <v>1|14102|40|1</v>
          </cell>
        </row>
        <row r="5368">
          <cell r="A5368">
            <v>75108</v>
          </cell>
          <cell r="B5368">
            <v>1</v>
          </cell>
          <cell r="C5368" t="str">
            <v>1|14102|45</v>
          </cell>
          <cell r="D5368" t="str">
            <v>累计刷新伙伴商店90次</v>
          </cell>
          <cell r="E5368" t="str">
            <v>1|14102|45|1</v>
          </cell>
        </row>
        <row r="5369">
          <cell r="A5369">
            <v>75109</v>
          </cell>
          <cell r="B5369">
            <v>1</v>
          </cell>
          <cell r="C5369" t="str">
            <v>1|14102|50</v>
          </cell>
          <cell r="D5369" t="str">
            <v>累计刷新伙伴商店100次</v>
          </cell>
          <cell r="E5369" t="str">
            <v>1|14102|50|1</v>
          </cell>
        </row>
        <row r="5370">
          <cell r="A5370">
            <v>75110</v>
          </cell>
          <cell r="B5370">
            <v>1</v>
          </cell>
          <cell r="C5370" t="str">
            <v>4|2|6000</v>
          </cell>
          <cell r="D5370" t="str">
            <v>今日登陆赠送</v>
          </cell>
          <cell r="E5370" t="str">
            <v>4|2|6000|1</v>
          </cell>
        </row>
        <row r="5371">
          <cell r="A5371">
            <v>75111</v>
          </cell>
          <cell r="B5371">
            <v>1</v>
          </cell>
          <cell r="C5371" t="str">
            <v>4|2|800</v>
          </cell>
          <cell r="D5371" t="str">
            <v>主角等级到达48级</v>
          </cell>
          <cell r="E5371" t="str">
            <v>4|2|800|1</v>
          </cell>
        </row>
        <row r="5372">
          <cell r="A5372">
            <v>75112</v>
          </cell>
          <cell r="B5372">
            <v>1</v>
          </cell>
          <cell r="C5372" t="str">
            <v>1|17001|60</v>
          </cell>
          <cell r="D5372" t="str">
            <v>上阵伙伴的神兵全部强化至12级</v>
          </cell>
          <cell r="E5372" t="str">
            <v>1|17001|60|1</v>
          </cell>
        </row>
        <row r="5373">
          <cell r="A5373">
            <v>75113</v>
          </cell>
          <cell r="B5373">
            <v>1</v>
          </cell>
          <cell r="C5373" t="str">
            <v>1|17001|70</v>
          </cell>
          <cell r="D5373" t="str">
            <v>上阵伙伴的神兵全部强化至14级</v>
          </cell>
          <cell r="E5373" t="str">
            <v>1|17001|70|1</v>
          </cell>
        </row>
        <row r="5374">
          <cell r="A5374">
            <v>75114</v>
          </cell>
          <cell r="B5374">
            <v>1</v>
          </cell>
          <cell r="C5374" t="str">
            <v>1|17001|80</v>
          </cell>
          <cell r="D5374" t="str">
            <v>上阵伙伴的神兵全部强化至16级</v>
          </cell>
          <cell r="E5374" t="str">
            <v>1|17001|80|1</v>
          </cell>
        </row>
        <row r="5375">
          <cell r="A5375">
            <v>75115</v>
          </cell>
          <cell r="B5375">
            <v>1</v>
          </cell>
          <cell r="C5375" t="str">
            <v>1|17001|90</v>
          </cell>
          <cell r="D5375" t="str">
            <v>上阵伙伴的神兵全部强化至18级</v>
          </cell>
          <cell r="E5375" t="str">
            <v>1|17001|90|1</v>
          </cell>
        </row>
        <row r="5376">
          <cell r="A5376">
            <v>75116</v>
          </cell>
          <cell r="B5376">
            <v>1</v>
          </cell>
          <cell r="C5376" t="str">
            <v>1|17001|100</v>
          </cell>
          <cell r="D5376" t="str">
            <v>上阵伙伴的神兵全部强化至20级</v>
          </cell>
          <cell r="E5376" t="str">
            <v>1|17001|100|1</v>
          </cell>
        </row>
        <row r="5377">
          <cell r="A5377">
            <v>75117</v>
          </cell>
          <cell r="B5377">
            <v>1</v>
          </cell>
          <cell r="C5377" t="str">
            <v>1|14305|2</v>
          </cell>
          <cell r="D5377" t="str">
            <v>累计击杀斩妖夺宝怪物10个</v>
          </cell>
          <cell r="E5377" t="str">
            <v>1|14305|2|1</v>
          </cell>
        </row>
        <row r="5378">
          <cell r="A5378">
            <v>75118</v>
          </cell>
          <cell r="B5378">
            <v>1</v>
          </cell>
          <cell r="C5378" t="str">
            <v>1|14305|4</v>
          </cell>
          <cell r="D5378" t="str">
            <v>累计击杀斩妖夺宝怪物15个</v>
          </cell>
          <cell r="E5378" t="str">
            <v>1|14305|4|1</v>
          </cell>
        </row>
        <row r="5379">
          <cell r="A5379">
            <v>75119</v>
          </cell>
          <cell r="B5379">
            <v>1</v>
          </cell>
          <cell r="C5379" t="str">
            <v>1|14305|6</v>
          </cell>
          <cell r="D5379" t="str">
            <v>累计击杀斩妖夺宝怪物20个</v>
          </cell>
          <cell r="E5379" t="str">
            <v>1|14305|6|1</v>
          </cell>
        </row>
        <row r="5380">
          <cell r="A5380">
            <v>75120</v>
          </cell>
          <cell r="B5380">
            <v>1</v>
          </cell>
          <cell r="C5380" t="str">
            <v>1|14305|8</v>
          </cell>
          <cell r="D5380" t="str">
            <v>累计击杀斩妖夺宝怪物25个</v>
          </cell>
          <cell r="E5380" t="str">
            <v>1|14305|8|1</v>
          </cell>
        </row>
        <row r="5381">
          <cell r="A5381">
            <v>75121</v>
          </cell>
          <cell r="B5381">
            <v>1</v>
          </cell>
          <cell r="C5381" t="str">
            <v>1|14305|10</v>
          </cell>
          <cell r="D5381" t="str">
            <v>累计击杀斩妖夺宝怪物30个</v>
          </cell>
          <cell r="E5381" t="str">
            <v>1|14305|10|1</v>
          </cell>
        </row>
        <row r="5382">
          <cell r="A5382">
            <v>75122</v>
          </cell>
          <cell r="B5382">
            <v>1</v>
          </cell>
          <cell r="C5382" t="str">
            <v>1|16005|120</v>
          </cell>
          <cell r="D5382" t="str">
            <v>上阵伙伴的装备精炼等级到达6级</v>
          </cell>
          <cell r="E5382" t="str">
            <v>1|16005|120|1</v>
          </cell>
        </row>
        <row r="5383">
          <cell r="A5383">
            <v>75123</v>
          </cell>
          <cell r="B5383">
            <v>1</v>
          </cell>
          <cell r="C5383" t="str">
            <v>1|16005|140</v>
          </cell>
          <cell r="D5383" t="str">
            <v>上阵伙伴的装备精炼等级到达7级</v>
          </cell>
          <cell r="E5383" t="str">
            <v>1|16005|140|1</v>
          </cell>
        </row>
        <row r="5384">
          <cell r="A5384">
            <v>75124</v>
          </cell>
          <cell r="B5384">
            <v>1</v>
          </cell>
          <cell r="C5384" t="str">
            <v>1|16005|160</v>
          </cell>
          <cell r="D5384" t="str">
            <v>上阵伙伴的装备精炼等级到达8级</v>
          </cell>
          <cell r="E5384" t="str">
            <v>1|16005|160|1</v>
          </cell>
        </row>
        <row r="5385">
          <cell r="A5385">
            <v>75125</v>
          </cell>
          <cell r="B5385">
            <v>1</v>
          </cell>
          <cell r="C5385" t="str">
            <v>1|16005|180</v>
          </cell>
          <cell r="D5385" t="str">
            <v>上阵伙伴的装备精炼等级到达9级</v>
          </cell>
          <cell r="E5385" t="str">
            <v>1|16005|180|1</v>
          </cell>
        </row>
        <row r="5386">
          <cell r="A5386">
            <v>75126</v>
          </cell>
          <cell r="B5386">
            <v>1</v>
          </cell>
          <cell r="C5386" t="str">
            <v>1|16005|200</v>
          </cell>
          <cell r="D5386" t="str">
            <v>上阵伙伴的装备精炼等级到达10级</v>
          </cell>
          <cell r="E5386" t="str">
            <v>1|16005|200|1</v>
          </cell>
        </row>
        <row r="5387">
          <cell r="A5387">
            <v>75127</v>
          </cell>
          <cell r="B5387">
            <v>1</v>
          </cell>
          <cell r="C5387" t="str">
            <v>1|14201|120</v>
          </cell>
          <cell r="D5387" t="str">
            <v>上阵伙伴的法宝精炼等级到达6级</v>
          </cell>
          <cell r="E5387" t="str">
            <v>1|14201|120|1</v>
          </cell>
        </row>
        <row r="5388">
          <cell r="A5388">
            <v>75128</v>
          </cell>
          <cell r="B5388">
            <v>1</v>
          </cell>
          <cell r="C5388" t="str">
            <v>1|14201|140</v>
          </cell>
          <cell r="D5388" t="str">
            <v>上阵伙伴的法宝精炼等级到达7级</v>
          </cell>
          <cell r="E5388" t="str">
            <v>1|14201|140|1</v>
          </cell>
        </row>
        <row r="5389">
          <cell r="A5389">
            <v>75129</v>
          </cell>
          <cell r="B5389">
            <v>1</v>
          </cell>
          <cell r="C5389" t="str">
            <v>1|14201|160</v>
          </cell>
          <cell r="D5389" t="str">
            <v>上阵伙伴的法宝精炼等级到达8级</v>
          </cell>
          <cell r="E5389" t="str">
            <v>1|14201|160|1</v>
          </cell>
        </row>
        <row r="5390">
          <cell r="A5390">
            <v>75130</v>
          </cell>
          <cell r="B5390">
            <v>1</v>
          </cell>
          <cell r="C5390" t="str">
            <v>1|14201|180</v>
          </cell>
          <cell r="D5390" t="str">
            <v>上阵伙伴的法宝精炼等级到达9级</v>
          </cell>
          <cell r="E5390" t="str">
            <v>1|14201|180|1</v>
          </cell>
        </row>
        <row r="5391">
          <cell r="A5391">
            <v>75131</v>
          </cell>
          <cell r="B5391">
            <v>1</v>
          </cell>
          <cell r="C5391" t="str">
            <v>1|14201|200</v>
          </cell>
          <cell r="D5391" t="str">
            <v>上阵伙伴的法宝精炼等级到达10级</v>
          </cell>
          <cell r="E5391" t="str">
            <v>1|14201|200|1</v>
          </cell>
        </row>
        <row r="5392">
          <cell r="A5392">
            <v>75132</v>
          </cell>
          <cell r="B5392">
            <v>1</v>
          </cell>
          <cell r="C5392" t="str">
            <v>4|2|10000</v>
          </cell>
          <cell r="D5392" t="str">
            <v>今日登陆赠送</v>
          </cell>
          <cell r="E5392" t="str">
            <v>4|2|10000|1</v>
          </cell>
        </row>
        <row r="5393">
          <cell r="A5393">
            <v>75133</v>
          </cell>
          <cell r="B5393">
            <v>1</v>
          </cell>
          <cell r="C5393" t="str">
            <v>1|14503|1</v>
          </cell>
          <cell r="D5393" t="str">
            <v>登录领取指定橙将</v>
          </cell>
          <cell r="E5393" t="str">
            <v>1|14503|1|1</v>
          </cell>
        </row>
        <row r="5394">
          <cell r="A5394">
            <v>75134</v>
          </cell>
          <cell r="B5394">
            <v>1</v>
          </cell>
          <cell r="C5394" t="str">
            <v>4|2|1000</v>
          </cell>
          <cell r="D5394" t="str">
            <v>主角等级到达50级</v>
          </cell>
          <cell r="E5394" t="str">
            <v>4|2|1000|1</v>
          </cell>
        </row>
        <row r="5395">
          <cell r="A5395">
            <v>75135</v>
          </cell>
          <cell r="B5395">
            <v>1</v>
          </cell>
          <cell r="C5395" t="str">
            <v>1|17002|2</v>
          </cell>
          <cell r="D5395" t="str">
            <v>上阵伙伴的神兵全部精炼至2级</v>
          </cell>
          <cell r="E5395" t="str">
            <v>1|17002|2|1</v>
          </cell>
        </row>
        <row r="5396">
          <cell r="A5396">
            <v>75136</v>
          </cell>
          <cell r="B5396">
            <v>1</v>
          </cell>
          <cell r="C5396" t="str">
            <v>1|17002|4</v>
          </cell>
          <cell r="D5396" t="str">
            <v>上阵伙伴的神兵全部精炼至4级</v>
          </cell>
          <cell r="E5396" t="str">
            <v>1|17002|4|1</v>
          </cell>
        </row>
        <row r="5397">
          <cell r="A5397">
            <v>75137</v>
          </cell>
          <cell r="B5397">
            <v>1</v>
          </cell>
          <cell r="C5397" t="str">
            <v>1|17002|6</v>
          </cell>
          <cell r="D5397" t="str">
            <v>上阵伙伴的神兵全部精炼至6级</v>
          </cell>
          <cell r="E5397" t="str">
            <v>1|17002|6|1</v>
          </cell>
        </row>
        <row r="5398">
          <cell r="A5398">
            <v>75138</v>
          </cell>
          <cell r="B5398">
            <v>1</v>
          </cell>
          <cell r="C5398" t="str">
            <v>1|17002|8</v>
          </cell>
          <cell r="D5398" t="str">
            <v>上阵伙伴的神兵全部精炼至8级</v>
          </cell>
          <cell r="E5398" t="str">
            <v>1|17002|8|1</v>
          </cell>
        </row>
        <row r="5399">
          <cell r="A5399">
            <v>75139</v>
          </cell>
          <cell r="B5399">
            <v>1</v>
          </cell>
          <cell r="C5399" t="str">
            <v>1|17002|10</v>
          </cell>
          <cell r="D5399" t="str">
            <v>上阵伙伴的神兵全部精炼至10级</v>
          </cell>
          <cell r="E5399" t="str">
            <v>1|17002|10|1</v>
          </cell>
        </row>
        <row r="5400">
          <cell r="A5400">
            <v>75140</v>
          </cell>
          <cell r="B5400">
            <v>1</v>
          </cell>
          <cell r="C5400" t="str">
            <v>1|17002|12</v>
          </cell>
          <cell r="D5400" t="str">
            <v>上阵伙伴的神兵全部精炼至12级</v>
          </cell>
          <cell r="E5400" t="str">
            <v>1|17002|12|1</v>
          </cell>
        </row>
        <row r="5401">
          <cell r="A5401">
            <v>75141</v>
          </cell>
          <cell r="B5401">
            <v>1</v>
          </cell>
          <cell r="C5401" t="str">
            <v>1|17002|14</v>
          </cell>
          <cell r="D5401" t="str">
            <v>上阵伙伴的神兵全部精炼至14级</v>
          </cell>
          <cell r="E5401" t="str">
            <v>1|17002|14|1</v>
          </cell>
        </row>
        <row r="5402">
          <cell r="A5402">
            <v>75142</v>
          </cell>
          <cell r="B5402">
            <v>1</v>
          </cell>
          <cell r="C5402" t="str">
            <v>1|17002|16</v>
          </cell>
          <cell r="D5402" t="str">
            <v>上阵伙伴的神兵全部精炼至16级</v>
          </cell>
          <cell r="E5402" t="str">
            <v>1|17002|16|1</v>
          </cell>
        </row>
        <row r="5403">
          <cell r="A5403">
            <v>75143</v>
          </cell>
          <cell r="B5403">
            <v>1</v>
          </cell>
          <cell r="C5403" t="str">
            <v>1|17002|18</v>
          </cell>
          <cell r="D5403" t="str">
            <v>上阵伙伴的神兵全部精炼至18级</v>
          </cell>
          <cell r="E5403" t="str">
            <v>1|17002|18|1</v>
          </cell>
        </row>
        <row r="5404">
          <cell r="A5404">
            <v>75144</v>
          </cell>
          <cell r="B5404">
            <v>1</v>
          </cell>
          <cell r="C5404" t="str">
            <v>1|17002|20</v>
          </cell>
          <cell r="D5404" t="str">
            <v>上阵伙伴的神兵全部精炼至20级</v>
          </cell>
          <cell r="E5404" t="str">
            <v>1|17002|20|1</v>
          </cell>
        </row>
        <row r="5405">
          <cell r="A5405">
            <v>75145</v>
          </cell>
          <cell r="B5405">
            <v>1</v>
          </cell>
          <cell r="C5405" t="str">
            <v>4|2|200</v>
          </cell>
          <cell r="D5405" t="str">
            <v>战斗力到达250000</v>
          </cell>
          <cell r="E5405" t="str">
            <v>4|2|200|1</v>
          </cell>
        </row>
        <row r="5406">
          <cell r="A5406">
            <v>75146</v>
          </cell>
          <cell r="B5406">
            <v>1</v>
          </cell>
          <cell r="C5406" t="str">
            <v>4|2|400</v>
          </cell>
          <cell r="D5406" t="str">
            <v>战斗力到达350000</v>
          </cell>
          <cell r="E5406" t="str">
            <v>4|2|400|1</v>
          </cell>
        </row>
        <row r="5407">
          <cell r="A5407">
            <v>75147</v>
          </cell>
          <cell r="B5407">
            <v>1</v>
          </cell>
          <cell r="C5407" t="str">
            <v>4|2|600</v>
          </cell>
          <cell r="D5407" t="str">
            <v>战斗力到达450000</v>
          </cell>
          <cell r="E5407" t="str">
            <v>4|2|600|1</v>
          </cell>
        </row>
        <row r="5408">
          <cell r="A5408">
            <v>75148</v>
          </cell>
          <cell r="B5408">
            <v>1</v>
          </cell>
          <cell r="C5408" t="str">
            <v>4|2|600</v>
          </cell>
          <cell r="D5408" t="str">
            <v>战斗力到达550000</v>
          </cell>
          <cell r="E5408" t="str">
            <v>4|2|600|1</v>
          </cell>
        </row>
        <row r="5409">
          <cell r="A5409">
            <v>75149</v>
          </cell>
          <cell r="B5409">
            <v>1</v>
          </cell>
          <cell r="C5409" t="str">
            <v>4|2|800</v>
          </cell>
          <cell r="D5409" t="str">
            <v>战斗力到达650000</v>
          </cell>
          <cell r="E5409" t="str">
            <v>4|2|800|1</v>
          </cell>
        </row>
        <row r="5410">
          <cell r="A5410">
            <v>75150</v>
          </cell>
          <cell r="B5410">
            <v>1</v>
          </cell>
          <cell r="C5410" t="str">
            <v>4|2|800</v>
          </cell>
          <cell r="D5410" t="str">
            <v>战斗力到达700000</v>
          </cell>
          <cell r="E5410" t="str">
            <v>4|2|800|1</v>
          </cell>
        </row>
        <row r="5411">
          <cell r="A5411">
            <v>75151</v>
          </cell>
          <cell r="B5411">
            <v>1</v>
          </cell>
          <cell r="C5411" t="str">
            <v>4|2|1000</v>
          </cell>
          <cell r="D5411" t="str">
            <v>战斗力到达750000</v>
          </cell>
          <cell r="E5411" t="str">
            <v>4|2|1000|1</v>
          </cell>
        </row>
        <row r="5412">
          <cell r="A5412">
            <v>75152</v>
          </cell>
          <cell r="B5412">
            <v>1</v>
          </cell>
          <cell r="C5412" t="str">
            <v>4|2|1000</v>
          </cell>
          <cell r="D5412" t="str">
            <v>战斗力到达800000</v>
          </cell>
          <cell r="E5412" t="str">
            <v>4|2|1000|1</v>
          </cell>
        </row>
        <row r="5413">
          <cell r="A5413">
            <v>75153</v>
          </cell>
          <cell r="B5413">
            <v>1</v>
          </cell>
          <cell r="C5413" t="str">
            <v>1|14106|20</v>
          </cell>
          <cell r="D5413" t="str">
            <v>挑战夜探无底洞至25层</v>
          </cell>
          <cell r="E5413" t="str">
            <v>1|14106|20|1</v>
          </cell>
        </row>
        <row r="5414">
          <cell r="A5414">
            <v>75154</v>
          </cell>
          <cell r="B5414">
            <v>1</v>
          </cell>
          <cell r="C5414" t="str">
            <v>1|14106|20</v>
          </cell>
          <cell r="D5414" t="str">
            <v>挑战夜探无底洞至30层</v>
          </cell>
          <cell r="E5414" t="str">
            <v>1|14106|20|1</v>
          </cell>
        </row>
        <row r="5415">
          <cell r="A5415">
            <v>75155</v>
          </cell>
          <cell r="B5415">
            <v>1</v>
          </cell>
          <cell r="C5415" t="str">
            <v>1|14106|25</v>
          </cell>
          <cell r="D5415" t="str">
            <v>挑战夜探无底洞至35层</v>
          </cell>
          <cell r="E5415" t="str">
            <v>1|14106|25|1</v>
          </cell>
        </row>
        <row r="5416">
          <cell r="A5416">
            <v>75156</v>
          </cell>
          <cell r="B5416">
            <v>1</v>
          </cell>
          <cell r="C5416" t="str">
            <v>1|14106|25</v>
          </cell>
          <cell r="D5416" t="str">
            <v>挑战夜探无底洞至40层</v>
          </cell>
          <cell r="E5416" t="str">
            <v>1|14106|25|1</v>
          </cell>
        </row>
        <row r="5417">
          <cell r="A5417">
            <v>75157</v>
          </cell>
          <cell r="B5417">
            <v>1</v>
          </cell>
          <cell r="C5417" t="str">
            <v>1|14106|30</v>
          </cell>
          <cell r="D5417" t="str">
            <v>挑战夜探无底洞至45层</v>
          </cell>
          <cell r="E5417" t="str">
            <v>1|14106|30|1</v>
          </cell>
        </row>
        <row r="5418">
          <cell r="A5418">
            <v>75158</v>
          </cell>
          <cell r="B5418">
            <v>1</v>
          </cell>
          <cell r="C5418" t="str">
            <v>1|14106|30</v>
          </cell>
          <cell r="D5418" t="str">
            <v>挑战夜探无底洞至50层</v>
          </cell>
          <cell r="E5418" t="str">
            <v>1|14106|30|1</v>
          </cell>
        </row>
        <row r="5419">
          <cell r="A5419">
            <v>75159</v>
          </cell>
          <cell r="B5419">
            <v>1</v>
          </cell>
          <cell r="C5419" t="str">
            <v>1|14106|40</v>
          </cell>
          <cell r="D5419" t="str">
            <v>挑战夜探无底洞至55层</v>
          </cell>
          <cell r="E5419" t="str">
            <v>1|14106|40|1</v>
          </cell>
        </row>
        <row r="5420">
          <cell r="A5420">
            <v>75160</v>
          </cell>
          <cell r="B5420">
            <v>1</v>
          </cell>
          <cell r="C5420" t="str">
            <v>1|14106|40</v>
          </cell>
          <cell r="D5420" t="str">
            <v>挑战夜探无底洞至60层</v>
          </cell>
          <cell r="E5420" t="str">
            <v>1|14106|40|1</v>
          </cell>
        </row>
        <row r="5421">
          <cell r="A5421">
            <v>75601</v>
          </cell>
          <cell r="B5421">
            <v>0</v>
          </cell>
          <cell r="C5421" t="str">
            <v>1|14513|20</v>
          </cell>
          <cell r="D5421" t="str">
            <v>今日登陆赠送-橙装碎片选择箱</v>
          </cell>
          <cell r="E5421" t="str">
            <v>1|14513|20|1</v>
          </cell>
        </row>
        <row r="5422">
          <cell r="A5422">
            <v>75602</v>
          </cell>
          <cell r="B5422">
            <v>0</v>
          </cell>
          <cell r="C5422" t="str">
            <v>1|14513|20</v>
          </cell>
          <cell r="D5422" t="str">
            <v>今日登陆赠送-橙装碎片选择箱</v>
          </cell>
          <cell r="E5422" t="str">
            <v>1|14513|20|1</v>
          </cell>
        </row>
        <row r="5423">
          <cell r="A5423">
            <v>75603</v>
          </cell>
          <cell r="B5423">
            <v>0</v>
          </cell>
          <cell r="C5423" t="str">
            <v>1|17001|200</v>
          </cell>
          <cell r="D5423" t="str">
            <v>今日登陆赠送-神兵精炼石</v>
          </cell>
          <cell r="E5423" t="str">
            <v>1|17001|200|1</v>
          </cell>
        </row>
        <row r="5424">
          <cell r="A5424">
            <v>75604</v>
          </cell>
          <cell r="B5424">
            <v>0</v>
          </cell>
          <cell r="C5424" t="str">
            <v>1|17002|200</v>
          </cell>
          <cell r="D5424" t="str">
            <v>今日登陆赠送-神兵突破石</v>
          </cell>
          <cell r="E5424" t="str">
            <v>1|17002|200|1</v>
          </cell>
        </row>
        <row r="5425">
          <cell r="A5425">
            <v>75605</v>
          </cell>
          <cell r="B5425">
            <v>0</v>
          </cell>
          <cell r="C5425" t="str">
            <v>1|17001|200</v>
          </cell>
          <cell r="D5425" t="str">
            <v>今日登陆赠送-神兵精炼石</v>
          </cell>
          <cell r="E5425" t="str">
            <v>1|17001|200|1</v>
          </cell>
        </row>
        <row r="5426">
          <cell r="A5426">
            <v>75606</v>
          </cell>
          <cell r="B5426">
            <v>0</v>
          </cell>
          <cell r="C5426" t="str">
            <v>1|17002|200</v>
          </cell>
          <cell r="D5426" t="str">
            <v>今日登陆赠送-神兵突破石</v>
          </cell>
          <cell r="E5426" t="str">
            <v>1|17002|200|1</v>
          </cell>
        </row>
        <row r="5427">
          <cell r="A5427">
            <v>75607</v>
          </cell>
          <cell r="B5427">
            <v>0</v>
          </cell>
          <cell r="C5427" t="str">
            <v>1|17001|200</v>
          </cell>
          <cell r="D5427" t="str">
            <v>今日登陆赠送-神兵精炼石</v>
          </cell>
          <cell r="E5427" t="str">
            <v>1|17001|200|1</v>
          </cell>
        </row>
        <row r="5428">
          <cell r="A5428">
            <v>75608</v>
          </cell>
          <cell r="B5428">
            <v>0</v>
          </cell>
          <cell r="C5428" t="str">
            <v>1|17002|200</v>
          </cell>
          <cell r="D5428" t="str">
            <v>今日登陆赠送-神兵突破石</v>
          </cell>
          <cell r="E5428" t="str">
            <v>1|17002|200|1</v>
          </cell>
        </row>
        <row r="5429">
          <cell r="A5429">
            <v>75609</v>
          </cell>
          <cell r="B5429">
            <v>0</v>
          </cell>
          <cell r="C5429" t="str">
            <v>1|17001|200</v>
          </cell>
          <cell r="D5429" t="str">
            <v>今日登陆赠送-神兵精炼石</v>
          </cell>
          <cell r="E5429" t="str">
            <v>1|17001|200|1</v>
          </cell>
        </row>
        <row r="5430">
          <cell r="A5430">
            <v>75610</v>
          </cell>
          <cell r="B5430">
            <v>0</v>
          </cell>
          <cell r="C5430" t="str">
            <v>1|17002|200</v>
          </cell>
          <cell r="D5430" t="str">
            <v>今日登陆赠送-神兵突破石</v>
          </cell>
          <cell r="E5430" t="str">
            <v>1|17002|200|1</v>
          </cell>
        </row>
        <row r="5431">
          <cell r="A5431">
            <v>75611</v>
          </cell>
          <cell r="B5431">
            <v>0</v>
          </cell>
          <cell r="C5431" t="str">
            <v>1|17001|200</v>
          </cell>
          <cell r="D5431" t="str">
            <v>今日登陆赠送-神兵精炼石</v>
          </cell>
          <cell r="E5431" t="str">
            <v>1|17001|200|1</v>
          </cell>
        </row>
        <row r="5432">
          <cell r="A5432">
            <v>75612</v>
          </cell>
          <cell r="B5432">
            <v>0</v>
          </cell>
          <cell r="C5432" t="str">
            <v>1|17002|200</v>
          </cell>
          <cell r="D5432" t="str">
            <v>今日登陆赠送-神兵突破石</v>
          </cell>
          <cell r="E5432" t="str">
            <v>1|17002|200|1</v>
          </cell>
        </row>
        <row r="5433">
          <cell r="A5433">
            <v>75613</v>
          </cell>
          <cell r="B5433">
            <v>0</v>
          </cell>
          <cell r="C5433" t="str">
            <v>1|17001|200</v>
          </cell>
          <cell r="D5433" t="str">
            <v>今日登陆赠送-神兵精炼石</v>
          </cell>
          <cell r="E5433" t="str">
            <v>1|17001|200|1</v>
          </cell>
        </row>
        <row r="5434">
          <cell r="A5434">
            <v>75614</v>
          </cell>
          <cell r="B5434">
            <v>0</v>
          </cell>
          <cell r="C5434" t="str">
            <v>1|17002|200</v>
          </cell>
          <cell r="D5434" t="str">
            <v>今日登陆赠送-神兵突破石</v>
          </cell>
          <cell r="E5434" t="str">
            <v>1|17002|200|1</v>
          </cell>
        </row>
        <row r="5435">
          <cell r="A5435">
            <v>75759</v>
          </cell>
          <cell r="B5435">
            <v>1</v>
          </cell>
          <cell r="C5435" t="str">
            <v>4|1|200000</v>
          </cell>
          <cell r="D5435" t="str">
            <v>上阵伙伴达到等级55级</v>
          </cell>
          <cell r="E5435" t="str">
            <v>4|1|200000|1</v>
          </cell>
        </row>
        <row r="5436">
          <cell r="A5436">
            <v>75760</v>
          </cell>
          <cell r="B5436">
            <v>1</v>
          </cell>
          <cell r="C5436" t="str">
            <v>6|4502|10</v>
          </cell>
          <cell r="D5436" t="str">
            <v>上阵伙伴达到等级60级</v>
          </cell>
          <cell r="E5436" t="str">
            <v>6|4502|10|1</v>
          </cell>
        </row>
        <row r="5437">
          <cell r="A5437">
            <v>75781</v>
          </cell>
          <cell r="B5437">
            <v>0</v>
          </cell>
          <cell r="C5437" t="str">
            <v>4|26|500</v>
          </cell>
          <cell r="D5437" t="str">
            <v>今日登陆赠送-VIP经验</v>
          </cell>
          <cell r="E5437" t="str">
            <v>4|26|500|1</v>
          </cell>
        </row>
        <row r="5438">
          <cell r="A5438">
            <v>75782</v>
          </cell>
          <cell r="B5438">
            <v>0</v>
          </cell>
          <cell r="C5438" t="str">
            <v>4|26|500</v>
          </cell>
          <cell r="D5438" t="str">
            <v>今日登陆赠送-VIP经验</v>
          </cell>
          <cell r="E5438" t="str">
            <v>4|26|500|1</v>
          </cell>
        </row>
        <row r="5439">
          <cell r="A5439">
            <v>75783</v>
          </cell>
          <cell r="B5439">
            <v>0</v>
          </cell>
          <cell r="C5439" t="str">
            <v>4|26|1000</v>
          </cell>
          <cell r="D5439" t="str">
            <v>今日登陆赠送-VIP经验</v>
          </cell>
          <cell r="E5439" t="str">
            <v>4|26|1000|1</v>
          </cell>
        </row>
        <row r="5440">
          <cell r="A5440">
            <v>75784</v>
          </cell>
          <cell r="B5440">
            <v>0</v>
          </cell>
          <cell r="C5440" t="str">
            <v>4|26|1500</v>
          </cell>
          <cell r="D5440" t="str">
            <v>今日登陆赠送-VIP经验</v>
          </cell>
          <cell r="E5440" t="str">
            <v>4|26|1500|1</v>
          </cell>
        </row>
        <row r="5441">
          <cell r="A5441">
            <v>75785</v>
          </cell>
          <cell r="B5441">
            <v>0</v>
          </cell>
          <cell r="C5441" t="str">
            <v>4|26|1500</v>
          </cell>
          <cell r="D5441" t="str">
            <v>今日登陆赠送-VIP经验</v>
          </cell>
          <cell r="E5441" t="str">
            <v>4|26|1500|1</v>
          </cell>
        </row>
        <row r="5442">
          <cell r="A5442">
            <v>75786</v>
          </cell>
          <cell r="B5442">
            <v>0</v>
          </cell>
          <cell r="C5442" t="str">
            <v>4|26|2000</v>
          </cell>
          <cell r="D5442" t="str">
            <v>今日登陆赠送-VIP经验</v>
          </cell>
          <cell r="E5442" t="str">
            <v>4|26|2000|1</v>
          </cell>
        </row>
        <row r="5443">
          <cell r="A5443">
            <v>75787</v>
          </cell>
          <cell r="B5443">
            <v>0</v>
          </cell>
          <cell r="C5443" t="str">
            <v>4|26|3000</v>
          </cell>
          <cell r="D5443" t="str">
            <v>今日登陆赠送-VIP经验</v>
          </cell>
          <cell r="E5443" t="str">
            <v>4|26|3000|1</v>
          </cell>
        </row>
        <row r="5444">
          <cell r="A5444">
            <v>75801</v>
          </cell>
          <cell r="B5444">
            <v>1</v>
          </cell>
          <cell r="C5444" t="str">
            <v>1|14303|1</v>
          </cell>
          <cell r="D5444" t="str">
            <v>大雁塔最高到达15层</v>
          </cell>
          <cell r="E5444" t="str">
            <v>1|14303|1|1</v>
          </cell>
        </row>
        <row r="5445">
          <cell r="A5445">
            <v>75802</v>
          </cell>
          <cell r="B5445">
            <v>1</v>
          </cell>
          <cell r="C5445" t="str">
            <v>1|14303|2</v>
          </cell>
          <cell r="D5445" t="str">
            <v>大雁塔最高到达20层</v>
          </cell>
          <cell r="E5445" t="str">
            <v>1|14303|2|1</v>
          </cell>
        </row>
        <row r="5446">
          <cell r="A5446">
            <v>75803</v>
          </cell>
          <cell r="B5446">
            <v>1</v>
          </cell>
          <cell r="C5446" t="str">
            <v>1|14303|3</v>
          </cell>
          <cell r="D5446" t="str">
            <v>大雁塔最高到达25层</v>
          </cell>
          <cell r="E5446" t="str">
            <v>1|14303|3|1</v>
          </cell>
        </row>
        <row r="5447">
          <cell r="A5447">
            <v>75804</v>
          </cell>
          <cell r="B5447">
            <v>1</v>
          </cell>
          <cell r="C5447" t="str">
            <v>1|14303|4</v>
          </cell>
          <cell r="D5447" t="str">
            <v>大雁塔最高到达30层</v>
          </cell>
          <cell r="E5447" t="str">
            <v>1|14303|4|1</v>
          </cell>
        </row>
        <row r="5448">
          <cell r="A5448">
            <v>75805</v>
          </cell>
          <cell r="B5448">
            <v>1</v>
          </cell>
          <cell r="C5448" t="str">
            <v>1|14303|5</v>
          </cell>
          <cell r="D5448" t="str">
            <v>大雁塔最高到达35层</v>
          </cell>
          <cell r="E5448" t="str">
            <v>1|14303|5|1</v>
          </cell>
        </row>
        <row r="5449">
          <cell r="A5449">
            <v>75806</v>
          </cell>
          <cell r="B5449">
            <v>1</v>
          </cell>
          <cell r="C5449" t="str">
            <v>1|14303|6</v>
          </cell>
          <cell r="D5449" t="str">
            <v>大雁塔最高到达40层</v>
          </cell>
          <cell r="E5449" t="str">
            <v>1|14303|6|1</v>
          </cell>
        </row>
        <row r="5450">
          <cell r="A5450">
            <v>75807</v>
          </cell>
          <cell r="B5450">
            <v>1</v>
          </cell>
          <cell r="C5450" t="str">
            <v>1|14303|7</v>
          </cell>
          <cell r="D5450" t="str">
            <v>大雁塔最高到达45层</v>
          </cell>
          <cell r="E5450" t="str">
            <v>1|14303|7|1</v>
          </cell>
        </row>
        <row r="5451">
          <cell r="A5451">
            <v>75808</v>
          </cell>
          <cell r="B5451">
            <v>1</v>
          </cell>
          <cell r="C5451" t="str">
            <v>1|14303|8</v>
          </cell>
          <cell r="D5451" t="str">
            <v>大雁塔最高到达50层</v>
          </cell>
          <cell r="E5451" t="str">
            <v>1|14303|8|1</v>
          </cell>
        </row>
        <row r="5452">
          <cell r="A5452">
            <v>75809</v>
          </cell>
          <cell r="B5452">
            <v>1</v>
          </cell>
          <cell r="C5452" t="str">
            <v>1|14303|9</v>
          </cell>
          <cell r="D5452" t="str">
            <v>大雁塔最高到达55层</v>
          </cell>
          <cell r="E5452" t="str">
            <v>1|14303|9|1</v>
          </cell>
        </row>
        <row r="5453">
          <cell r="A5453">
            <v>75810</v>
          </cell>
          <cell r="B5453">
            <v>1</v>
          </cell>
          <cell r="C5453" t="str">
            <v>1|14303|10</v>
          </cell>
          <cell r="D5453" t="str">
            <v>大雁塔最高到达60层</v>
          </cell>
          <cell r="E5453" t="str">
            <v>1|14303|10|1</v>
          </cell>
        </row>
        <row r="5454">
          <cell r="A5454">
            <v>75851</v>
          </cell>
          <cell r="B5454">
            <v>1</v>
          </cell>
          <cell r="C5454" t="str">
            <v>1|14101|1</v>
          </cell>
          <cell r="D5454" t="str">
            <v>主线副本总星级达到30</v>
          </cell>
          <cell r="E5454" t="str">
            <v>1|14101|1|1</v>
          </cell>
        </row>
        <row r="5455">
          <cell r="A5455">
            <v>75852</v>
          </cell>
          <cell r="B5455">
            <v>1</v>
          </cell>
          <cell r="C5455" t="str">
            <v>1|14101|2</v>
          </cell>
          <cell r="D5455" t="str">
            <v>主线副本总星级达到60</v>
          </cell>
          <cell r="E5455" t="str">
            <v>1|14101|2|1</v>
          </cell>
        </row>
        <row r="5456">
          <cell r="A5456">
            <v>75853</v>
          </cell>
          <cell r="B5456">
            <v>1</v>
          </cell>
          <cell r="C5456" t="str">
            <v>1|14101|3</v>
          </cell>
          <cell r="D5456" t="str">
            <v>主线副本总星级达到90</v>
          </cell>
          <cell r="E5456" t="str">
            <v>1|14101|3|1</v>
          </cell>
        </row>
        <row r="5457">
          <cell r="A5457">
            <v>75854</v>
          </cell>
          <cell r="B5457">
            <v>1</v>
          </cell>
          <cell r="C5457" t="str">
            <v>1|14101|4</v>
          </cell>
          <cell r="D5457" t="str">
            <v>主线副本总星级达到120</v>
          </cell>
          <cell r="E5457" t="str">
            <v>1|14101|4|1</v>
          </cell>
        </row>
        <row r="5458">
          <cell r="A5458">
            <v>75855</v>
          </cell>
          <cell r="B5458">
            <v>1</v>
          </cell>
          <cell r="C5458" t="str">
            <v>1|14101|5</v>
          </cell>
          <cell r="D5458" t="str">
            <v>主线副本总星级达到150</v>
          </cell>
          <cell r="E5458" t="str">
            <v>1|14101|5|1</v>
          </cell>
        </row>
        <row r="5459">
          <cell r="A5459">
            <v>75856</v>
          </cell>
          <cell r="B5459">
            <v>1</v>
          </cell>
          <cell r="C5459" t="str">
            <v>1|14101|6</v>
          </cell>
          <cell r="D5459" t="str">
            <v>主线副本总星级达到180</v>
          </cell>
          <cell r="E5459" t="str">
            <v>1|14101|6|1</v>
          </cell>
        </row>
        <row r="5460">
          <cell r="A5460">
            <v>75857</v>
          </cell>
          <cell r="B5460">
            <v>1</v>
          </cell>
          <cell r="C5460" t="str">
            <v>1|14101|7</v>
          </cell>
          <cell r="D5460" t="str">
            <v>主线副本总星级达到210</v>
          </cell>
          <cell r="E5460" t="str">
            <v>1|14101|7|1</v>
          </cell>
        </row>
        <row r="5461">
          <cell r="A5461">
            <v>75858</v>
          </cell>
          <cell r="B5461">
            <v>1</v>
          </cell>
          <cell r="C5461" t="str">
            <v>1|14101|8</v>
          </cell>
          <cell r="D5461" t="str">
            <v>主线副本总星级达到240</v>
          </cell>
          <cell r="E5461" t="str">
            <v>1|14101|8|1</v>
          </cell>
        </row>
        <row r="5462">
          <cell r="A5462">
            <v>75859</v>
          </cell>
          <cell r="B5462">
            <v>1</v>
          </cell>
          <cell r="C5462" t="str">
            <v>1|14101|9</v>
          </cell>
          <cell r="D5462" t="str">
            <v>主线副本总星级达到270</v>
          </cell>
          <cell r="E5462" t="str">
            <v>1|14101|9|1</v>
          </cell>
        </row>
        <row r="5463">
          <cell r="A5463">
            <v>75860</v>
          </cell>
          <cell r="B5463">
            <v>1</v>
          </cell>
          <cell r="C5463" t="str">
            <v>1|14101|10</v>
          </cell>
          <cell r="D5463" t="str">
            <v>主线副本总星级达到300</v>
          </cell>
          <cell r="E5463" t="str">
            <v>1|14101|10|1</v>
          </cell>
        </row>
        <row r="5464">
          <cell r="A5464">
            <v>75901</v>
          </cell>
          <cell r="B5464">
            <v>1</v>
          </cell>
          <cell r="C5464" t="str">
            <v>1|14101|1</v>
          </cell>
          <cell r="D5464" t="str">
            <v>通关精英副本第1章</v>
          </cell>
          <cell r="E5464" t="str">
            <v>1|14101|1|1</v>
          </cell>
        </row>
        <row r="5465">
          <cell r="A5465">
            <v>75902</v>
          </cell>
          <cell r="B5465">
            <v>1</v>
          </cell>
          <cell r="C5465" t="str">
            <v>4|1|40000</v>
          </cell>
          <cell r="D5465" t="str">
            <v>通关精英副本第2章</v>
          </cell>
          <cell r="E5465" t="str">
            <v>4|1|40000|1</v>
          </cell>
        </row>
        <row r="5466">
          <cell r="A5466">
            <v>75903</v>
          </cell>
          <cell r="B5466">
            <v>1</v>
          </cell>
          <cell r="C5466" t="str">
            <v>1|14101|2</v>
          </cell>
          <cell r="D5466" t="str">
            <v>通关精英副本第3章</v>
          </cell>
          <cell r="E5466" t="str">
            <v>1|14101|2|1</v>
          </cell>
        </row>
        <row r="5467">
          <cell r="A5467">
            <v>75904</v>
          </cell>
          <cell r="B5467">
            <v>1</v>
          </cell>
          <cell r="C5467" t="str">
            <v>1|14101|3</v>
          </cell>
          <cell r="D5467" t="str">
            <v>通关精英副本第4章</v>
          </cell>
          <cell r="E5467" t="str">
            <v>1|14101|3|1</v>
          </cell>
        </row>
        <row r="5468">
          <cell r="A5468">
            <v>75905</v>
          </cell>
          <cell r="B5468">
            <v>1</v>
          </cell>
          <cell r="C5468" t="str">
            <v>4|1|80000</v>
          </cell>
          <cell r="D5468" t="str">
            <v>通关精英副本第5章</v>
          </cell>
          <cell r="E5468" t="str">
            <v>4|1|80000|1</v>
          </cell>
        </row>
        <row r="5469">
          <cell r="A5469">
            <v>75906</v>
          </cell>
          <cell r="B5469">
            <v>1</v>
          </cell>
          <cell r="C5469" t="str">
            <v>1|14101|4</v>
          </cell>
          <cell r="D5469" t="str">
            <v>通关精英副本第6章</v>
          </cell>
          <cell r="E5469" t="str">
            <v>1|14101|4|1</v>
          </cell>
        </row>
        <row r="5470">
          <cell r="A5470">
            <v>75907</v>
          </cell>
          <cell r="B5470">
            <v>1</v>
          </cell>
          <cell r="C5470" t="str">
            <v>4|1|120000</v>
          </cell>
          <cell r="D5470" t="str">
            <v>通关精英副本第7章</v>
          </cell>
          <cell r="E5470" t="str">
            <v>4|1|120000|1</v>
          </cell>
        </row>
        <row r="5471">
          <cell r="A5471">
            <v>75908</v>
          </cell>
          <cell r="B5471">
            <v>1</v>
          </cell>
          <cell r="C5471" t="str">
            <v>1|14101|5</v>
          </cell>
          <cell r="D5471" t="str">
            <v>通关精英副本第8章</v>
          </cell>
          <cell r="E5471" t="str">
            <v>1|14101|5|1</v>
          </cell>
        </row>
        <row r="5472">
          <cell r="A5472">
            <v>75909</v>
          </cell>
          <cell r="B5472">
            <v>1</v>
          </cell>
          <cell r="C5472" t="str">
            <v>4|1|160000</v>
          </cell>
          <cell r="D5472" t="str">
            <v>通关精英副本第9章</v>
          </cell>
          <cell r="E5472" t="str">
            <v>4|1|160000|1</v>
          </cell>
        </row>
        <row r="5473">
          <cell r="A5473">
            <v>75910</v>
          </cell>
          <cell r="B5473">
            <v>1</v>
          </cell>
          <cell r="C5473" t="str">
            <v>4|1|200000</v>
          </cell>
          <cell r="D5473" t="str">
            <v>通关精英副本第10章</v>
          </cell>
          <cell r="E5473" t="str">
            <v>4|1|200000|1</v>
          </cell>
        </row>
        <row r="5474">
          <cell r="A5474">
            <v>75951</v>
          </cell>
          <cell r="B5474">
            <v>1</v>
          </cell>
          <cell r="C5474" t="str">
            <v>1|14107|100</v>
          </cell>
          <cell r="D5474" t="str">
            <v>精英副本总星级达到30</v>
          </cell>
          <cell r="E5474" t="str">
            <v>1|14107|100|1</v>
          </cell>
        </row>
        <row r="5475">
          <cell r="A5475">
            <v>75952</v>
          </cell>
          <cell r="B5475">
            <v>1</v>
          </cell>
          <cell r="C5475" t="str">
            <v>1|14107|200</v>
          </cell>
          <cell r="D5475" t="str">
            <v>精英副本总星级达到60</v>
          </cell>
          <cell r="E5475" t="str">
            <v>1|14107|200|1</v>
          </cell>
        </row>
        <row r="5476">
          <cell r="A5476">
            <v>75953</v>
          </cell>
          <cell r="B5476">
            <v>1</v>
          </cell>
          <cell r="C5476" t="str">
            <v>1|14107|300</v>
          </cell>
          <cell r="D5476" t="str">
            <v>精英副本总星级达到90</v>
          </cell>
          <cell r="E5476" t="str">
            <v>1|14107|300|1</v>
          </cell>
        </row>
        <row r="5477">
          <cell r="A5477">
            <v>75954</v>
          </cell>
          <cell r="B5477">
            <v>1</v>
          </cell>
          <cell r="C5477" t="str">
            <v>1|14107|400</v>
          </cell>
          <cell r="D5477" t="str">
            <v>精英副本总星级达到120</v>
          </cell>
          <cell r="E5477" t="str">
            <v>1|14107|400|1</v>
          </cell>
        </row>
        <row r="5478">
          <cell r="A5478">
            <v>75955</v>
          </cell>
          <cell r="B5478">
            <v>1</v>
          </cell>
          <cell r="C5478" t="str">
            <v>1|14107|500</v>
          </cell>
          <cell r="D5478" t="str">
            <v>精英副本总星级达到150</v>
          </cell>
          <cell r="E5478" t="str">
            <v>1|14107|500|1</v>
          </cell>
        </row>
        <row r="5479">
          <cell r="A5479">
            <v>75956</v>
          </cell>
          <cell r="B5479">
            <v>1</v>
          </cell>
          <cell r="C5479" t="str">
            <v>1|14107|600</v>
          </cell>
          <cell r="D5479" t="str">
            <v>精英副本总星级达到180</v>
          </cell>
          <cell r="E5479" t="str">
            <v>1|14107|600|1</v>
          </cell>
        </row>
        <row r="5480">
          <cell r="A5480">
            <v>75957</v>
          </cell>
          <cell r="B5480">
            <v>1</v>
          </cell>
          <cell r="C5480" t="str">
            <v>1|14107|700</v>
          </cell>
          <cell r="D5480" t="str">
            <v>精英副本总星级达到210</v>
          </cell>
          <cell r="E5480" t="str">
            <v>1|14107|700|1</v>
          </cell>
        </row>
        <row r="5481">
          <cell r="A5481">
            <v>75958</v>
          </cell>
          <cell r="B5481">
            <v>1</v>
          </cell>
          <cell r="C5481" t="str">
            <v>1|14107|800</v>
          </cell>
          <cell r="D5481" t="str">
            <v>精英副本总星级达到240</v>
          </cell>
          <cell r="E5481" t="str">
            <v>1|14107|800|1</v>
          </cell>
        </row>
        <row r="5482">
          <cell r="A5482">
            <v>75959</v>
          </cell>
          <cell r="B5482">
            <v>1</v>
          </cell>
          <cell r="C5482" t="str">
            <v>1|14107|900</v>
          </cell>
          <cell r="D5482" t="str">
            <v>精英副本总星级达到270</v>
          </cell>
          <cell r="E5482" t="str">
            <v>1|14107|900|1</v>
          </cell>
        </row>
        <row r="5483">
          <cell r="A5483">
            <v>75960</v>
          </cell>
          <cell r="B5483">
            <v>1</v>
          </cell>
          <cell r="C5483" t="str">
            <v>1|14107|1000</v>
          </cell>
          <cell r="D5483" t="str">
            <v>精英副本总星级达到300</v>
          </cell>
          <cell r="E5483" t="str">
            <v>1|14107|1000|1</v>
          </cell>
        </row>
        <row r="5484">
          <cell r="A5484">
            <v>80001</v>
          </cell>
          <cell r="B5484">
            <v>1</v>
          </cell>
          <cell r="C5484" t="str">
            <v>4|2|3000</v>
          </cell>
          <cell r="D5484" t="str">
            <v>累计登陆1天奖励-钻石</v>
          </cell>
          <cell r="E5484" t="str">
            <v>4|2|3000|1</v>
          </cell>
        </row>
        <row r="5485">
          <cell r="A5485">
            <v>80002</v>
          </cell>
          <cell r="B5485">
            <v>1</v>
          </cell>
          <cell r="C5485" t="str">
            <v>4|2|3500</v>
          </cell>
          <cell r="D5485" t="str">
            <v>累计登陆2天奖励-钻石</v>
          </cell>
          <cell r="E5485" t="str">
            <v>4|2|3500|1</v>
          </cell>
        </row>
        <row r="5486">
          <cell r="A5486">
            <v>80003</v>
          </cell>
          <cell r="B5486">
            <v>1</v>
          </cell>
          <cell r="C5486" t="str">
            <v>4|2|4000</v>
          </cell>
          <cell r="D5486" t="str">
            <v>累计登陆3天奖励-钻石</v>
          </cell>
          <cell r="E5486" t="str">
            <v>4|2|4000|1</v>
          </cell>
        </row>
        <row r="5487">
          <cell r="A5487">
            <v>80004</v>
          </cell>
          <cell r="B5487">
            <v>1</v>
          </cell>
          <cell r="C5487" t="str">
            <v>4|2|4500</v>
          </cell>
          <cell r="D5487" t="str">
            <v>累计登陆4天奖励-钻石</v>
          </cell>
          <cell r="E5487" t="str">
            <v>4|2|4500|1</v>
          </cell>
        </row>
        <row r="5488">
          <cell r="A5488">
            <v>80005</v>
          </cell>
          <cell r="B5488">
            <v>1</v>
          </cell>
          <cell r="C5488" t="str">
            <v>4|2|5000</v>
          </cell>
          <cell r="D5488" t="str">
            <v>累计登陆5天奖励-钻石</v>
          </cell>
          <cell r="E5488" t="str">
            <v>4|2|5000|1</v>
          </cell>
        </row>
        <row r="5489">
          <cell r="A5489">
            <v>80006</v>
          </cell>
          <cell r="B5489">
            <v>1</v>
          </cell>
          <cell r="C5489" t="str">
            <v>4|2|5500</v>
          </cell>
          <cell r="D5489" t="str">
            <v>累计登陆6天奖励-钻石</v>
          </cell>
          <cell r="E5489" t="str">
            <v>4|2|5500|1</v>
          </cell>
        </row>
        <row r="5490">
          <cell r="A5490">
            <v>80007</v>
          </cell>
          <cell r="B5490">
            <v>1</v>
          </cell>
          <cell r="C5490" t="str">
            <v>4|2|6000</v>
          </cell>
          <cell r="D5490" t="str">
            <v>累计登陆7天奖励-钻石</v>
          </cell>
          <cell r="E5490" t="str">
            <v>4|2|6000|1</v>
          </cell>
        </row>
        <row r="5491">
          <cell r="A5491">
            <v>80008</v>
          </cell>
          <cell r="B5491">
            <v>1</v>
          </cell>
          <cell r="C5491" t="str">
            <v>4|2|8000</v>
          </cell>
          <cell r="D5491" t="str">
            <v>累计登陆8天奖励-钻石</v>
          </cell>
          <cell r="E5491" t="str">
            <v>4|2|8000|1</v>
          </cell>
        </row>
        <row r="5492">
          <cell r="A5492">
            <v>80009</v>
          </cell>
          <cell r="B5492">
            <v>1</v>
          </cell>
          <cell r="C5492" t="str">
            <v>4|2|10000</v>
          </cell>
          <cell r="D5492" t="str">
            <v>累计登陆9天奖励-钻石</v>
          </cell>
          <cell r="E5492" t="str">
            <v>4|2|10000|1</v>
          </cell>
        </row>
        <row r="5493">
          <cell r="A5493">
            <v>80010</v>
          </cell>
          <cell r="B5493">
            <v>1</v>
          </cell>
          <cell r="C5493" t="str">
            <v>4|2|12000</v>
          </cell>
          <cell r="D5493" t="str">
            <v>累计登陆10天奖励-钻石</v>
          </cell>
          <cell r="E5493" t="str">
            <v>4|2|12000|1</v>
          </cell>
        </row>
        <row r="5494">
          <cell r="A5494">
            <v>80011</v>
          </cell>
          <cell r="B5494">
            <v>1</v>
          </cell>
          <cell r="C5494" t="str">
            <v>4|2|15000</v>
          </cell>
          <cell r="D5494" t="str">
            <v>累计登陆11天奖励-钻石</v>
          </cell>
          <cell r="E5494" t="str">
            <v>4|2|15000|1</v>
          </cell>
        </row>
        <row r="5495">
          <cell r="A5495">
            <v>80012</v>
          </cell>
          <cell r="B5495">
            <v>1</v>
          </cell>
          <cell r="C5495" t="str">
            <v>4|2|15000</v>
          </cell>
          <cell r="D5495" t="str">
            <v>累计登陆12天奖励-钻石</v>
          </cell>
          <cell r="E5495" t="str">
            <v>4|2|15000|1</v>
          </cell>
        </row>
        <row r="5496">
          <cell r="A5496">
            <v>80013</v>
          </cell>
          <cell r="B5496">
            <v>1</v>
          </cell>
          <cell r="C5496" t="str">
            <v>4|2|15000</v>
          </cell>
          <cell r="D5496" t="str">
            <v>累计登陆13天奖励-钻石</v>
          </cell>
          <cell r="E5496" t="str">
            <v>4|2|15000|1</v>
          </cell>
        </row>
        <row r="5497">
          <cell r="A5497">
            <v>80014</v>
          </cell>
          <cell r="B5497">
            <v>1</v>
          </cell>
          <cell r="C5497" t="str">
            <v>4|2|15000</v>
          </cell>
          <cell r="D5497" t="str">
            <v>累计登陆14天奖励-钻石</v>
          </cell>
          <cell r="E5497" t="str">
            <v>4|2|15000|1</v>
          </cell>
        </row>
        <row r="5498">
          <cell r="A5498">
            <v>80015</v>
          </cell>
          <cell r="B5498">
            <v>1</v>
          </cell>
          <cell r="C5498" t="str">
            <v>4|2|15000</v>
          </cell>
          <cell r="D5498" t="str">
            <v>累计登陆15天奖励-钻石</v>
          </cell>
          <cell r="E5498" t="str">
            <v>4|2|15000|1</v>
          </cell>
        </row>
        <row r="5499">
          <cell r="A5499">
            <v>80101</v>
          </cell>
          <cell r="B5499">
            <v>1</v>
          </cell>
          <cell r="C5499" t="str">
            <v>1|14405|20</v>
          </cell>
          <cell r="D5499" t="str">
            <v>累计登陆1天奖励-VIP经验</v>
          </cell>
          <cell r="E5499" t="str">
            <v>1|14405|20|1</v>
          </cell>
        </row>
        <row r="5500">
          <cell r="A5500">
            <v>80102</v>
          </cell>
          <cell r="B5500">
            <v>1</v>
          </cell>
          <cell r="C5500" t="str">
            <v>1|14405|40</v>
          </cell>
          <cell r="D5500" t="str">
            <v>累计登陆2天奖励-VIP经验</v>
          </cell>
          <cell r="E5500" t="str">
            <v>1|14405|40|1</v>
          </cell>
        </row>
        <row r="5501">
          <cell r="A5501">
            <v>80103</v>
          </cell>
          <cell r="B5501">
            <v>1</v>
          </cell>
          <cell r="C5501" t="str">
            <v>1|14405|60</v>
          </cell>
          <cell r="D5501" t="str">
            <v>累计登陆3天奖励-VIP经验</v>
          </cell>
          <cell r="E5501" t="str">
            <v>1|14405|60|1</v>
          </cell>
        </row>
        <row r="5502">
          <cell r="A5502">
            <v>80104</v>
          </cell>
          <cell r="B5502">
            <v>1</v>
          </cell>
          <cell r="C5502" t="str">
            <v>1|14405|80</v>
          </cell>
          <cell r="D5502" t="str">
            <v>累计登陆4天奖励-VIP经验</v>
          </cell>
          <cell r="E5502" t="str">
            <v>1|14405|80|1</v>
          </cell>
        </row>
        <row r="5503">
          <cell r="A5503">
            <v>80105</v>
          </cell>
          <cell r="B5503">
            <v>1</v>
          </cell>
          <cell r="C5503" t="str">
            <v>1|14405|120</v>
          </cell>
          <cell r="D5503" t="str">
            <v>累计登陆5天奖励-VIP经验</v>
          </cell>
          <cell r="E5503" t="str">
            <v>1|14405|120|1</v>
          </cell>
        </row>
        <row r="5504">
          <cell r="A5504">
            <v>80106</v>
          </cell>
          <cell r="B5504">
            <v>1</v>
          </cell>
          <cell r="C5504" t="str">
            <v>1|14405|180</v>
          </cell>
          <cell r="D5504" t="str">
            <v>累计登陆6天奖励-VIP经验</v>
          </cell>
          <cell r="E5504" t="str">
            <v>1|14405|180|1</v>
          </cell>
        </row>
        <row r="5505">
          <cell r="A5505">
            <v>80107</v>
          </cell>
          <cell r="B5505">
            <v>1</v>
          </cell>
          <cell r="C5505" t="str">
            <v>1|14405|300</v>
          </cell>
          <cell r="D5505" t="str">
            <v>累计登陆7天奖励-VIP经验</v>
          </cell>
          <cell r="E5505" t="str">
            <v>1|14405|300|1</v>
          </cell>
        </row>
        <row r="5506">
          <cell r="A5506">
            <v>80108</v>
          </cell>
          <cell r="B5506">
            <v>1</v>
          </cell>
          <cell r="C5506" t="str">
            <v>1|14405|400</v>
          </cell>
          <cell r="D5506" t="str">
            <v>累计登陆8天奖励-VIP经验</v>
          </cell>
          <cell r="E5506" t="str">
            <v>1|14405|400|1</v>
          </cell>
        </row>
        <row r="5507">
          <cell r="A5507">
            <v>80109</v>
          </cell>
          <cell r="B5507">
            <v>1</v>
          </cell>
          <cell r="C5507" t="str">
            <v>1|14405|500</v>
          </cell>
          <cell r="D5507" t="str">
            <v>累计登陆9天奖励-VIP经验</v>
          </cell>
          <cell r="E5507" t="str">
            <v>1|14405|500|1</v>
          </cell>
        </row>
        <row r="5508">
          <cell r="A5508">
            <v>80110</v>
          </cell>
          <cell r="B5508">
            <v>1</v>
          </cell>
          <cell r="C5508" t="str">
            <v>1|14405|650</v>
          </cell>
          <cell r="D5508" t="str">
            <v>累计登陆10天奖励-VIP经验</v>
          </cell>
          <cell r="E5508" t="str">
            <v>1|14405|650|1</v>
          </cell>
        </row>
        <row r="5509">
          <cell r="A5509">
            <v>80111</v>
          </cell>
          <cell r="B5509">
            <v>1</v>
          </cell>
          <cell r="C5509" t="str">
            <v>1|14405|750</v>
          </cell>
          <cell r="D5509" t="str">
            <v>累计登陆11天奖励-VIP经验</v>
          </cell>
          <cell r="E5509" t="str">
            <v>1|14405|750|1</v>
          </cell>
        </row>
        <row r="5510">
          <cell r="A5510">
            <v>80112</v>
          </cell>
          <cell r="B5510">
            <v>1</v>
          </cell>
          <cell r="C5510" t="str">
            <v>1|14405|850</v>
          </cell>
          <cell r="D5510" t="str">
            <v>累计登陆12天奖励-VIP经验</v>
          </cell>
          <cell r="E5510" t="str">
            <v>1|14405|850|1</v>
          </cell>
        </row>
        <row r="5511">
          <cell r="A5511">
            <v>80113</v>
          </cell>
          <cell r="B5511">
            <v>1</v>
          </cell>
          <cell r="C5511" t="str">
            <v>1|14405|1000</v>
          </cell>
          <cell r="D5511" t="str">
            <v>累计登陆13天奖励-VIP经验</v>
          </cell>
          <cell r="E5511" t="str">
            <v>1|14405|1000|1</v>
          </cell>
        </row>
        <row r="5512">
          <cell r="A5512">
            <v>80114</v>
          </cell>
          <cell r="B5512">
            <v>1</v>
          </cell>
          <cell r="C5512" t="str">
            <v>1|14405|1200</v>
          </cell>
          <cell r="D5512" t="str">
            <v>累计登陆14天奖励-VIP经验</v>
          </cell>
          <cell r="E5512" t="str">
            <v>1|14405|1200|1</v>
          </cell>
        </row>
        <row r="5513">
          <cell r="A5513">
            <v>80115</v>
          </cell>
          <cell r="B5513">
            <v>1</v>
          </cell>
          <cell r="C5513" t="str">
            <v>1|14405|1500</v>
          </cell>
          <cell r="D5513" t="str">
            <v>累计登陆15天奖励-VIP经验</v>
          </cell>
          <cell r="E5513" t="str">
            <v>1|14405|1500|1</v>
          </cell>
        </row>
        <row r="5514">
          <cell r="A5514">
            <v>81001</v>
          </cell>
          <cell r="B5514">
            <v>1</v>
          </cell>
          <cell r="C5514" t="str">
            <v>1|14101|2</v>
          </cell>
          <cell r="D5514" t="str">
            <v>在线奖励_道具-体力药水</v>
          </cell>
          <cell r="E5514" t="str">
            <v>1|14101|2|1</v>
          </cell>
        </row>
        <row r="5515">
          <cell r="A5515">
            <v>81002</v>
          </cell>
          <cell r="B5515">
            <v>1</v>
          </cell>
          <cell r="C5515" t="str">
            <v>1|14108|3</v>
          </cell>
          <cell r="D5515" t="str">
            <v>在线奖励_道具-精力之心</v>
          </cell>
          <cell r="E5515" t="str">
            <v>1|14108|3|1</v>
          </cell>
        </row>
        <row r="5516">
          <cell r="A5516">
            <v>81003</v>
          </cell>
          <cell r="B5516">
            <v>1</v>
          </cell>
          <cell r="C5516" t="str">
            <v>1|14107|100</v>
          </cell>
          <cell r="D5516" t="str">
            <v>在线奖励_道具-元灵晶石</v>
          </cell>
          <cell r="E5516" t="str">
            <v>1|14107|100|1</v>
          </cell>
        </row>
        <row r="5517">
          <cell r="A5517">
            <v>81004</v>
          </cell>
          <cell r="B5517">
            <v>1</v>
          </cell>
          <cell r="C5517" t="str">
            <v>1|14104|50</v>
          </cell>
          <cell r="D5517" t="str">
            <v>在线奖励_道具-技能卷轴</v>
          </cell>
          <cell r="E5517" t="str">
            <v>1|14104|50|1</v>
          </cell>
        </row>
        <row r="5518">
          <cell r="A5518">
            <v>81005</v>
          </cell>
          <cell r="B5518">
            <v>1</v>
          </cell>
          <cell r="C5518" t="str">
            <v>1|14003|5</v>
          </cell>
          <cell r="D5518" t="str">
            <v>在线奖励_道具-高级经验药水</v>
          </cell>
          <cell r="E5518" t="str">
            <v>1|14003|5|1</v>
          </cell>
        </row>
        <row r="5519">
          <cell r="A5519">
            <v>81006</v>
          </cell>
          <cell r="B5519">
            <v>1</v>
          </cell>
          <cell r="C5519" t="str">
            <v>1|14104|100</v>
          </cell>
          <cell r="D5519" t="str">
            <v>在线奖励_道具-技能卷轴</v>
          </cell>
          <cell r="E5519" t="str">
            <v>1|14104|100|1</v>
          </cell>
        </row>
        <row r="5520">
          <cell r="A5520">
            <v>81007</v>
          </cell>
          <cell r="B5520">
            <v>1</v>
          </cell>
          <cell r="C5520" t="str">
            <v>6|4502|2</v>
          </cell>
          <cell r="D5520" t="str">
            <v>在线奖励_道具-紫色经验法宝</v>
          </cell>
          <cell r="E5520" t="str">
            <v>6|4502|2|1</v>
          </cell>
        </row>
        <row r="5521">
          <cell r="A5521">
            <v>81008</v>
          </cell>
          <cell r="B5521">
            <v>1</v>
          </cell>
          <cell r="C5521" t="str">
            <v>1|16005|100</v>
          </cell>
          <cell r="D5521" t="str">
            <v>在线奖励_道具-精炼铸铁</v>
          </cell>
          <cell r="E5521" t="str">
            <v>1|16005|100|1</v>
          </cell>
        </row>
        <row r="5522">
          <cell r="A5522">
            <v>81009</v>
          </cell>
          <cell r="B5522">
            <v>1</v>
          </cell>
          <cell r="C5522" t="str">
            <v>1|14003|15</v>
          </cell>
          <cell r="D5522" t="str">
            <v>在线奖励_道具-高级经验药水</v>
          </cell>
          <cell r="E5522" t="str">
            <v>1|14003|15|1</v>
          </cell>
        </row>
        <row r="5523">
          <cell r="A5523">
            <v>81010</v>
          </cell>
          <cell r="B5523">
            <v>1</v>
          </cell>
          <cell r="C5523" t="str">
            <v>1|16006|6</v>
          </cell>
          <cell r="D5523" t="str">
            <v>在线奖励_道具-上古灵玉</v>
          </cell>
          <cell r="E5523" t="str">
            <v>1|16006|6|1</v>
          </cell>
        </row>
        <row r="5524">
          <cell r="A5524">
            <v>81011</v>
          </cell>
          <cell r="B5524">
            <v>1</v>
          </cell>
          <cell r="C5524" t="str">
            <v>1|16005|160</v>
          </cell>
          <cell r="D5524" t="str">
            <v>在线奖励_道具-精炼铸铁</v>
          </cell>
          <cell r="E5524" t="str">
            <v>1|16005|160|1</v>
          </cell>
        </row>
        <row r="5525">
          <cell r="A5525">
            <v>81012</v>
          </cell>
          <cell r="B5525">
            <v>1</v>
          </cell>
          <cell r="C5525" t="str">
            <v>1|16006|8</v>
          </cell>
          <cell r="D5525" t="str">
            <v>在线奖励_道具-上古灵玉</v>
          </cell>
          <cell r="E5525" t="str">
            <v>1|16006|8|1</v>
          </cell>
        </row>
        <row r="5526">
          <cell r="A5526">
            <v>81013</v>
          </cell>
          <cell r="B5526">
            <v>1</v>
          </cell>
          <cell r="C5526" t="str">
            <v>1|14201|200</v>
          </cell>
          <cell r="D5526" t="str">
            <v>在线奖励_道具-法宝精炼石</v>
          </cell>
          <cell r="E5526" t="str">
            <v>1|14201|200|1</v>
          </cell>
        </row>
        <row r="5527">
          <cell r="A5527">
            <v>81014</v>
          </cell>
          <cell r="B5527">
            <v>1</v>
          </cell>
          <cell r="C5527" t="str">
            <v>1|14201|200</v>
          </cell>
          <cell r="D5527" t="str">
            <v>在线奖励_道具-法宝精炼石</v>
          </cell>
          <cell r="E5527" t="str">
            <v>1|14201|200|1</v>
          </cell>
        </row>
        <row r="5528">
          <cell r="A5528">
            <v>81015</v>
          </cell>
          <cell r="B5528">
            <v>1</v>
          </cell>
          <cell r="C5528" t="str">
            <v>1|14201|200</v>
          </cell>
          <cell r="D5528" t="str">
            <v>在线奖励_道具-法宝精炼石</v>
          </cell>
          <cell r="E5528" t="str">
            <v>1|14201|200|1</v>
          </cell>
        </row>
        <row r="5529">
          <cell r="A5529">
            <v>81101</v>
          </cell>
          <cell r="B5529">
            <v>1</v>
          </cell>
          <cell r="C5529" t="str">
            <v>4|1|20000</v>
          </cell>
          <cell r="D5529" t="str">
            <v>在线奖励_金币</v>
          </cell>
          <cell r="E5529" t="str">
            <v>4|1|20000|1</v>
          </cell>
        </row>
        <row r="5530">
          <cell r="A5530">
            <v>81102</v>
          </cell>
          <cell r="B5530">
            <v>1</v>
          </cell>
          <cell r="C5530" t="str">
            <v>4|1|40000</v>
          </cell>
          <cell r="D5530" t="str">
            <v>在线奖励_金币</v>
          </cell>
          <cell r="E5530" t="str">
            <v>4|1|40000|1</v>
          </cell>
        </row>
        <row r="5531">
          <cell r="A5531">
            <v>81103</v>
          </cell>
          <cell r="B5531">
            <v>1</v>
          </cell>
          <cell r="C5531" t="str">
            <v>4|1|60000</v>
          </cell>
          <cell r="D5531" t="str">
            <v>在线奖励_金币</v>
          </cell>
          <cell r="E5531" t="str">
            <v>4|1|60000|1</v>
          </cell>
        </row>
        <row r="5532">
          <cell r="A5532">
            <v>81104</v>
          </cell>
          <cell r="B5532">
            <v>1</v>
          </cell>
          <cell r="C5532" t="str">
            <v>4|1|80000</v>
          </cell>
          <cell r="D5532" t="str">
            <v>在线奖励_金币</v>
          </cell>
          <cell r="E5532" t="str">
            <v>4|1|80000|1</v>
          </cell>
        </row>
        <row r="5533">
          <cell r="A5533">
            <v>81105</v>
          </cell>
          <cell r="B5533">
            <v>1</v>
          </cell>
          <cell r="C5533" t="str">
            <v>4|1|100000</v>
          </cell>
          <cell r="D5533" t="str">
            <v>在线奖励_金币</v>
          </cell>
          <cell r="E5533" t="str">
            <v>4|1|100000|1</v>
          </cell>
        </row>
        <row r="5534">
          <cell r="A5534">
            <v>81106</v>
          </cell>
          <cell r="B5534">
            <v>1</v>
          </cell>
          <cell r="C5534" t="str">
            <v>4|1|120000</v>
          </cell>
          <cell r="D5534" t="str">
            <v>在线奖励_金币</v>
          </cell>
          <cell r="E5534" t="str">
            <v>4|1|120000|1</v>
          </cell>
        </row>
        <row r="5535">
          <cell r="A5535">
            <v>81107</v>
          </cell>
          <cell r="B5535">
            <v>1</v>
          </cell>
          <cell r="C5535" t="str">
            <v>4|1|140000</v>
          </cell>
          <cell r="D5535" t="str">
            <v>在线奖励_金币</v>
          </cell>
          <cell r="E5535" t="str">
            <v>4|1|140000|1</v>
          </cell>
        </row>
        <row r="5536">
          <cell r="A5536">
            <v>81108</v>
          </cell>
          <cell r="B5536">
            <v>1</v>
          </cell>
          <cell r="C5536" t="str">
            <v>4|1|160000</v>
          </cell>
          <cell r="D5536" t="str">
            <v>在线奖励_金币</v>
          </cell>
          <cell r="E5536" t="str">
            <v>4|1|160000|1</v>
          </cell>
        </row>
        <row r="5537">
          <cell r="A5537">
            <v>81109</v>
          </cell>
          <cell r="B5537">
            <v>1</v>
          </cell>
          <cell r="C5537" t="str">
            <v>4|1|180000</v>
          </cell>
          <cell r="D5537" t="str">
            <v>在线奖励_金币</v>
          </cell>
          <cell r="E5537" t="str">
            <v>4|1|180000|1</v>
          </cell>
        </row>
        <row r="5538">
          <cell r="A5538">
            <v>81110</v>
          </cell>
          <cell r="B5538">
            <v>1</v>
          </cell>
          <cell r="C5538" t="str">
            <v>4|1|200000</v>
          </cell>
          <cell r="D5538" t="str">
            <v>在线奖励_金币</v>
          </cell>
          <cell r="E5538" t="str">
            <v>4|1|200000|1</v>
          </cell>
        </row>
        <row r="5539">
          <cell r="A5539">
            <v>81111</v>
          </cell>
          <cell r="B5539">
            <v>1</v>
          </cell>
          <cell r="C5539" t="str">
            <v>4|1|220000</v>
          </cell>
          <cell r="D5539" t="str">
            <v>在线奖励_金币</v>
          </cell>
          <cell r="E5539" t="str">
            <v>4|1|220000|1</v>
          </cell>
        </row>
        <row r="5540">
          <cell r="A5540">
            <v>81112</v>
          </cell>
          <cell r="B5540">
            <v>1</v>
          </cell>
          <cell r="C5540" t="str">
            <v>4|1|240000</v>
          </cell>
          <cell r="D5540" t="str">
            <v>在线奖励_金币</v>
          </cell>
          <cell r="E5540" t="str">
            <v>4|1|240000|1</v>
          </cell>
        </row>
        <row r="5541">
          <cell r="A5541">
            <v>81113</v>
          </cell>
          <cell r="B5541">
            <v>1</v>
          </cell>
          <cell r="C5541" t="str">
            <v>4|1|260000</v>
          </cell>
          <cell r="D5541" t="str">
            <v>在线奖励_金币</v>
          </cell>
          <cell r="E5541" t="str">
            <v>4|1|260000|1</v>
          </cell>
        </row>
        <row r="5542">
          <cell r="A5542">
            <v>81114</v>
          </cell>
          <cell r="B5542">
            <v>1</v>
          </cell>
          <cell r="C5542" t="str">
            <v>4|1|280000</v>
          </cell>
          <cell r="D5542" t="str">
            <v>在线奖励_金币</v>
          </cell>
          <cell r="E5542" t="str">
            <v>4|1|280000|1</v>
          </cell>
        </row>
        <row r="5543">
          <cell r="A5543">
            <v>81115</v>
          </cell>
          <cell r="B5543">
            <v>1</v>
          </cell>
          <cell r="C5543" t="str">
            <v>4|1|300000</v>
          </cell>
          <cell r="D5543" t="str">
            <v>在线奖励_金币</v>
          </cell>
          <cell r="E5543" t="str">
            <v>4|1|300000|1</v>
          </cell>
        </row>
        <row r="5544">
          <cell r="A5544">
            <v>81201</v>
          </cell>
          <cell r="B5544">
            <v>1</v>
          </cell>
          <cell r="C5544" t="str">
            <v>4|2|100</v>
          </cell>
          <cell r="D5544" t="str">
            <v>在线奖励_钻石</v>
          </cell>
          <cell r="E5544" t="str">
            <v>4|2|100|1</v>
          </cell>
        </row>
        <row r="5545">
          <cell r="A5545">
            <v>81202</v>
          </cell>
          <cell r="B5545">
            <v>1</v>
          </cell>
          <cell r="C5545" t="str">
            <v>4|2|150</v>
          </cell>
          <cell r="D5545" t="str">
            <v>在线奖励_钻石</v>
          </cell>
          <cell r="E5545" t="str">
            <v>4|2|150|1</v>
          </cell>
        </row>
        <row r="5546">
          <cell r="A5546">
            <v>81203</v>
          </cell>
          <cell r="B5546">
            <v>1</v>
          </cell>
          <cell r="C5546" t="str">
            <v>4|2|200</v>
          </cell>
          <cell r="D5546" t="str">
            <v>在线奖励_钻石</v>
          </cell>
          <cell r="E5546" t="str">
            <v>4|2|200|1</v>
          </cell>
        </row>
        <row r="5547">
          <cell r="A5547">
            <v>81204</v>
          </cell>
          <cell r="B5547">
            <v>1</v>
          </cell>
          <cell r="C5547" t="str">
            <v>4|2|250</v>
          </cell>
          <cell r="D5547" t="str">
            <v>在线奖励_钻石</v>
          </cell>
          <cell r="E5547" t="str">
            <v>4|2|250|1</v>
          </cell>
        </row>
        <row r="5548">
          <cell r="A5548">
            <v>81205</v>
          </cell>
          <cell r="B5548">
            <v>1</v>
          </cell>
          <cell r="C5548" t="str">
            <v>4|2|300</v>
          </cell>
          <cell r="D5548" t="str">
            <v>在线奖励_钻石</v>
          </cell>
          <cell r="E5548" t="str">
            <v>4|2|300|1</v>
          </cell>
        </row>
        <row r="5549">
          <cell r="A5549">
            <v>81206</v>
          </cell>
          <cell r="B5549">
            <v>1</v>
          </cell>
          <cell r="C5549" t="str">
            <v>4|2|350</v>
          </cell>
          <cell r="D5549" t="str">
            <v>在线奖励_钻石</v>
          </cell>
          <cell r="E5549" t="str">
            <v>4|2|350|1</v>
          </cell>
        </row>
        <row r="5550">
          <cell r="A5550">
            <v>81207</v>
          </cell>
          <cell r="B5550">
            <v>1</v>
          </cell>
          <cell r="C5550" t="str">
            <v>4|2|400</v>
          </cell>
          <cell r="D5550" t="str">
            <v>在线奖励_钻石</v>
          </cell>
          <cell r="E5550" t="str">
            <v>4|2|400|1</v>
          </cell>
        </row>
        <row r="5551">
          <cell r="A5551">
            <v>81208</v>
          </cell>
          <cell r="B5551">
            <v>1</v>
          </cell>
          <cell r="C5551" t="str">
            <v>4|2|450</v>
          </cell>
          <cell r="D5551" t="str">
            <v>在线奖励_钻石</v>
          </cell>
          <cell r="E5551" t="str">
            <v>4|2|450|1</v>
          </cell>
        </row>
        <row r="5552">
          <cell r="A5552">
            <v>81209</v>
          </cell>
          <cell r="B5552">
            <v>1</v>
          </cell>
          <cell r="C5552" t="str">
            <v>4|2|500</v>
          </cell>
          <cell r="D5552" t="str">
            <v>在线奖励_钻石</v>
          </cell>
          <cell r="E5552" t="str">
            <v>4|2|500|1</v>
          </cell>
        </row>
        <row r="5553">
          <cell r="A5553">
            <v>81210</v>
          </cell>
          <cell r="B5553">
            <v>1</v>
          </cell>
          <cell r="C5553" t="str">
            <v>4|2|500</v>
          </cell>
          <cell r="D5553" t="str">
            <v>在线奖励_钻石</v>
          </cell>
          <cell r="E5553" t="str">
            <v>4|2|500|1</v>
          </cell>
        </row>
        <row r="5554">
          <cell r="A5554">
            <v>81211</v>
          </cell>
          <cell r="B5554">
            <v>1</v>
          </cell>
          <cell r="C5554" t="str">
            <v>4|2|500</v>
          </cell>
          <cell r="D5554" t="str">
            <v>在线奖励_钻石</v>
          </cell>
          <cell r="E5554" t="str">
            <v>4|2|500|1</v>
          </cell>
        </row>
        <row r="5555">
          <cell r="A5555">
            <v>81212</v>
          </cell>
          <cell r="B5555">
            <v>1</v>
          </cell>
          <cell r="C5555" t="str">
            <v>4|2|500</v>
          </cell>
          <cell r="D5555" t="str">
            <v>在线奖励_钻石</v>
          </cell>
          <cell r="E5555" t="str">
            <v>4|2|500|1</v>
          </cell>
        </row>
        <row r="5556">
          <cell r="A5556">
            <v>81213</v>
          </cell>
          <cell r="B5556">
            <v>1</v>
          </cell>
          <cell r="C5556" t="str">
            <v>4|2|500</v>
          </cell>
          <cell r="D5556" t="str">
            <v>在线奖励_钻石</v>
          </cell>
          <cell r="E5556" t="str">
            <v>4|2|500|1</v>
          </cell>
        </row>
        <row r="5557">
          <cell r="A5557">
            <v>81214</v>
          </cell>
          <cell r="B5557">
            <v>1</v>
          </cell>
          <cell r="C5557" t="str">
            <v>4|2|500</v>
          </cell>
          <cell r="D5557" t="str">
            <v>在线奖励_钻石</v>
          </cell>
          <cell r="E5557" t="str">
            <v>4|2|500|1</v>
          </cell>
        </row>
        <row r="5558">
          <cell r="A5558">
            <v>81215</v>
          </cell>
          <cell r="B5558">
            <v>1</v>
          </cell>
          <cell r="C5558" t="str">
            <v>4|2|500</v>
          </cell>
          <cell r="D5558" t="str">
            <v>在线奖励_钻石</v>
          </cell>
          <cell r="E5558" t="str">
            <v>4|2|500|1</v>
          </cell>
        </row>
        <row r="5559">
          <cell r="A5559">
            <v>82001</v>
          </cell>
          <cell r="B5559">
            <v>0</v>
          </cell>
          <cell r="C5559" t="str">
            <v>4|1|100000</v>
          </cell>
          <cell r="D5559" t="str">
            <v>购买人数达到10即可领取</v>
          </cell>
          <cell r="E5559" t="str">
            <v>4|1|100000|1</v>
          </cell>
        </row>
        <row r="5560">
          <cell r="A5560">
            <v>82002</v>
          </cell>
          <cell r="B5560">
            <v>0</v>
          </cell>
          <cell r="C5560" t="str">
            <v>1|14003|10</v>
          </cell>
          <cell r="D5560" t="str">
            <v>购买人数达到30即可领取</v>
          </cell>
          <cell r="E5560" t="str">
            <v>1|14003|10|1</v>
          </cell>
        </row>
        <row r="5561">
          <cell r="A5561">
            <v>82003</v>
          </cell>
          <cell r="B5561">
            <v>0</v>
          </cell>
          <cell r="C5561" t="str">
            <v>1|14108|10</v>
          </cell>
          <cell r="D5561" t="str">
            <v>购买人数达到50即可领取</v>
          </cell>
          <cell r="E5561" t="str">
            <v>1|14108|10|1</v>
          </cell>
        </row>
        <row r="5562">
          <cell r="A5562">
            <v>82004</v>
          </cell>
          <cell r="B5562">
            <v>0</v>
          </cell>
          <cell r="C5562" t="str">
            <v>4|2|300</v>
          </cell>
          <cell r="D5562" t="str">
            <v>购买人数达到100即可领取</v>
          </cell>
          <cell r="E5562" t="str">
            <v>4|2|300|1</v>
          </cell>
        </row>
        <row r="5563">
          <cell r="A5563">
            <v>82005</v>
          </cell>
          <cell r="B5563">
            <v>0</v>
          </cell>
          <cell r="C5563" t="str">
            <v>1|14106|30</v>
          </cell>
          <cell r="D5563" t="str">
            <v>购买人数达到200即可领取</v>
          </cell>
          <cell r="E5563" t="str">
            <v>1|14106|30|1</v>
          </cell>
        </row>
        <row r="5564">
          <cell r="A5564">
            <v>82006</v>
          </cell>
          <cell r="B5564">
            <v>0</v>
          </cell>
          <cell r="C5564" t="str">
            <v>1|16005|100</v>
          </cell>
          <cell r="D5564" t="str">
            <v>购买人数达到300即可领取</v>
          </cell>
          <cell r="E5564" t="str">
            <v>1|16005|100|1</v>
          </cell>
        </row>
        <row r="5565">
          <cell r="A5565">
            <v>82007</v>
          </cell>
          <cell r="B5565">
            <v>0</v>
          </cell>
          <cell r="C5565" t="str">
            <v>2|2045|1</v>
          </cell>
          <cell r="D5565" t="str">
            <v>购买人数达到500即可领取</v>
          </cell>
          <cell r="E5565" t="str">
            <v>2|2045|1|1</v>
          </cell>
        </row>
        <row r="5566">
          <cell r="A5566">
            <v>82008</v>
          </cell>
          <cell r="B5566">
            <v>0</v>
          </cell>
          <cell r="C5566" t="str">
            <v>2|2061|1</v>
          </cell>
          <cell r="D5566" t="str">
            <v>购买人数达到1000即可领取</v>
          </cell>
          <cell r="E5566" t="str">
            <v>2|2061|1|1</v>
          </cell>
        </row>
        <row r="5567">
          <cell r="A5567">
            <v>82009</v>
          </cell>
          <cell r="B5567">
            <v>0</v>
          </cell>
          <cell r="C5567" t="str">
            <v>4|2|800</v>
          </cell>
          <cell r="D5567" t="str">
            <v>购买人数达到1500即可领取</v>
          </cell>
          <cell r="E5567" t="str">
            <v>4|2|800|1</v>
          </cell>
        </row>
        <row r="5568">
          <cell r="A5568">
            <v>82010</v>
          </cell>
          <cell r="B5568">
            <v>0</v>
          </cell>
          <cell r="C5568" t="str">
            <v>4|2|1000</v>
          </cell>
          <cell r="D5568" t="str">
            <v>购买人数达到2000即可领取</v>
          </cell>
          <cell r="E5568" t="str">
            <v>4|2|1000|1</v>
          </cell>
        </row>
        <row r="5569">
          <cell r="A5569">
            <v>82011</v>
          </cell>
          <cell r="B5569">
            <v>0</v>
          </cell>
          <cell r="C5569" t="str">
            <v>4|2|1500</v>
          </cell>
          <cell r="D5569" t="str">
            <v>购买人数达到3000即可领取</v>
          </cell>
          <cell r="E5569" t="str">
            <v>4|2|1500|1</v>
          </cell>
        </row>
        <row r="5570">
          <cell r="A5570">
            <v>82012</v>
          </cell>
          <cell r="B5570">
            <v>0</v>
          </cell>
          <cell r="C5570" t="str">
            <v>4|2|2000</v>
          </cell>
          <cell r="D5570" t="str">
            <v>购买人数达到5000即可领取</v>
          </cell>
          <cell r="E5570" t="str">
            <v>4|2|2000|1</v>
          </cell>
        </row>
        <row r="5571">
          <cell r="A5571">
            <v>82013</v>
          </cell>
          <cell r="B5571">
            <v>0</v>
          </cell>
          <cell r="C5571" t="str">
            <v>4|1|500000</v>
          </cell>
          <cell r="D5571" t="str">
            <v>购买人数达到800即可领取</v>
          </cell>
          <cell r="E5571" t="str">
            <v>4|1|500000|1</v>
          </cell>
        </row>
        <row r="5572">
          <cell r="A5572">
            <v>82101</v>
          </cell>
          <cell r="B5572">
            <v>0</v>
          </cell>
          <cell r="C5572" t="str">
            <v>4|2|500</v>
          </cell>
          <cell r="D5572" t="str">
            <v>主角等级达到15级</v>
          </cell>
          <cell r="E5572" t="str">
            <v>4|2|500|1</v>
          </cell>
        </row>
        <row r="5573">
          <cell r="A5573">
            <v>82102</v>
          </cell>
          <cell r="B5573">
            <v>0</v>
          </cell>
          <cell r="C5573" t="str">
            <v>4|2|1000</v>
          </cell>
          <cell r="D5573" t="str">
            <v>主角等级达到20级</v>
          </cell>
          <cell r="E5573" t="str">
            <v>4|2|1000|1</v>
          </cell>
        </row>
        <row r="5574">
          <cell r="A5574">
            <v>82103</v>
          </cell>
          <cell r="B5574">
            <v>0</v>
          </cell>
          <cell r="C5574" t="str">
            <v>4|2|1000</v>
          </cell>
          <cell r="D5574" t="str">
            <v>主角等级达到25级</v>
          </cell>
          <cell r="E5574" t="str">
            <v>4|2|1000|1</v>
          </cell>
        </row>
        <row r="5575">
          <cell r="A5575">
            <v>82104</v>
          </cell>
          <cell r="B5575">
            <v>0</v>
          </cell>
          <cell r="C5575" t="str">
            <v>4|2|1500</v>
          </cell>
          <cell r="D5575" t="str">
            <v>主角等级达到35级</v>
          </cell>
          <cell r="E5575" t="str">
            <v>4|2|1500|1</v>
          </cell>
        </row>
        <row r="5576">
          <cell r="A5576">
            <v>82105</v>
          </cell>
          <cell r="B5576">
            <v>0</v>
          </cell>
          <cell r="C5576" t="str">
            <v>4|2|1500</v>
          </cell>
          <cell r="D5576" t="str">
            <v>主角等级达到45级</v>
          </cell>
          <cell r="E5576" t="str">
            <v>4|2|1500|1</v>
          </cell>
        </row>
        <row r="5577">
          <cell r="A5577">
            <v>82106</v>
          </cell>
          <cell r="B5577">
            <v>0</v>
          </cell>
          <cell r="C5577" t="str">
            <v>4|2|2000</v>
          </cell>
          <cell r="D5577" t="str">
            <v>主角等级达到55级</v>
          </cell>
          <cell r="E5577" t="str">
            <v>4|2|2000|1</v>
          </cell>
        </row>
        <row r="5578">
          <cell r="A5578">
            <v>82107</v>
          </cell>
          <cell r="B5578">
            <v>0</v>
          </cell>
          <cell r="C5578" t="str">
            <v>4|2|2500</v>
          </cell>
          <cell r="D5578" t="str">
            <v>主角等级达到60级</v>
          </cell>
          <cell r="E5578" t="str">
            <v>4|2|2500|1</v>
          </cell>
        </row>
        <row r="5579">
          <cell r="A5579">
            <v>83001</v>
          </cell>
          <cell r="B5579">
            <v>0</v>
          </cell>
          <cell r="C5579" t="str">
            <v>4|10|30,4|1|120</v>
          </cell>
          <cell r="D5579" t="str">
            <v>15体力-主角1级精英副本经验和金币奖励</v>
          </cell>
          <cell r="E5579" t="str">
            <v>4|10|30|1,4|1|120|1</v>
          </cell>
        </row>
        <row r="5580">
          <cell r="A5580">
            <v>83002</v>
          </cell>
          <cell r="B5580">
            <v>0</v>
          </cell>
          <cell r="C5580" t="str">
            <v>4|10|60,4|1|240</v>
          </cell>
          <cell r="D5580" t="str">
            <v>15体力-主角2级精英副本经验和金币奖励</v>
          </cell>
          <cell r="E5580" t="str">
            <v>4|10|60|1,4|1|240|1</v>
          </cell>
        </row>
        <row r="5581">
          <cell r="A5581">
            <v>83003</v>
          </cell>
          <cell r="B5581">
            <v>0</v>
          </cell>
          <cell r="C5581" t="str">
            <v>4|10|90,4|1|360</v>
          </cell>
          <cell r="D5581" t="str">
            <v>15体力-主角3级精英副本经验和金币奖励</v>
          </cell>
          <cell r="E5581" t="str">
            <v>4|10|90|1,4|1|360|1</v>
          </cell>
        </row>
        <row r="5582">
          <cell r="A5582">
            <v>83004</v>
          </cell>
          <cell r="B5582">
            <v>0</v>
          </cell>
          <cell r="C5582" t="str">
            <v>4|10|120,4|1|480</v>
          </cell>
          <cell r="D5582" t="str">
            <v>15体力-主角4级精英副本经验和金币奖励</v>
          </cell>
          <cell r="E5582" t="str">
            <v>4|10|120|1,4|1|480|1</v>
          </cell>
        </row>
        <row r="5583">
          <cell r="A5583">
            <v>83005</v>
          </cell>
          <cell r="B5583">
            <v>0</v>
          </cell>
          <cell r="C5583" t="str">
            <v>4|10|150,4|1|600</v>
          </cell>
          <cell r="D5583" t="str">
            <v>15体力-主角5级精英副本经验和金币奖励</v>
          </cell>
          <cell r="E5583" t="str">
            <v>4|10|150|1,4|1|600|1</v>
          </cell>
        </row>
        <row r="5584">
          <cell r="A5584">
            <v>83006</v>
          </cell>
          <cell r="B5584">
            <v>0</v>
          </cell>
          <cell r="C5584" t="str">
            <v>4|10|180,4|1|720</v>
          </cell>
          <cell r="D5584" t="str">
            <v>15体力-主角6级精英副本经验和金币奖励</v>
          </cell>
          <cell r="E5584" t="str">
            <v>4|10|180|1,4|1|720|1</v>
          </cell>
        </row>
        <row r="5585">
          <cell r="A5585">
            <v>83007</v>
          </cell>
          <cell r="B5585">
            <v>0</v>
          </cell>
          <cell r="C5585" t="str">
            <v>4|10|210,4|1|840</v>
          </cell>
          <cell r="D5585" t="str">
            <v>15体力-主角7级精英副本经验和金币奖励</v>
          </cell>
          <cell r="E5585" t="str">
            <v>4|10|210|1,4|1|840|1</v>
          </cell>
        </row>
        <row r="5586">
          <cell r="A5586">
            <v>83008</v>
          </cell>
          <cell r="B5586">
            <v>0</v>
          </cell>
          <cell r="C5586" t="str">
            <v>4|10|240,4|1|960</v>
          </cell>
          <cell r="D5586" t="str">
            <v>15体力-主角8级精英副本经验和金币奖励</v>
          </cell>
          <cell r="E5586" t="str">
            <v>4|10|240|1,4|1|960|1</v>
          </cell>
        </row>
        <row r="5587">
          <cell r="A5587">
            <v>83009</v>
          </cell>
          <cell r="B5587">
            <v>0</v>
          </cell>
          <cell r="C5587" t="str">
            <v>4|10|270,4|1|1080</v>
          </cell>
          <cell r="D5587" t="str">
            <v>15体力-主角9级精英副本经验和金币奖励</v>
          </cell>
          <cell r="E5587" t="str">
            <v>4|10|270|1,4|1|1080|1</v>
          </cell>
        </row>
        <row r="5588">
          <cell r="A5588">
            <v>83010</v>
          </cell>
          <cell r="B5588">
            <v>0</v>
          </cell>
          <cell r="C5588" t="str">
            <v>4|10|300,4|1|1200</v>
          </cell>
          <cell r="D5588" t="str">
            <v>15体力-主角10级精英副本经验和金币奖励</v>
          </cell>
          <cell r="E5588" t="str">
            <v>4|10|300|1,4|1|1200|1</v>
          </cell>
        </row>
        <row r="5589">
          <cell r="A5589">
            <v>83011</v>
          </cell>
          <cell r="B5589">
            <v>0</v>
          </cell>
          <cell r="C5589" t="str">
            <v>4|10|330,4|1|1320</v>
          </cell>
          <cell r="D5589" t="str">
            <v>15体力-主角11级精英副本经验和金币奖励</v>
          </cell>
          <cell r="E5589" t="str">
            <v>4|10|330|1,4|1|1320|1</v>
          </cell>
        </row>
        <row r="5590">
          <cell r="A5590">
            <v>83012</v>
          </cell>
          <cell r="B5590">
            <v>0</v>
          </cell>
          <cell r="C5590" t="str">
            <v>4|10|360,4|1|1440</v>
          </cell>
          <cell r="D5590" t="str">
            <v>15体力-主角12级精英副本经验和金币奖励</v>
          </cell>
          <cell r="E5590" t="str">
            <v>4|10|360|1,4|1|1440|1</v>
          </cell>
        </row>
        <row r="5591">
          <cell r="A5591">
            <v>83013</v>
          </cell>
          <cell r="B5591">
            <v>0</v>
          </cell>
          <cell r="C5591" t="str">
            <v>4|10|390,4|1|1560</v>
          </cell>
          <cell r="D5591" t="str">
            <v>15体力-主角13级精英副本经验和金币奖励</v>
          </cell>
          <cell r="E5591" t="str">
            <v>4|10|390|1,4|1|1560|1</v>
          </cell>
        </row>
        <row r="5592">
          <cell r="A5592">
            <v>83014</v>
          </cell>
          <cell r="B5592">
            <v>0</v>
          </cell>
          <cell r="C5592" t="str">
            <v>4|10|420,4|1|1680</v>
          </cell>
          <cell r="D5592" t="str">
            <v>15体力-主角14级精英副本经验和金币奖励</v>
          </cell>
          <cell r="E5592" t="str">
            <v>4|10|420|1,4|1|1680|1</v>
          </cell>
        </row>
        <row r="5593">
          <cell r="A5593">
            <v>83015</v>
          </cell>
          <cell r="B5593">
            <v>0</v>
          </cell>
          <cell r="C5593" t="str">
            <v>4|10|450,4|1|1800</v>
          </cell>
          <cell r="D5593" t="str">
            <v>15体力-主角15级精英副本经验和金币奖励</v>
          </cell>
          <cell r="E5593" t="str">
            <v>4|10|450|1,4|1|1800|1</v>
          </cell>
        </row>
        <row r="5594">
          <cell r="A5594">
            <v>83016</v>
          </cell>
          <cell r="B5594">
            <v>0</v>
          </cell>
          <cell r="C5594" t="str">
            <v>4|10|480,4|1|1920</v>
          </cell>
          <cell r="D5594" t="str">
            <v>15体力-主角16级精英副本经验和金币奖励</v>
          </cell>
          <cell r="E5594" t="str">
            <v>4|10|480|1,4|1|1920|1</v>
          </cell>
        </row>
        <row r="5595">
          <cell r="A5595">
            <v>83017</v>
          </cell>
          <cell r="B5595">
            <v>0</v>
          </cell>
          <cell r="C5595" t="str">
            <v>4|10|510,4|1|2040</v>
          </cell>
          <cell r="D5595" t="str">
            <v>15体力-主角17级精英副本经验和金币奖励</v>
          </cell>
          <cell r="E5595" t="str">
            <v>4|10|510|1,4|1|2040|1</v>
          </cell>
        </row>
        <row r="5596">
          <cell r="A5596">
            <v>83018</v>
          </cell>
          <cell r="B5596">
            <v>0</v>
          </cell>
          <cell r="C5596" t="str">
            <v>4|10|540,4|1|2160</v>
          </cell>
          <cell r="D5596" t="str">
            <v>15体力-主角18级精英副本经验和金币奖励</v>
          </cell>
          <cell r="E5596" t="str">
            <v>4|10|540|1,4|1|2160|1</v>
          </cell>
        </row>
        <row r="5597">
          <cell r="A5597">
            <v>83019</v>
          </cell>
          <cell r="B5597">
            <v>0</v>
          </cell>
          <cell r="C5597" t="str">
            <v>4|10|570,4|1|2280</v>
          </cell>
          <cell r="D5597" t="str">
            <v>15体力-主角19级精英副本经验和金币奖励</v>
          </cell>
          <cell r="E5597" t="str">
            <v>4|10|570|1,4|1|2280|1</v>
          </cell>
        </row>
        <row r="5598">
          <cell r="A5598">
            <v>83020</v>
          </cell>
          <cell r="B5598">
            <v>0</v>
          </cell>
          <cell r="C5598" t="str">
            <v>4|10|600,4|1|2400</v>
          </cell>
          <cell r="D5598" t="str">
            <v>15体力-主角20级精英副本经验和金币奖励</v>
          </cell>
          <cell r="E5598" t="str">
            <v>4|10|600|1,4|1|2400|1</v>
          </cell>
        </row>
        <row r="5599">
          <cell r="A5599">
            <v>83021</v>
          </cell>
          <cell r="B5599">
            <v>0</v>
          </cell>
          <cell r="C5599" t="str">
            <v>4|10|630,4|1|2520</v>
          </cell>
          <cell r="D5599" t="str">
            <v>15体力-主角21级精英副本经验和金币奖励</v>
          </cell>
          <cell r="E5599" t="str">
            <v>4|10|630|1,4|1|2520|1</v>
          </cell>
        </row>
        <row r="5600">
          <cell r="A5600">
            <v>83022</v>
          </cell>
          <cell r="B5600">
            <v>0</v>
          </cell>
          <cell r="C5600" t="str">
            <v>4|10|660,4|1|2640</v>
          </cell>
          <cell r="D5600" t="str">
            <v>15体力-主角22级精英副本经验和金币奖励</v>
          </cell>
          <cell r="E5600" t="str">
            <v>4|10|660|1,4|1|2640|1</v>
          </cell>
        </row>
        <row r="5601">
          <cell r="A5601">
            <v>83023</v>
          </cell>
          <cell r="B5601">
            <v>0</v>
          </cell>
          <cell r="C5601" t="str">
            <v>4|10|690,4|1|2760</v>
          </cell>
          <cell r="D5601" t="str">
            <v>15体力-主角23级精英副本经验和金币奖励</v>
          </cell>
          <cell r="E5601" t="str">
            <v>4|10|690|1,4|1|2760|1</v>
          </cell>
        </row>
        <row r="5602">
          <cell r="A5602">
            <v>83024</v>
          </cell>
          <cell r="B5602">
            <v>0</v>
          </cell>
          <cell r="C5602" t="str">
            <v>4|10|720,4|1|2880</v>
          </cell>
          <cell r="D5602" t="str">
            <v>15体力-主角24级精英副本经验和金币奖励</v>
          </cell>
          <cell r="E5602" t="str">
            <v>4|10|720|1,4|1|2880|1</v>
          </cell>
        </row>
        <row r="5603">
          <cell r="A5603">
            <v>83025</v>
          </cell>
          <cell r="B5603">
            <v>0</v>
          </cell>
          <cell r="C5603" t="str">
            <v>4|10|750,4|1|3000</v>
          </cell>
          <cell r="D5603" t="str">
            <v>15体力-主角25级精英副本经验和金币奖励</v>
          </cell>
          <cell r="E5603" t="str">
            <v>4|10|750|1,4|1|3000|1</v>
          </cell>
        </row>
        <row r="5604">
          <cell r="A5604">
            <v>83026</v>
          </cell>
          <cell r="B5604">
            <v>0</v>
          </cell>
          <cell r="C5604" t="str">
            <v>4|10|780,4|1|3120</v>
          </cell>
          <cell r="D5604" t="str">
            <v>15体力-主角26级精英副本经验和金币奖励</v>
          </cell>
          <cell r="E5604" t="str">
            <v>4|10|780|1,4|1|3120|1</v>
          </cell>
        </row>
        <row r="5605">
          <cell r="A5605">
            <v>83027</v>
          </cell>
          <cell r="B5605">
            <v>0</v>
          </cell>
          <cell r="C5605" t="str">
            <v>4|10|810,4|1|3240</v>
          </cell>
          <cell r="D5605" t="str">
            <v>15体力-主角27级精英副本经验和金币奖励</v>
          </cell>
          <cell r="E5605" t="str">
            <v>4|10|810|1,4|1|3240|1</v>
          </cell>
        </row>
        <row r="5606">
          <cell r="A5606">
            <v>83028</v>
          </cell>
          <cell r="B5606">
            <v>0</v>
          </cell>
          <cell r="C5606" t="str">
            <v>4|10|840,4|1|3360</v>
          </cell>
          <cell r="D5606" t="str">
            <v>15体力-主角28级精英副本经验和金币奖励</v>
          </cell>
          <cell r="E5606" t="str">
            <v>4|10|840|1,4|1|3360|1</v>
          </cell>
        </row>
        <row r="5607">
          <cell r="A5607">
            <v>83029</v>
          </cell>
          <cell r="B5607">
            <v>0</v>
          </cell>
          <cell r="C5607" t="str">
            <v>4|10|870,4|1|3480</v>
          </cell>
          <cell r="D5607" t="str">
            <v>15体力-主角29级精英副本经验和金币奖励</v>
          </cell>
          <cell r="E5607" t="str">
            <v>4|10|870|1,4|1|3480|1</v>
          </cell>
        </row>
        <row r="5608">
          <cell r="A5608">
            <v>83030</v>
          </cell>
          <cell r="B5608">
            <v>0</v>
          </cell>
          <cell r="C5608" t="str">
            <v>4|10|900,4|1|3600</v>
          </cell>
          <cell r="D5608" t="str">
            <v>15体力-主角30级精英副本经验和金币奖励</v>
          </cell>
          <cell r="E5608" t="str">
            <v>4|10|900|1,4|1|3600|1</v>
          </cell>
        </row>
        <row r="5609">
          <cell r="A5609">
            <v>83031</v>
          </cell>
          <cell r="B5609">
            <v>0</v>
          </cell>
          <cell r="C5609" t="str">
            <v>4|10|930,4|1|3720</v>
          </cell>
          <cell r="D5609" t="str">
            <v>15体力-主角31级精英副本经验和金币奖励</v>
          </cell>
          <cell r="E5609" t="str">
            <v>4|10|930|1,4|1|3720|1</v>
          </cell>
        </row>
        <row r="5610">
          <cell r="A5610">
            <v>83032</v>
          </cell>
          <cell r="B5610">
            <v>0</v>
          </cell>
          <cell r="C5610" t="str">
            <v>4|10|960,4|1|3840</v>
          </cell>
          <cell r="D5610" t="str">
            <v>15体力-主角32级精英副本经验和金币奖励</v>
          </cell>
          <cell r="E5610" t="str">
            <v>4|10|960|1,4|1|3840|1</v>
          </cell>
        </row>
        <row r="5611">
          <cell r="A5611">
            <v>83033</v>
          </cell>
          <cell r="B5611">
            <v>0</v>
          </cell>
          <cell r="C5611" t="str">
            <v>4|10|990,4|1|3960</v>
          </cell>
          <cell r="D5611" t="str">
            <v>15体力-主角33级精英副本经验和金币奖励</v>
          </cell>
          <cell r="E5611" t="str">
            <v>4|10|990|1,4|1|3960|1</v>
          </cell>
        </row>
        <row r="5612">
          <cell r="A5612">
            <v>83034</v>
          </cell>
          <cell r="B5612">
            <v>0</v>
          </cell>
          <cell r="C5612" t="str">
            <v>4|10|1020,4|1|4080</v>
          </cell>
          <cell r="D5612" t="str">
            <v>15体力-主角34级精英副本经验和金币奖励</v>
          </cell>
          <cell r="E5612" t="str">
            <v>4|10|1020|1,4|1|4080|1</v>
          </cell>
        </row>
        <row r="5613">
          <cell r="A5613">
            <v>83035</v>
          </cell>
          <cell r="B5613">
            <v>0</v>
          </cell>
          <cell r="C5613" t="str">
            <v>4|10|1050,4|1|4200</v>
          </cell>
          <cell r="D5613" t="str">
            <v>15体力-主角35级精英副本经验和金币奖励</v>
          </cell>
          <cell r="E5613" t="str">
            <v>4|10|1050|1,4|1|4200|1</v>
          </cell>
        </row>
        <row r="5614">
          <cell r="A5614">
            <v>83036</v>
          </cell>
          <cell r="B5614">
            <v>0</v>
          </cell>
          <cell r="C5614" t="str">
            <v>4|10|1080,4|1|4320</v>
          </cell>
          <cell r="D5614" t="str">
            <v>15体力-主角36级精英副本经验和金币奖励</v>
          </cell>
          <cell r="E5614" t="str">
            <v>4|10|1080|1,4|1|4320|1</v>
          </cell>
        </row>
        <row r="5615">
          <cell r="A5615">
            <v>83037</v>
          </cell>
          <cell r="B5615">
            <v>0</v>
          </cell>
          <cell r="C5615" t="str">
            <v>4|10|1110,4|1|4440</v>
          </cell>
          <cell r="D5615" t="str">
            <v>15体力-主角37级精英副本经验和金币奖励</v>
          </cell>
          <cell r="E5615" t="str">
            <v>4|10|1110|1,4|1|4440|1</v>
          </cell>
        </row>
        <row r="5616">
          <cell r="A5616">
            <v>83038</v>
          </cell>
          <cell r="B5616">
            <v>0</v>
          </cell>
          <cell r="C5616" t="str">
            <v>4|10|1140,4|1|4560</v>
          </cell>
          <cell r="D5616" t="str">
            <v>15体力-主角38级精英副本经验和金币奖励</v>
          </cell>
          <cell r="E5616" t="str">
            <v>4|10|1140|1,4|1|4560|1</v>
          </cell>
        </row>
        <row r="5617">
          <cell r="A5617">
            <v>83039</v>
          </cell>
          <cell r="B5617">
            <v>0</v>
          </cell>
          <cell r="C5617" t="str">
            <v>4|10|1170,4|1|4680</v>
          </cell>
          <cell r="D5617" t="str">
            <v>15体力-主角39级精英副本经验和金币奖励</v>
          </cell>
          <cell r="E5617" t="str">
            <v>4|10|1170|1,4|1|4680|1</v>
          </cell>
        </row>
        <row r="5618">
          <cell r="A5618">
            <v>83040</v>
          </cell>
          <cell r="B5618">
            <v>0</v>
          </cell>
          <cell r="C5618" t="str">
            <v>4|10|1200,4|1|4800</v>
          </cell>
          <cell r="D5618" t="str">
            <v>15体力-主角40级精英副本经验和金币奖励</v>
          </cell>
          <cell r="E5618" t="str">
            <v>4|10|1200|1,4|1|4800|1</v>
          </cell>
        </row>
        <row r="5619">
          <cell r="A5619">
            <v>83041</v>
          </cell>
          <cell r="B5619">
            <v>0</v>
          </cell>
          <cell r="C5619" t="str">
            <v>4|10|1230,4|1|4920</v>
          </cell>
          <cell r="D5619" t="str">
            <v>15体力-主角41级精英副本经验和金币奖励</v>
          </cell>
          <cell r="E5619" t="str">
            <v>4|10|1230|1,4|1|4920|1</v>
          </cell>
        </row>
        <row r="5620">
          <cell r="A5620">
            <v>83042</v>
          </cell>
          <cell r="B5620">
            <v>0</v>
          </cell>
          <cell r="C5620" t="str">
            <v>4|10|1260,4|1|5040</v>
          </cell>
          <cell r="D5620" t="str">
            <v>15体力-主角42级精英副本经验和金币奖励</v>
          </cell>
          <cell r="E5620" t="str">
            <v>4|10|1260|1,4|1|5040|1</v>
          </cell>
        </row>
        <row r="5621">
          <cell r="A5621">
            <v>83043</v>
          </cell>
          <cell r="B5621">
            <v>0</v>
          </cell>
          <cell r="C5621" t="str">
            <v>4|10|1290,4|1|5160</v>
          </cell>
          <cell r="D5621" t="str">
            <v>15体力-主角43级精英副本经验和金币奖励</v>
          </cell>
          <cell r="E5621" t="str">
            <v>4|10|1290|1,4|1|5160|1</v>
          </cell>
        </row>
        <row r="5622">
          <cell r="A5622">
            <v>83044</v>
          </cell>
          <cell r="B5622">
            <v>0</v>
          </cell>
          <cell r="C5622" t="str">
            <v>4|10|1320,4|1|5280</v>
          </cell>
          <cell r="D5622" t="str">
            <v>15体力-主角44级精英副本经验和金币奖励</v>
          </cell>
          <cell r="E5622" t="str">
            <v>4|10|1320|1,4|1|5280|1</v>
          </cell>
        </row>
        <row r="5623">
          <cell r="A5623">
            <v>83045</v>
          </cell>
          <cell r="B5623">
            <v>0</v>
          </cell>
          <cell r="C5623" t="str">
            <v>4|10|1350,4|1|5400</v>
          </cell>
          <cell r="D5623" t="str">
            <v>15体力-主角45级精英副本经验和金币奖励</v>
          </cell>
          <cell r="E5623" t="str">
            <v>4|10|1350|1,4|1|5400|1</v>
          </cell>
        </row>
        <row r="5624">
          <cell r="A5624">
            <v>83046</v>
          </cell>
          <cell r="B5624">
            <v>0</v>
          </cell>
          <cell r="C5624" t="str">
            <v>4|10|1380,4|1|5520</v>
          </cell>
          <cell r="D5624" t="str">
            <v>15体力-主角46级精英副本经验和金币奖励</v>
          </cell>
          <cell r="E5624" t="str">
            <v>4|10|1380|1,4|1|5520|1</v>
          </cell>
        </row>
        <row r="5625">
          <cell r="A5625">
            <v>83047</v>
          </cell>
          <cell r="B5625">
            <v>0</v>
          </cell>
          <cell r="C5625" t="str">
            <v>4|10|1410,4|1|5640</v>
          </cell>
          <cell r="D5625" t="str">
            <v>15体力-主角47级精英副本经验和金币奖励</v>
          </cell>
          <cell r="E5625" t="str">
            <v>4|10|1410|1,4|1|5640|1</v>
          </cell>
        </row>
        <row r="5626">
          <cell r="A5626">
            <v>83048</v>
          </cell>
          <cell r="B5626">
            <v>0</v>
          </cell>
          <cell r="C5626" t="str">
            <v>4|10|1440,4|1|5760</v>
          </cell>
          <cell r="D5626" t="str">
            <v>15体力-主角48级精英副本经验和金币奖励</v>
          </cell>
          <cell r="E5626" t="str">
            <v>4|10|1440|1,4|1|5760|1</v>
          </cell>
        </row>
        <row r="5627">
          <cell r="A5627">
            <v>83049</v>
          </cell>
          <cell r="B5627">
            <v>0</v>
          </cell>
          <cell r="C5627" t="str">
            <v>4|10|1470,4|1|5880</v>
          </cell>
          <cell r="D5627" t="str">
            <v>15体力-主角49级精英副本经验和金币奖励</v>
          </cell>
          <cell r="E5627" t="str">
            <v>4|10|1470|1,4|1|5880|1</v>
          </cell>
        </row>
        <row r="5628">
          <cell r="A5628">
            <v>83050</v>
          </cell>
          <cell r="B5628">
            <v>0</v>
          </cell>
          <cell r="C5628" t="str">
            <v>4|10|1500,4|1|6000</v>
          </cell>
          <cell r="D5628" t="str">
            <v>15体力-主角50级精英副本经验和金币奖励</v>
          </cell>
          <cell r="E5628" t="str">
            <v>4|10|1500|1,4|1|6000|1</v>
          </cell>
        </row>
        <row r="5629">
          <cell r="A5629">
            <v>83051</v>
          </cell>
          <cell r="B5629">
            <v>0</v>
          </cell>
          <cell r="C5629" t="str">
            <v>4|10|1530,4|1|6120</v>
          </cell>
          <cell r="D5629" t="str">
            <v>15体力-主角51级精英副本经验和金币奖励</v>
          </cell>
          <cell r="E5629" t="str">
            <v>4|10|1530|1,4|1|6120|1</v>
          </cell>
        </row>
        <row r="5630">
          <cell r="A5630">
            <v>83052</v>
          </cell>
          <cell r="B5630">
            <v>0</v>
          </cell>
          <cell r="C5630" t="str">
            <v>4|10|1560,4|1|6240</v>
          </cell>
          <cell r="D5630" t="str">
            <v>15体力-主角52级精英副本经验和金币奖励</v>
          </cell>
          <cell r="E5630" t="str">
            <v>4|10|1560|1,4|1|6240|1</v>
          </cell>
        </row>
        <row r="5631">
          <cell r="A5631">
            <v>83053</v>
          </cell>
          <cell r="B5631">
            <v>0</v>
          </cell>
          <cell r="C5631" t="str">
            <v>4|10|1590,4|1|6360</v>
          </cell>
          <cell r="D5631" t="str">
            <v>15体力-主角53级精英副本经验和金币奖励</v>
          </cell>
          <cell r="E5631" t="str">
            <v>4|10|1590|1,4|1|6360|1</v>
          </cell>
        </row>
        <row r="5632">
          <cell r="A5632">
            <v>83054</v>
          </cell>
          <cell r="B5632">
            <v>0</v>
          </cell>
          <cell r="C5632" t="str">
            <v>4|10|1620,4|1|6480</v>
          </cell>
          <cell r="D5632" t="str">
            <v>15体力-主角54级精英副本经验和金币奖励</v>
          </cell>
          <cell r="E5632" t="str">
            <v>4|10|1620|1,4|1|6480|1</v>
          </cell>
        </row>
        <row r="5633">
          <cell r="A5633">
            <v>83055</v>
          </cell>
          <cell r="B5633">
            <v>0</v>
          </cell>
          <cell r="C5633" t="str">
            <v>4|10|1650,4|1|6600</v>
          </cell>
          <cell r="D5633" t="str">
            <v>15体力-主角55级精英副本经验和金币奖励</v>
          </cell>
          <cell r="E5633" t="str">
            <v>4|10|1650|1,4|1|6600|1</v>
          </cell>
        </row>
        <row r="5634">
          <cell r="A5634">
            <v>83056</v>
          </cell>
          <cell r="B5634">
            <v>0</v>
          </cell>
          <cell r="C5634" t="str">
            <v>4|10|1680,4|1|6720</v>
          </cell>
          <cell r="D5634" t="str">
            <v>15体力-主角56级精英副本经验和金币奖励</v>
          </cell>
          <cell r="E5634" t="str">
            <v>4|10|1680|1,4|1|6720|1</v>
          </cell>
        </row>
        <row r="5635">
          <cell r="A5635">
            <v>83057</v>
          </cell>
          <cell r="B5635">
            <v>0</v>
          </cell>
          <cell r="C5635" t="str">
            <v>4|10|1710,4|1|6840</v>
          </cell>
          <cell r="D5635" t="str">
            <v>15体力-主角57级精英副本经验和金币奖励</v>
          </cell>
          <cell r="E5635" t="str">
            <v>4|10|1710|1,4|1|6840|1</v>
          </cell>
        </row>
        <row r="5636">
          <cell r="A5636">
            <v>83058</v>
          </cell>
          <cell r="B5636">
            <v>0</v>
          </cell>
          <cell r="C5636" t="str">
            <v>4|10|1740,4|1|6960</v>
          </cell>
          <cell r="D5636" t="str">
            <v>15体力-主角58级精英副本经验和金币奖励</v>
          </cell>
          <cell r="E5636" t="str">
            <v>4|10|1740|1,4|1|6960|1</v>
          </cell>
        </row>
        <row r="5637">
          <cell r="A5637">
            <v>83059</v>
          </cell>
          <cell r="B5637">
            <v>0</v>
          </cell>
          <cell r="C5637" t="str">
            <v>4|10|1770,4|1|7080</v>
          </cell>
          <cell r="D5637" t="str">
            <v>15体力-主角59级精英副本经验和金币奖励</v>
          </cell>
          <cell r="E5637" t="str">
            <v>4|10|1770|1,4|1|7080|1</v>
          </cell>
        </row>
        <row r="5638">
          <cell r="A5638">
            <v>83060</v>
          </cell>
          <cell r="B5638">
            <v>0</v>
          </cell>
          <cell r="C5638" t="str">
            <v>4|10|1800,4|1|7200</v>
          </cell>
          <cell r="D5638" t="str">
            <v>15体力-主角60级精英副本经验和金币奖励</v>
          </cell>
          <cell r="E5638" t="str">
            <v>4|10|1800|1,4|1|7200|1</v>
          </cell>
        </row>
        <row r="5639">
          <cell r="A5639">
            <v>83061</v>
          </cell>
          <cell r="B5639">
            <v>0</v>
          </cell>
          <cell r="C5639" t="str">
            <v>4|10|1830,4|1|7320</v>
          </cell>
          <cell r="D5639" t="str">
            <v>15体力-主角61级精英副本经验和金币奖励</v>
          </cell>
          <cell r="E5639" t="str">
            <v>4|10|1830|1,4|1|7320|1</v>
          </cell>
        </row>
        <row r="5640">
          <cell r="A5640">
            <v>83062</v>
          </cell>
          <cell r="B5640">
            <v>0</v>
          </cell>
          <cell r="C5640" t="str">
            <v>4|10|1860,4|1|7440</v>
          </cell>
          <cell r="D5640" t="str">
            <v>15体力-主角62级精英副本经验和金币奖励</v>
          </cell>
          <cell r="E5640" t="str">
            <v>4|10|1860|1,4|1|7440|1</v>
          </cell>
        </row>
        <row r="5641">
          <cell r="A5641">
            <v>83063</v>
          </cell>
          <cell r="B5641">
            <v>0</v>
          </cell>
          <cell r="C5641" t="str">
            <v>4|10|1890,4|1|7560</v>
          </cell>
          <cell r="D5641" t="str">
            <v>15体力-主角63级精英副本经验和金币奖励</v>
          </cell>
          <cell r="E5641" t="str">
            <v>4|10|1890|1,4|1|7560|1</v>
          </cell>
        </row>
        <row r="5642">
          <cell r="A5642">
            <v>83064</v>
          </cell>
          <cell r="B5642">
            <v>0</v>
          </cell>
          <cell r="C5642" t="str">
            <v>4|10|1920,4|1|7680</v>
          </cell>
          <cell r="D5642" t="str">
            <v>15体力-主角64级精英副本经验和金币奖励</v>
          </cell>
          <cell r="E5642" t="str">
            <v>4|10|1920|1,4|1|7680|1</v>
          </cell>
        </row>
        <row r="5643">
          <cell r="A5643">
            <v>83065</v>
          </cell>
          <cell r="B5643">
            <v>0</v>
          </cell>
          <cell r="C5643" t="str">
            <v>4|10|1950,4|1|7800</v>
          </cell>
          <cell r="D5643" t="str">
            <v>15体力-主角65级精英副本经验和金币奖励</v>
          </cell>
          <cell r="E5643" t="str">
            <v>4|10|1950|1,4|1|7800|1</v>
          </cell>
        </row>
        <row r="5644">
          <cell r="A5644">
            <v>83066</v>
          </cell>
          <cell r="B5644">
            <v>0</v>
          </cell>
          <cell r="C5644" t="str">
            <v>4|10|1980,4|1|7920</v>
          </cell>
          <cell r="D5644" t="str">
            <v>15体力-主角66级精英副本经验和金币奖励</v>
          </cell>
          <cell r="E5644" t="str">
            <v>4|10|1980|1,4|1|7920|1</v>
          </cell>
        </row>
        <row r="5645">
          <cell r="A5645">
            <v>83067</v>
          </cell>
          <cell r="B5645">
            <v>0</v>
          </cell>
          <cell r="C5645" t="str">
            <v>4|10|2010,4|1|8040</v>
          </cell>
          <cell r="D5645" t="str">
            <v>15体力-主角67级精英副本经验和金币奖励</v>
          </cell>
          <cell r="E5645" t="str">
            <v>4|10|2010|1,4|1|8040|1</v>
          </cell>
        </row>
        <row r="5646">
          <cell r="A5646">
            <v>83068</v>
          </cell>
          <cell r="B5646">
            <v>0</v>
          </cell>
          <cell r="C5646" t="str">
            <v>4|10|2040,4|1|8160</v>
          </cell>
          <cell r="D5646" t="str">
            <v>15体力-主角68级精英副本经验和金币奖励</v>
          </cell>
          <cell r="E5646" t="str">
            <v>4|10|2040|1,4|1|8160|1</v>
          </cell>
        </row>
        <row r="5647">
          <cell r="A5647">
            <v>83069</v>
          </cell>
          <cell r="B5647">
            <v>0</v>
          </cell>
          <cell r="C5647" t="str">
            <v>4|10|2070,4|1|8280</v>
          </cell>
          <cell r="D5647" t="str">
            <v>15体力-主角69级精英副本经验和金币奖励</v>
          </cell>
          <cell r="E5647" t="str">
            <v>4|10|2070|1,4|1|8280|1</v>
          </cell>
        </row>
        <row r="5648">
          <cell r="A5648">
            <v>83070</v>
          </cell>
          <cell r="B5648">
            <v>0</v>
          </cell>
          <cell r="C5648" t="str">
            <v>4|10|2100,4|1|8400</v>
          </cell>
          <cell r="D5648" t="str">
            <v>15体力-主角70级精英副本经验和金币奖励</v>
          </cell>
          <cell r="E5648" t="str">
            <v>4|10|2100|1,4|1|8400|1</v>
          </cell>
        </row>
        <row r="5649">
          <cell r="A5649">
            <v>83071</v>
          </cell>
          <cell r="B5649">
            <v>0</v>
          </cell>
          <cell r="C5649" t="str">
            <v>4|10|2130,4|1|8520</v>
          </cell>
          <cell r="D5649" t="str">
            <v>15体力-主角71级精英副本经验和金币奖励</v>
          </cell>
          <cell r="E5649" t="str">
            <v>4|10|2130|1,4|1|8520|1</v>
          </cell>
        </row>
        <row r="5650">
          <cell r="A5650">
            <v>83072</v>
          </cell>
          <cell r="B5650">
            <v>0</v>
          </cell>
          <cell r="C5650" t="str">
            <v>4|10|2160,4|1|8640</v>
          </cell>
          <cell r="D5650" t="str">
            <v>15体力-主角72级精英副本经验和金币奖励</v>
          </cell>
          <cell r="E5650" t="str">
            <v>4|10|2160|1,4|1|8640|1</v>
          </cell>
        </row>
        <row r="5651">
          <cell r="A5651">
            <v>83073</v>
          </cell>
          <cell r="B5651">
            <v>0</v>
          </cell>
          <cell r="C5651" t="str">
            <v>4|10|2190,4|1|8760</v>
          </cell>
          <cell r="D5651" t="str">
            <v>15体力-主角73级精英副本经验和金币奖励</v>
          </cell>
          <cell r="E5651" t="str">
            <v>4|10|2190|1,4|1|8760|1</v>
          </cell>
        </row>
        <row r="5652">
          <cell r="A5652">
            <v>83074</v>
          </cell>
          <cell r="B5652">
            <v>0</v>
          </cell>
          <cell r="C5652" t="str">
            <v>4|10|2220,4|1|8880</v>
          </cell>
          <cell r="D5652" t="str">
            <v>15体力-主角74级精英副本经验和金币奖励</v>
          </cell>
          <cell r="E5652" t="str">
            <v>4|10|2220|1,4|1|8880|1</v>
          </cell>
        </row>
        <row r="5653">
          <cell r="A5653">
            <v>83075</v>
          </cell>
          <cell r="B5653">
            <v>0</v>
          </cell>
          <cell r="C5653" t="str">
            <v>4|10|2250,4|1|9000</v>
          </cell>
          <cell r="D5653" t="str">
            <v>15体力-主角75级精英副本经验和金币奖励</v>
          </cell>
          <cell r="E5653" t="str">
            <v>4|10|2250|1,4|1|9000|1</v>
          </cell>
        </row>
        <row r="5654">
          <cell r="A5654">
            <v>83076</v>
          </cell>
          <cell r="B5654">
            <v>0</v>
          </cell>
          <cell r="C5654" t="str">
            <v>4|10|2280,4|1|9120</v>
          </cell>
          <cell r="D5654" t="str">
            <v>15体力-主角76级精英副本经验和金币奖励</v>
          </cell>
          <cell r="E5654" t="str">
            <v>4|10|2280|1,4|1|9120|1</v>
          </cell>
        </row>
        <row r="5655">
          <cell r="A5655">
            <v>83077</v>
          </cell>
          <cell r="B5655">
            <v>0</v>
          </cell>
          <cell r="C5655" t="str">
            <v>4|10|2310,4|1|9240</v>
          </cell>
          <cell r="D5655" t="str">
            <v>15体力-主角77级精英副本经验和金币奖励</v>
          </cell>
          <cell r="E5655" t="str">
            <v>4|10|2310|1,4|1|9240|1</v>
          </cell>
        </row>
        <row r="5656">
          <cell r="A5656">
            <v>83078</v>
          </cell>
          <cell r="B5656">
            <v>0</v>
          </cell>
          <cell r="C5656" t="str">
            <v>4|10|2340,4|1|9360</v>
          </cell>
          <cell r="D5656" t="str">
            <v>15体力-主角78级精英副本经验和金币奖励</v>
          </cell>
          <cell r="E5656" t="str">
            <v>4|10|2340|1,4|1|9360|1</v>
          </cell>
        </row>
        <row r="5657">
          <cell r="A5657">
            <v>83079</v>
          </cell>
          <cell r="B5657">
            <v>0</v>
          </cell>
          <cell r="C5657" t="str">
            <v>4|10|2370,4|1|9480</v>
          </cell>
          <cell r="D5657" t="str">
            <v>15体力-主角79级精英副本经验和金币奖励</v>
          </cell>
          <cell r="E5657" t="str">
            <v>4|10|2370|1,4|1|9480|1</v>
          </cell>
        </row>
        <row r="5658">
          <cell r="A5658">
            <v>83080</v>
          </cell>
          <cell r="B5658">
            <v>0</v>
          </cell>
          <cell r="C5658" t="str">
            <v>4|10|2400,4|1|9600</v>
          </cell>
          <cell r="D5658" t="str">
            <v>15体力-主角80级精英副本经验和金币奖励</v>
          </cell>
          <cell r="E5658" t="str">
            <v>4|10|2400|1,4|1|9600|1</v>
          </cell>
        </row>
        <row r="5659">
          <cell r="A5659">
            <v>83081</v>
          </cell>
          <cell r="B5659">
            <v>0</v>
          </cell>
          <cell r="C5659" t="str">
            <v>4|10|2430,4|1|9720</v>
          </cell>
          <cell r="D5659" t="str">
            <v>15体力-主角81级精英副本经验和金币奖励</v>
          </cell>
          <cell r="E5659" t="str">
            <v>4|10|2430|1,4|1|9720|1</v>
          </cell>
        </row>
        <row r="5660">
          <cell r="A5660">
            <v>83082</v>
          </cell>
          <cell r="B5660">
            <v>0</v>
          </cell>
          <cell r="C5660" t="str">
            <v>4|10|2460,4|1|9840</v>
          </cell>
          <cell r="D5660" t="str">
            <v>15体力-主角82级精英副本经验和金币奖励</v>
          </cell>
          <cell r="E5660" t="str">
            <v>4|10|2460|1,4|1|9840|1</v>
          </cell>
        </row>
        <row r="5661">
          <cell r="A5661">
            <v>83083</v>
          </cell>
          <cell r="B5661">
            <v>0</v>
          </cell>
          <cell r="C5661" t="str">
            <v>4|10|2490,4|1|9960</v>
          </cell>
          <cell r="D5661" t="str">
            <v>15体力-主角83级精英副本经验和金币奖励</v>
          </cell>
          <cell r="E5661" t="str">
            <v>4|10|2490|1,4|1|9960|1</v>
          </cell>
        </row>
        <row r="5662">
          <cell r="A5662">
            <v>83084</v>
          </cell>
          <cell r="B5662">
            <v>0</v>
          </cell>
          <cell r="C5662" t="str">
            <v>4|10|2520,4|1|10080</v>
          </cell>
          <cell r="D5662" t="str">
            <v>15体力-主角84级精英副本经验和金币奖励</v>
          </cell>
          <cell r="E5662" t="str">
            <v>4|10|2520|1,4|1|10080|1</v>
          </cell>
        </row>
        <row r="5663">
          <cell r="A5663">
            <v>83085</v>
          </cell>
          <cell r="B5663">
            <v>0</v>
          </cell>
          <cell r="C5663" t="str">
            <v>4|10|2550,4|1|10200</v>
          </cell>
          <cell r="D5663" t="str">
            <v>15体力-主角85级精英副本经验和金币奖励</v>
          </cell>
          <cell r="E5663" t="str">
            <v>4|10|2550|1,4|1|10200|1</v>
          </cell>
        </row>
        <row r="5664">
          <cell r="A5664">
            <v>83086</v>
          </cell>
          <cell r="B5664">
            <v>0</v>
          </cell>
          <cell r="C5664" t="str">
            <v>4|10|2580,4|1|10320</v>
          </cell>
          <cell r="D5664" t="str">
            <v>15体力-主角86级精英副本经验和金币奖励</v>
          </cell>
          <cell r="E5664" t="str">
            <v>4|10|2580|1,4|1|10320|1</v>
          </cell>
        </row>
        <row r="5665">
          <cell r="A5665">
            <v>83087</v>
          </cell>
          <cell r="B5665">
            <v>0</v>
          </cell>
          <cell r="C5665" t="str">
            <v>4|10|2610,4|1|10440</v>
          </cell>
          <cell r="D5665" t="str">
            <v>15体力-主角87级精英副本经验和金币奖励</v>
          </cell>
          <cell r="E5665" t="str">
            <v>4|10|2610|1,4|1|10440|1</v>
          </cell>
        </row>
        <row r="5666">
          <cell r="A5666">
            <v>83088</v>
          </cell>
          <cell r="B5666">
            <v>0</v>
          </cell>
          <cell r="C5666" t="str">
            <v>4|10|2640,4|1|10560</v>
          </cell>
          <cell r="D5666" t="str">
            <v>15体力-主角88级精英副本经验和金币奖励</v>
          </cell>
          <cell r="E5666" t="str">
            <v>4|10|2640|1,4|1|10560|1</v>
          </cell>
        </row>
        <row r="5667">
          <cell r="A5667">
            <v>83089</v>
          </cell>
          <cell r="B5667">
            <v>0</v>
          </cell>
          <cell r="C5667" t="str">
            <v>4|10|2670,4|1|10680</v>
          </cell>
          <cell r="D5667" t="str">
            <v>15体力-主角89级精英副本经验和金币奖励</v>
          </cell>
          <cell r="E5667" t="str">
            <v>4|10|2670|1,4|1|10680|1</v>
          </cell>
        </row>
        <row r="5668">
          <cell r="A5668">
            <v>83090</v>
          </cell>
          <cell r="B5668">
            <v>0</v>
          </cell>
          <cell r="C5668" t="str">
            <v>4|10|2700,4|1|10800</v>
          </cell>
          <cell r="D5668" t="str">
            <v>15体力-主角90级精英副本经验和金币奖励</v>
          </cell>
          <cell r="E5668" t="str">
            <v>4|10|2700|1,4|1|10800|1</v>
          </cell>
        </row>
        <row r="5669">
          <cell r="A5669">
            <v>83091</v>
          </cell>
          <cell r="B5669">
            <v>0</v>
          </cell>
          <cell r="C5669" t="str">
            <v>4|10|2730,4|1|10920</v>
          </cell>
          <cell r="D5669" t="str">
            <v>15体力-主角91级精英副本经验和金币奖励</v>
          </cell>
          <cell r="E5669" t="str">
            <v>4|10|2730|1,4|1|10920|1</v>
          </cell>
        </row>
        <row r="5670">
          <cell r="A5670">
            <v>83092</v>
          </cell>
          <cell r="B5670">
            <v>0</v>
          </cell>
          <cell r="C5670" t="str">
            <v>4|10|2760,4|1|11040</v>
          </cell>
          <cell r="D5670" t="str">
            <v>15体力-主角92级精英副本经验和金币奖励</v>
          </cell>
          <cell r="E5670" t="str">
            <v>4|10|2760|1,4|1|11040|1</v>
          </cell>
        </row>
        <row r="5671">
          <cell r="A5671">
            <v>83093</v>
          </cell>
          <cell r="B5671">
            <v>0</v>
          </cell>
          <cell r="C5671" t="str">
            <v>4|10|2790,4|1|11160</v>
          </cell>
          <cell r="D5671" t="str">
            <v>15体力-主角93级精英副本经验和金币奖励</v>
          </cell>
          <cell r="E5671" t="str">
            <v>4|10|2790|1,4|1|11160|1</v>
          </cell>
        </row>
        <row r="5672">
          <cell r="A5672">
            <v>83094</v>
          </cell>
          <cell r="B5672">
            <v>0</v>
          </cell>
          <cell r="C5672" t="str">
            <v>4|10|2820,4|1|11280</v>
          </cell>
          <cell r="D5672" t="str">
            <v>15体力-主角94级精英副本经验和金币奖励</v>
          </cell>
          <cell r="E5672" t="str">
            <v>4|10|2820|1,4|1|11280|1</v>
          </cell>
        </row>
        <row r="5673">
          <cell r="A5673">
            <v>83095</v>
          </cell>
          <cell r="B5673">
            <v>0</v>
          </cell>
          <cell r="C5673" t="str">
            <v>4|10|2850,4|1|11400</v>
          </cell>
          <cell r="D5673" t="str">
            <v>15体力-主角95级精英副本经验和金币奖励</v>
          </cell>
          <cell r="E5673" t="str">
            <v>4|10|2850|1,4|1|11400|1</v>
          </cell>
        </row>
        <row r="5674">
          <cell r="A5674">
            <v>83096</v>
          </cell>
          <cell r="B5674">
            <v>0</v>
          </cell>
          <cell r="C5674" t="str">
            <v>4|10|2880,4|1|11520</v>
          </cell>
          <cell r="D5674" t="str">
            <v>15体力-主角96级精英副本经验和金币奖励</v>
          </cell>
          <cell r="E5674" t="str">
            <v>4|10|2880|1,4|1|11520|1</v>
          </cell>
        </row>
        <row r="5675">
          <cell r="A5675">
            <v>83097</v>
          </cell>
          <cell r="B5675">
            <v>0</v>
          </cell>
          <cell r="C5675" t="str">
            <v>4|10|2910,4|1|11640</v>
          </cell>
          <cell r="D5675" t="str">
            <v>15体力-主角97级精英副本经验和金币奖励</v>
          </cell>
          <cell r="E5675" t="str">
            <v>4|10|2910|1,4|1|11640|1</v>
          </cell>
        </row>
        <row r="5676">
          <cell r="A5676">
            <v>83098</v>
          </cell>
          <cell r="B5676">
            <v>0</v>
          </cell>
          <cell r="C5676" t="str">
            <v>4|10|2940,4|1|11760</v>
          </cell>
          <cell r="D5676" t="str">
            <v>15体力-主角98级精英副本经验和金币奖励</v>
          </cell>
          <cell r="E5676" t="str">
            <v>4|10|2940|1,4|1|11760|1</v>
          </cell>
        </row>
        <row r="5677">
          <cell r="A5677">
            <v>83099</v>
          </cell>
          <cell r="B5677">
            <v>0</v>
          </cell>
          <cell r="C5677" t="str">
            <v>4|10|2970,4|1|11880</v>
          </cell>
          <cell r="D5677" t="str">
            <v>15体力-主角99级精英副本经验和金币奖励</v>
          </cell>
          <cell r="E5677" t="str">
            <v>4|10|2970|1,4|1|11880|1</v>
          </cell>
        </row>
        <row r="5678">
          <cell r="A5678">
            <v>83100</v>
          </cell>
          <cell r="B5678">
            <v>0</v>
          </cell>
          <cell r="C5678" t="str">
            <v>4|10|3000,4|1|12000</v>
          </cell>
          <cell r="D5678" t="str">
            <v>15体力-主角100级精英副本经验和金币奖励</v>
          </cell>
          <cell r="E5678" t="str">
            <v>4|10|3000|1,4|1|12000|1</v>
          </cell>
        </row>
        <row r="5679">
          <cell r="A5679">
            <v>83101</v>
          </cell>
          <cell r="B5679">
            <v>0</v>
          </cell>
          <cell r="C5679" t="str">
            <v>4|10|3030,4|1|12120</v>
          </cell>
          <cell r="D5679" t="str">
            <v>15体力-主角101级精英副本经验和金币奖励</v>
          </cell>
          <cell r="E5679" t="str">
            <v>4|10|3030|1,4|1|12120|1</v>
          </cell>
        </row>
        <row r="5680">
          <cell r="A5680">
            <v>83102</v>
          </cell>
          <cell r="B5680">
            <v>0</v>
          </cell>
          <cell r="C5680" t="str">
            <v>4|10|3060,4|1|12240</v>
          </cell>
          <cell r="D5680" t="str">
            <v>15体力-主角102级精英副本经验和金币奖励</v>
          </cell>
          <cell r="E5680" t="str">
            <v>4|10|3060|1,4|1|12240|1</v>
          </cell>
        </row>
        <row r="5681">
          <cell r="A5681">
            <v>83103</v>
          </cell>
          <cell r="B5681">
            <v>0</v>
          </cell>
          <cell r="C5681" t="str">
            <v>4|10|3090,4|1|12360</v>
          </cell>
          <cell r="D5681" t="str">
            <v>15体力-主角103级精英副本经验和金币奖励</v>
          </cell>
          <cell r="E5681" t="str">
            <v>4|10|3090|1,4|1|12360|1</v>
          </cell>
        </row>
        <row r="5682">
          <cell r="A5682">
            <v>83104</v>
          </cell>
          <cell r="B5682">
            <v>0</v>
          </cell>
          <cell r="C5682" t="str">
            <v>4|10|3120,4|1|12480</v>
          </cell>
          <cell r="D5682" t="str">
            <v>15体力-主角104级精英副本经验和金币奖励</v>
          </cell>
          <cell r="E5682" t="str">
            <v>4|10|3120|1,4|1|12480|1</v>
          </cell>
        </row>
        <row r="5683">
          <cell r="A5683">
            <v>83105</v>
          </cell>
          <cell r="B5683">
            <v>0</v>
          </cell>
          <cell r="C5683" t="str">
            <v>4|10|3150,4|1|12600</v>
          </cell>
          <cell r="D5683" t="str">
            <v>15体力-主角105级精英副本经验和金币奖励</v>
          </cell>
          <cell r="E5683" t="str">
            <v>4|10|3150|1,4|1|12600|1</v>
          </cell>
        </row>
        <row r="5684">
          <cell r="A5684">
            <v>83106</v>
          </cell>
          <cell r="B5684">
            <v>0</v>
          </cell>
          <cell r="C5684" t="str">
            <v>4|10|3180,4|1|12720</v>
          </cell>
          <cell r="D5684" t="str">
            <v>15体力-主角106级精英副本经验和金币奖励</v>
          </cell>
          <cell r="E5684" t="str">
            <v>4|10|3180|1,4|1|12720|1</v>
          </cell>
        </row>
        <row r="5685">
          <cell r="A5685">
            <v>83107</v>
          </cell>
          <cell r="B5685">
            <v>0</v>
          </cell>
          <cell r="C5685" t="str">
            <v>4|10|3210,4|1|12840</v>
          </cell>
          <cell r="D5685" t="str">
            <v>15体力-主角107级精英副本经验和金币奖励</v>
          </cell>
          <cell r="E5685" t="str">
            <v>4|10|3210|1,4|1|12840|1</v>
          </cell>
        </row>
        <row r="5686">
          <cell r="A5686">
            <v>83108</v>
          </cell>
          <cell r="B5686">
            <v>0</v>
          </cell>
          <cell r="C5686" t="str">
            <v>4|10|3240,4|1|12960</v>
          </cell>
          <cell r="D5686" t="str">
            <v>15体力-主角108级精英副本经验和金币奖励</v>
          </cell>
          <cell r="E5686" t="str">
            <v>4|10|3240|1,4|1|12960|1</v>
          </cell>
        </row>
        <row r="5687">
          <cell r="A5687">
            <v>83109</v>
          </cell>
          <cell r="B5687">
            <v>0</v>
          </cell>
          <cell r="C5687" t="str">
            <v>4|10|3270,4|1|13080</v>
          </cell>
          <cell r="D5687" t="str">
            <v>15体力-主角109级精英副本经验和金币奖励</v>
          </cell>
          <cell r="E5687" t="str">
            <v>4|10|3270|1,4|1|13080|1</v>
          </cell>
        </row>
        <row r="5688">
          <cell r="A5688">
            <v>83110</v>
          </cell>
          <cell r="B5688">
            <v>0</v>
          </cell>
          <cell r="C5688" t="str">
            <v>4|10|3300,4|1|13200</v>
          </cell>
          <cell r="D5688" t="str">
            <v>15体力-主角110级精英副本经验和金币奖励</v>
          </cell>
          <cell r="E5688" t="str">
            <v>4|10|3300|1,4|1|13200|1</v>
          </cell>
        </row>
        <row r="5689">
          <cell r="A5689">
            <v>83111</v>
          </cell>
          <cell r="B5689">
            <v>0</v>
          </cell>
          <cell r="C5689" t="str">
            <v>4|10|3330,4|1|13320</v>
          </cell>
          <cell r="D5689" t="str">
            <v>15体力-主角111级精英副本经验和金币奖励</v>
          </cell>
          <cell r="E5689" t="str">
            <v>4|10|3330|1,4|1|13320|1</v>
          </cell>
        </row>
        <row r="5690">
          <cell r="A5690">
            <v>83112</v>
          </cell>
          <cell r="B5690">
            <v>0</v>
          </cell>
          <cell r="C5690" t="str">
            <v>4|10|3360,4|1|13440</v>
          </cell>
          <cell r="D5690" t="str">
            <v>15体力-主角112级精英副本经验和金币奖励</v>
          </cell>
          <cell r="E5690" t="str">
            <v>4|10|3360|1,4|1|13440|1</v>
          </cell>
        </row>
        <row r="5691">
          <cell r="A5691">
            <v>83113</v>
          </cell>
          <cell r="B5691">
            <v>0</v>
          </cell>
          <cell r="C5691" t="str">
            <v>4|10|3390,4|1|13560</v>
          </cell>
          <cell r="D5691" t="str">
            <v>15体力-主角113级精英副本经验和金币奖励</v>
          </cell>
          <cell r="E5691" t="str">
            <v>4|10|3390|1,4|1|13560|1</v>
          </cell>
        </row>
        <row r="5692">
          <cell r="A5692">
            <v>83114</v>
          </cell>
          <cell r="B5692">
            <v>0</v>
          </cell>
          <cell r="C5692" t="str">
            <v>4|10|3420,4|1|13680</v>
          </cell>
          <cell r="D5692" t="str">
            <v>15体力-主角114级精英副本经验和金币奖励</v>
          </cell>
          <cell r="E5692" t="str">
            <v>4|10|3420|1,4|1|13680|1</v>
          </cell>
        </row>
        <row r="5693">
          <cell r="A5693">
            <v>83115</v>
          </cell>
          <cell r="B5693">
            <v>0</v>
          </cell>
          <cell r="C5693" t="str">
            <v>4|10|3450,4|1|13800</v>
          </cell>
          <cell r="D5693" t="str">
            <v>15体力-主角115级精英副本经验和金币奖励</v>
          </cell>
          <cell r="E5693" t="str">
            <v>4|10|3450|1,4|1|13800|1</v>
          </cell>
        </row>
        <row r="5694">
          <cell r="A5694">
            <v>83116</v>
          </cell>
          <cell r="B5694">
            <v>0</v>
          </cell>
          <cell r="C5694" t="str">
            <v>4|10|3480,4|1|13920</v>
          </cell>
          <cell r="D5694" t="str">
            <v>15体力-主角116级精英副本经验和金币奖励</v>
          </cell>
          <cell r="E5694" t="str">
            <v>4|10|3480|1,4|1|13920|1</v>
          </cell>
        </row>
        <row r="5695">
          <cell r="A5695">
            <v>83117</v>
          </cell>
          <cell r="B5695">
            <v>0</v>
          </cell>
          <cell r="C5695" t="str">
            <v>4|10|3510,4|1|14040</v>
          </cell>
          <cell r="D5695" t="str">
            <v>15体力-主角117级精英副本经验和金币奖励</v>
          </cell>
          <cell r="E5695" t="str">
            <v>4|10|3510|1,4|1|14040|1</v>
          </cell>
        </row>
        <row r="5696">
          <cell r="A5696">
            <v>83118</v>
          </cell>
          <cell r="B5696">
            <v>0</v>
          </cell>
          <cell r="C5696" t="str">
            <v>4|10|3540,4|1|14160</v>
          </cell>
          <cell r="D5696" t="str">
            <v>15体力-主角118级精英副本经验和金币奖励</v>
          </cell>
          <cell r="E5696" t="str">
            <v>4|10|3540|1,4|1|14160|1</v>
          </cell>
        </row>
        <row r="5697">
          <cell r="A5697">
            <v>83119</v>
          </cell>
          <cell r="B5697">
            <v>0</v>
          </cell>
          <cell r="C5697" t="str">
            <v>4|10|3570,4|1|14280</v>
          </cell>
          <cell r="D5697" t="str">
            <v>15体力-主角119级精英副本经验和金币奖励</v>
          </cell>
          <cell r="E5697" t="str">
            <v>4|10|3570|1,4|1|14280|1</v>
          </cell>
        </row>
        <row r="5698">
          <cell r="A5698">
            <v>83120</v>
          </cell>
          <cell r="B5698">
            <v>0</v>
          </cell>
          <cell r="C5698" t="str">
            <v>4|10|3600,4|1|14400</v>
          </cell>
          <cell r="D5698" t="str">
            <v>15体力-主角120级精英副本经验和金币奖励</v>
          </cell>
          <cell r="E5698" t="str">
            <v>4|10|3600|1,4|1|14400|1</v>
          </cell>
        </row>
        <row r="5699">
          <cell r="A5699">
            <v>83121</v>
          </cell>
          <cell r="B5699">
            <v>0</v>
          </cell>
          <cell r="C5699" t="str">
            <v>4|10|3630,4|1|14520</v>
          </cell>
          <cell r="D5699" t="str">
            <v>15体力-主角121级精英副本经验和金币奖励</v>
          </cell>
          <cell r="E5699" t="str">
            <v>4|10|3630|1,4|1|14520|1</v>
          </cell>
        </row>
        <row r="5700">
          <cell r="A5700">
            <v>83122</v>
          </cell>
          <cell r="B5700">
            <v>0</v>
          </cell>
          <cell r="C5700" t="str">
            <v>4|10|3660,4|1|14640</v>
          </cell>
          <cell r="D5700" t="str">
            <v>15体力-主角122级精英副本经验和金币奖励</v>
          </cell>
          <cell r="E5700" t="str">
            <v>4|10|3660|1,4|1|14640|1</v>
          </cell>
        </row>
        <row r="5701">
          <cell r="A5701">
            <v>83123</v>
          </cell>
          <cell r="B5701">
            <v>0</v>
          </cell>
          <cell r="C5701" t="str">
            <v>4|10|3690,4|1|14760</v>
          </cell>
          <cell r="D5701" t="str">
            <v>15体力-主角123级精英副本经验和金币奖励</v>
          </cell>
          <cell r="E5701" t="str">
            <v>4|10|3690|1,4|1|14760|1</v>
          </cell>
        </row>
        <row r="5702">
          <cell r="A5702">
            <v>83124</v>
          </cell>
          <cell r="B5702">
            <v>0</v>
          </cell>
          <cell r="C5702" t="str">
            <v>4|10|3720,4|1|14880</v>
          </cell>
          <cell r="D5702" t="str">
            <v>15体力-主角124级精英副本经验和金币奖励</v>
          </cell>
          <cell r="E5702" t="str">
            <v>4|10|3720|1,4|1|14880|1</v>
          </cell>
        </row>
        <row r="5703">
          <cell r="A5703">
            <v>83125</v>
          </cell>
          <cell r="B5703">
            <v>0</v>
          </cell>
          <cell r="C5703" t="str">
            <v>4|10|3750,4|1|15000</v>
          </cell>
          <cell r="D5703" t="str">
            <v>15体力-主角125级精英副本经验和金币奖励</v>
          </cell>
          <cell r="E5703" t="str">
            <v>4|10|3750|1,4|1|15000|1</v>
          </cell>
        </row>
        <row r="5704">
          <cell r="A5704">
            <v>83126</v>
          </cell>
          <cell r="B5704">
            <v>0</v>
          </cell>
          <cell r="C5704" t="str">
            <v>4|10|3780,4|1|15120</v>
          </cell>
          <cell r="D5704" t="str">
            <v>15体力-主角126级精英副本经验和金币奖励</v>
          </cell>
          <cell r="E5704" t="str">
            <v>4|10|3780|1,4|1|15120|1</v>
          </cell>
        </row>
        <row r="5705">
          <cell r="A5705">
            <v>83127</v>
          </cell>
          <cell r="B5705">
            <v>0</v>
          </cell>
          <cell r="C5705" t="str">
            <v>4|10|3810,4|1|15240</v>
          </cell>
          <cell r="D5705" t="str">
            <v>15体力-主角127级精英副本经验和金币奖励</v>
          </cell>
          <cell r="E5705" t="str">
            <v>4|10|3810|1,4|1|15240|1</v>
          </cell>
        </row>
        <row r="5706">
          <cell r="A5706">
            <v>83128</v>
          </cell>
          <cell r="B5706">
            <v>0</v>
          </cell>
          <cell r="C5706" t="str">
            <v>4|10|3840,4|1|15360</v>
          </cell>
          <cell r="D5706" t="str">
            <v>15体力-主角128级精英副本经验和金币奖励</v>
          </cell>
          <cell r="E5706" t="str">
            <v>4|10|3840|1,4|1|15360|1</v>
          </cell>
        </row>
        <row r="5707">
          <cell r="A5707">
            <v>83129</v>
          </cell>
          <cell r="B5707">
            <v>0</v>
          </cell>
          <cell r="C5707" t="str">
            <v>4|10|3870,4|1|15480</v>
          </cell>
          <cell r="D5707" t="str">
            <v>15体力-主角129级精英副本经验和金币奖励</v>
          </cell>
          <cell r="E5707" t="str">
            <v>4|10|3870|1,4|1|15480|1</v>
          </cell>
        </row>
        <row r="5708">
          <cell r="A5708">
            <v>83130</v>
          </cell>
          <cell r="B5708">
            <v>0</v>
          </cell>
          <cell r="C5708" t="str">
            <v>4|10|3900,4|1|15600</v>
          </cell>
          <cell r="D5708" t="str">
            <v>15体力-主角130级精英副本经验和金币奖励</v>
          </cell>
          <cell r="E5708" t="str">
            <v>4|10|3900|1,4|1|15600|1</v>
          </cell>
        </row>
        <row r="5709">
          <cell r="A5709">
            <v>83131</v>
          </cell>
          <cell r="B5709">
            <v>0</v>
          </cell>
          <cell r="C5709" t="str">
            <v>4|10|3930,4|1|15720</v>
          </cell>
          <cell r="D5709" t="str">
            <v>15体力-主角131级精英副本经验和金币奖励</v>
          </cell>
          <cell r="E5709" t="str">
            <v>4|10|3930|1,4|1|15720|1</v>
          </cell>
        </row>
        <row r="5710">
          <cell r="A5710">
            <v>83132</v>
          </cell>
          <cell r="B5710">
            <v>0</v>
          </cell>
          <cell r="C5710" t="str">
            <v>4|10|3960,4|1|15840</v>
          </cell>
          <cell r="D5710" t="str">
            <v>15体力-主角132级精英副本经验和金币奖励</v>
          </cell>
          <cell r="E5710" t="str">
            <v>4|10|3960|1,4|1|15840|1</v>
          </cell>
        </row>
        <row r="5711">
          <cell r="A5711">
            <v>83133</v>
          </cell>
          <cell r="B5711">
            <v>0</v>
          </cell>
          <cell r="C5711" t="str">
            <v>4|10|3990,4|1|15960</v>
          </cell>
          <cell r="D5711" t="str">
            <v>15体力-主角133级精英副本经验和金币奖励</v>
          </cell>
          <cell r="E5711" t="str">
            <v>4|10|3990|1,4|1|15960|1</v>
          </cell>
        </row>
        <row r="5712">
          <cell r="A5712">
            <v>83134</v>
          </cell>
          <cell r="B5712">
            <v>0</v>
          </cell>
          <cell r="C5712" t="str">
            <v>4|10|4020,4|1|16080</v>
          </cell>
          <cell r="D5712" t="str">
            <v>15体力-主角134级精英副本经验和金币奖励</v>
          </cell>
          <cell r="E5712" t="str">
            <v>4|10|4020|1,4|1|16080|1</v>
          </cell>
        </row>
        <row r="5713">
          <cell r="A5713">
            <v>83135</v>
          </cell>
          <cell r="B5713">
            <v>0</v>
          </cell>
          <cell r="C5713" t="str">
            <v>4|10|4050,4|1|16200</v>
          </cell>
          <cell r="D5713" t="str">
            <v>15体力-主角135级精英副本经验和金币奖励</v>
          </cell>
          <cell r="E5713" t="str">
            <v>4|10|4050|1,4|1|16200|1</v>
          </cell>
        </row>
        <row r="5714">
          <cell r="A5714">
            <v>83136</v>
          </cell>
          <cell r="B5714">
            <v>0</v>
          </cell>
          <cell r="C5714" t="str">
            <v>4|10|4080,4|1|16320</v>
          </cell>
          <cell r="D5714" t="str">
            <v>15体力-主角136级精英副本经验和金币奖励</v>
          </cell>
          <cell r="E5714" t="str">
            <v>4|10|4080|1,4|1|16320|1</v>
          </cell>
        </row>
        <row r="5715">
          <cell r="A5715">
            <v>83137</v>
          </cell>
          <cell r="B5715">
            <v>0</v>
          </cell>
          <cell r="C5715" t="str">
            <v>4|10|4110,4|1|16440</v>
          </cell>
          <cell r="D5715" t="str">
            <v>15体力-主角137级精英副本经验和金币奖励</v>
          </cell>
          <cell r="E5715" t="str">
            <v>4|10|4110|1,4|1|16440|1</v>
          </cell>
        </row>
        <row r="5716">
          <cell r="A5716">
            <v>83138</v>
          </cell>
          <cell r="B5716">
            <v>0</v>
          </cell>
          <cell r="C5716" t="str">
            <v>4|10|4140,4|1|16560</v>
          </cell>
          <cell r="D5716" t="str">
            <v>15体力-主角138级精英副本经验和金币奖励</v>
          </cell>
          <cell r="E5716" t="str">
            <v>4|10|4140|1,4|1|16560|1</v>
          </cell>
        </row>
        <row r="5717">
          <cell r="A5717">
            <v>83139</v>
          </cell>
          <cell r="B5717">
            <v>0</v>
          </cell>
          <cell r="C5717" t="str">
            <v>4|10|4170,4|1|16680</v>
          </cell>
          <cell r="D5717" t="str">
            <v>15体力-主角139级精英副本经验和金币奖励</v>
          </cell>
          <cell r="E5717" t="str">
            <v>4|10|4170|1,4|1|16680|1</v>
          </cell>
        </row>
        <row r="5718">
          <cell r="A5718">
            <v>83140</v>
          </cell>
          <cell r="B5718">
            <v>0</v>
          </cell>
          <cell r="C5718" t="str">
            <v>4|10|4200,4|1|16800</v>
          </cell>
          <cell r="D5718" t="str">
            <v>15体力-主角140级精英副本经验和金币奖励</v>
          </cell>
          <cell r="E5718" t="str">
            <v>4|10|4200|1,4|1|16800|1</v>
          </cell>
        </row>
        <row r="5719">
          <cell r="A5719">
            <v>83141</v>
          </cell>
          <cell r="B5719">
            <v>0</v>
          </cell>
          <cell r="C5719" t="str">
            <v>4|10|4230,4|1|16920</v>
          </cell>
          <cell r="D5719" t="str">
            <v>15体力-主角141级精英副本经验和金币奖励</v>
          </cell>
          <cell r="E5719" t="str">
            <v>4|10|4230|1,4|1|16920|1</v>
          </cell>
        </row>
        <row r="5720">
          <cell r="A5720">
            <v>83142</v>
          </cell>
          <cell r="B5720">
            <v>0</v>
          </cell>
          <cell r="C5720" t="str">
            <v>4|10|4260,4|1|17040</v>
          </cell>
          <cell r="D5720" t="str">
            <v>15体力-主角142级精英副本经验和金币奖励</v>
          </cell>
          <cell r="E5720" t="str">
            <v>4|10|4260|1,4|1|17040|1</v>
          </cell>
        </row>
        <row r="5721">
          <cell r="A5721">
            <v>83143</v>
          </cell>
          <cell r="B5721">
            <v>0</v>
          </cell>
          <cell r="C5721" t="str">
            <v>4|10|4290,4|1|17160</v>
          </cell>
          <cell r="D5721" t="str">
            <v>15体力-主角143级精英副本经验和金币奖励</v>
          </cell>
          <cell r="E5721" t="str">
            <v>4|10|4290|1,4|1|17160|1</v>
          </cell>
        </row>
        <row r="5722">
          <cell r="A5722">
            <v>83144</v>
          </cell>
          <cell r="B5722">
            <v>0</v>
          </cell>
          <cell r="C5722" t="str">
            <v>4|10|4320,4|1|17280</v>
          </cell>
          <cell r="D5722" t="str">
            <v>15体力-主角144级精英副本经验和金币奖励</v>
          </cell>
          <cell r="E5722" t="str">
            <v>4|10|4320|1,4|1|17280|1</v>
          </cell>
        </row>
        <row r="5723">
          <cell r="A5723">
            <v>83145</v>
          </cell>
          <cell r="B5723">
            <v>0</v>
          </cell>
          <cell r="C5723" t="str">
            <v>4|10|4350,4|1|17400</v>
          </cell>
          <cell r="D5723" t="str">
            <v>15体力-主角145级精英副本经验和金币奖励</v>
          </cell>
          <cell r="E5723" t="str">
            <v>4|10|4350|1,4|1|17400|1</v>
          </cell>
        </row>
        <row r="5724">
          <cell r="A5724">
            <v>83146</v>
          </cell>
          <cell r="B5724">
            <v>0</v>
          </cell>
          <cell r="C5724" t="str">
            <v>4|10|4380,4|1|17520</v>
          </cell>
          <cell r="D5724" t="str">
            <v>15体力-主角146级精英副本经验和金币奖励</v>
          </cell>
          <cell r="E5724" t="str">
            <v>4|10|4380|1,4|1|17520|1</v>
          </cell>
        </row>
        <row r="5725">
          <cell r="A5725">
            <v>83147</v>
          </cell>
          <cell r="B5725">
            <v>0</v>
          </cell>
          <cell r="C5725" t="str">
            <v>4|10|4410,4|1|17640</v>
          </cell>
          <cell r="D5725" t="str">
            <v>15体力-主角147级精英副本经验和金币奖励</v>
          </cell>
          <cell r="E5725" t="str">
            <v>4|10|4410|1,4|1|17640|1</v>
          </cell>
        </row>
        <row r="5726">
          <cell r="A5726">
            <v>83148</v>
          </cell>
          <cell r="B5726">
            <v>0</v>
          </cell>
          <cell r="C5726" t="str">
            <v>4|10|4440,4|1|17760</v>
          </cell>
          <cell r="D5726" t="str">
            <v>15体力-主角148级精英副本经验和金币奖励</v>
          </cell>
          <cell r="E5726" t="str">
            <v>4|10|4440|1,4|1|17760|1</v>
          </cell>
        </row>
        <row r="5727">
          <cell r="A5727">
            <v>83149</v>
          </cell>
          <cell r="B5727">
            <v>0</v>
          </cell>
          <cell r="C5727" t="str">
            <v>4|10|4470,4|1|17880</v>
          </cell>
          <cell r="D5727" t="str">
            <v>15体力-主角149级精英副本经验和金币奖励</v>
          </cell>
          <cell r="E5727" t="str">
            <v>4|10|4470|1,4|1|17880|1</v>
          </cell>
        </row>
        <row r="5728">
          <cell r="A5728">
            <v>83150</v>
          </cell>
          <cell r="B5728">
            <v>0</v>
          </cell>
          <cell r="C5728" t="str">
            <v>4|10|4500,4|1|18000</v>
          </cell>
          <cell r="D5728" t="str">
            <v>15体力-主角150级精英副本经验和金币奖励</v>
          </cell>
          <cell r="E5728" t="str">
            <v>4|10|4500|1,4|1|18000|1</v>
          </cell>
        </row>
        <row r="5729">
          <cell r="A5729">
            <v>84001</v>
          </cell>
          <cell r="B5729">
            <v>0</v>
          </cell>
          <cell r="C5729" t="str">
            <v>4|10|40,4|1|160</v>
          </cell>
          <cell r="D5729" t="str">
            <v>20体力-主角1级精英副本经验和金币奖励</v>
          </cell>
          <cell r="E5729" t="str">
            <v>4|10|40|1,4|1|160|1</v>
          </cell>
        </row>
        <row r="5730">
          <cell r="A5730">
            <v>84002</v>
          </cell>
          <cell r="B5730">
            <v>0</v>
          </cell>
          <cell r="C5730" t="str">
            <v>4|10|80,4|1|320</v>
          </cell>
          <cell r="D5730" t="str">
            <v>20体力-主角2级精英副本经验和金币奖励</v>
          </cell>
          <cell r="E5730" t="str">
            <v>4|10|80|1,4|1|320|1</v>
          </cell>
        </row>
        <row r="5731">
          <cell r="A5731">
            <v>84003</v>
          </cell>
          <cell r="B5731">
            <v>0</v>
          </cell>
          <cell r="C5731" t="str">
            <v>4|10|120,4|1|480</v>
          </cell>
          <cell r="D5731" t="str">
            <v>20体力-主角3级精英副本经验和金币奖励</v>
          </cell>
          <cell r="E5731" t="str">
            <v>4|10|120|1,4|1|480|1</v>
          </cell>
        </row>
        <row r="5732">
          <cell r="A5732">
            <v>84004</v>
          </cell>
          <cell r="B5732">
            <v>0</v>
          </cell>
          <cell r="C5732" t="str">
            <v>4|10|160,4|1|640</v>
          </cell>
          <cell r="D5732" t="str">
            <v>20体力-主角4级精英副本经验和金币奖励</v>
          </cell>
          <cell r="E5732" t="str">
            <v>4|10|160|1,4|1|640|1</v>
          </cell>
        </row>
        <row r="5733">
          <cell r="A5733">
            <v>84005</v>
          </cell>
          <cell r="B5733">
            <v>0</v>
          </cell>
          <cell r="C5733" t="str">
            <v>4|10|200,4|1|800</v>
          </cell>
          <cell r="D5733" t="str">
            <v>20体力-主角5级精英副本经验和金币奖励</v>
          </cell>
          <cell r="E5733" t="str">
            <v>4|10|200|1,4|1|800|1</v>
          </cell>
        </row>
        <row r="5734">
          <cell r="A5734">
            <v>84006</v>
          </cell>
          <cell r="B5734">
            <v>0</v>
          </cell>
          <cell r="C5734" t="str">
            <v>4|10|240,4|1|960</v>
          </cell>
          <cell r="D5734" t="str">
            <v>20体力-主角6级精英副本经验和金币奖励</v>
          </cell>
          <cell r="E5734" t="str">
            <v>4|10|240|1,4|1|960|1</v>
          </cell>
        </row>
        <row r="5735">
          <cell r="A5735">
            <v>84007</v>
          </cell>
          <cell r="B5735">
            <v>0</v>
          </cell>
          <cell r="C5735" t="str">
            <v>4|10|280,4|1|1120</v>
          </cell>
          <cell r="D5735" t="str">
            <v>20体力-主角7级精英副本经验和金币奖励</v>
          </cell>
          <cell r="E5735" t="str">
            <v>4|10|280|1,4|1|1120|1</v>
          </cell>
        </row>
        <row r="5736">
          <cell r="A5736">
            <v>84008</v>
          </cell>
          <cell r="B5736">
            <v>0</v>
          </cell>
          <cell r="C5736" t="str">
            <v>4|10|320,4|1|1280</v>
          </cell>
          <cell r="D5736" t="str">
            <v>20体力-主角8级精英副本经验和金币奖励</v>
          </cell>
          <cell r="E5736" t="str">
            <v>4|10|320|1,4|1|1280|1</v>
          </cell>
        </row>
        <row r="5737">
          <cell r="A5737">
            <v>84009</v>
          </cell>
          <cell r="B5737">
            <v>0</v>
          </cell>
          <cell r="C5737" t="str">
            <v>4|10|360,4|1|1440</v>
          </cell>
          <cell r="D5737" t="str">
            <v>20体力-主角9级精英副本经验和金币奖励</v>
          </cell>
          <cell r="E5737" t="str">
            <v>4|10|360|1,4|1|1440|1</v>
          </cell>
        </row>
        <row r="5738">
          <cell r="A5738">
            <v>84010</v>
          </cell>
          <cell r="B5738">
            <v>0</v>
          </cell>
          <cell r="C5738" t="str">
            <v>4|10|400,4|1|1600</v>
          </cell>
          <cell r="D5738" t="str">
            <v>20体力-主角10级精英副本经验和金币奖励</v>
          </cell>
          <cell r="E5738" t="str">
            <v>4|10|400|1,4|1|1600|1</v>
          </cell>
        </row>
        <row r="5739">
          <cell r="A5739">
            <v>84011</v>
          </cell>
          <cell r="B5739">
            <v>0</v>
          </cell>
          <cell r="C5739" t="str">
            <v>4|10|440,4|1|1760</v>
          </cell>
          <cell r="D5739" t="str">
            <v>20体力-主角11级精英副本经验和金币奖励</v>
          </cell>
          <cell r="E5739" t="str">
            <v>4|10|440|1,4|1|1760|1</v>
          </cell>
        </row>
        <row r="5740">
          <cell r="A5740">
            <v>84012</v>
          </cell>
          <cell r="B5740">
            <v>0</v>
          </cell>
          <cell r="C5740" t="str">
            <v>4|10|480,4|1|1920</v>
          </cell>
          <cell r="D5740" t="str">
            <v>20体力-主角12级精英副本经验和金币奖励</v>
          </cell>
          <cell r="E5740" t="str">
            <v>4|10|480|1,4|1|1920|1</v>
          </cell>
        </row>
        <row r="5741">
          <cell r="A5741">
            <v>84013</v>
          </cell>
          <cell r="B5741">
            <v>0</v>
          </cell>
          <cell r="C5741" t="str">
            <v>4|10|520,4|1|2080</v>
          </cell>
          <cell r="D5741" t="str">
            <v>20体力-主角13级精英副本经验和金币奖励</v>
          </cell>
          <cell r="E5741" t="str">
            <v>4|10|520|1,4|1|2080|1</v>
          </cell>
        </row>
        <row r="5742">
          <cell r="A5742">
            <v>84014</v>
          </cell>
          <cell r="B5742">
            <v>0</v>
          </cell>
          <cell r="C5742" t="str">
            <v>4|10|560,4|1|2240</v>
          </cell>
          <cell r="D5742" t="str">
            <v>20体力-主角14级精英副本经验和金币奖励</v>
          </cell>
          <cell r="E5742" t="str">
            <v>4|10|560|1,4|1|2240|1</v>
          </cell>
        </row>
        <row r="5743">
          <cell r="A5743">
            <v>84015</v>
          </cell>
          <cell r="B5743">
            <v>0</v>
          </cell>
          <cell r="C5743" t="str">
            <v>4|10|600,4|1|2400</v>
          </cell>
          <cell r="D5743" t="str">
            <v>20体力-主角15级精英副本经验和金币奖励</v>
          </cell>
          <cell r="E5743" t="str">
            <v>4|10|600|1,4|1|2400|1</v>
          </cell>
        </row>
        <row r="5744">
          <cell r="A5744">
            <v>84016</v>
          </cell>
          <cell r="B5744">
            <v>0</v>
          </cell>
          <cell r="C5744" t="str">
            <v>4|10|640,4|1|2560</v>
          </cell>
          <cell r="D5744" t="str">
            <v>20体力-主角16级精英副本经验和金币奖励</v>
          </cell>
          <cell r="E5744" t="str">
            <v>4|10|640|1,4|1|2560|1</v>
          </cell>
        </row>
        <row r="5745">
          <cell r="A5745">
            <v>84017</v>
          </cell>
          <cell r="B5745">
            <v>0</v>
          </cell>
          <cell r="C5745" t="str">
            <v>4|10|680,4|1|2720</v>
          </cell>
          <cell r="D5745" t="str">
            <v>20体力-主角17级精英副本经验和金币奖励</v>
          </cell>
          <cell r="E5745" t="str">
            <v>4|10|680|1,4|1|2720|1</v>
          </cell>
        </row>
        <row r="5746">
          <cell r="A5746">
            <v>84018</v>
          </cell>
          <cell r="B5746">
            <v>0</v>
          </cell>
          <cell r="C5746" t="str">
            <v>4|10|720,4|1|2880</v>
          </cell>
          <cell r="D5746" t="str">
            <v>20体力-主角18级精英副本经验和金币奖励</v>
          </cell>
          <cell r="E5746" t="str">
            <v>4|10|720|1,4|1|2880|1</v>
          </cell>
        </row>
        <row r="5747">
          <cell r="A5747">
            <v>84019</v>
          </cell>
          <cell r="B5747">
            <v>0</v>
          </cell>
          <cell r="C5747" t="str">
            <v>4|10|760,4|1|3040</v>
          </cell>
          <cell r="D5747" t="str">
            <v>20体力-主角19级精英副本经验和金币奖励</v>
          </cell>
          <cell r="E5747" t="str">
            <v>4|10|760|1,4|1|3040|1</v>
          </cell>
        </row>
        <row r="5748">
          <cell r="A5748">
            <v>84020</v>
          </cell>
          <cell r="B5748">
            <v>0</v>
          </cell>
          <cell r="C5748" t="str">
            <v>4|10|800,4|1|3200</v>
          </cell>
          <cell r="D5748" t="str">
            <v>20体力-主角20级精英副本经验和金币奖励</v>
          </cell>
          <cell r="E5748" t="str">
            <v>4|10|800|1,4|1|3200|1</v>
          </cell>
        </row>
        <row r="5749">
          <cell r="A5749">
            <v>84021</v>
          </cell>
          <cell r="B5749">
            <v>0</v>
          </cell>
          <cell r="C5749" t="str">
            <v>4|10|840,4|1|3360</v>
          </cell>
          <cell r="D5749" t="str">
            <v>20体力-主角21级精英副本经验和金币奖励</v>
          </cell>
          <cell r="E5749" t="str">
            <v>4|10|840|1,4|1|3360|1</v>
          </cell>
        </row>
        <row r="5750">
          <cell r="A5750">
            <v>84022</v>
          </cell>
          <cell r="B5750">
            <v>0</v>
          </cell>
          <cell r="C5750" t="str">
            <v>4|10|880,4|1|3520</v>
          </cell>
          <cell r="D5750" t="str">
            <v>20体力-主角22级精英副本经验和金币奖励</v>
          </cell>
          <cell r="E5750" t="str">
            <v>4|10|880|1,4|1|3520|1</v>
          </cell>
        </row>
        <row r="5751">
          <cell r="A5751">
            <v>84023</v>
          </cell>
          <cell r="B5751">
            <v>0</v>
          </cell>
          <cell r="C5751" t="str">
            <v>4|10|920,4|1|3680</v>
          </cell>
          <cell r="D5751" t="str">
            <v>20体力-主角23级精英副本经验和金币奖励</v>
          </cell>
          <cell r="E5751" t="str">
            <v>4|10|920|1,4|1|3680|1</v>
          </cell>
        </row>
        <row r="5752">
          <cell r="A5752">
            <v>84024</v>
          </cell>
          <cell r="B5752">
            <v>0</v>
          </cell>
          <cell r="C5752" t="str">
            <v>4|10|960,4|1|3840</v>
          </cell>
          <cell r="D5752" t="str">
            <v>20体力-主角24级精英副本经验和金币奖励</v>
          </cell>
          <cell r="E5752" t="str">
            <v>4|10|960|1,4|1|3840|1</v>
          </cell>
        </row>
        <row r="5753">
          <cell r="A5753">
            <v>84025</v>
          </cell>
          <cell r="B5753">
            <v>0</v>
          </cell>
          <cell r="C5753" t="str">
            <v>4|10|1000,4|1|4000</v>
          </cell>
          <cell r="D5753" t="str">
            <v>20体力-主角25级精英副本经验和金币奖励</v>
          </cell>
          <cell r="E5753" t="str">
            <v>4|10|1000|1,4|1|4000|1</v>
          </cell>
        </row>
        <row r="5754">
          <cell r="A5754">
            <v>84026</v>
          </cell>
          <cell r="B5754">
            <v>0</v>
          </cell>
          <cell r="C5754" t="str">
            <v>4|10|1040,4|1|4160</v>
          </cell>
          <cell r="D5754" t="str">
            <v>20体力-主角26级精英副本经验和金币奖励</v>
          </cell>
          <cell r="E5754" t="str">
            <v>4|10|1040|1,4|1|4160|1</v>
          </cell>
        </row>
        <row r="5755">
          <cell r="A5755">
            <v>84027</v>
          </cell>
          <cell r="B5755">
            <v>0</v>
          </cell>
          <cell r="C5755" t="str">
            <v>4|10|1080,4|1|4320</v>
          </cell>
          <cell r="D5755" t="str">
            <v>20体力-主角27级精英副本经验和金币奖励</v>
          </cell>
          <cell r="E5755" t="str">
            <v>4|10|1080|1,4|1|4320|1</v>
          </cell>
        </row>
        <row r="5756">
          <cell r="A5756">
            <v>84028</v>
          </cell>
          <cell r="B5756">
            <v>0</v>
          </cell>
          <cell r="C5756" t="str">
            <v>4|10|1120,4|1|4480</v>
          </cell>
          <cell r="D5756" t="str">
            <v>20体力-主角28级精英副本经验和金币奖励</v>
          </cell>
          <cell r="E5756" t="str">
            <v>4|10|1120|1,4|1|4480|1</v>
          </cell>
        </row>
        <row r="5757">
          <cell r="A5757">
            <v>84029</v>
          </cell>
          <cell r="B5757">
            <v>0</v>
          </cell>
          <cell r="C5757" t="str">
            <v>4|10|1160,4|1|4640</v>
          </cell>
          <cell r="D5757" t="str">
            <v>20体力-主角29级精英副本经验和金币奖励</v>
          </cell>
          <cell r="E5757" t="str">
            <v>4|10|1160|1,4|1|4640|1</v>
          </cell>
        </row>
        <row r="5758">
          <cell r="A5758">
            <v>84030</v>
          </cell>
          <cell r="B5758">
            <v>0</v>
          </cell>
          <cell r="C5758" t="str">
            <v>4|10|1200,4|1|4800</v>
          </cell>
          <cell r="D5758" t="str">
            <v>20体力-主角30级精英副本经验和金币奖励</v>
          </cell>
          <cell r="E5758" t="str">
            <v>4|10|1200|1,4|1|4800|1</v>
          </cell>
        </row>
        <row r="5759">
          <cell r="A5759">
            <v>84031</v>
          </cell>
          <cell r="B5759">
            <v>0</v>
          </cell>
          <cell r="C5759" t="str">
            <v>4|10|1240,4|1|4960</v>
          </cell>
          <cell r="D5759" t="str">
            <v>20体力-主角31级精英副本经验和金币奖励</v>
          </cell>
          <cell r="E5759" t="str">
            <v>4|10|1240|1,4|1|4960|1</v>
          </cell>
        </row>
        <row r="5760">
          <cell r="A5760">
            <v>84032</v>
          </cell>
          <cell r="B5760">
            <v>0</v>
          </cell>
          <cell r="C5760" t="str">
            <v>4|10|1280,4|1|5120</v>
          </cell>
          <cell r="D5760" t="str">
            <v>20体力-主角32级精英副本经验和金币奖励</v>
          </cell>
          <cell r="E5760" t="str">
            <v>4|10|1280|1,4|1|5120|1</v>
          </cell>
        </row>
        <row r="5761">
          <cell r="A5761">
            <v>84033</v>
          </cell>
          <cell r="B5761">
            <v>0</v>
          </cell>
          <cell r="C5761" t="str">
            <v>4|10|1320,4|1|5280</v>
          </cell>
          <cell r="D5761" t="str">
            <v>20体力-主角33级精英副本经验和金币奖励</v>
          </cell>
          <cell r="E5761" t="str">
            <v>4|10|1320|1,4|1|5280|1</v>
          </cell>
        </row>
        <row r="5762">
          <cell r="A5762">
            <v>84034</v>
          </cell>
          <cell r="B5762">
            <v>0</v>
          </cell>
          <cell r="C5762" t="str">
            <v>4|10|1360,4|1|5440</v>
          </cell>
          <cell r="D5762" t="str">
            <v>20体力-主角34级精英副本经验和金币奖励</v>
          </cell>
          <cell r="E5762" t="str">
            <v>4|10|1360|1,4|1|5440|1</v>
          </cell>
        </row>
        <row r="5763">
          <cell r="A5763">
            <v>84035</v>
          </cell>
          <cell r="B5763">
            <v>0</v>
          </cell>
          <cell r="C5763" t="str">
            <v>4|10|1400,4|1|5600</v>
          </cell>
          <cell r="D5763" t="str">
            <v>20体力-主角35级精英副本经验和金币奖励</v>
          </cell>
          <cell r="E5763" t="str">
            <v>4|10|1400|1,4|1|5600|1</v>
          </cell>
        </row>
        <row r="5764">
          <cell r="A5764">
            <v>84036</v>
          </cell>
          <cell r="B5764">
            <v>0</v>
          </cell>
          <cell r="C5764" t="str">
            <v>4|10|1440,4|1|5760</v>
          </cell>
          <cell r="D5764" t="str">
            <v>20体力-主角36级精英副本经验和金币奖励</v>
          </cell>
          <cell r="E5764" t="str">
            <v>4|10|1440|1,4|1|5760|1</v>
          </cell>
        </row>
        <row r="5765">
          <cell r="A5765">
            <v>84037</v>
          </cell>
          <cell r="B5765">
            <v>0</v>
          </cell>
          <cell r="C5765" t="str">
            <v>4|10|1480,4|1|5920</v>
          </cell>
          <cell r="D5765" t="str">
            <v>20体力-主角37级精英副本经验和金币奖励</v>
          </cell>
          <cell r="E5765" t="str">
            <v>4|10|1480|1,4|1|5920|1</v>
          </cell>
        </row>
        <row r="5766">
          <cell r="A5766">
            <v>84038</v>
          </cell>
          <cell r="B5766">
            <v>0</v>
          </cell>
          <cell r="C5766" t="str">
            <v>4|10|1520,4|1|6080</v>
          </cell>
          <cell r="D5766" t="str">
            <v>20体力-主角38级精英副本经验和金币奖励</v>
          </cell>
          <cell r="E5766" t="str">
            <v>4|10|1520|1,4|1|6080|1</v>
          </cell>
        </row>
        <row r="5767">
          <cell r="A5767">
            <v>84039</v>
          </cell>
          <cell r="B5767">
            <v>0</v>
          </cell>
          <cell r="C5767" t="str">
            <v>4|10|1560,4|1|6240</v>
          </cell>
          <cell r="D5767" t="str">
            <v>20体力-主角39级精英副本经验和金币奖励</v>
          </cell>
          <cell r="E5767" t="str">
            <v>4|10|1560|1,4|1|6240|1</v>
          </cell>
        </row>
        <row r="5768">
          <cell r="A5768">
            <v>84040</v>
          </cell>
          <cell r="B5768">
            <v>0</v>
          </cell>
          <cell r="C5768" t="str">
            <v>4|10|1600,4|1|6400</v>
          </cell>
          <cell r="D5768" t="str">
            <v>20体力-主角40级精英副本经验和金币奖励</v>
          </cell>
          <cell r="E5768" t="str">
            <v>4|10|1600|1,4|1|6400|1</v>
          </cell>
        </row>
        <row r="5769">
          <cell r="A5769">
            <v>84041</v>
          </cell>
          <cell r="B5769">
            <v>0</v>
          </cell>
          <cell r="C5769" t="str">
            <v>4|10|1640,4|1|6560</v>
          </cell>
          <cell r="D5769" t="str">
            <v>20体力-主角41级精英副本经验和金币奖励</v>
          </cell>
          <cell r="E5769" t="str">
            <v>4|10|1640|1,4|1|6560|1</v>
          </cell>
        </row>
        <row r="5770">
          <cell r="A5770">
            <v>84042</v>
          </cell>
          <cell r="B5770">
            <v>0</v>
          </cell>
          <cell r="C5770" t="str">
            <v>4|10|1680,4|1|6720</v>
          </cell>
          <cell r="D5770" t="str">
            <v>20体力-主角42级精英副本经验和金币奖励</v>
          </cell>
          <cell r="E5770" t="str">
            <v>4|10|1680|1,4|1|6720|1</v>
          </cell>
        </row>
        <row r="5771">
          <cell r="A5771">
            <v>84043</v>
          </cell>
          <cell r="B5771">
            <v>0</v>
          </cell>
          <cell r="C5771" t="str">
            <v>4|10|1720,4|1|6880</v>
          </cell>
          <cell r="D5771" t="str">
            <v>20体力-主角43级精英副本经验和金币奖励</v>
          </cell>
          <cell r="E5771" t="str">
            <v>4|10|1720|1,4|1|6880|1</v>
          </cell>
        </row>
        <row r="5772">
          <cell r="A5772">
            <v>84044</v>
          </cell>
          <cell r="B5772">
            <v>0</v>
          </cell>
          <cell r="C5772" t="str">
            <v>4|10|1760,4|1|7040</v>
          </cell>
          <cell r="D5772" t="str">
            <v>20体力-主角44级精英副本经验和金币奖励</v>
          </cell>
          <cell r="E5772" t="str">
            <v>4|10|1760|1,4|1|7040|1</v>
          </cell>
        </row>
        <row r="5773">
          <cell r="A5773">
            <v>84045</v>
          </cell>
          <cell r="B5773">
            <v>0</v>
          </cell>
          <cell r="C5773" t="str">
            <v>4|10|1800,4|1|7200</v>
          </cell>
          <cell r="D5773" t="str">
            <v>20体力-主角45级精英副本经验和金币奖励</v>
          </cell>
          <cell r="E5773" t="str">
            <v>4|10|1800|1,4|1|7200|1</v>
          </cell>
        </row>
        <row r="5774">
          <cell r="A5774">
            <v>84046</v>
          </cell>
          <cell r="B5774">
            <v>0</v>
          </cell>
          <cell r="C5774" t="str">
            <v>4|10|1840,4|1|7360</v>
          </cell>
          <cell r="D5774" t="str">
            <v>20体力-主角46级精英副本经验和金币奖励</v>
          </cell>
          <cell r="E5774" t="str">
            <v>4|10|1840|1,4|1|7360|1</v>
          </cell>
        </row>
        <row r="5775">
          <cell r="A5775">
            <v>84047</v>
          </cell>
          <cell r="B5775">
            <v>0</v>
          </cell>
          <cell r="C5775" t="str">
            <v>4|10|1880,4|1|7520</v>
          </cell>
          <cell r="D5775" t="str">
            <v>20体力-主角47级精英副本经验和金币奖励</v>
          </cell>
          <cell r="E5775" t="str">
            <v>4|10|1880|1,4|1|7520|1</v>
          </cell>
        </row>
        <row r="5776">
          <cell r="A5776">
            <v>84048</v>
          </cell>
          <cell r="B5776">
            <v>0</v>
          </cell>
          <cell r="C5776" t="str">
            <v>4|10|1920,4|1|7680</v>
          </cell>
          <cell r="D5776" t="str">
            <v>20体力-主角48级精英副本经验和金币奖励</v>
          </cell>
          <cell r="E5776" t="str">
            <v>4|10|1920|1,4|1|7680|1</v>
          </cell>
        </row>
        <row r="5777">
          <cell r="A5777">
            <v>84049</v>
          </cell>
          <cell r="B5777">
            <v>0</v>
          </cell>
          <cell r="C5777" t="str">
            <v>4|10|1960,4|1|7840</v>
          </cell>
          <cell r="D5777" t="str">
            <v>20体力-主角49级精英副本经验和金币奖励</v>
          </cell>
          <cell r="E5777" t="str">
            <v>4|10|1960|1,4|1|7840|1</v>
          </cell>
        </row>
        <row r="5778">
          <cell r="A5778">
            <v>84050</v>
          </cell>
          <cell r="B5778">
            <v>0</v>
          </cell>
          <cell r="C5778" t="str">
            <v>4|10|2000,4|1|8000</v>
          </cell>
          <cell r="D5778" t="str">
            <v>20体力-主角50级精英副本经验和金币奖励</v>
          </cell>
          <cell r="E5778" t="str">
            <v>4|10|2000|1,4|1|8000|1</v>
          </cell>
        </row>
        <row r="5779">
          <cell r="A5779">
            <v>84051</v>
          </cell>
          <cell r="B5779">
            <v>0</v>
          </cell>
          <cell r="C5779" t="str">
            <v>4|10|2040,4|1|8160</v>
          </cell>
          <cell r="D5779" t="str">
            <v>20体力-主角51级精英副本经验和金币奖励</v>
          </cell>
          <cell r="E5779" t="str">
            <v>4|10|2040|1,4|1|8160|1</v>
          </cell>
        </row>
        <row r="5780">
          <cell r="A5780">
            <v>84052</v>
          </cell>
          <cell r="B5780">
            <v>0</v>
          </cell>
          <cell r="C5780" t="str">
            <v>4|10|2080,4|1|8320</v>
          </cell>
          <cell r="D5780" t="str">
            <v>20体力-主角52级精英副本经验和金币奖励</v>
          </cell>
          <cell r="E5780" t="str">
            <v>4|10|2080|1,4|1|8320|1</v>
          </cell>
        </row>
        <row r="5781">
          <cell r="A5781">
            <v>84053</v>
          </cell>
          <cell r="B5781">
            <v>0</v>
          </cell>
          <cell r="C5781" t="str">
            <v>4|10|2120,4|1|8480</v>
          </cell>
          <cell r="D5781" t="str">
            <v>20体力-主角53级精英副本经验和金币奖励</v>
          </cell>
          <cell r="E5781" t="str">
            <v>4|10|2120|1,4|1|8480|1</v>
          </cell>
        </row>
        <row r="5782">
          <cell r="A5782">
            <v>84054</v>
          </cell>
          <cell r="B5782">
            <v>0</v>
          </cell>
          <cell r="C5782" t="str">
            <v>4|10|2160,4|1|8640</v>
          </cell>
          <cell r="D5782" t="str">
            <v>20体力-主角54级精英副本经验和金币奖励</v>
          </cell>
          <cell r="E5782" t="str">
            <v>4|10|2160|1,4|1|8640|1</v>
          </cell>
        </row>
        <row r="5783">
          <cell r="A5783">
            <v>84055</v>
          </cell>
          <cell r="B5783">
            <v>0</v>
          </cell>
          <cell r="C5783" t="str">
            <v>4|10|2200,4|1|8800</v>
          </cell>
          <cell r="D5783" t="str">
            <v>20体力-主角55级精英副本经验和金币奖励</v>
          </cell>
          <cell r="E5783" t="str">
            <v>4|10|2200|1,4|1|8800|1</v>
          </cell>
        </row>
        <row r="5784">
          <cell r="A5784">
            <v>84056</v>
          </cell>
          <cell r="B5784">
            <v>0</v>
          </cell>
          <cell r="C5784" t="str">
            <v>4|10|2240,4|1|8960</v>
          </cell>
          <cell r="D5784" t="str">
            <v>20体力-主角56级精英副本经验和金币奖励</v>
          </cell>
          <cell r="E5784" t="str">
            <v>4|10|2240|1,4|1|8960|1</v>
          </cell>
        </row>
        <row r="5785">
          <cell r="A5785">
            <v>84057</v>
          </cell>
          <cell r="B5785">
            <v>0</v>
          </cell>
          <cell r="C5785" t="str">
            <v>4|10|2280,4|1|9120</v>
          </cell>
          <cell r="D5785" t="str">
            <v>20体力-主角57级精英副本经验和金币奖励</v>
          </cell>
          <cell r="E5785" t="str">
            <v>4|10|2280|1,4|1|9120|1</v>
          </cell>
        </row>
        <row r="5786">
          <cell r="A5786">
            <v>84058</v>
          </cell>
          <cell r="B5786">
            <v>0</v>
          </cell>
          <cell r="C5786" t="str">
            <v>4|10|2320,4|1|9280</v>
          </cell>
          <cell r="D5786" t="str">
            <v>20体力-主角58级精英副本经验和金币奖励</v>
          </cell>
          <cell r="E5786" t="str">
            <v>4|10|2320|1,4|1|9280|1</v>
          </cell>
        </row>
        <row r="5787">
          <cell r="A5787">
            <v>84059</v>
          </cell>
          <cell r="B5787">
            <v>0</v>
          </cell>
          <cell r="C5787" t="str">
            <v>4|10|2360,4|1|9440</v>
          </cell>
          <cell r="D5787" t="str">
            <v>20体力-主角59级精英副本经验和金币奖励</v>
          </cell>
          <cell r="E5787" t="str">
            <v>4|10|2360|1,4|1|9440|1</v>
          </cell>
        </row>
        <row r="5788">
          <cell r="A5788">
            <v>84060</v>
          </cell>
          <cell r="B5788">
            <v>0</v>
          </cell>
          <cell r="C5788" t="str">
            <v>4|10|2400,4|1|9600</v>
          </cell>
          <cell r="D5788" t="str">
            <v>20体力-主角60级精英副本经验和金币奖励</v>
          </cell>
          <cell r="E5788" t="str">
            <v>4|10|2400|1,4|1|9600|1</v>
          </cell>
        </row>
        <row r="5789">
          <cell r="A5789">
            <v>84061</v>
          </cell>
          <cell r="B5789">
            <v>0</v>
          </cell>
          <cell r="C5789" t="str">
            <v>4|10|2440,4|1|9760</v>
          </cell>
          <cell r="D5789" t="str">
            <v>20体力-主角61级精英副本经验和金币奖励</v>
          </cell>
          <cell r="E5789" t="str">
            <v>4|10|2440|1,4|1|9760|1</v>
          </cell>
        </row>
        <row r="5790">
          <cell r="A5790">
            <v>84062</v>
          </cell>
          <cell r="B5790">
            <v>0</v>
          </cell>
          <cell r="C5790" t="str">
            <v>4|10|2480,4|1|9920</v>
          </cell>
          <cell r="D5790" t="str">
            <v>20体力-主角62级精英副本经验和金币奖励</v>
          </cell>
          <cell r="E5790" t="str">
            <v>4|10|2480|1,4|1|9920|1</v>
          </cell>
        </row>
        <row r="5791">
          <cell r="A5791">
            <v>84063</v>
          </cell>
          <cell r="B5791">
            <v>0</v>
          </cell>
          <cell r="C5791" t="str">
            <v>4|10|2520,4|1|10080</v>
          </cell>
          <cell r="D5791" t="str">
            <v>20体力-主角63级精英副本经验和金币奖励</v>
          </cell>
          <cell r="E5791" t="str">
            <v>4|10|2520|1,4|1|10080|1</v>
          </cell>
        </row>
        <row r="5792">
          <cell r="A5792">
            <v>84064</v>
          </cell>
          <cell r="B5792">
            <v>0</v>
          </cell>
          <cell r="C5792" t="str">
            <v>4|10|2560,4|1|10240</v>
          </cell>
          <cell r="D5792" t="str">
            <v>20体力-主角64级精英副本经验和金币奖励</v>
          </cell>
          <cell r="E5792" t="str">
            <v>4|10|2560|1,4|1|10240|1</v>
          </cell>
        </row>
        <row r="5793">
          <cell r="A5793">
            <v>84065</v>
          </cell>
          <cell r="B5793">
            <v>0</v>
          </cell>
          <cell r="C5793" t="str">
            <v>4|10|2600,4|1|10400</v>
          </cell>
          <cell r="D5793" t="str">
            <v>20体力-主角65级精英副本经验和金币奖励</v>
          </cell>
          <cell r="E5793" t="str">
            <v>4|10|2600|1,4|1|10400|1</v>
          </cell>
        </row>
        <row r="5794">
          <cell r="A5794">
            <v>84066</v>
          </cell>
          <cell r="B5794">
            <v>0</v>
          </cell>
          <cell r="C5794" t="str">
            <v>4|10|2640,4|1|10560</v>
          </cell>
          <cell r="D5794" t="str">
            <v>20体力-主角66级精英副本经验和金币奖励</v>
          </cell>
          <cell r="E5794" t="str">
            <v>4|10|2640|1,4|1|10560|1</v>
          </cell>
        </row>
        <row r="5795">
          <cell r="A5795">
            <v>84067</v>
          </cell>
          <cell r="B5795">
            <v>0</v>
          </cell>
          <cell r="C5795" t="str">
            <v>4|10|2680,4|1|10720</v>
          </cell>
          <cell r="D5795" t="str">
            <v>20体力-主角67级精英副本经验和金币奖励</v>
          </cell>
          <cell r="E5795" t="str">
            <v>4|10|2680|1,4|1|10720|1</v>
          </cell>
        </row>
        <row r="5796">
          <cell r="A5796">
            <v>84068</v>
          </cell>
          <cell r="B5796">
            <v>0</v>
          </cell>
          <cell r="C5796" t="str">
            <v>4|10|2720,4|1|10880</v>
          </cell>
          <cell r="D5796" t="str">
            <v>20体力-主角68级精英副本经验和金币奖励</v>
          </cell>
          <cell r="E5796" t="str">
            <v>4|10|2720|1,4|1|10880|1</v>
          </cell>
        </row>
        <row r="5797">
          <cell r="A5797">
            <v>84069</v>
          </cell>
          <cell r="B5797">
            <v>0</v>
          </cell>
          <cell r="C5797" t="str">
            <v>4|10|2760,4|1|11040</v>
          </cell>
          <cell r="D5797" t="str">
            <v>20体力-主角69级精英副本经验和金币奖励</v>
          </cell>
          <cell r="E5797" t="str">
            <v>4|10|2760|1,4|1|11040|1</v>
          </cell>
        </row>
        <row r="5798">
          <cell r="A5798">
            <v>84070</v>
          </cell>
          <cell r="B5798">
            <v>0</v>
          </cell>
          <cell r="C5798" t="str">
            <v>4|10|2800,4|1|11200</v>
          </cell>
          <cell r="D5798" t="str">
            <v>20体力-主角70级精英副本经验和金币奖励</v>
          </cell>
          <cell r="E5798" t="str">
            <v>4|10|2800|1,4|1|11200|1</v>
          </cell>
        </row>
        <row r="5799">
          <cell r="A5799">
            <v>84071</v>
          </cell>
          <cell r="B5799">
            <v>0</v>
          </cell>
          <cell r="C5799" t="str">
            <v>4|10|2840,4|1|11360</v>
          </cell>
          <cell r="D5799" t="str">
            <v>20体力-主角71级精英副本经验和金币奖励</v>
          </cell>
          <cell r="E5799" t="str">
            <v>4|10|2840|1,4|1|11360|1</v>
          </cell>
        </row>
        <row r="5800">
          <cell r="A5800">
            <v>84072</v>
          </cell>
          <cell r="B5800">
            <v>0</v>
          </cell>
          <cell r="C5800" t="str">
            <v>4|10|2880,4|1|11520</v>
          </cell>
          <cell r="D5800" t="str">
            <v>20体力-主角72级精英副本经验和金币奖励</v>
          </cell>
          <cell r="E5800" t="str">
            <v>4|10|2880|1,4|1|11520|1</v>
          </cell>
        </row>
        <row r="5801">
          <cell r="A5801">
            <v>84073</v>
          </cell>
          <cell r="B5801">
            <v>0</v>
          </cell>
          <cell r="C5801" t="str">
            <v>4|10|2920,4|1|11680</v>
          </cell>
          <cell r="D5801" t="str">
            <v>20体力-主角73级精英副本经验和金币奖励</v>
          </cell>
          <cell r="E5801" t="str">
            <v>4|10|2920|1,4|1|11680|1</v>
          </cell>
        </row>
        <row r="5802">
          <cell r="A5802">
            <v>84074</v>
          </cell>
          <cell r="B5802">
            <v>0</v>
          </cell>
          <cell r="C5802" t="str">
            <v>4|10|2960,4|1|11840</v>
          </cell>
          <cell r="D5802" t="str">
            <v>20体力-主角74级精英副本经验和金币奖励</v>
          </cell>
          <cell r="E5802" t="str">
            <v>4|10|2960|1,4|1|11840|1</v>
          </cell>
        </row>
        <row r="5803">
          <cell r="A5803">
            <v>84075</v>
          </cell>
          <cell r="B5803">
            <v>0</v>
          </cell>
          <cell r="C5803" t="str">
            <v>4|10|3000,4|1|12000</v>
          </cell>
          <cell r="D5803" t="str">
            <v>20体力-主角75级精英副本经验和金币奖励</v>
          </cell>
          <cell r="E5803" t="str">
            <v>4|10|3000|1,4|1|12000|1</v>
          </cell>
        </row>
        <row r="5804">
          <cell r="A5804">
            <v>84076</v>
          </cell>
          <cell r="B5804">
            <v>0</v>
          </cell>
          <cell r="C5804" t="str">
            <v>4|10|3040,4|1|12160</v>
          </cell>
          <cell r="D5804" t="str">
            <v>20体力-主角76级精英副本经验和金币奖励</v>
          </cell>
          <cell r="E5804" t="str">
            <v>4|10|3040|1,4|1|12160|1</v>
          </cell>
        </row>
        <row r="5805">
          <cell r="A5805">
            <v>84077</v>
          </cell>
          <cell r="B5805">
            <v>0</v>
          </cell>
          <cell r="C5805" t="str">
            <v>4|10|3080,4|1|12320</v>
          </cell>
          <cell r="D5805" t="str">
            <v>20体力-主角77级精英副本经验和金币奖励</v>
          </cell>
          <cell r="E5805" t="str">
            <v>4|10|3080|1,4|1|12320|1</v>
          </cell>
        </row>
        <row r="5806">
          <cell r="A5806">
            <v>84078</v>
          </cell>
          <cell r="B5806">
            <v>0</v>
          </cell>
          <cell r="C5806" t="str">
            <v>4|10|3120,4|1|12480</v>
          </cell>
          <cell r="D5806" t="str">
            <v>20体力-主角78级精英副本经验和金币奖励</v>
          </cell>
          <cell r="E5806" t="str">
            <v>4|10|3120|1,4|1|12480|1</v>
          </cell>
        </row>
        <row r="5807">
          <cell r="A5807">
            <v>84079</v>
          </cell>
          <cell r="B5807">
            <v>0</v>
          </cell>
          <cell r="C5807" t="str">
            <v>4|10|3160,4|1|12640</v>
          </cell>
          <cell r="D5807" t="str">
            <v>20体力-主角79级精英副本经验和金币奖励</v>
          </cell>
          <cell r="E5807" t="str">
            <v>4|10|3160|1,4|1|12640|1</v>
          </cell>
        </row>
        <row r="5808">
          <cell r="A5808">
            <v>84080</v>
          </cell>
          <cell r="B5808">
            <v>0</v>
          </cell>
          <cell r="C5808" t="str">
            <v>4|10|3200,4|1|12800</v>
          </cell>
          <cell r="D5808" t="str">
            <v>20体力-主角80级精英副本经验和金币奖励</v>
          </cell>
          <cell r="E5808" t="str">
            <v>4|10|3200|1,4|1|12800|1</v>
          </cell>
        </row>
        <row r="5809">
          <cell r="A5809">
            <v>84081</v>
          </cell>
          <cell r="B5809">
            <v>0</v>
          </cell>
          <cell r="C5809" t="str">
            <v>4|10|3240,4|1|12960</v>
          </cell>
          <cell r="D5809" t="str">
            <v>20体力-主角81级精英副本经验和金币奖励</v>
          </cell>
          <cell r="E5809" t="str">
            <v>4|10|3240|1,4|1|12960|1</v>
          </cell>
        </row>
        <row r="5810">
          <cell r="A5810">
            <v>84082</v>
          </cell>
          <cell r="B5810">
            <v>0</v>
          </cell>
          <cell r="C5810" t="str">
            <v>4|10|3280,4|1|13120</v>
          </cell>
          <cell r="D5810" t="str">
            <v>20体力-主角82级精英副本经验和金币奖励</v>
          </cell>
          <cell r="E5810" t="str">
            <v>4|10|3280|1,4|1|13120|1</v>
          </cell>
        </row>
        <row r="5811">
          <cell r="A5811">
            <v>84083</v>
          </cell>
          <cell r="B5811">
            <v>0</v>
          </cell>
          <cell r="C5811" t="str">
            <v>4|10|3320,4|1|13280</v>
          </cell>
          <cell r="D5811" t="str">
            <v>20体力-主角83级精英副本经验和金币奖励</v>
          </cell>
          <cell r="E5811" t="str">
            <v>4|10|3320|1,4|1|13280|1</v>
          </cell>
        </row>
        <row r="5812">
          <cell r="A5812">
            <v>84084</v>
          </cell>
          <cell r="B5812">
            <v>0</v>
          </cell>
          <cell r="C5812" t="str">
            <v>4|10|3360,4|1|13440</v>
          </cell>
          <cell r="D5812" t="str">
            <v>20体力-主角84级精英副本经验和金币奖励</v>
          </cell>
          <cell r="E5812" t="str">
            <v>4|10|3360|1,4|1|13440|1</v>
          </cell>
        </row>
        <row r="5813">
          <cell r="A5813">
            <v>84085</v>
          </cell>
          <cell r="B5813">
            <v>0</v>
          </cell>
          <cell r="C5813" t="str">
            <v>4|10|3400,4|1|13600</v>
          </cell>
          <cell r="D5813" t="str">
            <v>20体力-主角85级精英副本经验和金币奖励</v>
          </cell>
          <cell r="E5813" t="str">
            <v>4|10|3400|1,4|1|13600|1</v>
          </cell>
        </row>
        <row r="5814">
          <cell r="A5814">
            <v>84086</v>
          </cell>
          <cell r="B5814">
            <v>0</v>
          </cell>
          <cell r="C5814" t="str">
            <v>4|10|3440,4|1|13760</v>
          </cell>
          <cell r="D5814" t="str">
            <v>20体力-主角86级精英副本经验和金币奖励</v>
          </cell>
          <cell r="E5814" t="str">
            <v>4|10|3440|1,4|1|13760|1</v>
          </cell>
        </row>
        <row r="5815">
          <cell r="A5815">
            <v>84087</v>
          </cell>
          <cell r="B5815">
            <v>0</v>
          </cell>
          <cell r="C5815" t="str">
            <v>4|10|3480,4|1|13920</v>
          </cell>
          <cell r="D5815" t="str">
            <v>20体力-主角87级精英副本经验和金币奖励</v>
          </cell>
          <cell r="E5815" t="str">
            <v>4|10|3480|1,4|1|13920|1</v>
          </cell>
        </row>
        <row r="5816">
          <cell r="A5816">
            <v>84088</v>
          </cell>
          <cell r="B5816">
            <v>0</v>
          </cell>
          <cell r="C5816" t="str">
            <v>4|10|3520,4|1|14080</v>
          </cell>
          <cell r="D5816" t="str">
            <v>20体力-主角88级精英副本经验和金币奖励</v>
          </cell>
          <cell r="E5816" t="str">
            <v>4|10|3520|1,4|1|14080|1</v>
          </cell>
        </row>
        <row r="5817">
          <cell r="A5817">
            <v>84089</v>
          </cell>
          <cell r="B5817">
            <v>0</v>
          </cell>
          <cell r="C5817" t="str">
            <v>4|10|3560,4|1|14240</v>
          </cell>
          <cell r="D5817" t="str">
            <v>20体力-主角89级精英副本经验和金币奖励</v>
          </cell>
          <cell r="E5817" t="str">
            <v>4|10|3560|1,4|1|14240|1</v>
          </cell>
        </row>
        <row r="5818">
          <cell r="A5818">
            <v>84090</v>
          </cell>
          <cell r="B5818">
            <v>0</v>
          </cell>
          <cell r="C5818" t="str">
            <v>4|10|3600,4|1|14400</v>
          </cell>
          <cell r="D5818" t="str">
            <v>20体力-主角90级精英副本经验和金币奖励</v>
          </cell>
          <cell r="E5818" t="str">
            <v>4|10|3600|1,4|1|14400|1</v>
          </cell>
        </row>
        <row r="5819">
          <cell r="A5819">
            <v>84091</v>
          </cell>
          <cell r="B5819">
            <v>0</v>
          </cell>
          <cell r="C5819" t="str">
            <v>4|10|3640,4|1|14560</v>
          </cell>
          <cell r="D5819" t="str">
            <v>20体力-主角91级精英副本经验和金币奖励</v>
          </cell>
          <cell r="E5819" t="str">
            <v>4|10|3640|1,4|1|14560|1</v>
          </cell>
        </row>
        <row r="5820">
          <cell r="A5820">
            <v>84092</v>
          </cell>
          <cell r="B5820">
            <v>0</v>
          </cell>
          <cell r="C5820" t="str">
            <v>4|10|3680,4|1|14720</v>
          </cell>
          <cell r="D5820" t="str">
            <v>20体力-主角92级精英副本经验和金币奖励</v>
          </cell>
          <cell r="E5820" t="str">
            <v>4|10|3680|1,4|1|14720|1</v>
          </cell>
        </row>
        <row r="5821">
          <cell r="A5821">
            <v>84093</v>
          </cell>
          <cell r="B5821">
            <v>0</v>
          </cell>
          <cell r="C5821" t="str">
            <v>4|10|3720,4|1|14880</v>
          </cell>
          <cell r="D5821" t="str">
            <v>20体力-主角93级精英副本经验和金币奖励</v>
          </cell>
          <cell r="E5821" t="str">
            <v>4|10|3720|1,4|1|14880|1</v>
          </cell>
        </row>
        <row r="5822">
          <cell r="A5822">
            <v>84094</v>
          </cell>
          <cell r="B5822">
            <v>0</v>
          </cell>
          <cell r="C5822" t="str">
            <v>4|10|3760,4|1|15040</v>
          </cell>
          <cell r="D5822" t="str">
            <v>20体力-主角94级精英副本经验和金币奖励</v>
          </cell>
          <cell r="E5822" t="str">
            <v>4|10|3760|1,4|1|15040|1</v>
          </cell>
        </row>
        <row r="5823">
          <cell r="A5823">
            <v>84095</v>
          </cell>
          <cell r="B5823">
            <v>0</v>
          </cell>
          <cell r="C5823" t="str">
            <v>4|10|3800,4|1|15200</v>
          </cell>
          <cell r="D5823" t="str">
            <v>20体力-主角95级精英副本经验和金币奖励</v>
          </cell>
          <cell r="E5823" t="str">
            <v>4|10|3800|1,4|1|15200|1</v>
          </cell>
        </row>
        <row r="5824">
          <cell r="A5824">
            <v>84096</v>
          </cell>
          <cell r="B5824">
            <v>0</v>
          </cell>
          <cell r="C5824" t="str">
            <v>4|10|3840,4|1|15360</v>
          </cell>
          <cell r="D5824" t="str">
            <v>20体力-主角96级精英副本经验和金币奖励</v>
          </cell>
          <cell r="E5824" t="str">
            <v>4|10|3840|1,4|1|15360|1</v>
          </cell>
        </row>
        <row r="5825">
          <cell r="A5825">
            <v>84097</v>
          </cell>
          <cell r="B5825">
            <v>0</v>
          </cell>
          <cell r="C5825" t="str">
            <v>4|10|3880,4|1|15520</v>
          </cell>
          <cell r="D5825" t="str">
            <v>20体力-主角97级精英副本经验和金币奖励</v>
          </cell>
          <cell r="E5825" t="str">
            <v>4|10|3880|1,4|1|15520|1</v>
          </cell>
        </row>
        <row r="5826">
          <cell r="A5826">
            <v>84098</v>
          </cell>
          <cell r="B5826">
            <v>0</v>
          </cell>
          <cell r="C5826" t="str">
            <v>4|10|3920,4|1|15680</v>
          </cell>
          <cell r="D5826" t="str">
            <v>20体力-主角98级精英副本经验和金币奖励</v>
          </cell>
          <cell r="E5826" t="str">
            <v>4|10|3920|1,4|1|15680|1</v>
          </cell>
        </row>
        <row r="5827">
          <cell r="A5827">
            <v>84099</v>
          </cell>
          <cell r="B5827">
            <v>0</v>
          </cell>
          <cell r="C5827" t="str">
            <v>4|10|3960,4|1|15840</v>
          </cell>
          <cell r="D5827" t="str">
            <v>20体力-主角99级精英副本经验和金币奖励</v>
          </cell>
          <cell r="E5827" t="str">
            <v>4|10|3960|1,4|1|15840|1</v>
          </cell>
        </row>
        <row r="5828">
          <cell r="A5828">
            <v>84100</v>
          </cell>
          <cell r="B5828">
            <v>0</v>
          </cell>
          <cell r="C5828" t="str">
            <v>4|10|4000,4|1|16000</v>
          </cell>
          <cell r="D5828" t="str">
            <v>20体力-主角100级精英副本经验和金币奖励</v>
          </cell>
          <cell r="E5828" t="str">
            <v>4|10|4000|1,4|1|16000|1</v>
          </cell>
        </row>
        <row r="5829">
          <cell r="A5829">
            <v>84101</v>
          </cell>
          <cell r="B5829">
            <v>0</v>
          </cell>
          <cell r="C5829" t="str">
            <v>4|10|4040,4|1|16160</v>
          </cell>
          <cell r="D5829" t="str">
            <v>20体力-主角101级精英副本经验和金币奖励</v>
          </cell>
          <cell r="E5829" t="str">
            <v>4|10|4040|1,4|1|16160|1</v>
          </cell>
        </row>
        <row r="5830">
          <cell r="A5830">
            <v>84102</v>
          </cell>
          <cell r="B5830">
            <v>0</v>
          </cell>
          <cell r="C5830" t="str">
            <v>4|10|4080,4|1|16320</v>
          </cell>
          <cell r="D5830" t="str">
            <v>20体力-主角102级精英副本经验和金币奖励</v>
          </cell>
          <cell r="E5830" t="str">
            <v>4|10|4080|1,4|1|16320|1</v>
          </cell>
        </row>
        <row r="5831">
          <cell r="A5831">
            <v>84103</v>
          </cell>
          <cell r="B5831">
            <v>0</v>
          </cell>
          <cell r="C5831" t="str">
            <v>4|10|4120,4|1|16480</v>
          </cell>
          <cell r="D5831" t="str">
            <v>20体力-主角103级精英副本经验和金币奖励</v>
          </cell>
          <cell r="E5831" t="str">
            <v>4|10|4120|1,4|1|16480|1</v>
          </cell>
        </row>
        <row r="5832">
          <cell r="A5832">
            <v>84104</v>
          </cell>
          <cell r="B5832">
            <v>0</v>
          </cell>
          <cell r="C5832" t="str">
            <v>4|10|4160,4|1|16640</v>
          </cell>
          <cell r="D5832" t="str">
            <v>20体力-主角104级精英副本经验和金币奖励</v>
          </cell>
          <cell r="E5832" t="str">
            <v>4|10|4160|1,4|1|16640|1</v>
          </cell>
        </row>
        <row r="5833">
          <cell r="A5833">
            <v>84105</v>
          </cell>
          <cell r="B5833">
            <v>0</v>
          </cell>
          <cell r="C5833" t="str">
            <v>4|10|4200,4|1|16800</v>
          </cell>
          <cell r="D5833" t="str">
            <v>20体力-主角105级精英副本经验和金币奖励</v>
          </cell>
          <cell r="E5833" t="str">
            <v>4|10|4200|1,4|1|16800|1</v>
          </cell>
        </row>
        <row r="5834">
          <cell r="A5834">
            <v>84106</v>
          </cell>
          <cell r="B5834">
            <v>0</v>
          </cell>
          <cell r="C5834" t="str">
            <v>4|10|4240,4|1|16960</v>
          </cell>
          <cell r="D5834" t="str">
            <v>20体力-主角106级精英副本经验和金币奖励</v>
          </cell>
          <cell r="E5834" t="str">
            <v>4|10|4240|1,4|1|16960|1</v>
          </cell>
        </row>
        <row r="5835">
          <cell r="A5835">
            <v>84107</v>
          </cell>
          <cell r="B5835">
            <v>0</v>
          </cell>
          <cell r="C5835" t="str">
            <v>4|10|4280,4|1|17120</v>
          </cell>
          <cell r="D5835" t="str">
            <v>20体力-主角107级精英副本经验和金币奖励</v>
          </cell>
          <cell r="E5835" t="str">
            <v>4|10|4280|1,4|1|17120|1</v>
          </cell>
        </row>
        <row r="5836">
          <cell r="A5836">
            <v>84108</v>
          </cell>
          <cell r="B5836">
            <v>0</v>
          </cell>
          <cell r="C5836" t="str">
            <v>4|10|4320,4|1|17280</v>
          </cell>
          <cell r="D5836" t="str">
            <v>20体力-主角108级精英副本经验和金币奖励</v>
          </cell>
          <cell r="E5836" t="str">
            <v>4|10|4320|1,4|1|17280|1</v>
          </cell>
        </row>
        <row r="5837">
          <cell r="A5837">
            <v>84109</v>
          </cell>
          <cell r="B5837">
            <v>0</v>
          </cell>
          <cell r="C5837" t="str">
            <v>4|10|4360,4|1|17440</v>
          </cell>
          <cell r="D5837" t="str">
            <v>20体力-主角109级精英副本经验和金币奖励</v>
          </cell>
          <cell r="E5837" t="str">
            <v>4|10|4360|1,4|1|17440|1</v>
          </cell>
        </row>
        <row r="5838">
          <cell r="A5838">
            <v>84110</v>
          </cell>
          <cell r="B5838">
            <v>0</v>
          </cell>
          <cell r="C5838" t="str">
            <v>4|10|4400,4|1|17600</v>
          </cell>
          <cell r="D5838" t="str">
            <v>20体力-主角110级精英副本经验和金币奖励</v>
          </cell>
          <cell r="E5838" t="str">
            <v>4|10|4400|1,4|1|17600|1</v>
          </cell>
        </row>
        <row r="5839">
          <cell r="A5839">
            <v>84111</v>
          </cell>
          <cell r="B5839">
            <v>0</v>
          </cell>
          <cell r="C5839" t="str">
            <v>4|10|4440,4|1|17760</v>
          </cell>
          <cell r="D5839" t="str">
            <v>20体力-主角111级精英副本经验和金币奖励</v>
          </cell>
          <cell r="E5839" t="str">
            <v>4|10|4440|1,4|1|17760|1</v>
          </cell>
        </row>
        <row r="5840">
          <cell r="A5840">
            <v>84112</v>
          </cell>
          <cell r="B5840">
            <v>0</v>
          </cell>
          <cell r="C5840" t="str">
            <v>4|10|4480,4|1|17920</v>
          </cell>
          <cell r="D5840" t="str">
            <v>20体力-主角112级精英副本经验和金币奖励</v>
          </cell>
          <cell r="E5840" t="str">
            <v>4|10|4480|1,4|1|17920|1</v>
          </cell>
        </row>
        <row r="5841">
          <cell r="A5841">
            <v>84113</v>
          </cell>
          <cell r="B5841">
            <v>0</v>
          </cell>
          <cell r="C5841" t="str">
            <v>4|10|4520,4|1|18080</v>
          </cell>
          <cell r="D5841" t="str">
            <v>20体力-主角113级精英副本经验和金币奖励</v>
          </cell>
          <cell r="E5841" t="str">
            <v>4|10|4520|1,4|1|18080|1</v>
          </cell>
        </row>
        <row r="5842">
          <cell r="A5842">
            <v>84114</v>
          </cell>
          <cell r="B5842">
            <v>0</v>
          </cell>
          <cell r="C5842" t="str">
            <v>4|10|4560,4|1|18240</v>
          </cell>
          <cell r="D5842" t="str">
            <v>20体力-主角114级精英副本经验和金币奖励</v>
          </cell>
          <cell r="E5842" t="str">
            <v>4|10|4560|1,4|1|18240|1</v>
          </cell>
        </row>
        <row r="5843">
          <cell r="A5843">
            <v>84115</v>
          </cell>
          <cell r="B5843">
            <v>0</v>
          </cell>
          <cell r="C5843" t="str">
            <v>4|10|4600,4|1|18400</v>
          </cell>
          <cell r="D5843" t="str">
            <v>20体力-主角115级精英副本经验和金币奖励</v>
          </cell>
          <cell r="E5843" t="str">
            <v>4|10|4600|1,4|1|18400|1</v>
          </cell>
        </row>
        <row r="5844">
          <cell r="A5844">
            <v>84116</v>
          </cell>
          <cell r="B5844">
            <v>0</v>
          </cell>
          <cell r="C5844" t="str">
            <v>4|10|4640,4|1|18560</v>
          </cell>
          <cell r="D5844" t="str">
            <v>20体力-主角116级精英副本经验和金币奖励</v>
          </cell>
          <cell r="E5844" t="str">
            <v>4|10|4640|1,4|1|18560|1</v>
          </cell>
        </row>
        <row r="5845">
          <cell r="A5845">
            <v>84117</v>
          </cell>
          <cell r="B5845">
            <v>0</v>
          </cell>
          <cell r="C5845" t="str">
            <v>4|10|4680,4|1|18720</v>
          </cell>
          <cell r="D5845" t="str">
            <v>20体力-主角117级精英副本经验和金币奖励</v>
          </cell>
          <cell r="E5845" t="str">
            <v>4|10|4680|1,4|1|18720|1</v>
          </cell>
        </row>
        <row r="5846">
          <cell r="A5846">
            <v>84118</v>
          </cell>
          <cell r="B5846">
            <v>0</v>
          </cell>
          <cell r="C5846" t="str">
            <v>4|10|4720,4|1|18880</v>
          </cell>
          <cell r="D5846" t="str">
            <v>20体力-主角118级精英副本经验和金币奖励</v>
          </cell>
          <cell r="E5846" t="str">
            <v>4|10|4720|1,4|1|18880|1</v>
          </cell>
        </row>
        <row r="5847">
          <cell r="A5847">
            <v>84119</v>
          </cell>
          <cell r="B5847">
            <v>0</v>
          </cell>
          <cell r="C5847" t="str">
            <v>4|10|4760,4|1|19040</v>
          </cell>
          <cell r="D5847" t="str">
            <v>20体力-主角119级精英副本经验和金币奖励</v>
          </cell>
          <cell r="E5847" t="str">
            <v>4|10|4760|1,4|1|19040|1</v>
          </cell>
        </row>
        <row r="5848">
          <cell r="A5848">
            <v>84120</v>
          </cell>
          <cell r="B5848">
            <v>0</v>
          </cell>
          <cell r="C5848" t="str">
            <v>4|10|4800,4|1|19200</v>
          </cell>
          <cell r="D5848" t="str">
            <v>20体力-主角120级精英副本经验和金币奖励</v>
          </cell>
          <cell r="E5848" t="str">
            <v>4|10|4800|1,4|1|19200|1</v>
          </cell>
        </row>
        <row r="5849">
          <cell r="A5849">
            <v>84121</v>
          </cell>
          <cell r="B5849">
            <v>0</v>
          </cell>
          <cell r="C5849" t="str">
            <v>4|10|4840,4|1|19360</v>
          </cell>
          <cell r="D5849" t="str">
            <v>20体力-主角121级精英副本经验和金币奖励</v>
          </cell>
          <cell r="E5849" t="str">
            <v>4|10|4840|1,4|1|19360|1</v>
          </cell>
        </row>
        <row r="5850">
          <cell r="A5850">
            <v>84122</v>
          </cell>
          <cell r="B5850">
            <v>0</v>
          </cell>
          <cell r="C5850" t="str">
            <v>4|10|4880,4|1|19520</v>
          </cell>
          <cell r="D5850" t="str">
            <v>20体力-主角122级精英副本经验和金币奖励</v>
          </cell>
          <cell r="E5850" t="str">
            <v>4|10|4880|1,4|1|19520|1</v>
          </cell>
        </row>
        <row r="5851">
          <cell r="A5851">
            <v>84123</v>
          </cell>
          <cell r="B5851">
            <v>0</v>
          </cell>
          <cell r="C5851" t="str">
            <v>4|10|4920,4|1|19680</v>
          </cell>
          <cell r="D5851" t="str">
            <v>20体力-主角123级精英副本经验和金币奖励</v>
          </cell>
          <cell r="E5851" t="str">
            <v>4|10|4920|1,4|1|19680|1</v>
          </cell>
        </row>
        <row r="5852">
          <cell r="A5852">
            <v>84124</v>
          </cell>
          <cell r="B5852">
            <v>0</v>
          </cell>
          <cell r="C5852" t="str">
            <v>4|10|4960,4|1|19840</v>
          </cell>
          <cell r="D5852" t="str">
            <v>20体力-主角124级精英副本经验和金币奖励</v>
          </cell>
          <cell r="E5852" t="str">
            <v>4|10|4960|1,4|1|19840|1</v>
          </cell>
        </row>
        <row r="5853">
          <cell r="A5853">
            <v>84125</v>
          </cell>
          <cell r="B5853">
            <v>0</v>
          </cell>
          <cell r="C5853" t="str">
            <v>4|10|5000,4|1|20000</v>
          </cell>
          <cell r="D5853" t="str">
            <v>20体力-主角125级精英副本经验和金币奖励</v>
          </cell>
          <cell r="E5853" t="str">
            <v>4|10|5000|1,4|1|20000|1</v>
          </cell>
        </row>
        <row r="5854">
          <cell r="A5854">
            <v>84126</v>
          </cell>
          <cell r="B5854">
            <v>0</v>
          </cell>
          <cell r="C5854" t="str">
            <v>4|10|5040,4|1|20160</v>
          </cell>
          <cell r="D5854" t="str">
            <v>20体力-主角126级精英副本经验和金币奖励</v>
          </cell>
          <cell r="E5854" t="str">
            <v>4|10|5040|1,4|1|20160|1</v>
          </cell>
        </row>
        <row r="5855">
          <cell r="A5855">
            <v>84127</v>
          </cell>
          <cell r="B5855">
            <v>0</v>
          </cell>
          <cell r="C5855" t="str">
            <v>4|10|5080,4|1|20320</v>
          </cell>
          <cell r="D5855" t="str">
            <v>20体力-主角127级精英副本经验和金币奖励</v>
          </cell>
          <cell r="E5855" t="str">
            <v>4|10|5080|1,4|1|20320|1</v>
          </cell>
        </row>
        <row r="5856">
          <cell r="A5856">
            <v>84128</v>
          </cell>
          <cell r="B5856">
            <v>0</v>
          </cell>
          <cell r="C5856" t="str">
            <v>4|10|5120,4|1|20480</v>
          </cell>
          <cell r="D5856" t="str">
            <v>20体力-主角128级精英副本经验和金币奖励</v>
          </cell>
          <cell r="E5856" t="str">
            <v>4|10|5120|1,4|1|20480|1</v>
          </cell>
        </row>
        <row r="5857">
          <cell r="A5857">
            <v>84129</v>
          </cell>
          <cell r="B5857">
            <v>0</v>
          </cell>
          <cell r="C5857" t="str">
            <v>4|10|5160,4|1|20640</v>
          </cell>
          <cell r="D5857" t="str">
            <v>20体力-主角129级精英副本经验和金币奖励</v>
          </cell>
          <cell r="E5857" t="str">
            <v>4|10|5160|1,4|1|20640|1</v>
          </cell>
        </row>
        <row r="5858">
          <cell r="A5858">
            <v>84130</v>
          </cell>
          <cell r="B5858">
            <v>0</v>
          </cell>
          <cell r="C5858" t="str">
            <v>4|10|5200,4|1|20800</v>
          </cell>
          <cell r="D5858" t="str">
            <v>20体力-主角130级精英副本经验和金币奖励</v>
          </cell>
          <cell r="E5858" t="str">
            <v>4|10|5200|1,4|1|20800|1</v>
          </cell>
        </row>
        <row r="5859">
          <cell r="A5859">
            <v>84131</v>
          </cell>
          <cell r="B5859">
            <v>0</v>
          </cell>
          <cell r="C5859" t="str">
            <v>4|10|5240,4|1|20960</v>
          </cell>
          <cell r="D5859" t="str">
            <v>20体力-主角131级精英副本经验和金币奖励</v>
          </cell>
          <cell r="E5859" t="str">
            <v>4|10|5240|1,4|1|20960|1</v>
          </cell>
        </row>
        <row r="5860">
          <cell r="A5860">
            <v>84132</v>
          </cell>
          <cell r="B5860">
            <v>0</v>
          </cell>
          <cell r="C5860" t="str">
            <v>4|10|5280,4|1|21120</v>
          </cell>
          <cell r="D5860" t="str">
            <v>20体力-主角132级精英副本经验和金币奖励</v>
          </cell>
          <cell r="E5860" t="str">
            <v>4|10|5280|1,4|1|21120|1</v>
          </cell>
        </row>
        <row r="5861">
          <cell r="A5861">
            <v>84133</v>
          </cell>
          <cell r="B5861">
            <v>0</v>
          </cell>
          <cell r="C5861" t="str">
            <v>4|10|5320,4|1|21280</v>
          </cell>
          <cell r="D5861" t="str">
            <v>20体力-主角133级精英副本经验和金币奖励</v>
          </cell>
          <cell r="E5861" t="str">
            <v>4|10|5320|1,4|1|21280|1</v>
          </cell>
        </row>
        <row r="5862">
          <cell r="A5862">
            <v>84134</v>
          </cell>
          <cell r="B5862">
            <v>0</v>
          </cell>
          <cell r="C5862" t="str">
            <v>4|10|5360,4|1|21440</v>
          </cell>
          <cell r="D5862" t="str">
            <v>20体力-主角134级精英副本经验和金币奖励</v>
          </cell>
          <cell r="E5862" t="str">
            <v>4|10|5360|1,4|1|21440|1</v>
          </cell>
        </row>
        <row r="5863">
          <cell r="A5863">
            <v>84135</v>
          </cell>
          <cell r="B5863">
            <v>0</v>
          </cell>
          <cell r="C5863" t="str">
            <v>4|10|5400,4|1|21600</v>
          </cell>
          <cell r="D5863" t="str">
            <v>20体力-主角135级精英副本经验和金币奖励</v>
          </cell>
          <cell r="E5863" t="str">
            <v>4|10|5400|1,4|1|21600|1</v>
          </cell>
        </row>
        <row r="5864">
          <cell r="A5864">
            <v>84136</v>
          </cell>
          <cell r="B5864">
            <v>0</v>
          </cell>
          <cell r="C5864" t="str">
            <v>4|10|5440,4|1|21760</v>
          </cell>
          <cell r="D5864" t="str">
            <v>20体力-主角136级精英副本经验和金币奖励</v>
          </cell>
          <cell r="E5864" t="str">
            <v>4|10|5440|1,4|1|21760|1</v>
          </cell>
        </row>
        <row r="5865">
          <cell r="A5865">
            <v>84137</v>
          </cell>
          <cell r="B5865">
            <v>0</v>
          </cell>
          <cell r="C5865" t="str">
            <v>4|10|5480,4|1|21920</v>
          </cell>
          <cell r="D5865" t="str">
            <v>20体力-主角137级精英副本经验和金币奖励</v>
          </cell>
          <cell r="E5865" t="str">
            <v>4|10|5480|1,4|1|21920|1</v>
          </cell>
        </row>
        <row r="5866">
          <cell r="A5866">
            <v>84138</v>
          </cell>
          <cell r="B5866">
            <v>0</v>
          </cell>
          <cell r="C5866" t="str">
            <v>4|10|5520,4|1|22080</v>
          </cell>
          <cell r="D5866" t="str">
            <v>20体力-主角138级精英副本经验和金币奖励</v>
          </cell>
          <cell r="E5866" t="str">
            <v>4|10|5520|1,4|1|22080|1</v>
          </cell>
        </row>
        <row r="5867">
          <cell r="A5867">
            <v>84139</v>
          </cell>
          <cell r="B5867">
            <v>0</v>
          </cell>
          <cell r="C5867" t="str">
            <v>4|10|5560,4|1|22240</v>
          </cell>
          <cell r="D5867" t="str">
            <v>20体力-主角139级精英副本经验和金币奖励</v>
          </cell>
          <cell r="E5867" t="str">
            <v>4|10|5560|1,4|1|22240|1</v>
          </cell>
        </row>
        <row r="5868">
          <cell r="A5868">
            <v>84140</v>
          </cell>
          <cell r="B5868">
            <v>0</v>
          </cell>
          <cell r="C5868" t="str">
            <v>4|10|5600,4|1|22400</v>
          </cell>
          <cell r="D5868" t="str">
            <v>20体力-主角140级精英副本经验和金币奖励</v>
          </cell>
          <cell r="E5868" t="str">
            <v>4|10|5600|1,4|1|22400|1</v>
          </cell>
        </row>
        <row r="5869">
          <cell r="A5869">
            <v>84141</v>
          </cell>
          <cell r="B5869">
            <v>0</v>
          </cell>
          <cell r="C5869" t="str">
            <v>4|10|5640,4|1|22560</v>
          </cell>
          <cell r="D5869" t="str">
            <v>20体力-主角141级精英副本经验和金币奖励</v>
          </cell>
          <cell r="E5869" t="str">
            <v>4|10|5640|1,4|1|22560|1</v>
          </cell>
        </row>
        <row r="5870">
          <cell r="A5870">
            <v>84142</v>
          </cell>
          <cell r="B5870">
            <v>0</v>
          </cell>
          <cell r="C5870" t="str">
            <v>4|10|5680,4|1|22720</v>
          </cell>
          <cell r="D5870" t="str">
            <v>20体力-主角142级精英副本经验和金币奖励</v>
          </cell>
          <cell r="E5870" t="str">
            <v>4|10|5680|1,4|1|22720|1</v>
          </cell>
        </row>
        <row r="5871">
          <cell r="A5871">
            <v>84143</v>
          </cell>
          <cell r="B5871">
            <v>0</v>
          </cell>
          <cell r="C5871" t="str">
            <v>4|10|5720,4|1|22880</v>
          </cell>
          <cell r="D5871" t="str">
            <v>20体力-主角143级精英副本经验和金币奖励</v>
          </cell>
          <cell r="E5871" t="str">
            <v>4|10|5720|1,4|1|22880|1</v>
          </cell>
        </row>
        <row r="5872">
          <cell r="A5872">
            <v>84144</v>
          </cell>
          <cell r="B5872">
            <v>0</v>
          </cell>
          <cell r="C5872" t="str">
            <v>4|10|5760,4|1|23040</v>
          </cell>
          <cell r="D5872" t="str">
            <v>20体力-主角144级精英副本经验和金币奖励</v>
          </cell>
          <cell r="E5872" t="str">
            <v>4|10|5760|1,4|1|23040|1</v>
          </cell>
        </row>
        <row r="5873">
          <cell r="A5873">
            <v>84145</v>
          </cell>
          <cell r="B5873">
            <v>0</v>
          </cell>
          <cell r="C5873" t="str">
            <v>4|10|5800,4|1|23200</v>
          </cell>
          <cell r="D5873" t="str">
            <v>20体力-主角145级精英副本经验和金币奖励</v>
          </cell>
          <cell r="E5873" t="str">
            <v>4|10|5800|1,4|1|23200|1</v>
          </cell>
        </row>
        <row r="5874">
          <cell r="A5874">
            <v>84146</v>
          </cell>
          <cell r="B5874">
            <v>0</v>
          </cell>
          <cell r="C5874" t="str">
            <v>4|10|5840,4|1|23360</v>
          </cell>
          <cell r="D5874" t="str">
            <v>20体力-主角146级精英副本经验和金币奖励</v>
          </cell>
          <cell r="E5874" t="str">
            <v>4|10|5840|1,4|1|23360|1</v>
          </cell>
        </row>
        <row r="5875">
          <cell r="A5875">
            <v>84147</v>
          </cell>
          <cell r="B5875">
            <v>0</v>
          </cell>
          <cell r="C5875" t="str">
            <v>4|10|5880,4|1|23520</v>
          </cell>
          <cell r="D5875" t="str">
            <v>20体力-主角147级精英副本经验和金币奖励</v>
          </cell>
          <cell r="E5875" t="str">
            <v>4|10|5880|1,4|1|23520|1</v>
          </cell>
        </row>
        <row r="5876">
          <cell r="A5876">
            <v>84148</v>
          </cell>
          <cell r="B5876">
            <v>0</v>
          </cell>
          <cell r="C5876" t="str">
            <v>4|10|5920,4|1|23680</v>
          </cell>
          <cell r="D5876" t="str">
            <v>20体力-主角148级精英副本经验和金币奖励</v>
          </cell>
          <cell r="E5876" t="str">
            <v>4|10|5920|1,4|1|23680|1</v>
          </cell>
        </row>
        <row r="5877">
          <cell r="A5877">
            <v>84149</v>
          </cell>
          <cell r="B5877">
            <v>0</v>
          </cell>
          <cell r="C5877" t="str">
            <v>4|10|5960,4|1|23840</v>
          </cell>
          <cell r="D5877" t="str">
            <v>20体力-主角149级精英副本经验和金币奖励</v>
          </cell>
          <cell r="E5877" t="str">
            <v>4|10|5960|1,4|1|23840|1</v>
          </cell>
        </row>
        <row r="5878">
          <cell r="A5878">
            <v>84150</v>
          </cell>
          <cell r="B5878">
            <v>0</v>
          </cell>
          <cell r="C5878" t="str">
            <v>4|10|6000,4|1|24000</v>
          </cell>
          <cell r="D5878" t="str">
            <v>20体力-主角150级精英副本经验和金币奖励</v>
          </cell>
          <cell r="E5878" t="str">
            <v>4|10|6000|1,4|1|24000|1</v>
          </cell>
        </row>
        <row r="5879">
          <cell r="A5879">
            <v>85001</v>
          </cell>
          <cell r="B5879">
            <v>0</v>
          </cell>
          <cell r="C5879" t="str">
            <v>4|10|50,4|1|200</v>
          </cell>
          <cell r="D5879" t="str">
            <v>25体力-主角1级精英副本经验和金币奖励</v>
          </cell>
          <cell r="E5879" t="str">
            <v>4|10|50|1,4|1|200|1</v>
          </cell>
        </row>
        <row r="5880">
          <cell r="A5880">
            <v>85002</v>
          </cell>
          <cell r="B5880">
            <v>0</v>
          </cell>
          <cell r="C5880" t="str">
            <v>4|10|100,4|1|400</v>
          </cell>
          <cell r="D5880" t="str">
            <v>25体力-主角2级精英副本经验和金币奖励</v>
          </cell>
          <cell r="E5880" t="str">
            <v>4|10|100|1,4|1|400|1</v>
          </cell>
        </row>
        <row r="5881">
          <cell r="A5881">
            <v>85003</v>
          </cell>
          <cell r="B5881">
            <v>0</v>
          </cell>
          <cell r="C5881" t="str">
            <v>4|10|150,4|1|600</v>
          </cell>
          <cell r="D5881" t="str">
            <v>25体力-主角3级精英副本经验和金币奖励</v>
          </cell>
          <cell r="E5881" t="str">
            <v>4|10|150|1,4|1|600|1</v>
          </cell>
        </row>
        <row r="5882">
          <cell r="A5882">
            <v>85004</v>
          </cell>
          <cell r="B5882">
            <v>0</v>
          </cell>
          <cell r="C5882" t="str">
            <v>4|10|200,4|1|800</v>
          </cell>
          <cell r="D5882" t="str">
            <v>25体力-主角4级精英副本经验和金币奖励</v>
          </cell>
          <cell r="E5882" t="str">
            <v>4|10|200|1,4|1|800|1</v>
          </cell>
        </row>
        <row r="5883">
          <cell r="A5883">
            <v>85005</v>
          </cell>
          <cell r="B5883">
            <v>0</v>
          </cell>
          <cell r="C5883" t="str">
            <v>4|10|250,4|1|1000</v>
          </cell>
          <cell r="D5883" t="str">
            <v>25体力-主角5级精英副本经验和金币奖励</v>
          </cell>
          <cell r="E5883" t="str">
            <v>4|10|250|1,4|1|1000|1</v>
          </cell>
        </row>
        <row r="5884">
          <cell r="A5884">
            <v>85006</v>
          </cell>
          <cell r="B5884">
            <v>0</v>
          </cell>
          <cell r="C5884" t="str">
            <v>4|10|300,4|1|1200</v>
          </cell>
          <cell r="D5884" t="str">
            <v>25体力-主角6级精英副本经验和金币奖励</v>
          </cell>
          <cell r="E5884" t="str">
            <v>4|10|300|1,4|1|1200|1</v>
          </cell>
        </row>
        <row r="5885">
          <cell r="A5885">
            <v>85007</v>
          </cell>
          <cell r="B5885">
            <v>0</v>
          </cell>
          <cell r="C5885" t="str">
            <v>4|10|350,4|1|1400</v>
          </cell>
          <cell r="D5885" t="str">
            <v>25体力-主角7级精英副本经验和金币奖励</v>
          </cell>
          <cell r="E5885" t="str">
            <v>4|10|350|1,4|1|1400|1</v>
          </cell>
        </row>
        <row r="5886">
          <cell r="A5886">
            <v>85008</v>
          </cell>
          <cell r="B5886">
            <v>0</v>
          </cell>
          <cell r="C5886" t="str">
            <v>4|10|400,4|1|1600</v>
          </cell>
          <cell r="D5886" t="str">
            <v>25体力-主角8级精英副本经验和金币奖励</v>
          </cell>
          <cell r="E5886" t="str">
            <v>4|10|400|1,4|1|1600|1</v>
          </cell>
        </row>
        <row r="5887">
          <cell r="A5887">
            <v>85009</v>
          </cell>
          <cell r="B5887">
            <v>0</v>
          </cell>
          <cell r="C5887" t="str">
            <v>4|10|450,4|1|1800</v>
          </cell>
          <cell r="D5887" t="str">
            <v>25体力-主角9级精英副本经验和金币奖励</v>
          </cell>
          <cell r="E5887" t="str">
            <v>4|10|450|1,4|1|1800|1</v>
          </cell>
        </row>
        <row r="5888">
          <cell r="A5888">
            <v>85010</v>
          </cell>
          <cell r="B5888">
            <v>0</v>
          </cell>
          <cell r="C5888" t="str">
            <v>4|10|500,4|1|2000</v>
          </cell>
          <cell r="D5888" t="str">
            <v>25体力-主角10级精英副本经验和金币奖励</v>
          </cell>
          <cell r="E5888" t="str">
            <v>4|10|500|1,4|1|2000|1</v>
          </cell>
        </row>
        <row r="5889">
          <cell r="A5889">
            <v>85011</v>
          </cell>
          <cell r="B5889">
            <v>0</v>
          </cell>
          <cell r="C5889" t="str">
            <v>4|10|550,4|1|2200</v>
          </cell>
          <cell r="D5889" t="str">
            <v>25体力-主角11级精英副本经验和金币奖励</v>
          </cell>
          <cell r="E5889" t="str">
            <v>4|10|550|1,4|1|2200|1</v>
          </cell>
        </row>
        <row r="5890">
          <cell r="A5890">
            <v>85012</v>
          </cell>
          <cell r="B5890">
            <v>0</v>
          </cell>
          <cell r="C5890" t="str">
            <v>4|10|600,4|1|2400</v>
          </cell>
          <cell r="D5890" t="str">
            <v>25体力-主角12级精英副本经验和金币奖励</v>
          </cell>
          <cell r="E5890" t="str">
            <v>4|10|600|1,4|1|2400|1</v>
          </cell>
        </row>
        <row r="5891">
          <cell r="A5891">
            <v>85013</v>
          </cell>
          <cell r="B5891">
            <v>0</v>
          </cell>
          <cell r="C5891" t="str">
            <v>4|10|650,4|1|2600</v>
          </cell>
          <cell r="D5891" t="str">
            <v>25体力-主角13级精英副本经验和金币奖励</v>
          </cell>
          <cell r="E5891" t="str">
            <v>4|10|650|1,4|1|2600|1</v>
          </cell>
        </row>
        <row r="5892">
          <cell r="A5892">
            <v>85014</v>
          </cell>
          <cell r="B5892">
            <v>0</v>
          </cell>
          <cell r="C5892" t="str">
            <v>4|10|700,4|1|2800</v>
          </cell>
          <cell r="D5892" t="str">
            <v>25体力-主角14级精英副本经验和金币奖励</v>
          </cell>
          <cell r="E5892" t="str">
            <v>4|10|700|1,4|1|2800|1</v>
          </cell>
        </row>
        <row r="5893">
          <cell r="A5893">
            <v>85015</v>
          </cell>
          <cell r="B5893">
            <v>0</v>
          </cell>
          <cell r="C5893" t="str">
            <v>4|10|750,4|1|3000</v>
          </cell>
          <cell r="D5893" t="str">
            <v>25体力-主角15级精英副本经验和金币奖励</v>
          </cell>
          <cell r="E5893" t="str">
            <v>4|10|750|1,4|1|3000|1</v>
          </cell>
        </row>
        <row r="5894">
          <cell r="A5894">
            <v>85016</v>
          </cell>
          <cell r="B5894">
            <v>0</v>
          </cell>
          <cell r="C5894" t="str">
            <v>4|10|800,4|1|3200</v>
          </cell>
          <cell r="D5894" t="str">
            <v>25体力-主角16级精英副本经验和金币奖励</v>
          </cell>
          <cell r="E5894" t="str">
            <v>4|10|800|1,4|1|3200|1</v>
          </cell>
        </row>
        <row r="5895">
          <cell r="A5895">
            <v>85017</v>
          </cell>
          <cell r="B5895">
            <v>0</v>
          </cell>
          <cell r="C5895" t="str">
            <v>4|10|850,4|1|3400</v>
          </cell>
          <cell r="D5895" t="str">
            <v>25体力-主角17级精英副本经验和金币奖励</v>
          </cell>
          <cell r="E5895" t="str">
            <v>4|10|850|1,4|1|3400|1</v>
          </cell>
        </row>
        <row r="5896">
          <cell r="A5896">
            <v>85018</v>
          </cell>
          <cell r="B5896">
            <v>0</v>
          </cell>
          <cell r="C5896" t="str">
            <v>4|10|900,4|1|3600</v>
          </cell>
          <cell r="D5896" t="str">
            <v>25体力-主角18级精英副本经验和金币奖励</v>
          </cell>
          <cell r="E5896" t="str">
            <v>4|10|900|1,4|1|3600|1</v>
          </cell>
        </row>
        <row r="5897">
          <cell r="A5897">
            <v>85019</v>
          </cell>
          <cell r="B5897">
            <v>0</v>
          </cell>
          <cell r="C5897" t="str">
            <v>4|10|950,4|1|3800</v>
          </cell>
          <cell r="D5897" t="str">
            <v>25体力-主角19级精英副本经验和金币奖励</v>
          </cell>
          <cell r="E5897" t="str">
            <v>4|10|950|1,4|1|3800|1</v>
          </cell>
        </row>
        <row r="5898">
          <cell r="A5898">
            <v>85020</v>
          </cell>
          <cell r="B5898">
            <v>0</v>
          </cell>
          <cell r="C5898" t="str">
            <v>4|10|1000,4|1|4000</v>
          </cell>
          <cell r="D5898" t="str">
            <v>25体力-主角20级精英副本经验和金币奖励</v>
          </cell>
          <cell r="E5898" t="str">
            <v>4|10|1000|1,4|1|4000|1</v>
          </cell>
        </row>
        <row r="5899">
          <cell r="A5899">
            <v>85021</v>
          </cell>
          <cell r="B5899">
            <v>0</v>
          </cell>
          <cell r="C5899" t="str">
            <v>4|10|1050,4|1|4200</v>
          </cell>
          <cell r="D5899" t="str">
            <v>25体力-主角21级精英副本经验和金币奖励</v>
          </cell>
          <cell r="E5899" t="str">
            <v>4|10|1050|1,4|1|4200|1</v>
          </cell>
        </row>
        <row r="5900">
          <cell r="A5900">
            <v>85022</v>
          </cell>
          <cell r="B5900">
            <v>0</v>
          </cell>
          <cell r="C5900" t="str">
            <v>4|10|1100,4|1|4400</v>
          </cell>
          <cell r="D5900" t="str">
            <v>25体力-主角22级精英副本经验和金币奖励</v>
          </cell>
          <cell r="E5900" t="str">
            <v>4|10|1100|1,4|1|4400|1</v>
          </cell>
        </row>
        <row r="5901">
          <cell r="A5901">
            <v>85023</v>
          </cell>
          <cell r="B5901">
            <v>0</v>
          </cell>
          <cell r="C5901" t="str">
            <v>4|10|1150,4|1|4600</v>
          </cell>
          <cell r="D5901" t="str">
            <v>25体力-主角23级精英副本经验和金币奖励</v>
          </cell>
          <cell r="E5901" t="str">
            <v>4|10|1150|1,4|1|4600|1</v>
          </cell>
        </row>
        <row r="5902">
          <cell r="A5902">
            <v>85024</v>
          </cell>
          <cell r="B5902">
            <v>0</v>
          </cell>
          <cell r="C5902" t="str">
            <v>4|10|1200,4|1|4800</v>
          </cell>
          <cell r="D5902" t="str">
            <v>25体力-主角24级精英副本经验和金币奖励</v>
          </cell>
          <cell r="E5902" t="str">
            <v>4|10|1200|1,4|1|4800|1</v>
          </cell>
        </row>
        <row r="5903">
          <cell r="A5903">
            <v>85025</v>
          </cell>
          <cell r="B5903">
            <v>0</v>
          </cell>
          <cell r="C5903" t="str">
            <v>4|10|1250,4|1|5000</v>
          </cell>
          <cell r="D5903" t="str">
            <v>25体力-主角25级精英副本经验和金币奖励</v>
          </cell>
          <cell r="E5903" t="str">
            <v>4|10|1250|1,4|1|5000|1</v>
          </cell>
        </row>
        <row r="5904">
          <cell r="A5904">
            <v>85026</v>
          </cell>
          <cell r="B5904">
            <v>0</v>
          </cell>
          <cell r="C5904" t="str">
            <v>4|10|1300,4|1|5200</v>
          </cell>
          <cell r="D5904" t="str">
            <v>25体力-主角26级精英副本经验和金币奖励</v>
          </cell>
          <cell r="E5904" t="str">
            <v>4|10|1300|1,4|1|5200|1</v>
          </cell>
        </row>
        <row r="5905">
          <cell r="A5905">
            <v>85027</v>
          </cell>
          <cell r="B5905">
            <v>0</v>
          </cell>
          <cell r="C5905" t="str">
            <v>4|10|1350,4|1|5400</v>
          </cell>
          <cell r="D5905" t="str">
            <v>25体力-主角27级精英副本经验和金币奖励</v>
          </cell>
          <cell r="E5905" t="str">
            <v>4|10|1350|1,4|1|5400|1</v>
          </cell>
        </row>
        <row r="5906">
          <cell r="A5906">
            <v>85028</v>
          </cell>
          <cell r="B5906">
            <v>0</v>
          </cell>
          <cell r="C5906" t="str">
            <v>4|10|1400,4|1|5600</v>
          </cell>
          <cell r="D5906" t="str">
            <v>25体力-主角28级精英副本经验和金币奖励</v>
          </cell>
          <cell r="E5906" t="str">
            <v>4|10|1400|1,4|1|5600|1</v>
          </cell>
        </row>
        <row r="5907">
          <cell r="A5907">
            <v>85029</v>
          </cell>
          <cell r="B5907">
            <v>0</v>
          </cell>
          <cell r="C5907" t="str">
            <v>4|10|1450,4|1|5800</v>
          </cell>
          <cell r="D5907" t="str">
            <v>25体力-主角29级精英副本经验和金币奖励</v>
          </cell>
          <cell r="E5907" t="str">
            <v>4|10|1450|1,4|1|5800|1</v>
          </cell>
        </row>
        <row r="5908">
          <cell r="A5908">
            <v>85030</v>
          </cell>
          <cell r="B5908">
            <v>0</v>
          </cell>
          <cell r="C5908" t="str">
            <v>4|10|1500,4|1|6000</v>
          </cell>
          <cell r="D5908" t="str">
            <v>25体力-主角30级精英副本经验和金币奖励</v>
          </cell>
          <cell r="E5908" t="str">
            <v>4|10|1500|1,4|1|6000|1</v>
          </cell>
        </row>
        <row r="5909">
          <cell r="A5909">
            <v>85031</v>
          </cell>
          <cell r="B5909">
            <v>0</v>
          </cell>
          <cell r="C5909" t="str">
            <v>4|10|1550,4|1|6200</v>
          </cell>
          <cell r="D5909" t="str">
            <v>25体力-主角31级精英副本经验和金币奖励</v>
          </cell>
          <cell r="E5909" t="str">
            <v>4|10|1550|1,4|1|6200|1</v>
          </cell>
        </row>
        <row r="5910">
          <cell r="A5910">
            <v>85032</v>
          </cell>
          <cell r="B5910">
            <v>0</v>
          </cell>
          <cell r="C5910" t="str">
            <v>4|10|1600,4|1|6400</v>
          </cell>
          <cell r="D5910" t="str">
            <v>25体力-主角32级精英副本经验和金币奖励</v>
          </cell>
          <cell r="E5910" t="str">
            <v>4|10|1600|1,4|1|6400|1</v>
          </cell>
        </row>
        <row r="5911">
          <cell r="A5911">
            <v>85033</v>
          </cell>
          <cell r="B5911">
            <v>0</v>
          </cell>
          <cell r="C5911" t="str">
            <v>4|10|1650,4|1|6600</v>
          </cell>
          <cell r="D5911" t="str">
            <v>25体力-主角33级精英副本经验和金币奖励</v>
          </cell>
          <cell r="E5911" t="str">
            <v>4|10|1650|1,4|1|6600|1</v>
          </cell>
        </row>
        <row r="5912">
          <cell r="A5912">
            <v>85034</v>
          </cell>
          <cell r="B5912">
            <v>0</v>
          </cell>
          <cell r="C5912" t="str">
            <v>4|10|1700,4|1|6800</v>
          </cell>
          <cell r="D5912" t="str">
            <v>25体力-主角34级精英副本经验和金币奖励</v>
          </cell>
          <cell r="E5912" t="str">
            <v>4|10|1700|1,4|1|6800|1</v>
          </cell>
        </row>
        <row r="5913">
          <cell r="A5913">
            <v>85035</v>
          </cell>
          <cell r="B5913">
            <v>0</v>
          </cell>
          <cell r="C5913" t="str">
            <v>4|10|1750,4|1|7000</v>
          </cell>
          <cell r="D5913" t="str">
            <v>25体力-主角35级精英副本经验和金币奖励</v>
          </cell>
          <cell r="E5913" t="str">
            <v>4|10|1750|1,4|1|7000|1</v>
          </cell>
        </row>
        <row r="5914">
          <cell r="A5914">
            <v>85036</v>
          </cell>
          <cell r="B5914">
            <v>0</v>
          </cell>
          <cell r="C5914" t="str">
            <v>4|10|1800,4|1|7200</v>
          </cell>
          <cell r="D5914" t="str">
            <v>25体力-主角36级精英副本经验和金币奖励</v>
          </cell>
          <cell r="E5914" t="str">
            <v>4|10|1800|1,4|1|7200|1</v>
          </cell>
        </row>
        <row r="5915">
          <cell r="A5915">
            <v>85037</v>
          </cell>
          <cell r="B5915">
            <v>0</v>
          </cell>
          <cell r="C5915" t="str">
            <v>4|10|1850,4|1|7400</v>
          </cell>
          <cell r="D5915" t="str">
            <v>25体力-主角37级精英副本经验和金币奖励</v>
          </cell>
          <cell r="E5915" t="str">
            <v>4|10|1850|1,4|1|7400|1</v>
          </cell>
        </row>
        <row r="5916">
          <cell r="A5916">
            <v>85038</v>
          </cell>
          <cell r="B5916">
            <v>0</v>
          </cell>
          <cell r="C5916" t="str">
            <v>4|10|1900,4|1|7600</v>
          </cell>
          <cell r="D5916" t="str">
            <v>25体力-主角38级精英副本经验和金币奖励</v>
          </cell>
          <cell r="E5916" t="str">
            <v>4|10|1900|1,4|1|7600|1</v>
          </cell>
        </row>
        <row r="5917">
          <cell r="A5917">
            <v>85039</v>
          </cell>
          <cell r="B5917">
            <v>0</v>
          </cell>
          <cell r="C5917" t="str">
            <v>4|10|1950,4|1|7800</v>
          </cell>
          <cell r="D5917" t="str">
            <v>25体力-主角39级精英副本经验和金币奖励</v>
          </cell>
          <cell r="E5917" t="str">
            <v>4|10|1950|1,4|1|7800|1</v>
          </cell>
        </row>
        <row r="5918">
          <cell r="A5918">
            <v>85040</v>
          </cell>
          <cell r="B5918">
            <v>0</v>
          </cell>
          <cell r="C5918" t="str">
            <v>4|10|2000,4|1|8000</v>
          </cell>
          <cell r="D5918" t="str">
            <v>25体力-主角40级精英副本经验和金币奖励</v>
          </cell>
          <cell r="E5918" t="str">
            <v>4|10|2000|1,4|1|8000|1</v>
          </cell>
        </row>
        <row r="5919">
          <cell r="A5919">
            <v>85041</v>
          </cell>
          <cell r="B5919">
            <v>0</v>
          </cell>
          <cell r="C5919" t="str">
            <v>4|10|2050,4|1|8200</v>
          </cell>
          <cell r="D5919" t="str">
            <v>25体力-主角41级精英副本经验和金币奖励</v>
          </cell>
          <cell r="E5919" t="str">
            <v>4|10|2050|1,4|1|8200|1</v>
          </cell>
        </row>
        <row r="5920">
          <cell r="A5920">
            <v>85042</v>
          </cell>
          <cell r="B5920">
            <v>0</v>
          </cell>
          <cell r="C5920" t="str">
            <v>4|10|2100,4|1|8400</v>
          </cell>
          <cell r="D5920" t="str">
            <v>25体力-主角42级精英副本经验和金币奖励</v>
          </cell>
          <cell r="E5920" t="str">
            <v>4|10|2100|1,4|1|8400|1</v>
          </cell>
        </row>
        <row r="5921">
          <cell r="A5921">
            <v>85043</v>
          </cell>
          <cell r="B5921">
            <v>0</v>
          </cell>
          <cell r="C5921" t="str">
            <v>4|10|2150,4|1|8600</v>
          </cell>
          <cell r="D5921" t="str">
            <v>25体力-主角43级精英副本经验和金币奖励</v>
          </cell>
          <cell r="E5921" t="str">
            <v>4|10|2150|1,4|1|8600|1</v>
          </cell>
        </row>
        <row r="5922">
          <cell r="A5922">
            <v>85044</v>
          </cell>
          <cell r="B5922">
            <v>0</v>
          </cell>
          <cell r="C5922" t="str">
            <v>4|10|2200,4|1|8800</v>
          </cell>
          <cell r="D5922" t="str">
            <v>25体力-主角44级精英副本经验和金币奖励</v>
          </cell>
          <cell r="E5922" t="str">
            <v>4|10|2200|1,4|1|8800|1</v>
          </cell>
        </row>
        <row r="5923">
          <cell r="A5923">
            <v>85045</v>
          </cell>
          <cell r="B5923">
            <v>0</v>
          </cell>
          <cell r="C5923" t="str">
            <v>4|10|2250,4|1|9000</v>
          </cell>
          <cell r="D5923" t="str">
            <v>25体力-主角45级精英副本经验和金币奖励</v>
          </cell>
          <cell r="E5923" t="str">
            <v>4|10|2250|1,4|1|9000|1</v>
          </cell>
        </row>
        <row r="5924">
          <cell r="A5924">
            <v>85046</v>
          </cell>
          <cell r="B5924">
            <v>0</v>
          </cell>
          <cell r="C5924" t="str">
            <v>4|10|2300,4|1|9200</v>
          </cell>
          <cell r="D5924" t="str">
            <v>25体力-主角46级精英副本经验和金币奖励</v>
          </cell>
          <cell r="E5924" t="str">
            <v>4|10|2300|1,4|1|9200|1</v>
          </cell>
        </row>
        <row r="5925">
          <cell r="A5925">
            <v>85047</v>
          </cell>
          <cell r="B5925">
            <v>0</v>
          </cell>
          <cell r="C5925" t="str">
            <v>4|10|2350,4|1|9400</v>
          </cell>
          <cell r="D5925" t="str">
            <v>25体力-主角47级精英副本经验和金币奖励</v>
          </cell>
          <cell r="E5925" t="str">
            <v>4|10|2350|1,4|1|9400|1</v>
          </cell>
        </row>
        <row r="5926">
          <cell r="A5926">
            <v>85048</v>
          </cell>
          <cell r="B5926">
            <v>0</v>
          </cell>
          <cell r="C5926" t="str">
            <v>4|10|2400,4|1|9600</v>
          </cell>
          <cell r="D5926" t="str">
            <v>25体力-主角48级精英副本经验和金币奖励</v>
          </cell>
          <cell r="E5926" t="str">
            <v>4|10|2400|1,4|1|9600|1</v>
          </cell>
        </row>
        <row r="5927">
          <cell r="A5927">
            <v>85049</v>
          </cell>
          <cell r="B5927">
            <v>0</v>
          </cell>
          <cell r="C5927" t="str">
            <v>4|10|2450,4|1|9800</v>
          </cell>
          <cell r="D5927" t="str">
            <v>25体力-主角49级精英副本经验和金币奖励</v>
          </cell>
          <cell r="E5927" t="str">
            <v>4|10|2450|1,4|1|9800|1</v>
          </cell>
        </row>
        <row r="5928">
          <cell r="A5928">
            <v>85050</v>
          </cell>
          <cell r="B5928">
            <v>0</v>
          </cell>
          <cell r="C5928" t="str">
            <v>4|10|2500,4|1|10000</v>
          </cell>
          <cell r="D5928" t="str">
            <v>25体力-主角50级精英副本经验和金币奖励</v>
          </cell>
          <cell r="E5928" t="str">
            <v>4|10|2500|1,4|1|10000|1</v>
          </cell>
        </row>
        <row r="5929">
          <cell r="A5929">
            <v>85051</v>
          </cell>
          <cell r="B5929">
            <v>0</v>
          </cell>
          <cell r="C5929" t="str">
            <v>4|10|2550,4|1|10200</v>
          </cell>
          <cell r="D5929" t="str">
            <v>25体力-主角51级精英副本经验和金币奖励</v>
          </cell>
          <cell r="E5929" t="str">
            <v>4|10|2550|1,4|1|10200|1</v>
          </cell>
        </row>
        <row r="5930">
          <cell r="A5930">
            <v>85052</v>
          </cell>
          <cell r="B5930">
            <v>0</v>
          </cell>
          <cell r="C5930" t="str">
            <v>4|10|2600,4|1|10400</v>
          </cell>
          <cell r="D5930" t="str">
            <v>25体力-主角52级精英副本经验和金币奖励</v>
          </cell>
          <cell r="E5930" t="str">
            <v>4|10|2600|1,4|1|10400|1</v>
          </cell>
        </row>
        <row r="5931">
          <cell r="A5931">
            <v>85053</v>
          </cell>
          <cell r="B5931">
            <v>0</v>
          </cell>
          <cell r="C5931" t="str">
            <v>4|10|2650,4|1|10600</v>
          </cell>
          <cell r="D5931" t="str">
            <v>25体力-主角53级精英副本经验和金币奖励</v>
          </cell>
          <cell r="E5931" t="str">
            <v>4|10|2650|1,4|1|10600|1</v>
          </cell>
        </row>
        <row r="5932">
          <cell r="A5932">
            <v>85054</v>
          </cell>
          <cell r="B5932">
            <v>0</v>
          </cell>
          <cell r="C5932" t="str">
            <v>4|10|2700,4|1|10800</v>
          </cell>
          <cell r="D5932" t="str">
            <v>25体力-主角54级精英副本经验和金币奖励</v>
          </cell>
          <cell r="E5932" t="str">
            <v>4|10|2700|1,4|1|10800|1</v>
          </cell>
        </row>
        <row r="5933">
          <cell r="A5933">
            <v>85055</v>
          </cell>
          <cell r="B5933">
            <v>0</v>
          </cell>
          <cell r="C5933" t="str">
            <v>4|10|2750,4|1|11000</v>
          </cell>
          <cell r="D5933" t="str">
            <v>25体力-主角55级精英副本经验和金币奖励</v>
          </cell>
          <cell r="E5933" t="str">
            <v>4|10|2750|1,4|1|11000|1</v>
          </cell>
        </row>
        <row r="5934">
          <cell r="A5934">
            <v>85056</v>
          </cell>
          <cell r="B5934">
            <v>0</v>
          </cell>
          <cell r="C5934" t="str">
            <v>4|10|2800,4|1|11200</v>
          </cell>
          <cell r="D5934" t="str">
            <v>25体力-主角56级精英副本经验和金币奖励</v>
          </cell>
          <cell r="E5934" t="str">
            <v>4|10|2800|1,4|1|11200|1</v>
          </cell>
        </row>
        <row r="5935">
          <cell r="A5935">
            <v>85057</v>
          </cell>
          <cell r="B5935">
            <v>0</v>
          </cell>
          <cell r="C5935" t="str">
            <v>4|10|2850,4|1|11400</v>
          </cell>
          <cell r="D5935" t="str">
            <v>25体力-主角57级精英副本经验和金币奖励</v>
          </cell>
          <cell r="E5935" t="str">
            <v>4|10|2850|1,4|1|11400|1</v>
          </cell>
        </row>
        <row r="5936">
          <cell r="A5936">
            <v>85058</v>
          </cell>
          <cell r="B5936">
            <v>0</v>
          </cell>
          <cell r="C5936" t="str">
            <v>4|10|2900,4|1|11600</v>
          </cell>
          <cell r="D5936" t="str">
            <v>25体力-主角58级精英副本经验和金币奖励</v>
          </cell>
          <cell r="E5936" t="str">
            <v>4|10|2900|1,4|1|11600|1</v>
          </cell>
        </row>
        <row r="5937">
          <cell r="A5937">
            <v>85059</v>
          </cell>
          <cell r="B5937">
            <v>0</v>
          </cell>
          <cell r="C5937" t="str">
            <v>4|10|2950,4|1|11800</v>
          </cell>
          <cell r="D5937" t="str">
            <v>25体力-主角59级精英副本经验和金币奖励</v>
          </cell>
          <cell r="E5937" t="str">
            <v>4|10|2950|1,4|1|11800|1</v>
          </cell>
        </row>
        <row r="5938">
          <cell r="A5938">
            <v>85060</v>
          </cell>
          <cell r="B5938">
            <v>0</v>
          </cell>
          <cell r="C5938" t="str">
            <v>4|10|3000,4|1|12000</v>
          </cell>
          <cell r="D5938" t="str">
            <v>25体力-主角60级精英副本经验和金币奖励</v>
          </cell>
          <cell r="E5938" t="str">
            <v>4|10|3000|1,4|1|12000|1</v>
          </cell>
        </row>
        <row r="5939">
          <cell r="A5939">
            <v>85061</v>
          </cell>
          <cell r="B5939">
            <v>0</v>
          </cell>
          <cell r="C5939" t="str">
            <v>4|10|3050,4|1|12200</v>
          </cell>
          <cell r="D5939" t="str">
            <v>25体力-主角61级精英副本经验和金币奖励</v>
          </cell>
          <cell r="E5939" t="str">
            <v>4|10|3050|1,4|1|12200|1</v>
          </cell>
        </row>
        <row r="5940">
          <cell r="A5940">
            <v>85062</v>
          </cell>
          <cell r="B5940">
            <v>0</v>
          </cell>
          <cell r="C5940" t="str">
            <v>4|10|3100,4|1|12400</v>
          </cell>
          <cell r="D5940" t="str">
            <v>25体力-主角62级精英副本经验和金币奖励</v>
          </cell>
          <cell r="E5940" t="str">
            <v>4|10|3100|1,4|1|12400|1</v>
          </cell>
        </row>
        <row r="5941">
          <cell r="A5941">
            <v>85063</v>
          </cell>
          <cell r="B5941">
            <v>0</v>
          </cell>
          <cell r="C5941" t="str">
            <v>4|10|3150,4|1|12600</v>
          </cell>
          <cell r="D5941" t="str">
            <v>25体力-主角63级精英副本经验和金币奖励</v>
          </cell>
          <cell r="E5941" t="str">
            <v>4|10|3150|1,4|1|12600|1</v>
          </cell>
        </row>
        <row r="5942">
          <cell r="A5942">
            <v>85064</v>
          </cell>
          <cell r="B5942">
            <v>0</v>
          </cell>
          <cell r="C5942" t="str">
            <v>4|10|3200,4|1|12800</v>
          </cell>
          <cell r="D5942" t="str">
            <v>25体力-主角64级精英副本经验和金币奖励</v>
          </cell>
          <cell r="E5942" t="str">
            <v>4|10|3200|1,4|1|12800|1</v>
          </cell>
        </row>
        <row r="5943">
          <cell r="A5943">
            <v>85065</v>
          </cell>
          <cell r="B5943">
            <v>0</v>
          </cell>
          <cell r="C5943" t="str">
            <v>4|10|3250,4|1|13000</v>
          </cell>
          <cell r="D5943" t="str">
            <v>25体力-主角65级精英副本经验和金币奖励</v>
          </cell>
          <cell r="E5943" t="str">
            <v>4|10|3250|1,4|1|13000|1</v>
          </cell>
        </row>
        <row r="5944">
          <cell r="A5944">
            <v>85066</v>
          </cell>
          <cell r="B5944">
            <v>0</v>
          </cell>
          <cell r="C5944" t="str">
            <v>4|10|3300,4|1|13200</v>
          </cell>
          <cell r="D5944" t="str">
            <v>25体力-主角66级精英副本经验和金币奖励</v>
          </cell>
          <cell r="E5944" t="str">
            <v>4|10|3300|1,4|1|13200|1</v>
          </cell>
        </row>
        <row r="5945">
          <cell r="A5945">
            <v>85067</v>
          </cell>
          <cell r="B5945">
            <v>0</v>
          </cell>
          <cell r="C5945" t="str">
            <v>4|10|3350,4|1|13400</v>
          </cell>
          <cell r="D5945" t="str">
            <v>25体力-主角67级精英副本经验和金币奖励</v>
          </cell>
          <cell r="E5945" t="str">
            <v>4|10|3350|1,4|1|13400|1</v>
          </cell>
        </row>
        <row r="5946">
          <cell r="A5946">
            <v>85068</v>
          </cell>
          <cell r="B5946">
            <v>0</v>
          </cell>
          <cell r="C5946" t="str">
            <v>4|10|3400,4|1|13600</v>
          </cell>
          <cell r="D5946" t="str">
            <v>25体力-主角68级精英副本经验和金币奖励</v>
          </cell>
          <cell r="E5946" t="str">
            <v>4|10|3400|1,4|1|13600|1</v>
          </cell>
        </row>
        <row r="5947">
          <cell r="A5947">
            <v>85069</v>
          </cell>
          <cell r="B5947">
            <v>0</v>
          </cell>
          <cell r="C5947" t="str">
            <v>4|10|3450,4|1|13800</v>
          </cell>
          <cell r="D5947" t="str">
            <v>25体力-主角69级精英副本经验和金币奖励</v>
          </cell>
          <cell r="E5947" t="str">
            <v>4|10|3450|1,4|1|13800|1</v>
          </cell>
        </row>
        <row r="5948">
          <cell r="A5948">
            <v>85070</v>
          </cell>
          <cell r="B5948">
            <v>0</v>
          </cell>
          <cell r="C5948" t="str">
            <v>4|10|3500,4|1|14000</v>
          </cell>
          <cell r="D5948" t="str">
            <v>25体力-主角70级精英副本经验和金币奖励</v>
          </cell>
          <cell r="E5948" t="str">
            <v>4|10|3500|1,4|1|14000|1</v>
          </cell>
        </row>
        <row r="5949">
          <cell r="A5949">
            <v>85071</v>
          </cell>
          <cell r="B5949">
            <v>0</v>
          </cell>
          <cell r="C5949" t="str">
            <v>4|10|3550,4|1|14200</v>
          </cell>
          <cell r="D5949" t="str">
            <v>25体力-主角71级精英副本经验和金币奖励</v>
          </cell>
          <cell r="E5949" t="str">
            <v>4|10|3550|1,4|1|14200|1</v>
          </cell>
        </row>
        <row r="5950">
          <cell r="A5950">
            <v>85072</v>
          </cell>
          <cell r="B5950">
            <v>0</v>
          </cell>
          <cell r="C5950" t="str">
            <v>4|10|3600,4|1|14400</v>
          </cell>
          <cell r="D5950" t="str">
            <v>25体力-主角72级精英副本经验和金币奖励</v>
          </cell>
          <cell r="E5950" t="str">
            <v>4|10|3600|1,4|1|14400|1</v>
          </cell>
        </row>
        <row r="5951">
          <cell r="A5951">
            <v>85073</v>
          </cell>
          <cell r="B5951">
            <v>0</v>
          </cell>
          <cell r="C5951" t="str">
            <v>4|10|3650,4|1|14600</v>
          </cell>
          <cell r="D5951" t="str">
            <v>25体力-主角73级精英副本经验和金币奖励</v>
          </cell>
          <cell r="E5951" t="str">
            <v>4|10|3650|1,4|1|14600|1</v>
          </cell>
        </row>
        <row r="5952">
          <cell r="A5952">
            <v>85074</v>
          </cell>
          <cell r="B5952">
            <v>0</v>
          </cell>
          <cell r="C5952" t="str">
            <v>4|10|3700,4|1|14800</v>
          </cell>
          <cell r="D5952" t="str">
            <v>25体力-主角74级精英副本经验和金币奖励</v>
          </cell>
          <cell r="E5952" t="str">
            <v>4|10|3700|1,4|1|14800|1</v>
          </cell>
        </row>
        <row r="5953">
          <cell r="A5953">
            <v>85075</v>
          </cell>
          <cell r="B5953">
            <v>0</v>
          </cell>
          <cell r="C5953" t="str">
            <v>4|10|3750,4|1|15000</v>
          </cell>
          <cell r="D5953" t="str">
            <v>25体力-主角75级精英副本经验和金币奖励</v>
          </cell>
          <cell r="E5953" t="str">
            <v>4|10|3750|1,4|1|15000|1</v>
          </cell>
        </row>
        <row r="5954">
          <cell r="A5954">
            <v>85076</v>
          </cell>
          <cell r="B5954">
            <v>0</v>
          </cell>
          <cell r="C5954" t="str">
            <v>4|10|3800,4|1|15200</v>
          </cell>
          <cell r="D5954" t="str">
            <v>25体力-主角76级精英副本经验和金币奖励</v>
          </cell>
          <cell r="E5954" t="str">
            <v>4|10|3800|1,4|1|15200|1</v>
          </cell>
        </row>
        <row r="5955">
          <cell r="A5955">
            <v>85077</v>
          </cell>
          <cell r="B5955">
            <v>0</v>
          </cell>
          <cell r="C5955" t="str">
            <v>4|10|3850,4|1|15400</v>
          </cell>
          <cell r="D5955" t="str">
            <v>25体力-主角77级精英副本经验和金币奖励</v>
          </cell>
          <cell r="E5955" t="str">
            <v>4|10|3850|1,4|1|15400|1</v>
          </cell>
        </row>
        <row r="5956">
          <cell r="A5956">
            <v>85078</v>
          </cell>
          <cell r="B5956">
            <v>0</v>
          </cell>
          <cell r="C5956" t="str">
            <v>4|10|3900,4|1|15600</v>
          </cell>
          <cell r="D5956" t="str">
            <v>25体力-主角78级精英副本经验和金币奖励</v>
          </cell>
          <cell r="E5956" t="str">
            <v>4|10|3900|1,4|1|15600|1</v>
          </cell>
        </row>
        <row r="5957">
          <cell r="A5957">
            <v>85079</v>
          </cell>
          <cell r="B5957">
            <v>0</v>
          </cell>
          <cell r="C5957" t="str">
            <v>4|10|3950,4|1|15800</v>
          </cell>
          <cell r="D5957" t="str">
            <v>25体力-主角79级精英副本经验和金币奖励</v>
          </cell>
          <cell r="E5957" t="str">
            <v>4|10|3950|1,4|1|15800|1</v>
          </cell>
        </row>
        <row r="5958">
          <cell r="A5958">
            <v>85080</v>
          </cell>
          <cell r="B5958">
            <v>0</v>
          </cell>
          <cell r="C5958" t="str">
            <v>4|10|4000,4|1|16000</v>
          </cell>
          <cell r="D5958" t="str">
            <v>25体力-主角80级精英副本经验和金币奖励</v>
          </cell>
          <cell r="E5958" t="str">
            <v>4|10|4000|1,4|1|16000|1</v>
          </cell>
        </row>
        <row r="5959">
          <cell r="A5959">
            <v>85081</v>
          </cell>
          <cell r="B5959">
            <v>0</v>
          </cell>
          <cell r="C5959" t="str">
            <v>4|10|4050,4|1|16200</v>
          </cell>
          <cell r="D5959" t="str">
            <v>25体力-主角81级精英副本经验和金币奖励</v>
          </cell>
          <cell r="E5959" t="str">
            <v>4|10|4050|1,4|1|16200|1</v>
          </cell>
        </row>
        <row r="5960">
          <cell r="A5960">
            <v>85082</v>
          </cell>
          <cell r="B5960">
            <v>0</v>
          </cell>
          <cell r="C5960" t="str">
            <v>4|10|4100,4|1|16400</v>
          </cell>
          <cell r="D5960" t="str">
            <v>25体力-主角82级精英副本经验和金币奖励</v>
          </cell>
          <cell r="E5960" t="str">
            <v>4|10|4100|1,4|1|16400|1</v>
          </cell>
        </row>
        <row r="5961">
          <cell r="A5961">
            <v>85083</v>
          </cell>
          <cell r="B5961">
            <v>0</v>
          </cell>
          <cell r="C5961" t="str">
            <v>4|10|4150,4|1|16600</v>
          </cell>
          <cell r="D5961" t="str">
            <v>25体力-主角83级精英副本经验和金币奖励</v>
          </cell>
          <cell r="E5961" t="str">
            <v>4|10|4150|1,4|1|16600|1</v>
          </cell>
        </row>
        <row r="5962">
          <cell r="A5962">
            <v>85084</v>
          </cell>
          <cell r="B5962">
            <v>0</v>
          </cell>
          <cell r="C5962" t="str">
            <v>4|10|4200,4|1|16800</v>
          </cell>
          <cell r="D5962" t="str">
            <v>25体力-主角84级精英副本经验和金币奖励</v>
          </cell>
          <cell r="E5962" t="str">
            <v>4|10|4200|1,4|1|16800|1</v>
          </cell>
        </row>
        <row r="5963">
          <cell r="A5963">
            <v>85085</v>
          </cell>
          <cell r="B5963">
            <v>0</v>
          </cell>
          <cell r="C5963" t="str">
            <v>4|10|4250,4|1|17000</v>
          </cell>
          <cell r="D5963" t="str">
            <v>25体力-主角85级精英副本经验和金币奖励</v>
          </cell>
          <cell r="E5963" t="str">
            <v>4|10|4250|1,4|1|17000|1</v>
          </cell>
        </row>
        <row r="5964">
          <cell r="A5964">
            <v>85086</v>
          </cell>
          <cell r="B5964">
            <v>0</v>
          </cell>
          <cell r="C5964" t="str">
            <v>4|10|4300,4|1|17200</v>
          </cell>
          <cell r="D5964" t="str">
            <v>25体力-主角86级精英副本经验和金币奖励</v>
          </cell>
          <cell r="E5964" t="str">
            <v>4|10|4300|1,4|1|17200|1</v>
          </cell>
        </row>
        <row r="5965">
          <cell r="A5965">
            <v>85087</v>
          </cell>
          <cell r="B5965">
            <v>0</v>
          </cell>
          <cell r="C5965" t="str">
            <v>4|10|4350,4|1|17400</v>
          </cell>
          <cell r="D5965" t="str">
            <v>25体力-主角87级精英副本经验和金币奖励</v>
          </cell>
          <cell r="E5965" t="str">
            <v>4|10|4350|1,4|1|17400|1</v>
          </cell>
        </row>
        <row r="5966">
          <cell r="A5966">
            <v>85088</v>
          </cell>
          <cell r="B5966">
            <v>0</v>
          </cell>
          <cell r="C5966" t="str">
            <v>4|10|4400,4|1|17600</v>
          </cell>
          <cell r="D5966" t="str">
            <v>25体力-主角88级精英副本经验和金币奖励</v>
          </cell>
          <cell r="E5966" t="str">
            <v>4|10|4400|1,4|1|17600|1</v>
          </cell>
        </row>
        <row r="5967">
          <cell r="A5967">
            <v>85089</v>
          </cell>
          <cell r="B5967">
            <v>0</v>
          </cell>
          <cell r="C5967" t="str">
            <v>4|10|4450,4|1|17800</v>
          </cell>
          <cell r="D5967" t="str">
            <v>25体力-主角89级精英副本经验和金币奖励</v>
          </cell>
          <cell r="E5967" t="str">
            <v>4|10|4450|1,4|1|17800|1</v>
          </cell>
        </row>
        <row r="5968">
          <cell r="A5968">
            <v>85090</v>
          </cell>
          <cell r="B5968">
            <v>0</v>
          </cell>
          <cell r="C5968" t="str">
            <v>4|10|4500,4|1|18000</v>
          </cell>
          <cell r="D5968" t="str">
            <v>25体力-主角90级精英副本经验和金币奖励</v>
          </cell>
          <cell r="E5968" t="str">
            <v>4|10|4500|1,4|1|18000|1</v>
          </cell>
        </row>
        <row r="5969">
          <cell r="A5969">
            <v>85091</v>
          </cell>
          <cell r="B5969">
            <v>0</v>
          </cell>
          <cell r="C5969" t="str">
            <v>4|10|4550,4|1|18200</v>
          </cell>
          <cell r="D5969" t="str">
            <v>25体力-主角91级精英副本经验和金币奖励</v>
          </cell>
          <cell r="E5969" t="str">
            <v>4|10|4550|1,4|1|18200|1</v>
          </cell>
        </row>
        <row r="5970">
          <cell r="A5970">
            <v>85092</v>
          </cell>
          <cell r="B5970">
            <v>0</v>
          </cell>
          <cell r="C5970" t="str">
            <v>4|10|4600,4|1|18400</v>
          </cell>
          <cell r="D5970" t="str">
            <v>25体力-主角92级精英副本经验和金币奖励</v>
          </cell>
          <cell r="E5970" t="str">
            <v>4|10|4600|1,4|1|18400|1</v>
          </cell>
        </row>
        <row r="5971">
          <cell r="A5971">
            <v>85093</v>
          </cell>
          <cell r="B5971">
            <v>0</v>
          </cell>
          <cell r="C5971" t="str">
            <v>4|10|4650,4|1|18600</v>
          </cell>
          <cell r="D5971" t="str">
            <v>25体力-主角93级精英副本经验和金币奖励</v>
          </cell>
          <cell r="E5971" t="str">
            <v>4|10|4650|1,4|1|18600|1</v>
          </cell>
        </row>
        <row r="5972">
          <cell r="A5972">
            <v>85094</v>
          </cell>
          <cell r="B5972">
            <v>0</v>
          </cell>
          <cell r="C5972" t="str">
            <v>4|10|4700,4|1|18800</v>
          </cell>
          <cell r="D5972" t="str">
            <v>25体力-主角94级精英副本经验和金币奖励</v>
          </cell>
          <cell r="E5972" t="str">
            <v>4|10|4700|1,4|1|18800|1</v>
          </cell>
        </row>
        <row r="5973">
          <cell r="A5973">
            <v>85095</v>
          </cell>
          <cell r="B5973">
            <v>0</v>
          </cell>
          <cell r="C5973" t="str">
            <v>4|10|4750,4|1|19000</v>
          </cell>
          <cell r="D5973" t="str">
            <v>25体力-主角95级精英副本经验和金币奖励</v>
          </cell>
          <cell r="E5973" t="str">
            <v>4|10|4750|1,4|1|19000|1</v>
          </cell>
        </row>
        <row r="5974">
          <cell r="A5974">
            <v>85096</v>
          </cell>
          <cell r="B5974">
            <v>0</v>
          </cell>
          <cell r="C5974" t="str">
            <v>4|10|4800,4|1|19200</v>
          </cell>
          <cell r="D5974" t="str">
            <v>25体力-主角96级精英副本经验和金币奖励</v>
          </cell>
          <cell r="E5974" t="str">
            <v>4|10|4800|1,4|1|19200|1</v>
          </cell>
        </row>
        <row r="5975">
          <cell r="A5975">
            <v>85097</v>
          </cell>
          <cell r="B5975">
            <v>0</v>
          </cell>
          <cell r="C5975" t="str">
            <v>4|10|4850,4|1|19400</v>
          </cell>
          <cell r="D5975" t="str">
            <v>25体力-主角97级精英副本经验和金币奖励</v>
          </cell>
          <cell r="E5975" t="str">
            <v>4|10|4850|1,4|1|19400|1</v>
          </cell>
        </row>
        <row r="5976">
          <cell r="A5976">
            <v>85098</v>
          </cell>
          <cell r="B5976">
            <v>0</v>
          </cell>
          <cell r="C5976" t="str">
            <v>4|10|4900,4|1|19600</v>
          </cell>
          <cell r="D5976" t="str">
            <v>25体力-主角98级精英副本经验和金币奖励</v>
          </cell>
          <cell r="E5976" t="str">
            <v>4|10|4900|1,4|1|19600|1</v>
          </cell>
        </row>
        <row r="5977">
          <cell r="A5977">
            <v>85099</v>
          </cell>
          <cell r="B5977">
            <v>0</v>
          </cell>
          <cell r="C5977" t="str">
            <v>4|10|4950,4|1|19800</v>
          </cell>
          <cell r="D5977" t="str">
            <v>25体力-主角99级精英副本经验和金币奖励</v>
          </cell>
          <cell r="E5977" t="str">
            <v>4|10|4950|1,4|1|19800|1</v>
          </cell>
        </row>
        <row r="5978">
          <cell r="A5978">
            <v>85100</v>
          </cell>
          <cell r="B5978">
            <v>0</v>
          </cell>
          <cell r="C5978" t="str">
            <v>4|10|5000,4|1|20000</v>
          </cell>
          <cell r="D5978" t="str">
            <v>25体力-主角100级精英副本经验和金币奖励</v>
          </cell>
          <cell r="E5978" t="str">
            <v>4|10|5000|1,4|1|20000|1</v>
          </cell>
        </row>
        <row r="5979">
          <cell r="A5979">
            <v>85101</v>
          </cell>
          <cell r="B5979">
            <v>0</v>
          </cell>
          <cell r="C5979" t="str">
            <v>4|10|5050,4|1|20200</v>
          </cell>
          <cell r="D5979" t="str">
            <v>25体力-主角101级精英副本经验和金币奖励</v>
          </cell>
          <cell r="E5979" t="str">
            <v>4|10|5050|1,4|1|20200|1</v>
          </cell>
        </row>
        <row r="5980">
          <cell r="A5980">
            <v>85102</v>
          </cell>
          <cell r="B5980">
            <v>0</v>
          </cell>
          <cell r="C5980" t="str">
            <v>4|10|5100,4|1|20400</v>
          </cell>
          <cell r="D5980" t="str">
            <v>25体力-主角102级精英副本经验和金币奖励</v>
          </cell>
          <cell r="E5980" t="str">
            <v>4|10|5100|1,4|1|20400|1</v>
          </cell>
        </row>
        <row r="5981">
          <cell r="A5981">
            <v>85103</v>
          </cell>
          <cell r="B5981">
            <v>0</v>
          </cell>
          <cell r="C5981" t="str">
            <v>4|10|5150,4|1|20600</v>
          </cell>
          <cell r="D5981" t="str">
            <v>25体力-主角103级精英副本经验和金币奖励</v>
          </cell>
          <cell r="E5981" t="str">
            <v>4|10|5150|1,4|1|20600|1</v>
          </cell>
        </row>
        <row r="5982">
          <cell r="A5982">
            <v>85104</v>
          </cell>
          <cell r="B5982">
            <v>0</v>
          </cell>
          <cell r="C5982" t="str">
            <v>4|10|5200,4|1|20800</v>
          </cell>
          <cell r="D5982" t="str">
            <v>25体力-主角104级精英副本经验和金币奖励</v>
          </cell>
          <cell r="E5982" t="str">
            <v>4|10|5200|1,4|1|20800|1</v>
          </cell>
        </row>
        <row r="5983">
          <cell r="A5983">
            <v>85105</v>
          </cell>
          <cell r="B5983">
            <v>0</v>
          </cell>
          <cell r="C5983" t="str">
            <v>4|10|5250,4|1|21000</v>
          </cell>
          <cell r="D5983" t="str">
            <v>25体力-主角105级精英副本经验和金币奖励</v>
          </cell>
          <cell r="E5983" t="str">
            <v>4|10|5250|1,4|1|21000|1</v>
          </cell>
        </row>
        <row r="5984">
          <cell r="A5984">
            <v>85106</v>
          </cell>
          <cell r="B5984">
            <v>0</v>
          </cell>
          <cell r="C5984" t="str">
            <v>4|10|5300,4|1|21200</v>
          </cell>
          <cell r="D5984" t="str">
            <v>25体力-主角106级精英副本经验和金币奖励</v>
          </cell>
          <cell r="E5984" t="str">
            <v>4|10|5300|1,4|1|21200|1</v>
          </cell>
        </row>
        <row r="5985">
          <cell r="A5985">
            <v>85107</v>
          </cell>
          <cell r="B5985">
            <v>0</v>
          </cell>
          <cell r="C5985" t="str">
            <v>4|10|5350,4|1|21400</v>
          </cell>
          <cell r="D5985" t="str">
            <v>25体力-主角107级精英副本经验和金币奖励</v>
          </cell>
          <cell r="E5985" t="str">
            <v>4|10|5350|1,4|1|21400|1</v>
          </cell>
        </row>
        <row r="5986">
          <cell r="A5986">
            <v>85108</v>
          </cell>
          <cell r="B5986">
            <v>0</v>
          </cell>
          <cell r="C5986" t="str">
            <v>4|10|5400,4|1|21600</v>
          </cell>
          <cell r="D5986" t="str">
            <v>25体力-主角108级精英副本经验和金币奖励</v>
          </cell>
          <cell r="E5986" t="str">
            <v>4|10|5400|1,4|1|21600|1</v>
          </cell>
        </row>
        <row r="5987">
          <cell r="A5987">
            <v>85109</v>
          </cell>
          <cell r="B5987">
            <v>0</v>
          </cell>
          <cell r="C5987" t="str">
            <v>4|10|5450,4|1|21800</v>
          </cell>
          <cell r="D5987" t="str">
            <v>25体力-主角109级精英副本经验和金币奖励</v>
          </cell>
          <cell r="E5987" t="str">
            <v>4|10|5450|1,4|1|21800|1</v>
          </cell>
        </row>
        <row r="5988">
          <cell r="A5988">
            <v>85110</v>
          </cell>
          <cell r="B5988">
            <v>0</v>
          </cell>
          <cell r="C5988" t="str">
            <v>4|10|5500,4|1|22000</v>
          </cell>
          <cell r="D5988" t="str">
            <v>25体力-主角110级精英副本经验和金币奖励</v>
          </cell>
          <cell r="E5988" t="str">
            <v>4|10|5500|1,4|1|22000|1</v>
          </cell>
        </row>
        <row r="5989">
          <cell r="A5989">
            <v>85111</v>
          </cell>
          <cell r="B5989">
            <v>0</v>
          </cell>
          <cell r="C5989" t="str">
            <v>4|10|5550,4|1|22200</v>
          </cell>
          <cell r="D5989" t="str">
            <v>25体力-主角111级精英副本经验和金币奖励</v>
          </cell>
          <cell r="E5989" t="str">
            <v>4|10|5550|1,4|1|22200|1</v>
          </cell>
        </row>
        <row r="5990">
          <cell r="A5990">
            <v>85112</v>
          </cell>
          <cell r="B5990">
            <v>0</v>
          </cell>
          <cell r="C5990" t="str">
            <v>4|10|5600,4|1|22400</v>
          </cell>
          <cell r="D5990" t="str">
            <v>25体力-主角112级精英副本经验和金币奖励</v>
          </cell>
          <cell r="E5990" t="str">
            <v>4|10|5600|1,4|1|22400|1</v>
          </cell>
        </row>
        <row r="5991">
          <cell r="A5991">
            <v>85113</v>
          </cell>
          <cell r="B5991">
            <v>0</v>
          </cell>
          <cell r="C5991" t="str">
            <v>4|10|5650,4|1|22600</v>
          </cell>
          <cell r="D5991" t="str">
            <v>25体力-主角113级精英副本经验和金币奖励</v>
          </cell>
          <cell r="E5991" t="str">
            <v>4|10|5650|1,4|1|22600|1</v>
          </cell>
        </row>
        <row r="5992">
          <cell r="A5992">
            <v>85114</v>
          </cell>
          <cell r="B5992">
            <v>0</v>
          </cell>
          <cell r="C5992" t="str">
            <v>4|10|5700,4|1|22800</v>
          </cell>
          <cell r="D5992" t="str">
            <v>25体力-主角114级精英副本经验和金币奖励</v>
          </cell>
          <cell r="E5992" t="str">
            <v>4|10|5700|1,4|1|22800|1</v>
          </cell>
        </row>
        <row r="5993">
          <cell r="A5993">
            <v>85115</v>
          </cell>
          <cell r="B5993">
            <v>0</v>
          </cell>
          <cell r="C5993" t="str">
            <v>4|10|5750,4|1|23000</v>
          </cell>
          <cell r="D5993" t="str">
            <v>25体力-主角115级精英副本经验和金币奖励</v>
          </cell>
          <cell r="E5993" t="str">
            <v>4|10|5750|1,4|1|23000|1</v>
          </cell>
        </row>
        <row r="5994">
          <cell r="A5994">
            <v>85116</v>
          </cell>
          <cell r="B5994">
            <v>0</v>
          </cell>
          <cell r="C5994" t="str">
            <v>4|10|5800,4|1|23200</v>
          </cell>
          <cell r="D5994" t="str">
            <v>25体力-主角116级精英副本经验和金币奖励</v>
          </cell>
          <cell r="E5994" t="str">
            <v>4|10|5800|1,4|1|23200|1</v>
          </cell>
        </row>
        <row r="5995">
          <cell r="A5995">
            <v>85117</v>
          </cell>
          <cell r="B5995">
            <v>0</v>
          </cell>
          <cell r="C5995" t="str">
            <v>4|10|5850,4|1|23400</v>
          </cell>
          <cell r="D5995" t="str">
            <v>25体力-主角117级精英副本经验和金币奖励</v>
          </cell>
          <cell r="E5995" t="str">
            <v>4|10|5850|1,4|1|23400|1</v>
          </cell>
        </row>
        <row r="5996">
          <cell r="A5996">
            <v>85118</v>
          </cell>
          <cell r="B5996">
            <v>0</v>
          </cell>
          <cell r="C5996" t="str">
            <v>4|10|5900,4|1|23600</v>
          </cell>
          <cell r="D5996" t="str">
            <v>25体力-主角118级精英副本经验和金币奖励</v>
          </cell>
          <cell r="E5996" t="str">
            <v>4|10|5900|1,4|1|23600|1</v>
          </cell>
        </row>
        <row r="5997">
          <cell r="A5997">
            <v>85119</v>
          </cell>
          <cell r="B5997">
            <v>0</v>
          </cell>
          <cell r="C5997" t="str">
            <v>4|10|5950,4|1|23800</v>
          </cell>
          <cell r="D5997" t="str">
            <v>25体力-主角119级精英副本经验和金币奖励</v>
          </cell>
          <cell r="E5997" t="str">
            <v>4|10|5950|1,4|1|23800|1</v>
          </cell>
        </row>
        <row r="5998">
          <cell r="A5998">
            <v>85120</v>
          </cell>
          <cell r="B5998">
            <v>0</v>
          </cell>
          <cell r="C5998" t="str">
            <v>4|10|6000,4|1|24000</v>
          </cell>
          <cell r="D5998" t="str">
            <v>25体力-主角120级精英副本经验和金币奖励</v>
          </cell>
          <cell r="E5998" t="str">
            <v>4|10|6000|1,4|1|24000|1</v>
          </cell>
        </row>
        <row r="5999">
          <cell r="A5999">
            <v>85121</v>
          </cell>
          <cell r="B5999">
            <v>0</v>
          </cell>
          <cell r="C5999" t="str">
            <v>4|10|6050,4|1|24200</v>
          </cell>
          <cell r="D5999" t="str">
            <v>25体力-主角121级精英副本经验和金币奖励</v>
          </cell>
          <cell r="E5999" t="str">
            <v>4|10|6050|1,4|1|24200|1</v>
          </cell>
        </row>
        <row r="6000">
          <cell r="A6000">
            <v>85122</v>
          </cell>
          <cell r="B6000">
            <v>0</v>
          </cell>
          <cell r="C6000" t="str">
            <v>4|10|6100,4|1|24400</v>
          </cell>
          <cell r="D6000" t="str">
            <v>25体力-主角122级精英副本经验和金币奖励</v>
          </cell>
          <cell r="E6000" t="str">
            <v>4|10|6100|1,4|1|24400|1</v>
          </cell>
        </row>
        <row r="6001">
          <cell r="A6001">
            <v>85123</v>
          </cell>
          <cell r="B6001">
            <v>0</v>
          </cell>
          <cell r="C6001" t="str">
            <v>4|10|6150,4|1|24600</v>
          </cell>
          <cell r="D6001" t="str">
            <v>25体力-主角123级精英副本经验和金币奖励</v>
          </cell>
          <cell r="E6001" t="str">
            <v>4|10|6150|1,4|1|24600|1</v>
          </cell>
        </row>
        <row r="6002">
          <cell r="A6002">
            <v>85124</v>
          </cell>
          <cell r="B6002">
            <v>0</v>
          </cell>
          <cell r="C6002" t="str">
            <v>4|10|6200,4|1|24800</v>
          </cell>
          <cell r="D6002" t="str">
            <v>25体力-主角124级精英副本经验和金币奖励</v>
          </cell>
          <cell r="E6002" t="str">
            <v>4|10|6200|1,4|1|24800|1</v>
          </cell>
        </row>
        <row r="6003">
          <cell r="A6003">
            <v>85125</v>
          </cell>
          <cell r="B6003">
            <v>0</v>
          </cell>
          <cell r="C6003" t="str">
            <v>4|10|6250,4|1|25000</v>
          </cell>
          <cell r="D6003" t="str">
            <v>25体力-主角125级精英副本经验和金币奖励</v>
          </cell>
          <cell r="E6003" t="str">
            <v>4|10|6250|1,4|1|25000|1</v>
          </cell>
        </row>
        <row r="6004">
          <cell r="A6004">
            <v>85126</v>
          </cell>
          <cell r="B6004">
            <v>0</v>
          </cell>
          <cell r="C6004" t="str">
            <v>4|10|6300,4|1|25200</v>
          </cell>
          <cell r="D6004" t="str">
            <v>25体力-主角126级精英副本经验和金币奖励</v>
          </cell>
          <cell r="E6004" t="str">
            <v>4|10|6300|1,4|1|25200|1</v>
          </cell>
        </row>
        <row r="6005">
          <cell r="A6005">
            <v>85127</v>
          </cell>
          <cell r="B6005">
            <v>0</v>
          </cell>
          <cell r="C6005" t="str">
            <v>4|10|6350,4|1|25400</v>
          </cell>
          <cell r="D6005" t="str">
            <v>25体力-主角127级精英副本经验和金币奖励</v>
          </cell>
          <cell r="E6005" t="str">
            <v>4|10|6350|1,4|1|25400|1</v>
          </cell>
        </row>
        <row r="6006">
          <cell r="A6006">
            <v>85128</v>
          </cell>
          <cell r="B6006">
            <v>0</v>
          </cell>
          <cell r="C6006" t="str">
            <v>4|10|6400,4|1|25600</v>
          </cell>
          <cell r="D6006" t="str">
            <v>25体力-主角128级精英副本经验和金币奖励</v>
          </cell>
          <cell r="E6006" t="str">
            <v>4|10|6400|1,4|1|25600|1</v>
          </cell>
        </row>
        <row r="6007">
          <cell r="A6007">
            <v>85129</v>
          </cell>
          <cell r="B6007">
            <v>0</v>
          </cell>
          <cell r="C6007" t="str">
            <v>4|10|6450,4|1|25800</v>
          </cell>
          <cell r="D6007" t="str">
            <v>25体力-主角129级精英副本经验和金币奖励</v>
          </cell>
          <cell r="E6007" t="str">
            <v>4|10|6450|1,4|1|25800|1</v>
          </cell>
        </row>
        <row r="6008">
          <cell r="A6008">
            <v>85130</v>
          </cell>
          <cell r="B6008">
            <v>0</v>
          </cell>
          <cell r="C6008" t="str">
            <v>4|10|6500,4|1|26000</v>
          </cell>
          <cell r="D6008" t="str">
            <v>25体力-主角130级精英副本经验和金币奖励</v>
          </cell>
          <cell r="E6008" t="str">
            <v>4|10|6500|1,4|1|26000|1</v>
          </cell>
        </row>
        <row r="6009">
          <cell r="A6009">
            <v>85131</v>
          </cell>
          <cell r="B6009">
            <v>0</v>
          </cell>
          <cell r="C6009" t="str">
            <v>4|10|6550,4|1|26200</v>
          </cell>
          <cell r="D6009" t="str">
            <v>25体力-主角131级精英副本经验和金币奖励</v>
          </cell>
          <cell r="E6009" t="str">
            <v>4|10|6550|1,4|1|26200|1</v>
          </cell>
        </row>
        <row r="6010">
          <cell r="A6010">
            <v>85132</v>
          </cell>
          <cell r="B6010">
            <v>0</v>
          </cell>
          <cell r="C6010" t="str">
            <v>4|10|6600,4|1|26400</v>
          </cell>
          <cell r="D6010" t="str">
            <v>25体力-主角132级精英副本经验和金币奖励</v>
          </cell>
          <cell r="E6010" t="str">
            <v>4|10|6600|1,4|1|26400|1</v>
          </cell>
        </row>
        <row r="6011">
          <cell r="A6011">
            <v>85133</v>
          </cell>
          <cell r="B6011">
            <v>0</v>
          </cell>
          <cell r="C6011" t="str">
            <v>4|10|6650,4|1|26600</v>
          </cell>
          <cell r="D6011" t="str">
            <v>25体力-主角133级精英副本经验和金币奖励</v>
          </cell>
          <cell r="E6011" t="str">
            <v>4|10|6650|1,4|1|26600|1</v>
          </cell>
        </row>
        <row r="6012">
          <cell r="A6012">
            <v>85134</v>
          </cell>
          <cell r="B6012">
            <v>0</v>
          </cell>
          <cell r="C6012" t="str">
            <v>4|10|6700,4|1|26800</v>
          </cell>
          <cell r="D6012" t="str">
            <v>25体力-主角134级精英副本经验和金币奖励</v>
          </cell>
          <cell r="E6012" t="str">
            <v>4|10|6700|1,4|1|26800|1</v>
          </cell>
        </row>
        <row r="6013">
          <cell r="A6013">
            <v>85135</v>
          </cell>
          <cell r="B6013">
            <v>0</v>
          </cell>
          <cell r="C6013" t="str">
            <v>4|10|6750,4|1|27000</v>
          </cell>
          <cell r="D6013" t="str">
            <v>25体力-主角135级精英副本经验和金币奖励</v>
          </cell>
          <cell r="E6013" t="str">
            <v>4|10|6750|1,4|1|27000|1</v>
          </cell>
        </row>
        <row r="6014">
          <cell r="A6014">
            <v>85136</v>
          </cell>
          <cell r="B6014">
            <v>0</v>
          </cell>
          <cell r="C6014" t="str">
            <v>4|10|6800,4|1|27200</v>
          </cell>
          <cell r="D6014" t="str">
            <v>25体力-主角136级精英副本经验和金币奖励</v>
          </cell>
          <cell r="E6014" t="str">
            <v>4|10|6800|1,4|1|27200|1</v>
          </cell>
        </row>
        <row r="6015">
          <cell r="A6015">
            <v>85137</v>
          </cell>
          <cell r="B6015">
            <v>0</v>
          </cell>
          <cell r="C6015" t="str">
            <v>4|10|6850,4|1|27400</v>
          </cell>
          <cell r="D6015" t="str">
            <v>25体力-主角137级精英副本经验和金币奖励</v>
          </cell>
          <cell r="E6015" t="str">
            <v>4|10|6850|1,4|1|27400|1</v>
          </cell>
        </row>
        <row r="6016">
          <cell r="A6016">
            <v>85138</v>
          </cell>
          <cell r="B6016">
            <v>0</v>
          </cell>
          <cell r="C6016" t="str">
            <v>4|10|6900,4|1|27600</v>
          </cell>
          <cell r="D6016" t="str">
            <v>25体力-主角138级精英副本经验和金币奖励</v>
          </cell>
          <cell r="E6016" t="str">
            <v>4|10|6900|1,4|1|27600|1</v>
          </cell>
        </row>
        <row r="6017">
          <cell r="A6017">
            <v>85139</v>
          </cell>
          <cell r="B6017">
            <v>0</v>
          </cell>
          <cell r="C6017" t="str">
            <v>4|10|6950,4|1|27800</v>
          </cell>
          <cell r="D6017" t="str">
            <v>25体力-主角139级精英副本经验和金币奖励</v>
          </cell>
          <cell r="E6017" t="str">
            <v>4|10|6950|1,4|1|27800|1</v>
          </cell>
        </row>
        <row r="6018">
          <cell r="A6018">
            <v>85140</v>
          </cell>
          <cell r="B6018">
            <v>0</v>
          </cell>
          <cell r="C6018" t="str">
            <v>4|10|7000,4|1|28000</v>
          </cell>
          <cell r="D6018" t="str">
            <v>25体力-主角140级精英副本经验和金币奖励</v>
          </cell>
          <cell r="E6018" t="str">
            <v>4|10|7000|1,4|1|28000|1</v>
          </cell>
        </row>
        <row r="6019">
          <cell r="A6019">
            <v>85141</v>
          </cell>
          <cell r="B6019">
            <v>0</v>
          </cell>
          <cell r="C6019" t="str">
            <v>4|10|7050,4|1|28200</v>
          </cell>
          <cell r="D6019" t="str">
            <v>25体力-主角141级精英副本经验和金币奖励</v>
          </cell>
          <cell r="E6019" t="str">
            <v>4|10|7050|1,4|1|28200|1</v>
          </cell>
        </row>
        <row r="6020">
          <cell r="A6020">
            <v>85142</v>
          </cell>
          <cell r="B6020">
            <v>0</v>
          </cell>
          <cell r="C6020" t="str">
            <v>4|10|7100,4|1|28400</v>
          </cell>
          <cell r="D6020" t="str">
            <v>25体力-主角142级精英副本经验和金币奖励</v>
          </cell>
          <cell r="E6020" t="str">
            <v>4|10|7100|1,4|1|28400|1</v>
          </cell>
        </row>
        <row r="6021">
          <cell r="A6021">
            <v>85143</v>
          </cell>
          <cell r="B6021">
            <v>0</v>
          </cell>
          <cell r="C6021" t="str">
            <v>4|10|7150,4|1|28600</v>
          </cell>
          <cell r="D6021" t="str">
            <v>25体力-主角143级精英副本经验和金币奖励</v>
          </cell>
          <cell r="E6021" t="str">
            <v>4|10|7150|1,4|1|28600|1</v>
          </cell>
        </row>
        <row r="6022">
          <cell r="A6022">
            <v>85144</v>
          </cell>
          <cell r="B6022">
            <v>0</v>
          </cell>
          <cell r="C6022" t="str">
            <v>4|10|7200,4|1|28800</v>
          </cell>
          <cell r="D6022" t="str">
            <v>25体力-主角144级精英副本经验和金币奖励</v>
          </cell>
          <cell r="E6022" t="str">
            <v>4|10|7200|1,4|1|28800|1</v>
          </cell>
        </row>
        <row r="6023">
          <cell r="A6023">
            <v>85145</v>
          </cell>
          <cell r="B6023">
            <v>0</v>
          </cell>
          <cell r="C6023" t="str">
            <v>4|10|7250,4|1|29000</v>
          </cell>
          <cell r="D6023" t="str">
            <v>25体力-主角145级精英副本经验和金币奖励</v>
          </cell>
          <cell r="E6023" t="str">
            <v>4|10|7250|1,4|1|29000|1</v>
          </cell>
        </row>
        <row r="6024">
          <cell r="A6024">
            <v>85146</v>
          </cell>
          <cell r="B6024">
            <v>0</v>
          </cell>
          <cell r="C6024" t="str">
            <v>4|10|7300,4|1|29200</v>
          </cell>
          <cell r="D6024" t="str">
            <v>25体力-主角146级精英副本经验和金币奖励</v>
          </cell>
          <cell r="E6024" t="str">
            <v>4|10|7300|1,4|1|29200|1</v>
          </cell>
        </row>
        <row r="6025">
          <cell r="A6025">
            <v>85147</v>
          </cell>
          <cell r="B6025">
            <v>0</v>
          </cell>
          <cell r="C6025" t="str">
            <v>4|10|7350,4|1|29400</v>
          </cell>
          <cell r="D6025" t="str">
            <v>25体力-主角147级精英副本经验和金币奖励</v>
          </cell>
          <cell r="E6025" t="str">
            <v>4|10|7350|1,4|1|29400|1</v>
          </cell>
        </row>
        <row r="6026">
          <cell r="A6026">
            <v>85148</v>
          </cell>
          <cell r="B6026">
            <v>0</v>
          </cell>
          <cell r="C6026" t="str">
            <v>4|10|7400,4|1|29600</v>
          </cell>
          <cell r="D6026" t="str">
            <v>25体力-主角148级精英副本经验和金币奖励</v>
          </cell>
          <cell r="E6026" t="str">
            <v>4|10|7400|1,4|1|29600|1</v>
          </cell>
        </row>
        <row r="6027">
          <cell r="A6027">
            <v>85149</v>
          </cell>
          <cell r="B6027">
            <v>0</v>
          </cell>
          <cell r="C6027" t="str">
            <v>4|10|7450,4|1|29800</v>
          </cell>
          <cell r="D6027" t="str">
            <v>25体力-主角149级精英副本经验和金币奖励</v>
          </cell>
          <cell r="E6027" t="str">
            <v>4|10|7450|1,4|1|29800|1</v>
          </cell>
        </row>
        <row r="6028">
          <cell r="A6028">
            <v>85150</v>
          </cell>
          <cell r="B6028">
            <v>0</v>
          </cell>
          <cell r="C6028" t="str">
            <v>4|10|7500,4|1|30000</v>
          </cell>
          <cell r="D6028" t="str">
            <v>25体力-主角150级精英副本经验和金币奖励</v>
          </cell>
          <cell r="E6028" t="str">
            <v>4|10|7500|1,4|1|30000|1</v>
          </cell>
        </row>
        <row r="6029">
          <cell r="A6029">
            <v>86001</v>
          </cell>
          <cell r="B6029">
            <v>0</v>
          </cell>
          <cell r="C6029" t="str">
            <v>4|10|60,4|1|240</v>
          </cell>
          <cell r="D6029" t="str">
            <v>30体力-主角1级精英副本经验和金币奖励</v>
          </cell>
          <cell r="E6029" t="str">
            <v>4|10|60|1,4|1|240|1</v>
          </cell>
        </row>
        <row r="6030">
          <cell r="A6030">
            <v>86002</v>
          </cell>
          <cell r="B6030">
            <v>0</v>
          </cell>
          <cell r="C6030" t="str">
            <v>4|10|120,4|1|480</v>
          </cell>
          <cell r="D6030" t="str">
            <v>30体力-主角2级精英副本经验和金币奖励</v>
          </cell>
          <cell r="E6030" t="str">
            <v>4|10|120|1,4|1|480|1</v>
          </cell>
        </row>
        <row r="6031">
          <cell r="A6031">
            <v>86003</v>
          </cell>
          <cell r="B6031">
            <v>0</v>
          </cell>
          <cell r="C6031" t="str">
            <v>4|10|180,4|1|720</v>
          </cell>
          <cell r="D6031" t="str">
            <v>30体力-主角3级精英副本经验和金币奖励</v>
          </cell>
          <cell r="E6031" t="str">
            <v>4|10|180|1,4|1|720|1</v>
          </cell>
        </row>
        <row r="6032">
          <cell r="A6032">
            <v>86004</v>
          </cell>
          <cell r="B6032">
            <v>0</v>
          </cell>
          <cell r="C6032" t="str">
            <v>4|10|240,4|1|960</v>
          </cell>
          <cell r="D6032" t="str">
            <v>30体力-主角4级精英副本经验和金币奖励</v>
          </cell>
          <cell r="E6032" t="str">
            <v>4|10|240|1,4|1|960|1</v>
          </cell>
        </row>
        <row r="6033">
          <cell r="A6033">
            <v>86005</v>
          </cell>
          <cell r="B6033">
            <v>0</v>
          </cell>
          <cell r="C6033" t="str">
            <v>4|10|300,4|1|1200</v>
          </cell>
          <cell r="D6033" t="str">
            <v>30体力-主角5级精英副本经验和金币奖励</v>
          </cell>
          <cell r="E6033" t="str">
            <v>4|10|300|1,4|1|1200|1</v>
          </cell>
        </row>
        <row r="6034">
          <cell r="A6034">
            <v>86006</v>
          </cell>
          <cell r="B6034">
            <v>0</v>
          </cell>
          <cell r="C6034" t="str">
            <v>4|10|360,4|1|1440</v>
          </cell>
          <cell r="D6034" t="str">
            <v>30体力-主角6级精英副本经验和金币奖励</v>
          </cell>
          <cell r="E6034" t="str">
            <v>4|10|360|1,4|1|1440|1</v>
          </cell>
        </row>
        <row r="6035">
          <cell r="A6035">
            <v>86007</v>
          </cell>
          <cell r="B6035">
            <v>0</v>
          </cell>
          <cell r="C6035" t="str">
            <v>4|10|420,4|1|1680</v>
          </cell>
          <cell r="D6035" t="str">
            <v>30体力-主角7级精英副本经验和金币奖励</v>
          </cell>
          <cell r="E6035" t="str">
            <v>4|10|420|1,4|1|1680|1</v>
          </cell>
        </row>
        <row r="6036">
          <cell r="A6036">
            <v>86008</v>
          </cell>
          <cell r="B6036">
            <v>0</v>
          </cell>
          <cell r="C6036" t="str">
            <v>4|10|480,4|1|1920</v>
          </cell>
          <cell r="D6036" t="str">
            <v>30体力-主角8级精英副本经验和金币奖励</v>
          </cell>
          <cell r="E6036" t="str">
            <v>4|10|480|1,4|1|1920|1</v>
          </cell>
        </row>
        <row r="6037">
          <cell r="A6037">
            <v>86009</v>
          </cell>
          <cell r="B6037">
            <v>0</v>
          </cell>
          <cell r="C6037" t="str">
            <v>4|10|540,4|1|2160</v>
          </cell>
          <cell r="D6037" t="str">
            <v>30体力-主角9级精英副本经验和金币奖励</v>
          </cell>
          <cell r="E6037" t="str">
            <v>4|10|540|1,4|1|2160|1</v>
          </cell>
        </row>
        <row r="6038">
          <cell r="A6038">
            <v>86010</v>
          </cell>
          <cell r="B6038">
            <v>0</v>
          </cell>
          <cell r="C6038" t="str">
            <v>4|10|600,4|1|2400</v>
          </cell>
          <cell r="D6038" t="str">
            <v>30体力-主角10级精英副本经验和金币奖励</v>
          </cell>
          <cell r="E6038" t="str">
            <v>4|10|600|1,4|1|2400|1</v>
          </cell>
        </row>
        <row r="6039">
          <cell r="A6039">
            <v>86011</v>
          </cell>
          <cell r="B6039">
            <v>0</v>
          </cell>
          <cell r="C6039" t="str">
            <v>4|10|660,4|1|2640</v>
          </cell>
          <cell r="D6039" t="str">
            <v>30体力-主角11级精英副本经验和金币奖励</v>
          </cell>
          <cell r="E6039" t="str">
            <v>4|10|660|1,4|1|2640|1</v>
          </cell>
        </row>
        <row r="6040">
          <cell r="A6040">
            <v>86012</v>
          </cell>
          <cell r="B6040">
            <v>0</v>
          </cell>
          <cell r="C6040" t="str">
            <v>4|10|720,4|1|2880</v>
          </cell>
          <cell r="D6040" t="str">
            <v>30体力-主角12级精英副本经验和金币奖励</v>
          </cell>
          <cell r="E6040" t="str">
            <v>4|10|720|1,4|1|2880|1</v>
          </cell>
        </row>
        <row r="6041">
          <cell r="A6041">
            <v>86013</v>
          </cell>
          <cell r="B6041">
            <v>0</v>
          </cell>
          <cell r="C6041" t="str">
            <v>4|10|780,4|1|3120</v>
          </cell>
          <cell r="D6041" t="str">
            <v>30体力-主角13级精英副本经验和金币奖励</v>
          </cell>
          <cell r="E6041" t="str">
            <v>4|10|780|1,4|1|3120|1</v>
          </cell>
        </row>
        <row r="6042">
          <cell r="A6042">
            <v>86014</v>
          </cell>
          <cell r="B6042">
            <v>0</v>
          </cell>
          <cell r="C6042" t="str">
            <v>4|10|840,4|1|3360</v>
          </cell>
          <cell r="D6042" t="str">
            <v>30体力-主角14级精英副本经验和金币奖励</v>
          </cell>
          <cell r="E6042" t="str">
            <v>4|10|840|1,4|1|3360|1</v>
          </cell>
        </row>
        <row r="6043">
          <cell r="A6043">
            <v>86015</v>
          </cell>
          <cell r="B6043">
            <v>0</v>
          </cell>
          <cell r="C6043" t="str">
            <v>4|10|900,4|1|3600</v>
          </cell>
          <cell r="D6043" t="str">
            <v>30体力-主角15级精英副本经验和金币奖励</v>
          </cell>
          <cell r="E6043" t="str">
            <v>4|10|900|1,4|1|3600|1</v>
          </cell>
        </row>
        <row r="6044">
          <cell r="A6044">
            <v>86016</v>
          </cell>
          <cell r="B6044">
            <v>0</v>
          </cell>
          <cell r="C6044" t="str">
            <v>4|10|960,4|1|3840</v>
          </cell>
          <cell r="D6044" t="str">
            <v>30体力-主角16级精英副本经验和金币奖励</v>
          </cell>
          <cell r="E6044" t="str">
            <v>4|10|960|1,4|1|3840|1</v>
          </cell>
        </row>
        <row r="6045">
          <cell r="A6045">
            <v>86017</v>
          </cell>
          <cell r="B6045">
            <v>0</v>
          </cell>
          <cell r="C6045" t="str">
            <v>4|10|1020,4|1|4080</v>
          </cell>
          <cell r="D6045" t="str">
            <v>30体力-主角17级精英副本经验和金币奖励</v>
          </cell>
          <cell r="E6045" t="str">
            <v>4|10|1020|1,4|1|4080|1</v>
          </cell>
        </row>
        <row r="6046">
          <cell r="A6046">
            <v>86018</v>
          </cell>
          <cell r="B6046">
            <v>0</v>
          </cell>
          <cell r="C6046" t="str">
            <v>4|10|1080,4|1|4320</v>
          </cell>
          <cell r="D6046" t="str">
            <v>30体力-主角18级精英副本经验和金币奖励</v>
          </cell>
          <cell r="E6046" t="str">
            <v>4|10|1080|1,4|1|4320|1</v>
          </cell>
        </row>
        <row r="6047">
          <cell r="A6047">
            <v>86019</v>
          </cell>
          <cell r="B6047">
            <v>0</v>
          </cell>
          <cell r="C6047" t="str">
            <v>4|10|1140,4|1|4560</v>
          </cell>
          <cell r="D6047" t="str">
            <v>30体力-主角19级精英副本经验和金币奖励</v>
          </cell>
          <cell r="E6047" t="str">
            <v>4|10|1140|1,4|1|4560|1</v>
          </cell>
        </row>
        <row r="6048">
          <cell r="A6048">
            <v>86020</v>
          </cell>
          <cell r="B6048">
            <v>0</v>
          </cell>
          <cell r="C6048" t="str">
            <v>4|10|1200,4|1|4800</v>
          </cell>
          <cell r="D6048" t="str">
            <v>30体力-主角20级精英副本经验和金币奖励</v>
          </cell>
          <cell r="E6048" t="str">
            <v>4|10|1200|1,4|1|4800|1</v>
          </cell>
        </row>
        <row r="6049">
          <cell r="A6049">
            <v>86021</v>
          </cell>
          <cell r="B6049">
            <v>0</v>
          </cell>
          <cell r="C6049" t="str">
            <v>4|10|1260,4|1|5040</v>
          </cell>
          <cell r="D6049" t="str">
            <v>30体力-主角21级精英副本经验和金币奖励</v>
          </cell>
          <cell r="E6049" t="str">
            <v>4|10|1260|1,4|1|5040|1</v>
          </cell>
        </row>
        <row r="6050">
          <cell r="A6050">
            <v>86022</v>
          </cell>
          <cell r="B6050">
            <v>0</v>
          </cell>
          <cell r="C6050" t="str">
            <v>4|10|1320,4|1|5280</v>
          </cell>
          <cell r="D6050" t="str">
            <v>30体力-主角22级精英副本经验和金币奖励</v>
          </cell>
          <cell r="E6050" t="str">
            <v>4|10|1320|1,4|1|5280|1</v>
          </cell>
        </row>
        <row r="6051">
          <cell r="A6051">
            <v>86023</v>
          </cell>
          <cell r="B6051">
            <v>0</v>
          </cell>
          <cell r="C6051" t="str">
            <v>4|10|1380,4|1|5520</v>
          </cell>
          <cell r="D6051" t="str">
            <v>30体力-主角23级精英副本经验和金币奖励</v>
          </cell>
          <cell r="E6051" t="str">
            <v>4|10|1380|1,4|1|5520|1</v>
          </cell>
        </row>
        <row r="6052">
          <cell r="A6052">
            <v>86024</v>
          </cell>
          <cell r="B6052">
            <v>0</v>
          </cell>
          <cell r="C6052" t="str">
            <v>4|10|1440,4|1|5760</v>
          </cell>
          <cell r="D6052" t="str">
            <v>30体力-主角24级精英副本经验和金币奖励</v>
          </cell>
          <cell r="E6052" t="str">
            <v>4|10|1440|1,4|1|5760|1</v>
          </cell>
        </row>
        <row r="6053">
          <cell r="A6053">
            <v>86025</v>
          </cell>
          <cell r="B6053">
            <v>0</v>
          </cell>
          <cell r="C6053" t="str">
            <v>4|10|1500,4|1|6000</v>
          </cell>
          <cell r="D6053" t="str">
            <v>30体力-主角25级精英副本经验和金币奖励</v>
          </cell>
          <cell r="E6053" t="str">
            <v>4|10|1500|1,4|1|6000|1</v>
          </cell>
        </row>
        <row r="6054">
          <cell r="A6054">
            <v>86026</v>
          </cell>
          <cell r="B6054">
            <v>0</v>
          </cell>
          <cell r="C6054" t="str">
            <v>4|10|1560,4|1|6240</v>
          </cell>
          <cell r="D6054" t="str">
            <v>30体力-主角26级精英副本经验和金币奖励</v>
          </cell>
          <cell r="E6054" t="str">
            <v>4|10|1560|1,4|1|6240|1</v>
          </cell>
        </row>
        <row r="6055">
          <cell r="A6055">
            <v>86027</v>
          </cell>
          <cell r="B6055">
            <v>0</v>
          </cell>
          <cell r="C6055" t="str">
            <v>4|10|1620,4|1|6480</v>
          </cell>
          <cell r="D6055" t="str">
            <v>30体力-主角27级精英副本经验和金币奖励</v>
          </cell>
          <cell r="E6055" t="str">
            <v>4|10|1620|1,4|1|6480|1</v>
          </cell>
        </row>
        <row r="6056">
          <cell r="A6056">
            <v>86028</v>
          </cell>
          <cell r="B6056">
            <v>0</v>
          </cell>
          <cell r="C6056" t="str">
            <v>4|10|1680,4|1|6720</v>
          </cell>
          <cell r="D6056" t="str">
            <v>30体力-主角28级精英副本经验和金币奖励</v>
          </cell>
          <cell r="E6056" t="str">
            <v>4|10|1680|1,4|1|6720|1</v>
          </cell>
        </row>
        <row r="6057">
          <cell r="A6057">
            <v>86029</v>
          </cell>
          <cell r="B6057">
            <v>0</v>
          </cell>
          <cell r="C6057" t="str">
            <v>4|10|1740,4|1|6960</v>
          </cell>
          <cell r="D6057" t="str">
            <v>30体力-主角29级精英副本经验和金币奖励</v>
          </cell>
          <cell r="E6057" t="str">
            <v>4|10|1740|1,4|1|6960|1</v>
          </cell>
        </row>
        <row r="6058">
          <cell r="A6058">
            <v>86030</v>
          </cell>
          <cell r="B6058">
            <v>0</v>
          </cell>
          <cell r="C6058" t="str">
            <v>4|10|1800,4|1|7200</v>
          </cell>
          <cell r="D6058" t="str">
            <v>30体力-主角30级精英副本经验和金币奖励</v>
          </cell>
          <cell r="E6058" t="str">
            <v>4|10|1800|1,4|1|7200|1</v>
          </cell>
        </row>
        <row r="6059">
          <cell r="A6059">
            <v>86031</v>
          </cell>
          <cell r="B6059">
            <v>0</v>
          </cell>
          <cell r="C6059" t="str">
            <v>4|10|1860,4|1|7440</v>
          </cell>
          <cell r="D6059" t="str">
            <v>30体力-主角31级精英副本经验和金币奖励</v>
          </cell>
          <cell r="E6059" t="str">
            <v>4|10|1860|1,4|1|7440|1</v>
          </cell>
        </row>
        <row r="6060">
          <cell r="A6060">
            <v>86032</v>
          </cell>
          <cell r="B6060">
            <v>0</v>
          </cell>
          <cell r="C6060" t="str">
            <v>4|10|1920,4|1|7680</v>
          </cell>
          <cell r="D6060" t="str">
            <v>30体力-主角32级精英副本经验和金币奖励</v>
          </cell>
          <cell r="E6060" t="str">
            <v>4|10|1920|1,4|1|7680|1</v>
          </cell>
        </row>
        <row r="6061">
          <cell r="A6061">
            <v>86033</v>
          </cell>
          <cell r="B6061">
            <v>0</v>
          </cell>
          <cell r="C6061" t="str">
            <v>4|10|1980,4|1|7920</v>
          </cell>
          <cell r="D6061" t="str">
            <v>30体力-主角33级精英副本经验和金币奖励</v>
          </cell>
          <cell r="E6061" t="str">
            <v>4|10|1980|1,4|1|7920|1</v>
          </cell>
        </row>
        <row r="6062">
          <cell r="A6062">
            <v>86034</v>
          </cell>
          <cell r="B6062">
            <v>0</v>
          </cell>
          <cell r="C6062" t="str">
            <v>4|10|2040,4|1|8160</v>
          </cell>
          <cell r="D6062" t="str">
            <v>30体力-主角34级精英副本经验和金币奖励</v>
          </cell>
          <cell r="E6062" t="str">
            <v>4|10|2040|1,4|1|8160|1</v>
          </cell>
        </row>
        <row r="6063">
          <cell r="A6063">
            <v>86035</v>
          </cell>
          <cell r="B6063">
            <v>0</v>
          </cell>
          <cell r="C6063" t="str">
            <v>4|10|2100,4|1|8400</v>
          </cell>
          <cell r="D6063" t="str">
            <v>30体力-主角35级精英副本经验和金币奖励</v>
          </cell>
          <cell r="E6063" t="str">
            <v>4|10|2100|1,4|1|8400|1</v>
          </cell>
        </row>
        <row r="6064">
          <cell r="A6064">
            <v>86036</v>
          </cell>
          <cell r="B6064">
            <v>0</v>
          </cell>
          <cell r="C6064" t="str">
            <v>4|10|2160,4|1|8640</v>
          </cell>
          <cell r="D6064" t="str">
            <v>30体力-主角36级精英副本经验和金币奖励</v>
          </cell>
          <cell r="E6064" t="str">
            <v>4|10|2160|1,4|1|8640|1</v>
          </cell>
        </row>
        <row r="6065">
          <cell r="A6065">
            <v>86037</v>
          </cell>
          <cell r="B6065">
            <v>0</v>
          </cell>
          <cell r="C6065" t="str">
            <v>4|10|2220,4|1|8880</v>
          </cell>
          <cell r="D6065" t="str">
            <v>30体力-主角37级精英副本经验和金币奖励</v>
          </cell>
          <cell r="E6065" t="str">
            <v>4|10|2220|1,4|1|8880|1</v>
          </cell>
        </row>
        <row r="6066">
          <cell r="A6066">
            <v>86038</v>
          </cell>
          <cell r="B6066">
            <v>0</v>
          </cell>
          <cell r="C6066" t="str">
            <v>4|10|2280,4|1|9120</v>
          </cell>
          <cell r="D6066" t="str">
            <v>30体力-主角38级精英副本经验和金币奖励</v>
          </cell>
          <cell r="E6066" t="str">
            <v>4|10|2280|1,4|1|9120|1</v>
          </cell>
        </row>
        <row r="6067">
          <cell r="A6067">
            <v>86039</v>
          </cell>
          <cell r="B6067">
            <v>0</v>
          </cell>
          <cell r="C6067" t="str">
            <v>4|10|2340,4|1|9360</v>
          </cell>
          <cell r="D6067" t="str">
            <v>30体力-主角39级精英副本经验和金币奖励</v>
          </cell>
          <cell r="E6067" t="str">
            <v>4|10|2340|1,4|1|9360|1</v>
          </cell>
        </row>
        <row r="6068">
          <cell r="A6068">
            <v>86040</v>
          </cell>
          <cell r="B6068">
            <v>0</v>
          </cell>
          <cell r="C6068" t="str">
            <v>4|10|2400,4|1|9600</v>
          </cell>
          <cell r="D6068" t="str">
            <v>30体力-主角40级精英副本经验和金币奖励</v>
          </cell>
          <cell r="E6068" t="str">
            <v>4|10|2400|1,4|1|9600|1</v>
          </cell>
        </row>
        <row r="6069">
          <cell r="A6069">
            <v>86041</v>
          </cell>
          <cell r="B6069">
            <v>0</v>
          </cell>
          <cell r="C6069" t="str">
            <v>4|10|2460,4|1|9840</v>
          </cell>
          <cell r="D6069" t="str">
            <v>30体力-主角41级精英副本经验和金币奖励</v>
          </cell>
          <cell r="E6069" t="str">
            <v>4|10|2460|1,4|1|9840|1</v>
          </cell>
        </row>
        <row r="6070">
          <cell r="A6070">
            <v>86042</v>
          </cell>
          <cell r="B6070">
            <v>0</v>
          </cell>
          <cell r="C6070" t="str">
            <v>4|10|2520,4|1|10080</v>
          </cell>
          <cell r="D6070" t="str">
            <v>30体力-主角42级精英副本经验和金币奖励</v>
          </cell>
          <cell r="E6070" t="str">
            <v>4|10|2520|1,4|1|10080|1</v>
          </cell>
        </row>
        <row r="6071">
          <cell r="A6071">
            <v>86043</v>
          </cell>
          <cell r="B6071">
            <v>0</v>
          </cell>
          <cell r="C6071" t="str">
            <v>4|10|2580,4|1|10320</v>
          </cell>
          <cell r="D6071" t="str">
            <v>30体力-主角43级精英副本经验和金币奖励</v>
          </cell>
          <cell r="E6071" t="str">
            <v>4|10|2580|1,4|1|10320|1</v>
          </cell>
        </row>
        <row r="6072">
          <cell r="A6072">
            <v>86044</v>
          </cell>
          <cell r="B6072">
            <v>0</v>
          </cell>
          <cell r="C6072" t="str">
            <v>4|10|2640,4|1|10560</v>
          </cell>
          <cell r="D6072" t="str">
            <v>30体力-主角44级精英副本经验和金币奖励</v>
          </cell>
          <cell r="E6072" t="str">
            <v>4|10|2640|1,4|1|10560|1</v>
          </cell>
        </row>
        <row r="6073">
          <cell r="A6073">
            <v>86045</v>
          </cell>
          <cell r="B6073">
            <v>0</v>
          </cell>
          <cell r="C6073" t="str">
            <v>4|10|2700,4|1|10800</v>
          </cell>
          <cell r="D6073" t="str">
            <v>30体力-主角45级精英副本经验和金币奖励</v>
          </cell>
          <cell r="E6073" t="str">
            <v>4|10|2700|1,4|1|10800|1</v>
          </cell>
        </row>
        <row r="6074">
          <cell r="A6074">
            <v>86046</v>
          </cell>
          <cell r="B6074">
            <v>0</v>
          </cell>
          <cell r="C6074" t="str">
            <v>4|10|2760,4|1|11040</v>
          </cell>
          <cell r="D6074" t="str">
            <v>30体力-主角46级精英副本经验和金币奖励</v>
          </cell>
          <cell r="E6074" t="str">
            <v>4|10|2760|1,4|1|11040|1</v>
          </cell>
        </row>
        <row r="6075">
          <cell r="A6075">
            <v>86047</v>
          </cell>
          <cell r="B6075">
            <v>0</v>
          </cell>
          <cell r="C6075" t="str">
            <v>4|10|2820,4|1|11280</v>
          </cell>
          <cell r="D6075" t="str">
            <v>30体力-主角47级精英副本经验和金币奖励</v>
          </cell>
          <cell r="E6075" t="str">
            <v>4|10|2820|1,4|1|11280|1</v>
          </cell>
        </row>
        <row r="6076">
          <cell r="A6076">
            <v>86048</v>
          </cell>
          <cell r="B6076">
            <v>0</v>
          </cell>
          <cell r="C6076" t="str">
            <v>4|10|2880,4|1|11520</v>
          </cell>
          <cell r="D6076" t="str">
            <v>30体力-主角48级精英副本经验和金币奖励</v>
          </cell>
          <cell r="E6076" t="str">
            <v>4|10|2880|1,4|1|11520|1</v>
          </cell>
        </row>
        <row r="6077">
          <cell r="A6077">
            <v>86049</v>
          </cell>
          <cell r="B6077">
            <v>0</v>
          </cell>
          <cell r="C6077" t="str">
            <v>4|10|2940,4|1|11760</v>
          </cell>
          <cell r="D6077" t="str">
            <v>30体力-主角49级精英副本经验和金币奖励</v>
          </cell>
          <cell r="E6077" t="str">
            <v>4|10|2940|1,4|1|11760|1</v>
          </cell>
        </row>
        <row r="6078">
          <cell r="A6078">
            <v>86050</v>
          </cell>
          <cell r="B6078">
            <v>0</v>
          </cell>
          <cell r="C6078" t="str">
            <v>4|10|3000,4|1|12000</v>
          </cell>
          <cell r="D6078" t="str">
            <v>30体力-主角50级精英副本经验和金币奖励</v>
          </cell>
          <cell r="E6078" t="str">
            <v>4|10|3000|1,4|1|12000|1</v>
          </cell>
        </row>
        <row r="6079">
          <cell r="A6079">
            <v>86051</v>
          </cell>
          <cell r="B6079">
            <v>0</v>
          </cell>
          <cell r="C6079" t="str">
            <v>4|10|3060,4|1|12240</v>
          </cell>
          <cell r="D6079" t="str">
            <v>30体力-主角51级精英副本经验和金币奖励</v>
          </cell>
          <cell r="E6079" t="str">
            <v>4|10|3060|1,4|1|12240|1</v>
          </cell>
        </row>
        <row r="6080">
          <cell r="A6080">
            <v>86052</v>
          </cell>
          <cell r="B6080">
            <v>0</v>
          </cell>
          <cell r="C6080" t="str">
            <v>4|10|3120,4|1|12480</v>
          </cell>
          <cell r="D6080" t="str">
            <v>30体力-主角52级精英副本经验和金币奖励</v>
          </cell>
          <cell r="E6080" t="str">
            <v>4|10|3120|1,4|1|12480|1</v>
          </cell>
        </row>
        <row r="6081">
          <cell r="A6081">
            <v>86053</v>
          </cell>
          <cell r="B6081">
            <v>0</v>
          </cell>
          <cell r="C6081" t="str">
            <v>4|10|3180,4|1|12720</v>
          </cell>
          <cell r="D6081" t="str">
            <v>30体力-主角53级精英副本经验和金币奖励</v>
          </cell>
          <cell r="E6081" t="str">
            <v>4|10|3180|1,4|1|12720|1</v>
          </cell>
        </row>
        <row r="6082">
          <cell r="A6082">
            <v>86054</v>
          </cell>
          <cell r="B6082">
            <v>0</v>
          </cell>
          <cell r="C6082" t="str">
            <v>4|10|3240,4|1|12960</v>
          </cell>
          <cell r="D6082" t="str">
            <v>30体力-主角54级精英副本经验和金币奖励</v>
          </cell>
          <cell r="E6082" t="str">
            <v>4|10|3240|1,4|1|12960|1</v>
          </cell>
        </row>
        <row r="6083">
          <cell r="A6083">
            <v>86055</v>
          </cell>
          <cell r="B6083">
            <v>0</v>
          </cell>
          <cell r="C6083" t="str">
            <v>4|10|3300,4|1|13200</v>
          </cell>
          <cell r="D6083" t="str">
            <v>30体力-主角55级精英副本经验和金币奖励</v>
          </cell>
          <cell r="E6083" t="str">
            <v>4|10|3300|1,4|1|13200|1</v>
          </cell>
        </row>
        <row r="6084">
          <cell r="A6084">
            <v>86056</v>
          </cell>
          <cell r="B6084">
            <v>0</v>
          </cell>
          <cell r="C6084" t="str">
            <v>4|10|3360,4|1|13440</v>
          </cell>
          <cell r="D6084" t="str">
            <v>30体力-主角56级精英副本经验和金币奖励</v>
          </cell>
          <cell r="E6084" t="str">
            <v>4|10|3360|1,4|1|13440|1</v>
          </cell>
        </row>
        <row r="6085">
          <cell r="A6085">
            <v>86057</v>
          </cell>
          <cell r="B6085">
            <v>0</v>
          </cell>
          <cell r="C6085" t="str">
            <v>4|10|3420,4|1|13680</v>
          </cell>
          <cell r="D6085" t="str">
            <v>30体力-主角57级精英副本经验和金币奖励</v>
          </cell>
          <cell r="E6085" t="str">
            <v>4|10|3420|1,4|1|13680|1</v>
          </cell>
        </row>
        <row r="6086">
          <cell r="A6086">
            <v>86058</v>
          </cell>
          <cell r="B6086">
            <v>0</v>
          </cell>
          <cell r="C6086" t="str">
            <v>4|10|3480,4|1|13920</v>
          </cell>
          <cell r="D6086" t="str">
            <v>30体力-主角58级精英副本经验和金币奖励</v>
          </cell>
          <cell r="E6086" t="str">
            <v>4|10|3480|1,4|1|13920|1</v>
          </cell>
        </row>
        <row r="6087">
          <cell r="A6087">
            <v>86059</v>
          </cell>
          <cell r="B6087">
            <v>0</v>
          </cell>
          <cell r="C6087" t="str">
            <v>4|10|3540,4|1|14160</v>
          </cell>
          <cell r="D6087" t="str">
            <v>30体力-主角59级精英副本经验和金币奖励</v>
          </cell>
          <cell r="E6087" t="str">
            <v>4|10|3540|1,4|1|14160|1</v>
          </cell>
        </row>
        <row r="6088">
          <cell r="A6088">
            <v>86060</v>
          </cell>
          <cell r="B6088">
            <v>0</v>
          </cell>
          <cell r="C6088" t="str">
            <v>4|10|3600,4|1|14400</v>
          </cell>
          <cell r="D6088" t="str">
            <v>30体力-主角60级精英副本经验和金币奖励</v>
          </cell>
          <cell r="E6088" t="str">
            <v>4|10|3600|1,4|1|14400|1</v>
          </cell>
        </row>
        <row r="6089">
          <cell r="A6089">
            <v>86061</v>
          </cell>
          <cell r="B6089">
            <v>0</v>
          </cell>
          <cell r="C6089" t="str">
            <v>4|10|3660,4|1|14640</v>
          </cell>
          <cell r="D6089" t="str">
            <v>30体力-主角61级精英副本经验和金币奖励</v>
          </cell>
          <cell r="E6089" t="str">
            <v>4|10|3660|1,4|1|14640|1</v>
          </cell>
        </row>
        <row r="6090">
          <cell r="A6090">
            <v>86062</v>
          </cell>
          <cell r="B6090">
            <v>0</v>
          </cell>
          <cell r="C6090" t="str">
            <v>4|10|3720,4|1|14880</v>
          </cell>
          <cell r="D6090" t="str">
            <v>30体力-主角62级精英副本经验和金币奖励</v>
          </cell>
          <cell r="E6090" t="str">
            <v>4|10|3720|1,4|1|14880|1</v>
          </cell>
        </row>
        <row r="6091">
          <cell r="A6091">
            <v>86063</v>
          </cell>
          <cell r="B6091">
            <v>0</v>
          </cell>
          <cell r="C6091" t="str">
            <v>4|10|3780,4|1|15120</v>
          </cell>
          <cell r="D6091" t="str">
            <v>30体力-主角63级精英副本经验和金币奖励</v>
          </cell>
          <cell r="E6091" t="str">
            <v>4|10|3780|1,4|1|15120|1</v>
          </cell>
        </row>
        <row r="6092">
          <cell r="A6092">
            <v>86064</v>
          </cell>
          <cell r="B6092">
            <v>0</v>
          </cell>
          <cell r="C6092" t="str">
            <v>4|10|3840,4|1|15360</v>
          </cell>
          <cell r="D6092" t="str">
            <v>30体力-主角64级精英副本经验和金币奖励</v>
          </cell>
          <cell r="E6092" t="str">
            <v>4|10|3840|1,4|1|15360|1</v>
          </cell>
        </row>
        <row r="6093">
          <cell r="A6093">
            <v>86065</v>
          </cell>
          <cell r="B6093">
            <v>0</v>
          </cell>
          <cell r="C6093" t="str">
            <v>4|10|3900,4|1|15600</v>
          </cell>
          <cell r="D6093" t="str">
            <v>30体力-主角65级精英副本经验和金币奖励</v>
          </cell>
          <cell r="E6093" t="str">
            <v>4|10|3900|1,4|1|15600|1</v>
          </cell>
        </row>
        <row r="6094">
          <cell r="A6094">
            <v>86066</v>
          </cell>
          <cell r="B6094">
            <v>0</v>
          </cell>
          <cell r="C6094" t="str">
            <v>4|10|3960,4|1|15840</v>
          </cell>
          <cell r="D6094" t="str">
            <v>30体力-主角66级精英副本经验和金币奖励</v>
          </cell>
          <cell r="E6094" t="str">
            <v>4|10|3960|1,4|1|15840|1</v>
          </cell>
        </row>
        <row r="6095">
          <cell r="A6095">
            <v>86067</v>
          </cell>
          <cell r="B6095">
            <v>0</v>
          </cell>
          <cell r="C6095" t="str">
            <v>4|10|4020,4|1|16080</v>
          </cell>
          <cell r="D6095" t="str">
            <v>30体力-主角67级精英副本经验和金币奖励</v>
          </cell>
          <cell r="E6095" t="str">
            <v>4|10|4020|1,4|1|16080|1</v>
          </cell>
        </row>
        <row r="6096">
          <cell r="A6096">
            <v>86068</v>
          </cell>
          <cell r="B6096">
            <v>0</v>
          </cell>
          <cell r="C6096" t="str">
            <v>4|10|4080,4|1|16320</v>
          </cell>
          <cell r="D6096" t="str">
            <v>30体力-主角68级精英副本经验和金币奖励</v>
          </cell>
          <cell r="E6096" t="str">
            <v>4|10|4080|1,4|1|16320|1</v>
          </cell>
        </row>
        <row r="6097">
          <cell r="A6097">
            <v>86069</v>
          </cell>
          <cell r="B6097">
            <v>0</v>
          </cell>
          <cell r="C6097" t="str">
            <v>4|10|4140,4|1|16560</v>
          </cell>
          <cell r="D6097" t="str">
            <v>30体力-主角69级精英副本经验和金币奖励</v>
          </cell>
          <cell r="E6097" t="str">
            <v>4|10|4140|1,4|1|16560|1</v>
          </cell>
        </row>
        <row r="6098">
          <cell r="A6098">
            <v>86070</v>
          </cell>
          <cell r="B6098">
            <v>0</v>
          </cell>
          <cell r="C6098" t="str">
            <v>4|10|4200,4|1|16800</v>
          </cell>
          <cell r="D6098" t="str">
            <v>30体力-主角70级精英副本经验和金币奖励</v>
          </cell>
          <cell r="E6098" t="str">
            <v>4|10|4200|1,4|1|16800|1</v>
          </cell>
        </row>
        <row r="6099">
          <cell r="A6099">
            <v>86071</v>
          </cell>
          <cell r="B6099">
            <v>0</v>
          </cell>
          <cell r="C6099" t="str">
            <v>4|10|4260,4|1|17040</v>
          </cell>
          <cell r="D6099" t="str">
            <v>30体力-主角71级精英副本经验和金币奖励</v>
          </cell>
          <cell r="E6099" t="str">
            <v>4|10|4260|1,4|1|17040|1</v>
          </cell>
        </row>
        <row r="6100">
          <cell r="A6100">
            <v>86072</v>
          </cell>
          <cell r="B6100">
            <v>0</v>
          </cell>
          <cell r="C6100" t="str">
            <v>4|10|4320,4|1|17280</v>
          </cell>
          <cell r="D6100" t="str">
            <v>30体力-主角72级精英副本经验和金币奖励</v>
          </cell>
          <cell r="E6100" t="str">
            <v>4|10|4320|1,4|1|17280|1</v>
          </cell>
        </row>
        <row r="6101">
          <cell r="A6101">
            <v>86073</v>
          </cell>
          <cell r="B6101">
            <v>0</v>
          </cell>
          <cell r="C6101" t="str">
            <v>4|10|4380,4|1|17520</v>
          </cell>
          <cell r="D6101" t="str">
            <v>30体力-主角73级精英副本经验和金币奖励</v>
          </cell>
          <cell r="E6101" t="str">
            <v>4|10|4380|1,4|1|17520|1</v>
          </cell>
        </row>
        <row r="6102">
          <cell r="A6102">
            <v>86074</v>
          </cell>
          <cell r="B6102">
            <v>0</v>
          </cell>
          <cell r="C6102" t="str">
            <v>4|10|4440,4|1|17760</v>
          </cell>
          <cell r="D6102" t="str">
            <v>30体力-主角74级精英副本经验和金币奖励</v>
          </cell>
          <cell r="E6102" t="str">
            <v>4|10|4440|1,4|1|17760|1</v>
          </cell>
        </row>
        <row r="6103">
          <cell r="A6103">
            <v>86075</v>
          </cell>
          <cell r="B6103">
            <v>0</v>
          </cell>
          <cell r="C6103" t="str">
            <v>4|10|4500,4|1|18000</v>
          </cell>
          <cell r="D6103" t="str">
            <v>30体力-主角75级精英副本经验和金币奖励</v>
          </cell>
          <cell r="E6103" t="str">
            <v>4|10|4500|1,4|1|18000|1</v>
          </cell>
        </row>
        <row r="6104">
          <cell r="A6104">
            <v>86076</v>
          </cell>
          <cell r="B6104">
            <v>0</v>
          </cell>
          <cell r="C6104" t="str">
            <v>4|10|4560,4|1|18240</v>
          </cell>
          <cell r="D6104" t="str">
            <v>30体力-主角76级精英副本经验和金币奖励</v>
          </cell>
          <cell r="E6104" t="str">
            <v>4|10|4560|1,4|1|18240|1</v>
          </cell>
        </row>
        <row r="6105">
          <cell r="A6105">
            <v>86077</v>
          </cell>
          <cell r="B6105">
            <v>0</v>
          </cell>
          <cell r="C6105" t="str">
            <v>4|10|4620,4|1|18480</v>
          </cell>
          <cell r="D6105" t="str">
            <v>30体力-主角77级精英副本经验和金币奖励</v>
          </cell>
          <cell r="E6105" t="str">
            <v>4|10|4620|1,4|1|18480|1</v>
          </cell>
        </row>
        <row r="6106">
          <cell r="A6106">
            <v>86078</v>
          </cell>
          <cell r="B6106">
            <v>0</v>
          </cell>
          <cell r="C6106" t="str">
            <v>4|10|4680,4|1|18720</v>
          </cell>
          <cell r="D6106" t="str">
            <v>30体力-主角78级精英副本经验和金币奖励</v>
          </cell>
          <cell r="E6106" t="str">
            <v>4|10|4680|1,4|1|18720|1</v>
          </cell>
        </row>
        <row r="6107">
          <cell r="A6107">
            <v>86079</v>
          </cell>
          <cell r="B6107">
            <v>0</v>
          </cell>
          <cell r="C6107" t="str">
            <v>4|10|4740,4|1|18960</v>
          </cell>
          <cell r="D6107" t="str">
            <v>30体力-主角79级精英副本经验和金币奖励</v>
          </cell>
          <cell r="E6107" t="str">
            <v>4|10|4740|1,4|1|18960|1</v>
          </cell>
        </row>
        <row r="6108">
          <cell r="A6108">
            <v>86080</v>
          </cell>
          <cell r="B6108">
            <v>0</v>
          </cell>
          <cell r="C6108" t="str">
            <v>4|10|4800,4|1|19200</v>
          </cell>
          <cell r="D6108" t="str">
            <v>30体力-主角80级精英副本经验和金币奖励</v>
          </cell>
          <cell r="E6108" t="str">
            <v>4|10|4800|1,4|1|19200|1</v>
          </cell>
        </row>
        <row r="6109">
          <cell r="A6109">
            <v>86081</v>
          </cell>
          <cell r="B6109">
            <v>0</v>
          </cell>
          <cell r="C6109" t="str">
            <v>4|10|4860,4|1|19440</v>
          </cell>
          <cell r="D6109" t="str">
            <v>30体力-主角81级精英副本经验和金币奖励</v>
          </cell>
          <cell r="E6109" t="str">
            <v>4|10|4860|1,4|1|19440|1</v>
          </cell>
        </row>
        <row r="6110">
          <cell r="A6110">
            <v>86082</v>
          </cell>
          <cell r="B6110">
            <v>0</v>
          </cell>
          <cell r="C6110" t="str">
            <v>4|10|4920,4|1|19680</v>
          </cell>
          <cell r="D6110" t="str">
            <v>30体力-主角82级精英副本经验和金币奖励</v>
          </cell>
          <cell r="E6110" t="str">
            <v>4|10|4920|1,4|1|19680|1</v>
          </cell>
        </row>
        <row r="6111">
          <cell r="A6111">
            <v>86083</v>
          </cell>
          <cell r="B6111">
            <v>0</v>
          </cell>
          <cell r="C6111" t="str">
            <v>4|10|4980,4|1|19920</v>
          </cell>
          <cell r="D6111" t="str">
            <v>30体力-主角83级精英副本经验和金币奖励</v>
          </cell>
          <cell r="E6111" t="str">
            <v>4|10|4980|1,4|1|19920|1</v>
          </cell>
        </row>
        <row r="6112">
          <cell r="A6112">
            <v>86084</v>
          </cell>
          <cell r="B6112">
            <v>0</v>
          </cell>
          <cell r="C6112" t="str">
            <v>4|10|5040,4|1|20160</v>
          </cell>
          <cell r="D6112" t="str">
            <v>30体力-主角84级精英副本经验和金币奖励</v>
          </cell>
          <cell r="E6112" t="str">
            <v>4|10|5040|1,4|1|20160|1</v>
          </cell>
        </row>
        <row r="6113">
          <cell r="A6113">
            <v>86085</v>
          </cell>
          <cell r="B6113">
            <v>0</v>
          </cell>
          <cell r="C6113" t="str">
            <v>4|10|5100,4|1|20400</v>
          </cell>
          <cell r="D6113" t="str">
            <v>30体力-主角85级精英副本经验和金币奖励</v>
          </cell>
          <cell r="E6113" t="str">
            <v>4|10|5100|1,4|1|20400|1</v>
          </cell>
        </row>
        <row r="6114">
          <cell r="A6114">
            <v>86086</v>
          </cell>
          <cell r="B6114">
            <v>0</v>
          </cell>
          <cell r="C6114" t="str">
            <v>4|10|5160,4|1|20640</v>
          </cell>
          <cell r="D6114" t="str">
            <v>30体力-主角86级精英副本经验和金币奖励</v>
          </cell>
          <cell r="E6114" t="str">
            <v>4|10|5160|1,4|1|20640|1</v>
          </cell>
        </row>
        <row r="6115">
          <cell r="A6115">
            <v>86087</v>
          </cell>
          <cell r="B6115">
            <v>0</v>
          </cell>
          <cell r="C6115" t="str">
            <v>4|10|5220,4|1|20880</v>
          </cell>
          <cell r="D6115" t="str">
            <v>30体力-主角87级精英副本经验和金币奖励</v>
          </cell>
          <cell r="E6115" t="str">
            <v>4|10|5220|1,4|1|20880|1</v>
          </cell>
        </row>
        <row r="6116">
          <cell r="A6116">
            <v>86088</v>
          </cell>
          <cell r="B6116">
            <v>0</v>
          </cell>
          <cell r="C6116" t="str">
            <v>4|10|5280,4|1|21120</v>
          </cell>
          <cell r="D6116" t="str">
            <v>30体力-主角88级精英副本经验和金币奖励</v>
          </cell>
          <cell r="E6116" t="str">
            <v>4|10|5280|1,4|1|21120|1</v>
          </cell>
        </row>
        <row r="6117">
          <cell r="A6117">
            <v>86089</v>
          </cell>
          <cell r="B6117">
            <v>0</v>
          </cell>
          <cell r="C6117" t="str">
            <v>4|10|5340,4|1|21360</v>
          </cell>
          <cell r="D6117" t="str">
            <v>30体力-主角89级精英副本经验和金币奖励</v>
          </cell>
          <cell r="E6117" t="str">
            <v>4|10|5340|1,4|1|21360|1</v>
          </cell>
        </row>
        <row r="6118">
          <cell r="A6118">
            <v>86090</v>
          </cell>
          <cell r="B6118">
            <v>0</v>
          </cell>
          <cell r="C6118" t="str">
            <v>4|10|5400,4|1|21600</v>
          </cell>
          <cell r="D6118" t="str">
            <v>30体力-主角90级精英副本经验和金币奖励</v>
          </cell>
          <cell r="E6118" t="str">
            <v>4|10|5400|1,4|1|21600|1</v>
          </cell>
        </row>
        <row r="6119">
          <cell r="A6119">
            <v>86091</v>
          </cell>
          <cell r="B6119">
            <v>0</v>
          </cell>
          <cell r="C6119" t="str">
            <v>4|10|5460,4|1|21840</v>
          </cell>
          <cell r="D6119" t="str">
            <v>30体力-主角91级精英副本经验和金币奖励</v>
          </cell>
          <cell r="E6119" t="str">
            <v>4|10|5460|1,4|1|21840|1</v>
          </cell>
        </row>
        <row r="6120">
          <cell r="A6120">
            <v>86092</v>
          </cell>
          <cell r="B6120">
            <v>0</v>
          </cell>
          <cell r="C6120" t="str">
            <v>4|10|5520,4|1|22080</v>
          </cell>
          <cell r="D6120" t="str">
            <v>30体力-主角92级精英副本经验和金币奖励</v>
          </cell>
          <cell r="E6120" t="str">
            <v>4|10|5520|1,4|1|22080|1</v>
          </cell>
        </row>
        <row r="6121">
          <cell r="A6121">
            <v>86093</v>
          </cell>
          <cell r="B6121">
            <v>0</v>
          </cell>
          <cell r="C6121" t="str">
            <v>4|10|5580,4|1|22320</v>
          </cell>
          <cell r="D6121" t="str">
            <v>30体力-主角93级精英副本经验和金币奖励</v>
          </cell>
          <cell r="E6121" t="str">
            <v>4|10|5580|1,4|1|22320|1</v>
          </cell>
        </row>
        <row r="6122">
          <cell r="A6122">
            <v>86094</v>
          </cell>
          <cell r="B6122">
            <v>0</v>
          </cell>
          <cell r="C6122" t="str">
            <v>4|10|5640,4|1|22560</v>
          </cell>
          <cell r="D6122" t="str">
            <v>30体力-主角94级精英副本经验和金币奖励</v>
          </cell>
          <cell r="E6122" t="str">
            <v>4|10|5640|1,4|1|22560|1</v>
          </cell>
        </row>
        <row r="6123">
          <cell r="A6123">
            <v>86095</v>
          </cell>
          <cell r="B6123">
            <v>0</v>
          </cell>
          <cell r="C6123" t="str">
            <v>4|10|5700,4|1|22800</v>
          </cell>
          <cell r="D6123" t="str">
            <v>30体力-主角95级精英副本经验和金币奖励</v>
          </cell>
          <cell r="E6123" t="str">
            <v>4|10|5700|1,4|1|22800|1</v>
          </cell>
        </row>
        <row r="6124">
          <cell r="A6124">
            <v>86096</v>
          </cell>
          <cell r="B6124">
            <v>0</v>
          </cell>
          <cell r="C6124" t="str">
            <v>4|10|5760,4|1|23040</v>
          </cell>
          <cell r="D6124" t="str">
            <v>30体力-主角96级精英副本经验和金币奖励</v>
          </cell>
          <cell r="E6124" t="str">
            <v>4|10|5760|1,4|1|23040|1</v>
          </cell>
        </row>
        <row r="6125">
          <cell r="A6125">
            <v>86097</v>
          </cell>
          <cell r="B6125">
            <v>0</v>
          </cell>
          <cell r="C6125" t="str">
            <v>4|10|5820,4|1|23280</v>
          </cell>
          <cell r="D6125" t="str">
            <v>30体力-主角97级精英副本经验和金币奖励</v>
          </cell>
          <cell r="E6125" t="str">
            <v>4|10|5820|1,4|1|23280|1</v>
          </cell>
        </row>
        <row r="6126">
          <cell r="A6126">
            <v>86098</v>
          </cell>
          <cell r="B6126">
            <v>0</v>
          </cell>
          <cell r="C6126" t="str">
            <v>4|10|5880,4|1|23520</v>
          </cell>
          <cell r="D6126" t="str">
            <v>30体力-主角98级精英副本经验和金币奖励</v>
          </cell>
          <cell r="E6126" t="str">
            <v>4|10|5880|1,4|1|23520|1</v>
          </cell>
        </row>
        <row r="6127">
          <cell r="A6127">
            <v>86099</v>
          </cell>
          <cell r="B6127">
            <v>0</v>
          </cell>
          <cell r="C6127" t="str">
            <v>4|10|5940,4|1|23760</v>
          </cell>
          <cell r="D6127" t="str">
            <v>30体力-主角99级精英副本经验和金币奖励</v>
          </cell>
          <cell r="E6127" t="str">
            <v>4|10|5940|1,4|1|23760|1</v>
          </cell>
        </row>
        <row r="6128">
          <cell r="A6128">
            <v>86100</v>
          </cell>
          <cell r="B6128">
            <v>0</v>
          </cell>
          <cell r="C6128" t="str">
            <v>4|10|6000,4|1|24000</v>
          </cell>
          <cell r="D6128" t="str">
            <v>30体力-主角100级精英副本经验和金币奖励</v>
          </cell>
          <cell r="E6128" t="str">
            <v>4|10|6000|1,4|1|24000|1</v>
          </cell>
        </row>
        <row r="6129">
          <cell r="A6129">
            <v>86101</v>
          </cell>
          <cell r="B6129">
            <v>0</v>
          </cell>
          <cell r="C6129" t="str">
            <v>4|10|6060,4|1|24240</v>
          </cell>
          <cell r="D6129" t="str">
            <v>30体力-主角101级精英副本经验和金币奖励</v>
          </cell>
          <cell r="E6129" t="str">
            <v>4|10|6060|1,4|1|24240|1</v>
          </cell>
        </row>
        <row r="6130">
          <cell r="A6130">
            <v>86102</v>
          </cell>
          <cell r="B6130">
            <v>0</v>
          </cell>
          <cell r="C6130" t="str">
            <v>4|10|6120,4|1|24480</v>
          </cell>
          <cell r="D6130" t="str">
            <v>30体力-主角102级精英副本经验和金币奖励</v>
          </cell>
          <cell r="E6130" t="str">
            <v>4|10|6120|1,4|1|24480|1</v>
          </cell>
        </row>
        <row r="6131">
          <cell r="A6131">
            <v>86103</v>
          </cell>
          <cell r="B6131">
            <v>0</v>
          </cell>
          <cell r="C6131" t="str">
            <v>4|10|6180,4|1|24720</v>
          </cell>
          <cell r="D6131" t="str">
            <v>30体力-主角103级精英副本经验和金币奖励</v>
          </cell>
          <cell r="E6131" t="str">
            <v>4|10|6180|1,4|1|24720|1</v>
          </cell>
        </row>
        <row r="6132">
          <cell r="A6132">
            <v>86104</v>
          </cell>
          <cell r="B6132">
            <v>0</v>
          </cell>
          <cell r="C6132" t="str">
            <v>4|10|6240,4|1|24960</v>
          </cell>
          <cell r="D6132" t="str">
            <v>30体力-主角104级精英副本经验和金币奖励</v>
          </cell>
          <cell r="E6132" t="str">
            <v>4|10|6240|1,4|1|24960|1</v>
          </cell>
        </row>
        <row r="6133">
          <cell r="A6133">
            <v>86105</v>
          </cell>
          <cell r="B6133">
            <v>0</v>
          </cell>
          <cell r="C6133" t="str">
            <v>4|10|6300,4|1|25200</v>
          </cell>
          <cell r="D6133" t="str">
            <v>30体力-主角105级精英副本经验和金币奖励</v>
          </cell>
          <cell r="E6133" t="str">
            <v>4|10|6300|1,4|1|25200|1</v>
          </cell>
        </row>
        <row r="6134">
          <cell r="A6134">
            <v>86106</v>
          </cell>
          <cell r="B6134">
            <v>0</v>
          </cell>
          <cell r="C6134" t="str">
            <v>4|10|6360,4|1|25440</v>
          </cell>
          <cell r="D6134" t="str">
            <v>30体力-主角106级精英副本经验和金币奖励</v>
          </cell>
          <cell r="E6134" t="str">
            <v>4|10|6360|1,4|1|25440|1</v>
          </cell>
        </row>
        <row r="6135">
          <cell r="A6135">
            <v>86107</v>
          </cell>
          <cell r="B6135">
            <v>0</v>
          </cell>
          <cell r="C6135" t="str">
            <v>4|10|6420,4|1|25680</v>
          </cell>
          <cell r="D6135" t="str">
            <v>30体力-主角107级精英副本经验和金币奖励</v>
          </cell>
          <cell r="E6135" t="str">
            <v>4|10|6420|1,4|1|25680|1</v>
          </cell>
        </row>
        <row r="6136">
          <cell r="A6136">
            <v>86108</v>
          </cell>
          <cell r="B6136">
            <v>0</v>
          </cell>
          <cell r="C6136" t="str">
            <v>4|10|6480,4|1|25920</v>
          </cell>
          <cell r="D6136" t="str">
            <v>30体力-主角108级精英副本经验和金币奖励</v>
          </cell>
          <cell r="E6136" t="str">
            <v>4|10|6480|1,4|1|25920|1</v>
          </cell>
        </row>
        <row r="6137">
          <cell r="A6137">
            <v>86109</v>
          </cell>
          <cell r="B6137">
            <v>0</v>
          </cell>
          <cell r="C6137" t="str">
            <v>4|10|6540,4|1|26160</v>
          </cell>
          <cell r="D6137" t="str">
            <v>30体力-主角109级精英副本经验和金币奖励</v>
          </cell>
          <cell r="E6137" t="str">
            <v>4|10|6540|1,4|1|26160|1</v>
          </cell>
        </row>
        <row r="6138">
          <cell r="A6138">
            <v>86110</v>
          </cell>
          <cell r="B6138">
            <v>0</v>
          </cell>
          <cell r="C6138" t="str">
            <v>4|10|6600,4|1|26400</v>
          </cell>
          <cell r="D6138" t="str">
            <v>30体力-主角110级精英副本经验和金币奖励</v>
          </cell>
          <cell r="E6138" t="str">
            <v>4|10|6600|1,4|1|26400|1</v>
          </cell>
        </row>
        <row r="6139">
          <cell r="A6139">
            <v>86111</v>
          </cell>
          <cell r="B6139">
            <v>0</v>
          </cell>
          <cell r="C6139" t="str">
            <v>4|10|6660,4|1|26640</v>
          </cell>
          <cell r="D6139" t="str">
            <v>30体力-主角111级精英副本经验和金币奖励</v>
          </cell>
          <cell r="E6139" t="str">
            <v>4|10|6660|1,4|1|26640|1</v>
          </cell>
        </row>
        <row r="6140">
          <cell r="A6140">
            <v>86112</v>
          </cell>
          <cell r="B6140">
            <v>0</v>
          </cell>
          <cell r="C6140" t="str">
            <v>4|10|6720,4|1|26880</v>
          </cell>
          <cell r="D6140" t="str">
            <v>30体力-主角112级精英副本经验和金币奖励</v>
          </cell>
          <cell r="E6140" t="str">
            <v>4|10|6720|1,4|1|26880|1</v>
          </cell>
        </row>
        <row r="6141">
          <cell r="A6141">
            <v>86113</v>
          </cell>
          <cell r="B6141">
            <v>0</v>
          </cell>
          <cell r="C6141" t="str">
            <v>4|10|6780,4|1|27120</v>
          </cell>
          <cell r="D6141" t="str">
            <v>30体力-主角113级精英副本经验和金币奖励</v>
          </cell>
          <cell r="E6141" t="str">
            <v>4|10|6780|1,4|1|27120|1</v>
          </cell>
        </row>
        <row r="6142">
          <cell r="A6142">
            <v>86114</v>
          </cell>
          <cell r="B6142">
            <v>0</v>
          </cell>
          <cell r="C6142" t="str">
            <v>4|10|6840,4|1|27360</v>
          </cell>
          <cell r="D6142" t="str">
            <v>30体力-主角114级精英副本经验和金币奖励</v>
          </cell>
          <cell r="E6142" t="str">
            <v>4|10|6840|1,4|1|27360|1</v>
          </cell>
        </row>
        <row r="6143">
          <cell r="A6143">
            <v>86115</v>
          </cell>
          <cell r="B6143">
            <v>0</v>
          </cell>
          <cell r="C6143" t="str">
            <v>4|10|6900,4|1|27600</v>
          </cell>
          <cell r="D6143" t="str">
            <v>30体力-主角115级精英副本经验和金币奖励</v>
          </cell>
          <cell r="E6143" t="str">
            <v>4|10|6900|1,4|1|27600|1</v>
          </cell>
        </row>
        <row r="6144">
          <cell r="A6144">
            <v>86116</v>
          </cell>
          <cell r="B6144">
            <v>0</v>
          </cell>
          <cell r="C6144" t="str">
            <v>4|10|6960,4|1|27840</v>
          </cell>
          <cell r="D6144" t="str">
            <v>30体力-主角116级精英副本经验和金币奖励</v>
          </cell>
          <cell r="E6144" t="str">
            <v>4|10|6960|1,4|1|27840|1</v>
          </cell>
        </row>
        <row r="6145">
          <cell r="A6145">
            <v>86117</v>
          </cell>
          <cell r="B6145">
            <v>0</v>
          </cell>
          <cell r="C6145" t="str">
            <v>4|10|7020,4|1|28080</v>
          </cell>
          <cell r="D6145" t="str">
            <v>30体力-主角117级精英副本经验和金币奖励</v>
          </cell>
          <cell r="E6145" t="str">
            <v>4|10|7020|1,4|1|28080|1</v>
          </cell>
        </row>
        <row r="6146">
          <cell r="A6146">
            <v>86118</v>
          </cell>
          <cell r="B6146">
            <v>0</v>
          </cell>
          <cell r="C6146" t="str">
            <v>4|10|7080,4|1|28320</v>
          </cell>
          <cell r="D6146" t="str">
            <v>30体力-主角118级精英副本经验和金币奖励</v>
          </cell>
          <cell r="E6146" t="str">
            <v>4|10|7080|1,4|1|28320|1</v>
          </cell>
        </row>
        <row r="6147">
          <cell r="A6147">
            <v>86119</v>
          </cell>
          <cell r="B6147">
            <v>0</v>
          </cell>
          <cell r="C6147" t="str">
            <v>4|10|7140,4|1|28560</v>
          </cell>
          <cell r="D6147" t="str">
            <v>30体力-主角119级精英副本经验和金币奖励</v>
          </cell>
          <cell r="E6147" t="str">
            <v>4|10|7140|1,4|1|28560|1</v>
          </cell>
        </row>
        <row r="6148">
          <cell r="A6148">
            <v>86120</v>
          </cell>
          <cell r="B6148">
            <v>0</v>
          </cell>
          <cell r="C6148" t="str">
            <v>4|10|7200,4|1|28800</v>
          </cell>
          <cell r="D6148" t="str">
            <v>30体力-主角120级精英副本经验和金币奖励</v>
          </cell>
          <cell r="E6148" t="str">
            <v>4|10|7200|1,4|1|28800|1</v>
          </cell>
        </row>
        <row r="6149">
          <cell r="A6149">
            <v>86121</v>
          </cell>
          <cell r="B6149">
            <v>0</v>
          </cell>
          <cell r="C6149" t="str">
            <v>4|10|7260,4|1|29040</v>
          </cell>
          <cell r="D6149" t="str">
            <v>30体力-主角121级精英副本经验和金币奖励</v>
          </cell>
          <cell r="E6149" t="str">
            <v>4|10|7260|1,4|1|29040|1</v>
          </cell>
        </row>
        <row r="6150">
          <cell r="A6150">
            <v>86122</v>
          </cell>
          <cell r="B6150">
            <v>0</v>
          </cell>
          <cell r="C6150" t="str">
            <v>4|10|7320,4|1|29280</v>
          </cell>
          <cell r="D6150" t="str">
            <v>30体力-主角122级精英副本经验和金币奖励</v>
          </cell>
          <cell r="E6150" t="str">
            <v>4|10|7320|1,4|1|29280|1</v>
          </cell>
        </row>
        <row r="6151">
          <cell r="A6151">
            <v>86123</v>
          </cell>
          <cell r="B6151">
            <v>0</v>
          </cell>
          <cell r="C6151" t="str">
            <v>4|10|7380,4|1|29520</v>
          </cell>
          <cell r="D6151" t="str">
            <v>30体力-主角123级精英副本经验和金币奖励</v>
          </cell>
          <cell r="E6151" t="str">
            <v>4|10|7380|1,4|1|29520|1</v>
          </cell>
        </row>
        <row r="6152">
          <cell r="A6152">
            <v>86124</v>
          </cell>
          <cell r="B6152">
            <v>0</v>
          </cell>
          <cell r="C6152" t="str">
            <v>4|10|7440,4|1|29760</v>
          </cell>
          <cell r="D6152" t="str">
            <v>30体力-主角124级精英副本经验和金币奖励</v>
          </cell>
          <cell r="E6152" t="str">
            <v>4|10|7440|1,4|1|29760|1</v>
          </cell>
        </row>
        <row r="6153">
          <cell r="A6153">
            <v>86125</v>
          </cell>
          <cell r="B6153">
            <v>0</v>
          </cell>
          <cell r="C6153" t="str">
            <v>4|10|7500,4|1|30000</v>
          </cell>
          <cell r="D6153" t="str">
            <v>30体力-主角125级精英副本经验和金币奖励</v>
          </cell>
          <cell r="E6153" t="str">
            <v>4|10|7500|1,4|1|30000|1</v>
          </cell>
        </row>
        <row r="6154">
          <cell r="A6154">
            <v>86126</v>
          </cell>
          <cell r="B6154">
            <v>0</v>
          </cell>
          <cell r="C6154" t="str">
            <v>4|10|7560,4|1|30240</v>
          </cell>
          <cell r="D6154" t="str">
            <v>30体力-主角126级精英副本经验和金币奖励</v>
          </cell>
          <cell r="E6154" t="str">
            <v>4|10|7560|1,4|1|30240|1</v>
          </cell>
        </row>
        <row r="6155">
          <cell r="A6155">
            <v>86127</v>
          </cell>
          <cell r="B6155">
            <v>0</v>
          </cell>
          <cell r="C6155" t="str">
            <v>4|10|7620,4|1|30480</v>
          </cell>
          <cell r="D6155" t="str">
            <v>30体力-主角127级精英副本经验和金币奖励</v>
          </cell>
          <cell r="E6155" t="str">
            <v>4|10|7620|1,4|1|30480|1</v>
          </cell>
        </row>
        <row r="6156">
          <cell r="A6156">
            <v>86128</v>
          </cell>
          <cell r="B6156">
            <v>0</v>
          </cell>
          <cell r="C6156" t="str">
            <v>4|10|7680,4|1|30720</v>
          </cell>
          <cell r="D6156" t="str">
            <v>30体力-主角128级精英副本经验和金币奖励</v>
          </cell>
          <cell r="E6156" t="str">
            <v>4|10|7680|1,4|1|30720|1</v>
          </cell>
        </row>
        <row r="6157">
          <cell r="A6157">
            <v>86129</v>
          </cell>
          <cell r="B6157">
            <v>0</v>
          </cell>
          <cell r="C6157" t="str">
            <v>4|10|7740,4|1|30960</v>
          </cell>
          <cell r="D6157" t="str">
            <v>30体力-主角129级精英副本经验和金币奖励</v>
          </cell>
          <cell r="E6157" t="str">
            <v>4|10|7740|1,4|1|30960|1</v>
          </cell>
        </row>
        <row r="6158">
          <cell r="A6158">
            <v>86130</v>
          </cell>
          <cell r="B6158">
            <v>0</v>
          </cell>
          <cell r="C6158" t="str">
            <v>4|10|7800,4|1|31200</v>
          </cell>
          <cell r="D6158" t="str">
            <v>30体力-主角130级精英副本经验和金币奖励</v>
          </cell>
          <cell r="E6158" t="str">
            <v>4|10|7800|1,4|1|31200|1</v>
          </cell>
        </row>
        <row r="6159">
          <cell r="A6159">
            <v>86131</v>
          </cell>
          <cell r="B6159">
            <v>0</v>
          </cell>
          <cell r="C6159" t="str">
            <v>4|10|7860,4|1|31440</v>
          </cell>
          <cell r="D6159" t="str">
            <v>30体力-主角131级精英副本经验和金币奖励</v>
          </cell>
          <cell r="E6159" t="str">
            <v>4|10|7860|1,4|1|31440|1</v>
          </cell>
        </row>
        <row r="6160">
          <cell r="A6160">
            <v>86132</v>
          </cell>
          <cell r="B6160">
            <v>0</v>
          </cell>
          <cell r="C6160" t="str">
            <v>4|10|7920,4|1|31680</v>
          </cell>
          <cell r="D6160" t="str">
            <v>30体力-主角132级精英副本经验和金币奖励</v>
          </cell>
          <cell r="E6160" t="str">
            <v>4|10|7920|1,4|1|31680|1</v>
          </cell>
        </row>
        <row r="6161">
          <cell r="A6161">
            <v>86133</v>
          </cell>
          <cell r="B6161">
            <v>0</v>
          </cell>
          <cell r="C6161" t="str">
            <v>4|10|7980,4|1|31920</v>
          </cell>
          <cell r="D6161" t="str">
            <v>30体力-主角133级精英副本经验和金币奖励</v>
          </cell>
          <cell r="E6161" t="str">
            <v>4|10|7980|1,4|1|31920|1</v>
          </cell>
        </row>
        <row r="6162">
          <cell r="A6162">
            <v>86134</v>
          </cell>
          <cell r="B6162">
            <v>0</v>
          </cell>
          <cell r="C6162" t="str">
            <v>4|10|8040,4|1|32160</v>
          </cell>
          <cell r="D6162" t="str">
            <v>30体力-主角134级精英副本经验和金币奖励</v>
          </cell>
          <cell r="E6162" t="str">
            <v>4|10|8040|1,4|1|32160|1</v>
          </cell>
        </row>
        <row r="6163">
          <cell r="A6163">
            <v>86135</v>
          </cell>
          <cell r="B6163">
            <v>0</v>
          </cell>
          <cell r="C6163" t="str">
            <v>4|10|8100,4|1|32400</v>
          </cell>
          <cell r="D6163" t="str">
            <v>30体力-主角135级精英副本经验和金币奖励</v>
          </cell>
          <cell r="E6163" t="str">
            <v>4|10|8100|1,4|1|32400|1</v>
          </cell>
        </row>
        <row r="6164">
          <cell r="A6164">
            <v>86136</v>
          </cell>
          <cell r="B6164">
            <v>0</v>
          </cell>
          <cell r="C6164" t="str">
            <v>4|10|8160,4|1|32640</v>
          </cell>
          <cell r="D6164" t="str">
            <v>30体力-主角136级精英副本经验和金币奖励</v>
          </cell>
          <cell r="E6164" t="str">
            <v>4|10|8160|1,4|1|32640|1</v>
          </cell>
        </row>
        <row r="6165">
          <cell r="A6165">
            <v>86137</v>
          </cell>
          <cell r="B6165">
            <v>0</v>
          </cell>
          <cell r="C6165" t="str">
            <v>4|10|8220,4|1|32880</v>
          </cell>
          <cell r="D6165" t="str">
            <v>30体力-主角137级精英副本经验和金币奖励</v>
          </cell>
          <cell r="E6165" t="str">
            <v>4|10|8220|1,4|1|32880|1</v>
          </cell>
        </row>
        <row r="6166">
          <cell r="A6166">
            <v>86138</v>
          </cell>
          <cell r="B6166">
            <v>0</v>
          </cell>
          <cell r="C6166" t="str">
            <v>4|10|8280,4|1|33120</v>
          </cell>
          <cell r="D6166" t="str">
            <v>30体力-主角138级精英副本经验和金币奖励</v>
          </cell>
          <cell r="E6166" t="str">
            <v>4|10|8280|1,4|1|33120|1</v>
          </cell>
        </row>
        <row r="6167">
          <cell r="A6167">
            <v>86139</v>
          </cell>
          <cell r="B6167">
            <v>0</v>
          </cell>
          <cell r="C6167" t="str">
            <v>4|10|8340,4|1|33360</v>
          </cell>
          <cell r="D6167" t="str">
            <v>30体力-主角139级精英副本经验和金币奖励</v>
          </cell>
          <cell r="E6167" t="str">
            <v>4|10|8340|1,4|1|33360|1</v>
          </cell>
        </row>
        <row r="6168">
          <cell r="A6168">
            <v>86140</v>
          </cell>
          <cell r="B6168">
            <v>0</v>
          </cell>
          <cell r="C6168" t="str">
            <v>4|10|8400,4|1|33600</v>
          </cell>
          <cell r="D6168" t="str">
            <v>30体力-主角140级精英副本经验和金币奖励</v>
          </cell>
          <cell r="E6168" t="str">
            <v>4|10|8400|1,4|1|33600|1</v>
          </cell>
        </row>
        <row r="6169">
          <cell r="A6169">
            <v>86141</v>
          </cell>
          <cell r="B6169">
            <v>0</v>
          </cell>
          <cell r="C6169" t="str">
            <v>4|10|8460,4|1|33840</v>
          </cell>
          <cell r="D6169" t="str">
            <v>30体力-主角141级精英副本经验和金币奖励</v>
          </cell>
          <cell r="E6169" t="str">
            <v>4|10|8460|1,4|1|33840|1</v>
          </cell>
        </row>
        <row r="6170">
          <cell r="A6170">
            <v>86142</v>
          </cell>
          <cell r="B6170">
            <v>0</v>
          </cell>
          <cell r="C6170" t="str">
            <v>4|10|8520,4|1|34080</v>
          </cell>
          <cell r="D6170" t="str">
            <v>30体力-主角142级精英副本经验和金币奖励</v>
          </cell>
          <cell r="E6170" t="str">
            <v>4|10|8520|1,4|1|34080|1</v>
          </cell>
        </row>
        <row r="6171">
          <cell r="A6171">
            <v>86143</v>
          </cell>
          <cell r="B6171">
            <v>0</v>
          </cell>
          <cell r="C6171" t="str">
            <v>4|10|8580,4|1|34320</v>
          </cell>
          <cell r="D6171" t="str">
            <v>30体力-主角143级精英副本经验和金币奖励</v>
          </cell>
          <cell r="E6171" t="str">
            <v>4|10|8580|1,4|1|34320|1</v>
          </cell>
        </row>
        <row r="6172">
          <cell r="A6172">
            <v>86144</v>
          </cell>
          <cell r="B6172">
            <v>0</v>
          </cell>
          <cell r="C6172" t="str">
            <v>4|10|8640,4|1|34560</v>
          </cell>
          <cell r="D6172" t="str">
            <v>30体力-主角144级精英副本经验和金币奖励</v>
          </cell>
          <cell r="E6172" t="str">
            <v>4|10|8640|1,4|1|34560|1</v>
          </cell>
        </row>
        <row r="6173">
          <cell r="A6173">
            <v>86145</v>
          </cell>
          <cell r="B6173">
            <v>0</v>
          </cell>
          <cell r="C6173" t="str">
            <v>4|10|8700,4|1|34800</v>
          </cell>
          <cell r="D6173" t="str">
            <v>30体力-主角145级精英副本经验和金币奖励</v>
          </cell>
          <cell r="E6173" t="str">
            <v>4|10|8700|1,4|1|34800|1</v>
          </cell>
        </row>
        <row r="6174">
          <cell r="A6174">
            <v>86146</v>
          </cell>
          <cell r="B6174">
            <v>0</v>
          </cell>
          <cell r="C6174" t="str">
            <v>4|10|8760,4|1|35040</v>
          </cell>
          <cell r="D6174" t="str">
            <v>30体力-主角146级精英副本经验和金币奖励</v>
          </cell>
          <cell r="E6174" t="str">
            <v>4|10|8760|1,4|1|35040|1</v>
          </cell>
        </row>
        <row r="6175">
          <cell r="A6175">
            <v>86147</v>
          </cell>
          <cell r="B6175">
            <v>0</v>
          </cell>
          <cell r="C6175" t="str">
            <v>4|10|8820,4|1|35280</v>
          </cell>
          <cell r="D6175" t="str">
            <v>30体力-主角147级精英副本经验和金币奖励</v>
          </cell>
          <cell r="E6175" t="str">
            <v>4|10|8820|1,4|1|35280|1</v>
          </cell>
        </row>
        <row r="6176">
          <cell r="A6176">
            <v>86148</v>
          </cell>
          <cell r="B6176">
            <v>0</v>
          </cell>
          <cell r="C6176" t="str">
            <v>4|10|8880,4|1|35520</v>
          </cell>
          <cell r="D6176" t="str">
            <v>30体力-主角148级精英副本经验和金币奖励</v>
          </cell>
          <cell r="E6176" t="str">
            <v>4|10|8880|1,4|1|35520|1</v>
          </cell>
        </row>
        <row r="6177">
          <cell r="A6177">
            <v>86149</v>
          </cell>
          <cell r="B6177">
            <v>0</v>
          </cell>
          <cell r="C6177" t="str">
            <v>4|10|8940,4|1|35760</v>
          </cell>
          <cell r="D6177" t="str">
            <v>30体力-主角149级精英副本经验和金币奖励</v>
          </cell>
          <cell r="E6177" t="str">
            <v>4|10|8940|1,4|1|35760|1</v>
          </cell>
        </row>
        <row r="6178">
          <cell r="A6178">
            <v>86150</v>
          </cell>
          <cell r="B6178">
            <v>0</v>
          </cell>
          <cell r="C6178" t="str">
            <v>4|10|9000,4|1|36000</v>
          </cell>
          <cell r="D6178" t="str">
            <v>30体力-主角150级精英副本经验和金币奖励</v>
          </cell>
          <cell r="E6178" t="str">
            <v>4|10|9000|1,4|1|36000|1</v>
          </cell>
        </row>
        <row r="6179">
          <cell r="A6179">
            <v>87001</v>
          </cell>
          <cell r="B6179">
            <v>0</v>
          </cell>
          <cell r="C6179" t="str">
            <v>4|10|70,4|1|280</v>
          </cell>
          <cell r="D6179" t="str">
            <v>35体力-主角1级精英副本经验和金币奖励</v>
          </cell>
          <cell r="E6179" t="str">
            <v>4|10|70|1,4|1|280|1</v>
          </cell>
        </row>
        <row r="6180">
          <cell r="A6180">
            <v>87002</v>
          </cell>
          <cell r="B6180">
            <v>0</v>
          </cell>
          <cell r="C6180" t="str">
            <v>4|10|140,4|1|560</v>
          </cell>
          <cell r="D6180" t="str">
            <v>35体力-主角2级精英副本经验和金币奖励</v>
          </cell>
          <cell r="E6180" t="str">
            <v>4|10|140|1,4|1|560|1</v>
          </cell>
        </row>
        <row r="6181">
          <cell r="A6181">
            <v>87003</v>
          </cell>
          <cell r="B6181">
            <v>0</v>
          </cell>
          <cell r="C6181" t="str">
            <v>4|10|210,4|1|840</v>
          </cell>
          <cell r="D6181" t="str">
            <v>35体力-主角3级精英副本经验和金币奖励</v>
          </cell>
          <cell r="E6181" t="str">
            <v>4|10|210|1,4|1|840|1</v>
          </cell>
        </row>
        <row r="6182">
          <cell r="A6182">
            <v>87004</v>
          </cell>
          <cell r="B6182">
            <v>0</v>
          </cell>
          <cell r="C6182" t="str">
            <v>4|10|280,4|1|1120</v>
          </cell>
          <cell r="D6182" t="str">
            <v>35体力-主角4级精英副本经验和金币奖励</v>
          </cell>
          <cell r="E6182" t="str">
            <v>4|10|280|1,4|1|1120|1</v>
          </cell>
        </row>
        <row r="6183">
          <cell r="A6183">
            <v>87005</v>
          </cell>
          <cell r="B6183">
            <v>0</v>
          </cell>
          <cell r="C6183" t="str">
            <v>4|10|350,4|1|1400</v>
          </cell>
          <cell r="D6183" t="str">
            <v>35体力-主角5级精英副本经验和金币奖励</v>
          </cell>
          <cell r="E6183" t="str">
            <v>4|10|350|1,4|1|1400|1</v>
          </cell>
        </row>
        <row r="6184">
          <cell r="A6184">
            <v>87006</v>
          </cell>
          <cell r="B6184">
            <v>0</v>
          </cell>
          <cell r="C6184" t="str">
            <v>4|10|420,4|1|1680</v>
          </cell>
          <cell r="D6184" t="str">
            <v>35体力-主角6级精英副本经验和金币奖励</v>
          </cell>
          <cell r="E6184" t="str">
            <v>4|10|420|1,4|1|1680|1</v>
          </cell>
        </row>
        <row r="6185">
          <cell r="A6185">
            <v>87007</v>
          </cell>
          <cell r="B6185">
            <v>0</v>
          </cell>
          <cell r="C6185" t="str">
            <v>4|10|490,4|1|1960</v>
          </cell>
          <cell r="D6185" t="str">
            <v>35体力-主角7级精英副本经验和金币奖励</v>
          </cell>
          <cell r="E6185" t="str">
            <v>4|10|490|1,4|1|1960|1</v>
          </cell>
        </row>
        <row r="6186">
          <cell r="A6186">
            <v>87008</v>
          </cell>
          <cell r="B6186">
            <v>0</v>
          </cell>
          <cell r="C6186" t="str">
            <v>4|10|560,4|1|2240</v>
          </cell>
          <cell r="D6186" t="str">
            <v>35体力-主角8级精英副本经验和金币奖励</v>
          </cell>
          <cell r="E6186" t="str">
            <v>4|10|560|1,4|1|2240|1</v>
          </cell>
        </row>
        <row r="6187">
          <cell r="A6187">
            <v>87009</v>
          </cell>
          <cell r="B6187">
            <v>0</v>
          </cell>
          <cell r="C6187" t="str">
            <v>4|10|630,4|1|2520</v>
          </cell>
          <cell r="D6187" t="str">
            <v>35体力-主角9级精英副本经验和金币奖励</v>
          </cell>
          <cell r="E6187" t="str">
            <v>4|10|630|1,4|1|2520|1</v>
          </cell>
        </row>
        <row r="6188">
          <cell r="A6188">
            <v>87010</v>
          </cell>
          <cell r="B6188">
            <v>0</v>
          </cell>
          <cell r="C6188" t="str">
            <v>4|10|700,4|1|2800</v>
          </cell>
          <cell r="D6188" t="str">
            <v>35体力-主角10级精英副本经验和金币奖励</v>
          </cell>
          <cell r="E6188" t="str">
            <v>4|10|700|1,4|1|2800|1</v>
          </cell>
        </row>
        <row r="6189">
          <cell r="A6189">
            <v>87011</v>
          </cell>
          <cell r="B6189">
            <v>0</v>
          </cell>
          <cell r="C6189" t="str">
            <v>4|10|770,4|1|3080</v>
          </cell>
          <cell r="D6189" t="str">
            <v>35体力-主角11级精英副本经验和金币奖励</v>
          </cell>
          <cell r="E6189" t="str">
            <v>4|10|770|1,4|1|3080|1</v>
          </cell>
        </row>
        <row r="6190">
          <cell r="A6190">
            <v>87012</v>
          </cell>
          <cell r="B6190">
            <v>0</v>
          </cell>
          <cell r="C6190" t="str">
            <v>4|10|840,4|1|3360</v>
          </cell>
          <cell r="D6190" t="str">
            <v>35体力-主角12级精英副本经验和金币奖励</v>
          </cell>
          <cell r="E6190" t="str">
            <v>4|10|840|1,4|1|3360|1</v>
          </cell>
        </row>
        <row r="6191">
          <cell r="A6191">
            <v>87013</v>
          </cell>
          <cell r="B6191">
            <v>0</v>
          </cell>
          <cell r="C6191" t="str">
            <v>4|10|910,4|1|3640</v>
          </cell>
          <cell r="D6191" t="str">
            <v>35体力-主角13级精英副本经验和金币奖励</v>
          </cell>
          <cell r="E6191" t="str">
            <v>4|10|910|1,4|1|3640|1</v>
          </cell>
        </row>
        <row r="6192">
          <cell r="A6192">
            <v>87014</v>
          </cell>
          <cell r="B6192">
            <v>0</v>
          </cell>
          <cell r="C6192" t="str">
            <v>4|10|980,4|1|3920</v>
          </cell>
          <cell r="D6192" t="str">
            <v>35体力-主角14级精英副本经验和金币奖励</v>
          </cell>
          <cell r="E6192" t="str">
            <v>4|10|980|1,4|1|3920|1</v>
          </cell>
        </row>
        <row r="6193">
          <cell r="A6193">
            <v>87015</v>
          </cell>
          <cell r="B6193">
            <v>0</v>
          </cell>
          <cell r="C6193" t="str">
            <v>4|10|1050,4|1|4200</v>
          </cell>
          <cell r="D6193" t="str">
            <v>35体力-主角15级精英副本经验和金币奖励</v>
          </cell>
          <cell r="E6193" t="str">
            <v>4|10|1050|1,4|1|4200|1</v>
          </cell>
        </row>
        <row r="6194">
          <cell r="A6194">
            <v>87016</v>
          </cell>
          <cell r="B6194">
            <v>0</v>
          </cell>
          <cell r="C6194" t="str">
            <v>4|10|1120,4|1|4480</v>
          </cell>
          <cell r="D6194" t="str">
            <v>35体力-主角16级精英副本经验和金币奖励</v>
          </cell>
          <cell r="E6194" t="str">
            <v>4|10|1120|1,4|1|4480|1</v>
          </cell>
        </row>
        <row r="6195">
          <cell r="A6195">
            <v>87017</v>
          </cell>
          <cell r="B6195">
            <v>0</v>
          </cell>
          <cell r="C6195" t="str">
            <v>4|10|1190,4|1|4760</v>
          </cell>
          <cell r="D6195" t="str">
            <v>35体力-主角17级精英副本经验和金币奖励</v>
          </cell>
          <cell r="E6195" t="str">
            <v>4|10|1190|1,4|1|4760|1</v>
          </cell>
        </row>
        <row r="6196">
          <cell r="A6196">
            <v>87018</v>
          </cell>
          <cell r="B6196">
            <v>0</v>
          </cell>
          <cell r="C6196" t="str">
            <v>4|10|1260,4|1|5040</v>
          </cell>
          <cell r="D6196" t="str">
            <v>35体力-主角18级精英副本经验和金币奖励</v>
          </cell>
          <cell r="E6196" t="str">
            <v>4|10|1260|1,4|1|5040|1</v>
          </cell>
        </row>
        <row r="6197">
          <cell r="A6197">
            <v>87019</v>
          </cell>
          <cell r="B6197">
            <v>0</v>
          </cell>
          <cell r="C6197" t="str">
            <v>4|10|1330,4|1|5320</v>
          </cell>
          <cell r="D6197" t="str">
            <v>35体力-主角19级精英副本经验和金币奖励</v>
          </cell>
          <cell r="E6197" t="str">
            <v>4|10|1330|1,4|1|5320|1</v>
          </cell>
        </row>
        <row r="6198">
          <cell r="A6198">
            <v>87020</v>
          </cell>
          <cell r="B6198">
            <v>0</v>
          </cell>
          <cell r="C6198" t="str">
            <v>4|10|1400,4|1|5600</v>
          </cell>
          <cell r="D6198" t="str">
            <v>35体力-主角20级精英副本经验和金币奖励</v>
          </cell>
          <cell r="E6198" t="str">
            <v>4|10|1400|1,4|1|5600|1</v>
          </cell>
        </row>
        <row r="6199">
          <cell r="A6199">
            <v>87021</v>
          </cell>
          <cell r="B6199">
            <v>0</v>
          </cell>
          <cell r="C6199" t="str">
            <v>4|10|1470,4|1|5880</v>
          </cell>
          <cell r="D6199" t="str">
            <v>35体力-主角21级精英副本经验和金币奖励</v>
          </cell>
          <cell r="E6199" t="str">
            <v>4|10|1470|1,4|1|5880|1</v>
          </cell>
        </row>
        <row r="6200">
          <cell r="A6200">
            <v>87022</v>
          </cell>
          <cell r="B6200">
            <v>0</v>
          </cell>
          <cell r="C6200" t="str">
            <v>4|10|1540,4|1|6160</v>
          </cell>
          <cell r="D6200" t="str">
            <v>35体力-主角22级精英副本经验和金币奖励</v>
          </cell>
          <cell r="E6200" t="str">
            <v>4|10|1540|1,4|1|6160|1</v>
          </cell>
        </row>
        <row r="6201">
          <cell r="A6201">
            <v>87023</v>
          </cell>
          <cell r="B6201">
            <v>0</v>
          </cell>
          <cell r="C6201" t="str">
            <v>4|10|1610,4|1|6440</v>
          </cell>
          <cell r="D6201" t="str">
            <v>35体力-主角23级精英副本经验和金币奖励</v>
          </cell>
          <cell r="E6201" t="str">
            <v>4|10|1610|1,4|1|6440|1</v>
          </cell>
        </row>
        <row r="6202">
          <cell r="A6202">
            <v>87024</v>
          </cell>
          <cell r="B6202">
            <v>0</v>
          </cell>
          <cell r="C6202" t="str">
            <v>4|10|1680,4|1|6720</v>
          </cell>
          <cell r="D6202" t="str">
            <v>35体力-主角24级精英副本经验和金币奖励</v>
          </cell>
          <cell r="E6202" t="str">
            <v>4|10|1680|1,4|1|6720|1</v>
          </cell>
        </row>
        <row r="6203">
          <cell r="A6203">
            <v>87025</v>
          </cell>
          <cell r="B6203">
            <v>0</v>
          </cell>
          <cell r="C6203" t="str">
            <v>4|10|1750,4|1|7000</v>
          </cell>
          <cell r="D6203" t="str">
            <v>35体力-主角25级精英副本经验和金币奖励</v>
          </cell>
          <cell r="E6203" t="str">
            <v>4|10|1750|1,4|1|7000|1</v>
          </cell>
        </row>
        <row r="6204">
          <cell r="A6204">
            <v>87026</v>
          </cell>
          <cell r="B6204">
            <v>0</v>
          </cell>
          <cell r="C6204" t="str">
            <v>4|10|1820,4|1|7280</v>
          </cell>
          <cell r="D6204" t="str">
            <v>35体力-主角26级精英副本经验和金币奖励</v>
          </cell>
          <cell r="E6204" t="str">
            <v>4|10|1820|1,4|1|7280|1</v>
          </cell>
        </row>
        <row r="6205">
          <cell r="A6205">
            <v>87027</v>
          </cell>
          <cell r="B6205">
            <v>0</v>
          </cell>
          <cell r="C6205" t="str">
            <v>4|10|1890,4|1|7560</v>
          </cell>
          <cell r="D6205" t="str">
            <v>35体力-主角27级精英副本经验和金币奖励</v>
          </cell>
          <cell r="E6205" t="str">
            <v>4|10|1890|1,4|1|7560|1</v>
          </cell>
        </row>
        <row r="6206">
          <cell r="A6206">
            <v>87028</v>
          </cell>
          <cell r="B6206">
            <v>0</v>
          </cell>
          <cell r="C6206" t="str">
            <v>4|10|1960,4|1|7840</v>
          </cell>
          <cell r="D6206" t="str">
            <v>35体力-主角28级精英副本经验和金币奖励</v>
          </cell>
          <cell r="E6206" t="str">
            <v>4|10|1960|1,4|1|7840|1</v>
          </cell>
        </row>
        <row r="6207">
          <cell r="A6207">
            <v>87029</v>
          </cell>
          <cell r="B6207">
            <v>0</v>
          </cell>
          <cell r="C6207" t="str">
            <v>4|10|2030,4|1|8120</v>
          </cell>
          <cell r="D6207" t="str">
            <v>35体力-主角29级精英副本经验和金币奖励</v>
          </cell>
          <cell r="E6207" t="str">
            <v>4|10|2030|1,4|1|8120|1</v>
          </cell>
        </row>
        <row r="6208">
          <cell r="A6208">
            <v>87030</v>
          </cell>
          <cell r="B6208">
            <v>0</v>
          </cell>
          <cell r="C6208" t="str">
            <v>4|10|2100,4|1|8400</v>
          </cell>
          <cell r="D6208" t="str">
            <v>35体力-主角30级精英副本经验和金币奖励</v>
          </cell>
          <cell r="E6208" t="str">
            <v>4|10|2100|1,4|1|8400|1</v>
          </cell>
        </row>
        <row r="6209">
          <cell r="A6209">
            <v>87031</v>
          </cell>
          <cell r="B6209">
            <v>0</v>
          </cell>
          <cell r="C6209" t="str">
            <v>4|10|2170,4|1|8680</v>
          </cell>
          <cell r="D6209" t="str">
            <v>35体力-主角31级精英副本经验和金币奖励</v>
          </cell>
          <cell r="E6209" t="str">
            <v>4|10|2170|1,4|1|8680|1</v>
          </cell>
        </row>
        <row r="6210">
          <cell r="A6210">
            <v>87032</v>
          </cell>
          <cell r="B6210">
            <v>0</v>
          </cell>
          <cell r="C6210" t="str">
            <v>4|10|2240,4|1|8960</v>
          </cell>
          <cell r="D6210" t="str">
            <v>35体力-主角32级精英副本经验和金币奖励</v>
          </cell>
          <cell r="E6210" t="str">
            <v>4|10|2240|1,4|1|8960|1</v>
          </cell>
        </row>
        <row r="6211">
          <cell r="A6211">
            <v>87033</v>
          </cell>
          <cell r="B6211">
            <v>0</v>
          </cell>
          <cell r="C6211" t="str">
            <v>4|10|2310,4|1|9240</v>
          </cell>
          <cell r="D6211" t="str">
            <v>35体力-主角33级精英副本经验和金币奖励</v>
          </cell>
          <cell r="E6211" t="str">
            <v>4|10|2310|1,4|1|9240|1</v>
          </cell>
        </row>
        <row r="6212">
          <cell r="A6212">
            <v>87034</v>
          </cell>
          <cell r="B6212">
            <v>0</v>
          </cell>
          <cell r="C6212" t="str">
            <v>4|10|2380,4|1|9520</v>
          </cell>
          <cell r="D6212" t="str">
            <v>35体力-主角34级精英副本经验和金币奖励</v>
          </cell>
          <cell r="E6212" t="str">
            <v>4|10|2380|1,4|1|9520|1</v>
          </cell>
        </row>
        <row r="6213">
          <cell r="A6213">
            <v>87035</v>
          </cell>
          <cell r="B6213">
            <v>0</v>
          </cell>
          <cell r="C6213" t="str">
            <v>4|10|2450,4|1|9800</v>
          </cell>
          <cell r="D6213" t="str">
            <v>35体力-主角35级精英副本经验和金币奖励</v>
          </cell>
          <cell r="E6213" t="str">
            <v>4|10|2450|1,4|1|9800|1</v>
          </cell>
        </row>
        <row r="6214">
          <cell r="A6214">
            <v>87036</v>
          </cell>
          <cell r="B6214">
            <v>0</v>
          </cell>
          <cell r="C6214" t="str">
            <v>4|10|2520,4|1|10080</v>
          </cell>
          <cell r="D6214" t="str">
            <v>35体力-主角36级精英副本经验和金币奖励</v>
          </cell>
          <cell r="E6214" t="str">
            <v>4|10|2520|1,4|1|10080|1</v>
          </cell>
        </row>
        <row r="6215">
          <cell r="A6215">
            <v>87037</v>
          </cell>
          <cell r="B6215">
            <v>0</v>
          </cell>
          <cell r="C6215" t="str">
            <v>4|10|2590,4|1|10360</v>
          </cell>
          <cell r="D6215" t="str">
            <v>35体力-主角37级精英副本经验和金币奖励</v>
          </cell>
          <cell r="E6215" t="str">
            <v>4|10|2590|1,4|1|10360|1</v>
          </cell>
        </row>
        <row r="6216">
          <cell r="A6216">
            <v>87038</v>
          </cell>
          <cell r="B6216">
            <v>0</v>
          </cell>
          <cell r="C6216" t="str">
            <v>4|10|2660,4|1|10640</v>
          </cell>
          <cell r="D6216" t="str">
            <v>35体力-主角38级精英副本经验和金币奖励</v>
          </cell>
          <cell r="E6216" t="str">
            <v>4|10|2660|1,4|1|10640|1</v>
          </cell>
        </row>
        <row r="6217">
          <cell r="A6217">
            <v>87039</v>
          </cell>
          <cell r="B6217">
            <v>0</v>
          </cell>
          <cell r="C6217" t="str">
            <v>4|10|2730,4|1|10920</v>
          </cell>
          <cell r="D6217" t="str">
            <v>35体力-主角39级精英副本经验和金币奖励</v>
          </cell>
          <cell r="E6217" t="str">
            <v>4|10|2730|1,4|1|10920|1</v>
          </cell>
        </row>
        <row r="6218">
          <cell r="A6218">
            <v>87040</v>
          </cell>
          <cell r="B6218">
            <v>0</v>
          </cell>
          <cell r="C6218" t="str">
            <v>4|10|2800,4|1|11200</v>
          </cell>
          <cell r="D6218" t="str">
            <v>35体力-主角40级精英副本经验和金币奖励</v>
          </cell>
          <cell r="E6218" t="str">
            <v>4|10|2800|1,4|1|11200|1</v>
          </cell>
        </row>
        <row r="6219">
          <cell r="A6219">
            <v>87041</v>
          </cell>
          <cell r="B6219">
            <v>0</v>
          </cell>
          <cell r="C6219" t="str">
            <v>4|10|2870,4|1|11480</v>
          </cell>
          <cell r="D6219" t="str">
            <v>35体力-主角41级精英副本经验和金币奖励</v>
          </cell>
          <cell r="E6219" t="str">
            <v>4|10|2870|1,4|1|11480|1</v>
          </cell>
        </row>
        <row r="6220">
          <cell r="A6220">
            <v>87042</v>
          </cell>
          <cell r="B6220">
            <v>0</v>
          </cell>
          <cell r="C6220" t="str">
            <v>4|10|2940,4|1|11760</v>
          </cell>
          <cell r="D6220" t="str">
            <v>35体力-主角42级精英副本经验和金币奖励</v>
          </cell>
          <cell r="E6220" t="str">
            <v>4|10|2940|1,4|1|11760|1</v>
          </cell>
        </row>
        <row r="6221">
          <cell r="A6221">
            <v>87043</v>
          </cell>
          <cell r="B6221">
            <v>0</v>
          </cell>
          <cell r="C6221" t="str">
            <v>4|10|3010,4|1|12040</v>
          </cell>
          <cell r="D6221" t="str">
            <v>35体力-主角43级精英副本经验和金币奖励</v>
          </cell>
          <cell r="E6221" t="str">
            <v>4|10|3010|1,4|1|12040|1</v>
          </cell>
        </row>
        <row r="6222">
          <cell r="A6222">
            <v>87044</v>
          </cell>
          <cell r="B6222">
            <v>0</v>
          </cell>
          <cell r="C6222" t="str">
            <v>4|10|3080,4|1|12320</v>
          </cell>
          <cell r="D6222" t="str">
            <v>35体力-主角44级精英副本经验和金币奖励</v>
          </cell>
          <cell r="E6222" t="str">
            <v>4|10|3080|1,4|1|12320|1</v>
          </cell>
        </row>
        <row r="6223">
          <cell r="A6223">
            <v>87045</v>
          </cell>
          <cell r="B6223">
            <v>0</v>
          </cell>
          <cell r="C6223" t="str">
            <v>4|10|3150,4|1|12600</v>
          </cell>
          <cell r="D6223" t="str">
            <v>35体力-主角45级精英副本经验和金币奖励</v>
          </cell>
          <cell r="E6223" t="str">
            <v>4|10|3150|1,4|1|12600|1</v>
          </cell>
        </row>
        <row r="6224">
          <cell r="A6224">
            <v>87046</v>
          </cell>
          <cell r="B6224">
            <v>0</v>
          </cell>
          <cell r="C6224" t="str">
            <v>4|10|3220,4|1|12880</v>
          </cell>
          <cell r="D6224" t="str">
            <v>35体力-主角46级精英副本经验和金币奖励</v>
          </cell>
          <cell r="E6224" t="str">
            <v>4|10|3220|1,4|1|12880|1</v>
          </cell>
        </row>
        <row r="6225">
          <cell r="A6225">
            <v>87047</v>
          </cell>
          <cell r="B6225">
            <v>0</v>
          </cell>
          <cell r="C6225" t="str">
            <v>4|10|3290,4|1|13160</v>
          </cell>
          <cell r="D6225" t="str">
            <v>35体力-主角47级精英副本经验和金币奖励</v>
          </cell>
          <cell r="E6225" t="str">
            <v>4|10|3290|1,4|1|13160|1</v>
          </cell>
        </row>
        <row r="6226">
          <cell r="A6226">
            <v>87048</v>
          </cell>
          <cell r="B6226">
            <v>0</v>
          </cell>
          <cell r="C6226" t="str">
            <v>4|10|3360,4|1|13440</v>
          </cell>
          <cell r="D6226" t="str">
            <v>35体力-主角48级精英副本经验和金币奖励</v>
          </cell>
          <cell r="E6226" t="str">
            <v>4|10|3360|1,4|1|13440|1</v>
          </cell>
        </row>
        <row r="6227">
          <cell r="A6227">
            <v>87049</v>
          </cell>
          <cell r="B6227">
            <v>0</v>
          </cell>
          <cell r="C6227" t="str">
            <v>4|10|3430,4|1|13720</v>
          </cell>
          <cell r="D6227" t="str">
            <v>35体力-主角49级精英副本经验和金币奖励</v>
          </cell>
          <cell r="E6227" t="str">
            <v>4|10|3430|1,4|1|13720|1</v>
          </cell>
        </row>
        <row r="6228">
          <cell r="A6228">
            <v>87050</v>
          </cell>
          <cell r="B6228">
            <v>0</v>
          </cell>
          <cell r="C6228" t="str">
            <v>4|10|3500,4|1|14000</v>
          </cell>
          <cell r="D6228" t="str">
            <v>35体力-主角50级精英副本经验和金币奖励</v>
          </cell>
          <cell r="E6228" t="str">
            <v>4|10|3500|1,4|1|14000|1</v>
          </cell>
        </row>
        <row r="6229">
          <cell r="A6229">
            <v>87051</v>
          </cell>
          <cell r="B6229">
            <v>0</v>
          </cell>
          <cell r="C6229" t="str">
            <v>4|10|3570,4|1|14280</v>
          </cell>
          <cell r="D6229" t="str">
            <v>35体力-主角51级精英副本经验和金币奖励</v>
          </cell>
          <cell r="E6229" t="str">
            <v>4|10|3570|1,4|1|14280|1</v>
          </cell>
        </row>
        <row r="6230">
          <cell r="A6230">
            <v>87052</v>
          </cell>
          <cell r="B6230">
            <v>0</v>
          </cell>
          <cell r="C6230" t="str">
            <v>4|10|3640,4|1|14560</v>
          </cell>
          <cell r="D6230" t="str">
            <v>35体力-主角52级精英副本经验和金币奖励</v>
          </cell>
          <cell r="E6230" t="str">
            <v>4|10|3640|1,4|1|14560|1</v>
          </cell>
        </row>
        <row r="6231">
          <cell r="A6231">
            <v>87053</v>
          </cell>
          <cell r="B6231">
            <v>0</v>
          </cell>
          <cell r="C6231" t="str">
            <v>4|10|3710,4|1|14840</v>
          </cell>
          <cell r="D6231" t="str">
            <v>35体力-主角53级精英副本经验和金币奖励</v>
          </cell>
          <cell r="E6231" t="str">
            <v>4|10|3710|1,4|1|14840|1</v>
          </cell>
        </row>
        <row r="6232">
          <cell r="A6232">
            <v>87054</v>
          </cell>
          <cell r="B6232">
            <v>0</v>
          </cell>
          <cell r="C6232" t="str">
            <v>4|10|3780,4|1|15120</v>
          </cell>
          <cell r="D6232" t="str">
            <v>35体力-主角54级精英副本经验和金币奖励</v>
          </cell>
          <cell r="E6232" t="str">
            <v>4|10|3780|1,4|1|15120|1</v>
          </cell>
        </row>
        <row r="6233">
          <cell r="A6233">
            <v>87055</v>
          </cell>
          <cell r="B6233">
            <v>0</v>
          </cell>
          <cell r="C6233" t="str">
            <v>4|10|3850,4|1|15400</v>
          </cell>
          <cell r="D6233" t="str">
            <v>35体力-主角55级精英副本经验和金币奖励</v>
          </cell>
          <cell r="E6233" t="str">
            <v>4|10|3850|1,4|1|15400|1</v>
          </cell>
        </row>
        <row r="6234">
          <cell r="A6234">
            <v>87056</v>
          </cell>
          <cell r="B6234">
            <v>0</v>
          </cell>
          <cell r="C6234" t="str">
            <v>4|10|3920,4|1|15680</v>
          </cell>
          <cell r="D6234" t="str">
            <v>35体力-主角56级精英副本经验和金币奖励</v>
          </cell>
          <cell r="E6234" t="str">
            <v>4|10|3920|1,4|1|15680|1</v>
          </cell>
        </row>
        <row r="6235">
          <cell r="A6235">
            <v>87057</v>
          </cell>
          <cell r="B6235">
            <v>0</v>
          </cell>
          <cell r="C6235" t="str">
            <v>4|10|3990,4|1|15960</v>
          </cell>
          <cell r="D6235" t="str">
            <v>35体力-主角57级精英副本经验和金币奖励</v>
          </cell>
          <cell r="E6235" t="str">
            <v>4|10|3990|1,4|1|15960|1</v>
          </cell>
        </row>
        <row r="6236">
          <cell r="A6236">
            <v>87058</v>
          </cell>
          <cell r="B6236">
            <v>0</v>
          </cell>
          <cell r="C6236" t="str">
            <v>4|10|4060,4|1|16240</v>
          </cell>
          <cell r="D6236" t="str">
            <v>35体力-主角58级精英副本经验和金币奖励</v>
          </cell>
          <cell r="E6236" t="str">
            <v>4|10|4060|1,4|1|16240|1</v>
          </cell>
        </row>
        <row r="6237">
          <cell r="A6237">
            <v>87059</v>
          </cell>
          <cell r="B6237">
            <v>0</v>
          </cell>
          <cell r="C6237" t="str">
            <v>4|10|4130,4|1|16520</v>
          </cell>
          <cell r="D6237" t="str">
            <v>35体力-主角59级精英副本经验和金币奖励</v>
          </cell>
          <cell r="E6237" t="str">
            <v>4|10|4130|1,4|1|16520|1</v>
          </cell>
        </row>
        <row r="6238">
          <cell r="A6238">
            <v>87060</v>
          </cell>
          <cell r="B6238">
            <v>0</v>
          </cell>
          <cell r="C6238" t="str">
            <v>4|10|4200,4|1|16800</v>
          </cell>
          <cell r="D6238" t="str">
            <v>35体力-主角60级精英副本经验和金币奖励</v>
          </cell>
          <cell r="E6238" t="str">
            <v>4|10|4200|1,4|1|16800|1</v>
          </cell>
        </row>
        <row r="6239">
          <cell r="A6239">
            <v>87061</v>
          </cell>
          <cell r="B6239">
            <v>0</v>
          </cell>
          <cell r="C6239" t="str">
            <v>4|10|4270,4|1|17080</v>
          </cell>
          <cell r="D6239" t="str">
            <v>35体力-主角61级精英副本经验和金币奖励</v>
          </cell>
          <cell r="E6239" t="str">
            <v>4|10|4270|1,4|1|17080|1</v>
          </cell>
        </row>
        <row r="6240">
          <cell r="A6240">
            <v>87062</v>
          </cell>
          <cell r="B6240">
            <v>0</v>
          </cell>
          <cell r="C6240" t="str">
            <v>4|10|4340,4|1|17360</v>
          </cell>
          <cell r="D6240" t="str">
            <v>35体力-主角62级精英副本经验和金币奖励</v>
          </cell>
          <cell r="E6240" t="str">
            <v>4|10|4340|1,4|1|17360|1</v>
          </cell>
        </row>
        <row r="6241">
          <cell r="A6241">
            <v>87063</v>
          </cell>
          <cell r="B6241">
            <v>0</v>
          </cell>
          <cell r="C6241" t="str">
            <v>4|10|4410,4|1|17640</v>
          </cell>
          <cell r="D6241" t="str">
            <v>35体力-主角63级精英副本经验和金币奖励</v>
          </cell>
          <cell r="E6241" t="str">
            <v>4|10|4410|1,4|1|17640|1</v>
          </cell>
        </row>
        <row r="6242">
          <cell r="A6242">
            <v>87064</v>
          </cell>
          <cell r="B6242">
            <v>0</v>
          </cell>
          <cell r="C6242" t="str">
            <v>4|10|4480,4|1|17920</v>
          </cell>
          <cell r="D6242" t="str">
            <v>35体力-主角64级精英副本经验和金币奖励</v>
          </cell>
          <cell r="E6242" t="str">
            <v>4|10|4480|1,4|1|17920|1</v>
          </cell>
        </row>
        <row r="6243">
          <cell r="A6243">
            <v>87065</v>
          </cell>
          <cell r="B6243">
            <v>0</v>
          </cell>
          <cell r="C6243" t="str">
            <v>4|10|4550,4|1|18200</v>
          </cell>
          <cell r="D6243" t="str">
            <v>35体力-主角65级精英副本经验和金币奖励</v>
          </cell>
          <cell r="E6243" t="str">
            <v>4|10|4550|1,4|1|18200|1</v>
          </cell>
        </row>
        <row r="6244">
          <cell r="A6244">
            <v>87066</v>
          </cell>
          <cell r="B6244">
            <v>0</v>
          </cell>
          <cell r="C6244" t="str">
            <v>4|10|4620,4|1|18480</v>
          </cell>
          <cell r="D6244" t="str">
            <v>35体力-主角66级精英副本经验和金币奖励</v>
          </cell>
          <cell r="E6244" t="str">
            <v>4|10|4620|1,4|1|18480|1</v>
          </cell>
        </row>
        <row r="6245">
          <cell r="A6245">
            <v>87067</v>
          </cell>
          <cell r="B6245">
            <v>0</v>
          </cell>
          <cell r="C6245" t="str">
            <v>4|10|4690,4|1|18760</v>
          </cell>
          <cell r="D6245" t="str">
            <v>35体力-主角67级精英副本经验和金币奖励</v>
          </cell>
          <cell r="E6245" t="str">
            <v>4|10|4690|1,4|1|18760|1</v>
          </cell>
        </row>
        <row r="6246">
          <cell r="A6246">
            <v>87068</v>
          </cell>
          <cell r="B6246">
            <v>0</v>
          </cell>
          <cell r="C6246" t="str">
            <v>4|10|4760,4|1|19040</v>
          </cell>
          <cell r="D6246" t="str">
            <v>35体力-主角68级精英副本经验和金币奖励</v>
          </cell>
          <cell r="E6246" t="str">
            <v>4|10|4760|1,4|1|19040|1</v>
          </cell>
        </row>
        <row r="6247">
          <cell r="A6247">
            <v>87069</v>
          </cell>
          <cell r="B6247">
            <v>0</v>
          </cell>
          <cell r="C6247" t="str">
            <v>4|10|4830,4|1|19320</v>
          </cell>
          <cell r="D6247" t="str">
            <v>35体力-主角69级精英副本经验和金币奖励</v>
          </cell>
          <cell r="E6247" t="str">
            <v>4|10|4830|1,4|1|19320|1</v>
          </cell>
        </row>
        <row r="6248">
          <cell r="A6248">
            <v>87070</v>
          </cell>
          <cell r="B6248">
            <v>0</v>
          </cell>
          <cell r="C6248" t="str">
            <v>4|10|4900,4|1|19600</v>
          </cell>
          <cell r="D6248" t="str">
            <v>35体力-主角70级精英副本经验和金币奖励</v>
          </cell>
          <cell r="E6248" t="str">
            <v>4|10|4900|1,4|1|19600|1</v>
          </cell>
        </row>
        <row r="6249">
          <cell r="A6249">
            <v>87071</v>
          </cell>
          <cell r="B6249">
            <v>0</v>
          </cell>
          <cell r="C6249" t="str">
            <v>4|10|4970,4|1|19880</v>
          </cell>
          <cell r="D6249" t="str">
            <v>35体力-主角71级精英副本经验和金币奖励</v>
          </cell>
          <cell r="E6249" t="str">
            <v>4|10|4970|1,4|1|19880|1</v>
          </cell>
        </row>
        <row r="6250">
          <cell r="A6250">
            <v>87072</v>
          </cell>
          <cell r="B6250">
            <v>0</v>
          </cell>
          <cell r="C6250" t="str">
            <v>4|10|5040,4|1|20160</v>
          </cell>
          <cell r="D6250" t="str">
            <v>35体力-主角72级精英副本经验和金币奖励</v>
          </cell>
          <cell r="E6250" t="str">
            <v>4|10|5040|1,4|1|20160|1</v>
          </cell>
        </row>
        <row r="6251">
          <cell r="A6251">
            <v>87073</v>
          </cell>
          <cell r="B6251">
            <v>0</v>
          </cell>
          <cell r="C6251" t="str">
            <v>4|10|5110,4|1|20440</v>
          </cell>
          <cell r="D6251" t="str">
            <v>35体力-主角73级精英副本经验和金币奖励</v>
          </cell>
          <cell r="E6251" t="str">
            <v>4|10|5110|1,4|1|20440|1</v>
          </cell>
        </row>
        <row r="6252">
          <cell r="A6252">
            <v>87074</v>
          </cell>
          <cell r="B6252">
            <v>0</v>
          </cell>
          <cell r="C6252" t="str">
            <v>4|10|5180,4|1|20720</v>
          </cell>
          <cell r="D6252" t="str">
            <v>35体力-主角74级精英副本经验和金币奖励</v>
          </cell>
          <cell r="E6252" t="str">
            <v>4|10|5180|1,4|1|20720|1</v>
          </cell>
        </row>
        <row r="6253">
          <cell r="A6253">
            <v>87075</v>
          </cell>
          <cell r="B6253">
            <v>0</v>
          </cell>
          <cell r="C6253" t="str">
            <v>4|10|5250,4|1|21000</v>
          </cell>
          <cell r="D6253" t="str">
            <v>35体力-主角75级精英副本经验和金币奖励</v>
          </cell>
          <cell r="E6253" t="str">
            <v>4|10|5250|1,4|1|21000|1</v>
          </cell>
        </row>
        <row r="6254">
          <cell r="A6254">
            <v>87076</v>
          </cell>
          <cell r="B6254">
            <v>0</v>
          </cell>
          <cell r="C6254" t="str">
            <v>4|10|5320,4|1|21280</v>
          </cell>
          <cell r="D6254" t="str">
            <v>35体力-主角76级精英副本经验和金币奖励</v>
          </cell>
          <cell r="E6254" t="str">
            <v>4|10|5320|1,4|1|21280|1</v>
          </cell>
        </row>
        <row r="6255">
          <cell r="A6255">
            <v>87077</v>
          </cell>
          <cell r="B6255">
            <v>0</v>
          </cell>
          <cell r="C6255" t="str">
            <v>4|10|5390,4|1|21560</v>
          </cell>
          <cell r="D6255" t="str">
            <v>35体力-主角77级精英副本经验和金币奖励</v>
          </cell>
          <cell r="E6255" t="str">
            <v>4|10|5390|1,4|1|21560|1</v>
          </cell>
        </row>
        <row r="6256">
          <cell r="A6256">
            <v>87078</v>
          </cell>
          <cell r="B6256">
            <v>0</v>
          </cell>
          <cell r="C6256" t="str">
            <v>4|10|5460,4|1|21840</v>
          </cell>
          <cell r="D6256" t="str">
            <v>35体力-主角78级精英副本经验和金币奖励</v>
          </cell>
          <cell r="E6256" t="str">
            <v>4|10|5460|1,4|1|21840|1</v>
          </cell>
        </row>
        <row r="6257">
          <cell r="A6257">
            <v>87079</v>
          </cell>
          <cell r="B6257">
            <v>0</v>
          </cell>
          <cell r="C6257" t="str">
            <v>4|10|5530,4|1|22120</v>
          </cell>
          <cell r="D6257" t="str">
            <v>35体力-主角79级精英副本经验和金币奖励</v>
          </cell>
          <cell r="E6257" t="str">
            <v>4|10|5530|1,4|1|22120|1</v>
          </cell>
        </row>
        <row r="6258">
          <cell r="A6258">
            <v>87080</v>
          </cell>
          <cell r="B6258">
            <v>0</v>
          </cell>
          <cell r="C6258" t="str">
            <v>4|10|5600,4|1|22400</v>
          </cell>
          <cell r="D6258" t="str">
            <v>35体力-主角80级精英副本经验和金币奖励</v>
          </cell>
          <cell r="E6258" t="str">
            <v>4|10|5600|1,4|1|22400|1</v>
          </cell>
        </row>
        <row r="6259">
          <cell r="A6259">
            <v>87081</v>
          </cell>
          <cell r="B6259">
            <v>0</v>
          </cell>
          <cell r="C6259" t="str">
            <v>4|10|5670,4|1|22680</v>
          </cell>
          <cell r="D6259" t="str">
            <v>35体力-主角81级精英副本经验和金币奖励</v>
          </cell>
          <cell r="E6259" t="str">
            <v>4|10|5670|1,4|1|22680|1</v>
          </cell>
        </row>
        <row r="6260">
          <cell r="A6260">
            <v>87082</v>
          </cell>
          <cell r="B6260">
            <v>0</v>
          </cell>
          <cell r="C6260" t="str">
            <v>4|10|5740,4|1|22960</v>
          </cell>
          <cell r="D6260" t="str">
            <v>35体力-主角82级精英副本经验和金币奖励</v>
          </cell>
          <cell r="E6260" t="str">
            <v>4|10|5740|1,4|1|22960|1</v>
          </cell>
        </row>
        <row r="6261">
          <cell r="A6261">
            <v>87083</v>
          </cell>
          <cell r="B6261">
            <v>0</v>
          </cell>
          <cell r="C6261" t="str">
            <v>4|10|5810,4|1|23240</v>
          </cell>
          <cell r="D6261" t="str">
            <v>35体力-主角83级精英副本经验和金币奖励</v>
          </cell>
          <cell r="E6261" t="str">
            <v>4|10|5810|1,4|1|23240|1</v>
          </cell>
        </row>
        <row r="6262">
          <cell r="A6262">
            <v>87084</v>
          </cell>
          <cell r="B6262">
            <v>0</v>
          </cell>
          <cell r="C6262" t="str">
            <v>4|10|5880,4|1|23520</v>
          </cell>
          <cell r="D6262" t="str">
            <v>35体力-主角84级精英副本经验和金币奖励</v>
          </cell>
          <cell r="E6262" t="str">
            <v>4|10|5880|1,4|1|23520|1</v>
          </cell>
        </row>
        <row r="6263">
          <cell r="A6263">
            <v>87085</v>
          </cell>
          <cell r="B6263">
            <v>0</v>
          </cell>
          <cell r="C6263" t="str">
            <v>4|10|5950,4|1|23800</v>
          </cell>
          <cell r="D6263" t="str">
            <v>35体力-主角85级精英副本经验和金币奖励</v>
          </cell>
          <cell r="E6263" t="str">
            <v>4|10|5950|1,4|1|23800|1</v>
          </cell>
        </row>
        <row r="6264">
          <cell r="A6264">
            <v>87086</v>
          </cell>
          <cell r="B6264">
            <v>0</v>
          </cell>
          <cell r="C6264" t="str">
            <v>4|10|6020,4|1|24080</v>
          </cell>
          <cell r="D6264" t="str">
            <v>35体力-主角86级精英副本经验和金币奖励</v>
          </cell>
          <cell r="E6264" t="str">
            <v>4|10|6020|1,4|1|24080|1</v>
          </cell>
        </row>
        <row r="6265">
          <cell r="A6265">
            <v>87087</v>
          </cell>
          <cell r="B6265">
            <v>0</v>
          </cell>
          <cell r="C6265" t="str">
            <v>4|10|6090,4|1|24360</v>
          </cell>
          <cell r="D6265" t="str">
            <v>35体力-主角87级精英副本经验和金币奖励</v>
          </cell>
          <cell r="E6265" t="str">
            <v>4|10|6090|1,4|1|24360|1</v>
          </cell>
        </row>
        <row r="6266">
          <cell r="A6266">
            <v>87088</v>
          </cell>
          <cell r="B6266">
            <v>0</v>
          </cell>
          <cell r="C6266" t="str">
            <v>4|10|6160,4|1|24640</v>
          </cell>
          <cell r="D6266" t="str">
            <v>35体力-主角88级精英副本经验和金币奖励</v>
          </cell>
          <cell r="E6266" t="str">
            <v>4|10|6160|1,4|1|24640|1</v>
          </cell>
        </row>
        <row r="6267">
          <cell r="A6267">
            <v>87089</v>
          </cell>
          <cell r="B6267">
            <v>0</v>
          </cell>
          <cell r="C6267" t="str">
            <v>4|10|6230,4|1|24920</v>
          </cell>
          <cell r="D6267" t="str">
            <v>35体力-主角89级精英副本经验和金币奖励</v>
          </cell>
          <cell r="E6267" t="str">
            <v>4|10|6230|1,4|1|24920|1</v>
          </cell>
        </row>
        <row r="6268">
          <cell r="A6268">
            <v>87090</v>
          </cell>
          <cell r="B6268">
            <v>0</v>
          </cell>
          <cell r="C6268" t="str">
            <v>4|10|6300,4|1|25200</v>
          </cell>
          <cell r="D6268" t="str">
            <v>35体力-主角90级精英副本经验和金币奖励</v>
          </cell>
          <cell r="E6268" t="str">
            <v>4|10|6300|1,4|1|25200|1</v>
          </cell>
        </row>
        <row r="6269">
          <cell r="A6269">
            <v>87091</v>
          </cell>
          <cell r="B6269">
            <v>0</v>
          </cell>
          <cell r="C6269" t="str">
            <v>4|10|6370,4|1|25480</v>
          </cell>
          <cell r="D6269" t="str">
            <v>35体力-主角91级精英副本经验和金币奖励</v>
          </cell>
          <cell r="E6269" t="str">
            <v>4|10|6370|1,4|1|25480|1</v>
          </cell>
        </row>
        <row r="6270">
          <cell r="A6270">
            <v>87092</v>
          </cell>
          <cell r="B6270">
            <v>0</v>
          </cell>
          <cell r="C6270" t="str">
            <v>4|10|6440,4|1|25760</v>
          </cell>
          <cell r="D6270" t="str">
            <v>35体力-主角92级精英副本经验和金币奖励</v>
          </cell>
          <cell r="E6270" t="str">
            <v>4|10|6440|1,4|1|25760|1</v>
          </cell>
        </row>
        <row r="6271">
          <cell r="A6271">
            <v>87093</v>
          </cell>
          <cell r="B6271">
            <v>0</v>
          </cell>
          <cell r="C6271" t="str">
            <v>4|10|6510,4|1|26040</v>
          </cell>
          <cell r="D6271" t="str">
            <v>35体力-主角93级精英副本经验和金币奖励</v>
          </cell>
          <cell r="E6271" t="str">
            <v>4|10|6510|1,4|1|26040|1</v>
          </cell>
        </row>
        <row r="6272">
          <cell r="A6272">
            <v>87094</v>
          </cell>
          <cell r="B6272">
            <v>0</v>
          </cell>
          <cell r="C6272" t="str">
            <v>4|10|6580,4|1|26320</v>
          </cell>
          <cell r="D6272" t="str">
            <v>35体力-主角94级精英副本经验和金币奖励</v>
          </cell>
          <cell r="E6272" t="str">
            <v>4|10|6580|1,4|1|26320|1</v>
          </cell>
        </row>
        <row r="6273">
          <cell r="A6273">
            <v>87095</v>
          </cell>
          <cell r="B6273">
            <v>0</v>
          </cell>
          <cell r="C6273" t="str">
            <v>4|10|6650,4|1|26600</v>
          </cell>
          <cell r="D6273" t="str">
            <v>35体力-主角95级精英副本经验和金币奖励</v>
          </cell>
          <cell r="E6273" t="str">
            <v>4|10|6650|1,4|1|26600|1</v>
          </cell>
        </row>
        <row r="6274">
          <cell r="A6274">
            <v>87096</v>
          </cell>
          <cell r="B6274">
            <v>0</v>
          </cell>
          <cell r="C6274" t="str">
            <v>4|10|6720,4|1|26880</v>
          </cell>
          <cell r="D6274" t="str">
            <v>35体力-主角96级精英副本经验和金币奖励</v>
          </cell>
          <cell r="E6274" t="str">
            <v>4|10|6720|1,4|1|26880|1</v>
          </cell>
        </row>
        <row r="6275">
          <cell r="A6275">
            <v>87097</v>
          </cell>
          <cell r="B6275">
            <v>0</v>
          </cell>
          <cell r="C6275" t="str">
            <v>4|10|6790,4|1|27160</v>
          </cell>
          <cell r="D6275" t="str">
            <v>35体力-主角97级精英副本经验和金币奖励</v>
          </cell>
          <cell r="E6275" t="str">
            <v>4|10|6790|1,4|1|27160|1</v>
          </cell>
        </row>
        <row r="6276">
          <cell r="A6276">
            <v>87098</v>
          </cell>
          <cell r="B6276">
            <v>0</v>
          </cell>
          <cell r="C6276" t="str">
            <v>4|10|6860,4|1|27440</v>
          </cell>
          <cell r="D6276" t="str">
            <v>35体力-主角98级精英副本经验和金币奖励</v>
          </cell>
          <cell r="E6276" t="str">
            <v>4|10|6860|1,4|1|27440|1</v>
          </cell>
        </row>
        <row r="6277">
          <cell r="A6277">
            <v>87099</v>
          </cell>
          <cell r="B6277">
            <v>0</v>
          </cell>
          <cell r="C6277" t="str">
            <v>4|10|6930,4|1|27720</v>
          </cell>
          <cell r="D6277" t="str">
            <v>35体力-主角99级精英副本经验和金币奖励</v>
          </cell>
          <cell r="E6277" t="str">
            <v>4|10|6930|1,4|1|27720|1</v>
          </cell>
        </row>
        <row r="6278">
          <cell r="A6278">
            <v>87100</v>
          </cell>
          <cell r="B6278">
            <v>0</v>
          </cell>
          <cell r="C6278" t="str">
            <v>4|10|7000,4|1|28000</v>
          </cell>
          <cell r="D6278" t="str">
            <v>35体力-主角100级精英副本经验和金币奖励</v>
          </cell>
          <cell r="E6278" t="str">
            <v>4|10|7000|1,4|1|28000|1</v>
          </cell>
        </row>
        <row r="6279">
          <cell r="A6279">
            <v>87101</v>
          </cell>
          <cell r="B6279">
            <v>0</v>
          </cell>
          <cell r="C6279" t="str">
            <v>4|10|7070,4|1|28280</v>
          </cell>
          <cell r="D6279" t="str">
            <v>35体力-主角101级精英副本经验和金币奖励</v>
          </cell>
          <cell r="E6279" t="str">
            <v>4|10|7070|1,4|1|28280|1</v>
          </cell>
        </row>
        <row r="6280">
          <cell r="A6280">
            <v>87102</v>
          </cell>
          <cell r="B6280">
            <v>0</v>
          </cell>
          <cell r="C6280" t="str">
            <v>4|10|7140,4|1|28560</v>
          </cell>
          <cell r="D6280" t="str">
            <v>35体力-主角102级精英副本经验和金币奖励</v>
          </cell>
          <cell r="E6280" t="str">
            <v>4|10|7140|1,4|1|28560|1</v>
          </cell>
        </row>
        <row r="6281">
          <cell r="A6281">
            <v>87103</v>
          </cell>
          <cell r="B6281">
            <v>0</v>
          </cell>
          <cell r="C6281" t="str">
            <v>4|10|7210,4|1|28840</v>
          </cell>
          <cell r="D6281" t="str">
            <v>35体力-主角103级精英副本经验和金币奖励</v>
          </cell>
          <cell r="E6281" t="str">
            <v>4|10|7210|1,4|1|28840|1</v>
          </cell>
        </row>
        <row r="6282">
          <cell r="A6282">
            <v>87104</v>
          </cell>
          <cell r="B6282">
            <v>0</v>
          </cell>
          <cell r="C6282" t="str">
            <v>4|10|7280,4|1|29120</v>
          </cell>
          <cell r="D6282" t="str">
            <v>35体力-主角104级精英副本经验和金币奖励</v>
          </cell>
          <cell r="E6282" t="str">
            <v>4|10|7280|1,4|1|29120|1</v>
          </cell>
        </row>
        <row r="6283">
          <cell r="A6283">
            <v>87105</v>
          </cell>
          <cell r="B6283">
            <v>0</v>
          </cell>
          <cell r="C6283" t="str">
            <v>4|10|7350,4|1|29400</v>
          </cell>
          <cell r="D6283" t="str">
            <v>35体力-主角105级精英副本经验和金币奖励</v>
          </cell>
          <cell r="E6283" t="str">
            <v>4|10|7350|1,4|1|29400|1</v>
          </cell>
        </row>
        <row r="6284">
          <cell r="A6284">
            <v>87106</v>
          </cell>
          <cell r="B6284">
            <v>0</v>
          </cell>
          <cell r="C6284" t="str">
            <v>4|10|7420,4|1|29680</v>
          </cell>
          <cell r="D6284" t="str">
            <v>35体力-主角106级精英副本经验和金币奖励</v>
          </cell>
          <cell r="E6284" t="str">
            <v>4|10|7420|1,4|1|29680|1</v>
          </cell>
        </row>
        <row r="6285">
          <cell r="A6285">
            <v>87107</v>
          </cell>
          <cell r="B6285">
            <v>0</v>
          </cell>
          <cell r="C6285" t="str">
            <v>4|10|7490,4|1|29960</v>
          </cell>
          <cell r="D6285" t="str">
            <v>35体力-主角107级精英副本经验和金币奖励</v>
          </cell>
          <cell r="E6285" t="str">
            <v>4|10|7490|1,4|1|29960|1</v>
          </cell>
        </row>
        <row r="6286">
          <cell r="A6286">
            <v>87108</v>
          </cell>
          <cell r="B6286">
            <v>0</v>
          </cell>
          <cell r="C6286" t="str">
            <v>4|10|7560,4|1|30240</v>
          </cell>
          <cell r="D6286" t="str">
            <v>35体力-主角108级精英副本经验和金币奖励</v>
          </cell>
          <cell r="E6286" t="str">
            <v>4|10|7560|1,4|1|30240|1</v>
          </cell>
        </row>
        <row r="6287">
          <cell r="A6287">
            <v>87109</v>
          </cell>
          <cell r="B6287">
            <v>0</v>
          </cell>
          <cell r="C6287" t="str">
            <v>4|10|7630,4|1|30520</v>
          </cell>
          <cell r="D6287" t="str">
            <v>35体力-主角109级精英副本经验和金币奖励</v>
          </cell>
          <cell r="E6287" t="str">
            <v>4|10|7630|1,4|1|30520|1</v>
          </cell>
        </row>
        <row r="6288">
          <cell r="A6288">
            <v>87110</v>
          </cell>
          <cell r="B6288">
            <v>0</v>
          </cell>
          <cell r="C6288" t="str">
            <v>4|10|7700,4|1|30800</v>
          </cell>
          <cell r="D6288" t="str">
            <v>35体力-主角110级精英副本经验和金币奖励</v>
          </cell>
          <cell r="E6288" t="str">
            <v>4|10|7700|1,4|1|30800|1</v>
          </cell>
        </row>
        <row r="6289">
          <cell r="A6289">
            <v>87111</v>
          </cell>
          <cell r="B6289">
            <v>0</v>
          </cell>
          <cell r="C6289" t="str">
            <v>4|10|7770,4|1|31080</v>
          </cell>
          <cell r="D6289" t="str">
            <v>35体力-主角111级精英副本经验和金币奖励</v>
          </cell>
          <cell r="E6289" t="str">
            <v>4|10|7770|1,4|1|31080|1</v>
          </cell>
        </row>
        <row r="6290">
          <cell r="A6290">
            <v>87112</v>
          </cell>
          <cell r="B6290">
            <v>0</v>
          </cell>
          <cell r="C6290" t="str">
            <v>4|10|7840,4|1|31360</v>
          </cell>
          <cell r="D6290" t="str">
            <v>35体力-主角112级精英副本经验和金币奖励</v>
          </cell>
          <cell r="E6290" t="str">
            <v>4|10|7840|1,4|1|31360|1</v>
          </cell>
        </row>
        <row r="6291">
          <cell r="A6291">
            <v>87113</v>
          </cell>
          <cell r="B6291">
            <v>0</v>
          </cell>
          <cell r="C6291" t="str">
            <v>4|10|7910,4|1|31640</v>
          </cell>
          <cell r="D6291" t="str">
            <v>35体力-主角113级精英副本经验和金币奖励</v>
          </cell>
          <cell r="E6291" t="str">
            <v>4|10|7910|1,4|1|31640|1</v>
          </cell>
        </row>
        <row r="6292">
          <cell r="A6292">
            <v>87114</v>
          </cell>
          <cell r="B6292">
            <v>0</v>
          </cell>
          <cell r="C6292" t="str">
            <v>4|10|7980,4|1|31920</v>
          </cell>
          <cell r="D6292" t="str">
            <v>35体力-主角114级精英副本经验和金币奖励</v>
          </cell>
          <cell r="E6292" t="str">
            <v>4|10|7980|1,4|1|31920|1</v>
          </cell>
        </row>
        <row r="6293">
          <cell r="A6293">
            <v>87115</v>
          </cell>
          <cell r="B6293">
            <v>0</v>
          </cell>
          <cell r="C6293" t="str">
            <v>4|10|8050,4|1|32200</v>
          </cell>
          <cell r="D6293" t="str">
            <v>35体力-主角115级精英副本经验和金币奖励</v>
          </cell>
          <cell r="E6293" t="str">
            <v>4|10|8050|1,4|1|32200|1</v>
          </cell>
        </row>
        <row r="6294">
          <cell r="A6294">
            <v>87116</v>
          </cell>
          <cell r="B6294">
            <v>0</v>
          </cell>
          <cell r="C6294" t="str">
            <v>4|10|8120,4|1|32480</v>
          </cell>
          <cell r="D6294" t="str">
            <v>35体力-主角116级精英副本经验和金币奖励</v>
          </cell>
          <cell r="E6294" t="str">
            <v>4|10|8120|1,4|1|32480|1</v>
          </cell>
        </row>
        <row r="6295">
          <cell r="A6295">
            <v>87117</v>
          </cell>
          <cell r="B6295">
            <v>0</v>
          </cell>
          <cell r="C6295" t="str">
            <v>4|10|8190,4|1|32760</v>
          </cell>
          <cell r="D6295" t="str">
            <v>35体力-主角117级精英副本经验和金币奖励</v>
          </cell>
          <cell r="E6295" t="str">
            <v>4|10|8190|1,4|1|32760|1</v>
          </cell>
        </row>
        <row r="6296">
          <cell r="A6296">
            <v>87118</v>
          </cell>
          <cell r="B6296">
            <v>0</v>
          </cell>
          <cell r="C6296" t="str">
            <v>4|10|8260,4|1|33040</v>
          </cell>
          <cell r="D6296" t="str">
            <v>35体力-主角118级精英副本经验和金币奖励</v>
          </cell>
          <cell r="E6296" t="str">
            <v>4|10|8260|1,4|1|33040|1</v>
          </cell>
        </row>
        <row r="6297">
          <cell r="A6297">
            <v>87119</v>
          </cell>
          <cell r="B6297">
            <v>0</v>
          </cell>
          <cell r="C6297" t="str">
            <v>4|10|8330,4|1|33320</v>
          </cell>
          <cell r="D6297" t="str">
            <v>35体力-主角119级精英副本经验和金币奖励</v>
          </cell>
          <cell r="E6297" t="str">
            <v>4|10|8330|1,4|1|33320|1</v>
          </cell>
        </row>
        <row r="6298">
          <cell r="A6298">
            <v>87120</v>
          </cell>
          <cell r="B6298">
            <v>0</v>
          </cell>
          <cell r="C6298" t="str">
            <v>4|10|8400,4|1|33600</v>
          </cell>
          <cell r="D6298" t="str">
            <v>35体力-主角120级精英副本经验和金币奖励</v>
          </cell>
          <cell r="E6298" t="str">
            <v>4|10|8400|1,4|1|33600|1</v>
          </cell>
        </row>
        <row r="6299">
          <cell r="A6299">
            <v>87121</v>
          </cell>
          <cell r="B6299">
            <v>0</v>
          </cell>
          <cell r="C6299" t="str">
            <v>4|10|8470,4|1|33880</v>
          </cell>
          <cell r="D6299" t="str">
            <v>35体力-主角121级精英副本经验和金币奖励</v>
          </cell>
          <cell r="E6299" t="str">
            <v>4|10|8470|1,4|1|33880|1</v>
          </cell>
        </row>
        <row r="6300">
          <cell r="A6300">
            <v>87122</v>
          </cell>
          <cell r="B6300">
            <v>0</v>
          </cell>
          <cell r="C6300" t="str">
            <v>4|10|8540,4|1|34160</v>
          </cell>
          <cell r="D6300" t="str">
            <v>35体力-主角122级精英副本经验和金币奖励</v>
          </cell>
          <cell r="E6300" t="str">
            <v>4|10|8540|1,4|1|34160|1</v>
          </cell>
        </row>
        <row r="6301">
          <cell r="A6301">
            <v>87123</v>
          </cell>
          <cell r="B6301">
            <v>0</v>
          </cell>
          <cell r="C6301" t="str">
            <v>4|10|8610,4|1|34440</v>
          </cell>
          <cell r="D6301" t="str">
            <v>35体力-主角123级精英副本经验和金币奖励</v>
          </cell>
          <cell r="E6301" t="str">
            <v>4|10|8610|1,4|1|34440|1</v>
          </cell>
        </row>
        <row r="6302">
          <cell r="A6302">
            <v>87124</v>
          </cell>
          <cell r="B6302">
            <v>0</v>
          </cell>
          <cell r="C6302" t="str">
            <v>4|10|8680,4|1|34720</v>
          </cell>
          <cell r="D6302" t="str">
            <v>35体力-主角124级精英副本经验和金币奖励</v>
          </cell>
          <cell r="E6302" t="str">
            <v>4|10|8680|1,4|1|34720|1</v>
          </cell>
        </row>
        <row r="6303">
          <cell r="A6303">
            <v>87125</v>
          </cell>
          <cell r="B6303">
            <v>0</v>
          </cell>
          <cell r="C6303" t="str">
            <v>4|10|8750,4|1|35000</v>
          </cell>
          <cell r="D6303" t="str">
            <v>35体力-主角125级精英副本经验和金币奖励</v>
          </cell>
          <cell r="E6303" t="str">
            <v>4|10|8750|1,4|1|35000|1</v>
          </cell>
        </row>
        <row r="6304">
          <cell r="A6304">
            <v>87126</v>
          </cell>
          <cell r="B6304">
            <v>0</v>
          </cell>
          <cell r="C6304" t="str">
            <v>4|10|8820,4|1|35280</v>
          </cell>
          <cell r="D6304" t="str">
            <v>35体力-主角126级精英副本经验和金币奖励</v>
          </cell>
          <cell r="E6304" t="str">
            <v>4|10|8820|1,4|1|35280|1</v>
          </cell>
        </row>
        <row r="6305">
          <cell r="A6305">
            <v>87127</v>
          </cell>
          <cell r="B6305">
            <v>0</v>
          </cell>
          <cell r="C6305" t="str">
            <v>4|10|8890,4|1|35560</v>
          </cell>
          <cell r="D6305" t="str">
            <v>35体力-主角127级精英副本经验和金币奖励</v>
          </cell>
          <cell r="E6305" t="str">
            <v>4|10|8890|1,4|1|35560|1</v>
          </cell>
        </row>
        <row r="6306">
          <cell r="A6306">
            <v>87128</v>
          </cell>
          <cell r="B6306">
            <v>0</v>
          </cell>
          <cell r="C6306" t="str">
            <v>4|10|8960,4|1|35840</v>
          </cell>
          <cell r="D6306" t="str">
            <v>35体力-主角128级精英副本经验和金币奖励</v>
          </cell>
          <cell r="E6306" t="str">
            <v>4|10|8960|1,4|1|35840|1</v>
          </cell>
        </row>
        <row r="6307">
          <cell r="A6307">
            <v>87129</v>
          </cell>
          <cell r="B6307">
            <v>0</v>
          </cell>
          <cell r="C6307" t="str">
            <v>4|10|9030,4|1|36120</v>
          </cell>
          <cell r="D6307" t="str">
            <v>35体力-主角129级精英副本经验和金币奖励</v>
          </cell>
          <cell r="E6307" t="str">
            <v>4|10|9030|1,4|1|36120|1</v>
          </cell>
        </row>
        <row r="6308">
          <cell r="A6308">
            <v>87130</v>
          </cell>
          <cell r="B6308">
            <v>0</v>
          </cell>
          <cell r="C6308" t="str">
            <v>4|10|9100,4|1|36400</v>
          </cell>
          <cell r="D6308" t="str">
            <v>35体力-主角130级精英副本经验和金币奖励</v>
          </cell>
          <cell r="E6308" t="str">
            <v>4|10|9100|1,4|1|36400|1</v>
          </cell>
        </row>
        <row r="6309">
          <cell r="A6309">
            <v>87131</v>
          </cell>
          <cell r="B6309">
            <v>0</v>
          </cell>
          <cell r="C6309" t="str">
            <v>4|10|9170,4|1|36680</v>
          </cell>
          <cell r="D6309" t="str">
            <v>35体力-主角131级精英副本经验和金币奖励</v>
          </cell>
          <cell r="E6309" t="str">
            <v>4|10|9170|1,4|1|36680|1</v>
          </cell>
        </row>
        <row r="6310">
          <cell r="A6310">
            <v>87132</v>
          </cell>
          <cell r="B6310">
            <v>0</v>
          </cell>
          <cell r="C6310" t="str">
            <v>4|10|9240,4|1|36960</v>
          </cell>
          <cell r="D6310" t="str">
            <v>35体力-主角132级精英副本经验和金币奖励</v>
          </cell>
          <cell r="E6310" t="str">
            <v>4|10|9240|1,4|1|36960|1</v>
          </cell>
        </row>
        <row r="6311">
          <cell r="A6311">
            <v>87133</v>
          </cell>
          <cell r="B6311">
            <v>0</v>
          </cell>
          <cell r="C6311" t="str">
            <v>4|10|9310,4|1|37240</v>
          </cell>
          <cell r="D6311" t="str">
            <v>35体力-主角133级精英副本经验和金币奖励</v>
          </cell>
          <cell r="E6311" t="str">
            <v>4|10|9310|1,4|1|37240|1</v>
          </cell>
        </row>
        <row r="6312">
          <cell r="A6312">
            <v>87134</v>
          </cell>
          <cell r="B6312">
            <v>0</v>
          </cell>
          <cell r="C6312" t="str">
            <v>4|10|9380,4|1|37520</v>
          </cell>
          <cell r="D6312" t="str">
            <v>35体力-主角134级精英副本经验和金币奖励</v>
          </cell>
          <cell r="E6312" t="str">
            <v>4|10|9380|1,4|1|37520|1</v>
          </cell>
        </row>
        <row r="6313">
          <cell r="A6313">
            <v>87135</v>
          </cell>
          <cell r="B6313">
            <v>0</v>
          </cell>
          <cell r="C6313" t="str">
            <v>4|10|9450,4|1|37800</v>
          </cell>
          <cell r="D6313" t="str">
            <v>35体力-主角135级精英副本经验和金币奖励</v>
          </cell>
          <cell r="E6313" t="str">
            <v>4|10|9450|1,4|1|37800|1</v>
          </cell>
        </row>
        <row r="6314">
          <cell r="A6314">
            <v>87136</v>
          </cell>
          <cell r="B6314">
            <v>0</v>
          </cell>
          <cell r="C6314" t="str">
            <v>4|10|9520,4|1|38080</v>
          </cell>
          <cell r="D6314" t="str">
            <v>35体力-主角136级精英副本经验和金币奖励</v>
          </cell>
          <cell r="E6314" t="str">
            <v>4|10|9520|1,4|1|38080|1</v>
          </cell>
        </row>
        <row r="6315">
          <cell r="A6315">
            <v>87137</v>
          </cell>
          <cell r="B6315">
            <v>0</v>
          </cell>
          <cell r="C6315" t="str">
            <v>4|10|9590,4|1|38360</v>
          </cell>
          <cell r="D6315" t="str">
            <v>35体力-主角137级精英副本经验和金币奖励</v>
          </cell>
          <cell r="E6315" t="str">
            <v>4|10|9590|1,4|1|38360|1</v>
          </cell>
        </row>
        <row r="6316">
          <cell r="A6316">
            <v>87138</v>
          </cell>
          <cell r="B6316">
            <v>0</v>
          </cell>
          <cell r="C6316" t="str">
            <v>4|10|9660,4|1|38640</v>
          </cell>
          <cell r="D6316" t="str">
            <v>35体力-主角138级精英副本经验和金币奖励</v>
          </cell>
          <cell r="E6316" t="str">
            <v>4|10|9660|1,4|1|38640|1</v>
          </cell>
        </row>
        <row r="6317">
          <cell r="A6317">
            <v>87139</v>
          </cell>
          <cell r="B6317">
            <v>0</v>
          </cell>
          <cell r="C6317" t="str">
            <v>4|10|9730,4|1|38920</v>
          </cell>
          <cell r="D6317" t="str">
            <v>35体力-主角139级精英副本经验和金币奖励</v>
          </cell>
          <cell r="E6317" t="str">
            <v>4|10|9730|1,4|1|38920|1</v>
          </cell>
        </row>
        <row r="6318">
          <cell r="A6318">
            <v>87140</v>
          </cell>
          <cell r="B6318">
            <v>0</v>
          </cell>
          <cell r="C6318" t="str">
            <v>4|10|9800,4|1|39200</v>
          </cell>
          <cell r="D6318" t="str">
            <v>35体力-主角140级精英副本经验和金币奖励</v>
          </cell>
          <cell r="E6318" t="str">
            <v>4|10|9800|1,4|1|39200|1</v>
          </cell>
        </row>
        <row r="6319">
          <cell r="A6319">
            <v>87141</v>
          </cell>
          <cell r="B6319">
            <v>0</v>
          </cell>
          <cell r="C6319" t="str">
            <v>4|10|9870,4|1|39480</v>
          </cell>
          <cell r="D6319" t="str">
            <v>35体力-主角141级精英副本经验和金币奖励</v>
          </cell>
          <cell r="E6319" t="str">
            <v>4|10|9870|1,4|1|39480|1</v>
          </cell>
        </row>
        <row r="6320">
          <cell r="A6320">
            <v>87142</v>
          </cell>
          <cell r="B6320">
            <v>0</v>
          </cell>
          <cell r="C6320" t="str">
            <v>4|10|9940,4|1|39760</v>
          </cell>
          <cell r="D6320" t="str">
            <v>35体力-主角142级精英副本经验和金币奖励</v>
          </cell>
          <cell r="E6320" t="str">
            <v>4|10|9940|1,4|1|39760|1</v>
          </cell>
        </row>
        <row r="6321">
          <cell r="A6321">
            <v>87143</v>
          </cell>
          <cell r="B6321">
            <v>0</v>
          </cell>
          <cell r="C6321" t="str">
            <v>4|10|10010,4|1|40040</v>
          </cell>
          <cell r="D6321" t="str">
            <v>35体力-主角143级精英副本经验和金币奖励</v>
          </cell>
          <cell r="E6321" t="str">
            <v>4|10|10010|1,4|1|40040|1</v>
          </cell>
        </row>
        <row r="6322">
          <cell r="A6322">
            <v>87144</v>
          </cell>
          <cell r="B6322">
            <v>0</v>
          </cell>
          <cell r="C6322" t="str">
            <v>4|10|10080,4|1|40320</v>
          </cell>
          <cell r="D6322" t="str">
            <v>35体力-主角144级精英副本经验和金币奖励</v>
          </cell>
          <cell r="E6322" t="str">
            <v>4|10|10080|1,4|1|40320|1</v>
          </cell>
        </row>
        <row r="6323">
          <cell r="A6323">
            <v>87145</v>
          </cell>
          <cell r="B6323">
            <v>0</v>
          </cell>
          <cell r="C6323" t="str">
            <v>4|10|10150,4|1|40600</v>
          </cell>
          <cell r="D6323" t="str">
            <v>35体力-主角145级精英副本经验和金币奖励</v>
          </cell>
          <cell r="E6323" t="str">
            <v>4|10|10150|1,4|1|40600|1</v>
          </cell>
        </row>
        <row r="6324">
          <cell r="A6324">
            <v>87146</v>
          </cell>
          <cell r="B6324">
            <v>0</v>
          </cell>
          <cell r="C6324" t="str">
            <v>4|10|10220,4|1|40880</v>
          </cell>
          <cell r="D6324" t="str">
            <v>35体力-主角146级精英副本经验和金币奖励</v>
          </cell>
          <cell r="E6324" t="str">
            <v>4|10|10220|1,4|1|40880|1</v>
          </cell>
        </row>
        <row r="6325">
          <cell r="A6325">
            <v>87147</v>
          </cell>
          <cell r="B6325">
            <v>0</v>
          </cell>
          <cell r="C6325" t="str">
            <v>4|10|10290,4|1|41160</v>
          </cell>
          <cell r="D6325" t="str">
            <v>35体力-主角147级精英副本经验和金币奖励</v>
          </cell>
          <cell r="E6325" t="str">
            <v>4|10|10290|1,4|1|41160|1</v>
          </cell>
        </row>
        <row r="6326">
          <cell r="A6326">
            <v>87148</v>
          </cell>
          <cell r="B6326">
            <v>0</v>
          </cell>
          <cell r="C6326" t="str">
            <v>4|10|10360,4|1|41440</v>
          </cell>
          <cell r="D6326" t="str">
            <v>35体力-主角148级精英副本经验和金币奖励</v>
          </cell>
          <cell r="E6326" t="str">
            <v>4|10|10360|1,4|1|41440|1</v>
          </cell>
        </row>
        <row r="6327">
          <cell r="A6327">
            <v>87149</v>
          </cell>
          <cell r="B6327">
            <v>0</v>
          </cell>
          <cell r="C6327" t="str">
            <v>4|10|10430,4|1|41720</v>
          </cell>
          <cell r="D6327" t="str">
            <v>35体力-主角149级精英副本经验和金币奖励</v>
          </cell>
          <cell r="E6327" t="str">
            <v>4|10|10430|1,4|1|41720|1</v>
          </cell>
        </row>
        <row r="6328">
          <cell r="A6328">
            <v>87150</v>
          </cell>
          <cell r="B6328">
            <v>0</v>
          </cell>
          <cell r="C6328" t="str">
            <v>4|10|10500,4|1|42000</v>
          </cell>
          <cell r="D6328" t="str">
            <v>35体力-主角150级精英副本经验和金币奖励</v>
          </cell>
          <cell r="E6328" t="str">
            <v>4|10|10500|1,4|1|42000|1</v>
          </cell>
        </row>
        <row r="6329">
          <cell r="A6329">
            <v>90001</v>
          </cell>
          <cell r="B6329">
            <v>0</v>
          </cell>
          <cell r="C6329" t="str">
            <v>4|1|20000</v>
          </cell>
          <cell r="D6329" t="str">
            <v>第1次招财获得金币</v>
          </cell>
          <cell r="E6329" t="str">
            <v>4|1|20000|1</v>
          </cell>
        </row>
        <row r="6330">
          <cell r="A6330">
            <v>90002</v>
          </cell>
          <cell r="B6330">
            <v>0</v>
          </cell>
          <cell r="C6330" t="str">
            <v>4|1|40000</v>
          </cell>
          <cell r="D6330" t="str">
            <v>第2次招财获得金币</v>
          </cell>
          <cell r="E6330" t="str">
            <v>4|1|40000|1</v>
          </cell>
        </row>
        <row r="6331">
          <cell r="A6331">
            <v>90003</v>
          </cell>
          <cell r="B6331">
            <v>0</v>
          </cell>
          <cell r="C6331" t="str">
            <v>4|1|40000</v>
          </cell>
          <cell r="D6331" t="str">
            <v>第3次招财获得金币</v>
          </cell>
          <cell r="E6331" t="str">
            <v>4|1|40000|1</v>
          </cell>
        </row>
        <row r="6332">
          <cell r="A6332">
            <v>90004</v>
          </cell>
          <cell r="B6332">
            <v>0</v>
          </cell>
          <cell r="C6332" t="str">
            <v>4|1|40000</v>
          </cell>
          <cell r="D6332" t="str">
            <v>第4次招财获得金币</v>
          </cell>
          <cell r="E6332" t="str">
            <v>4|1|40000|1</v>
          </cell>
        </row>
        <row r="6333">
          <cell r="A6333">
            <v>90005</v>
          </cell>
          <cell r="B6333">
            <v>0</v>
          </cell>
          <cell r="C6333" t="str">
            <v>4|1|60000</v>
          </cell>
          <cell r="D6333" t="str">
            <v>第5次招财获得金币</v>
          </cell>
          <cell r="E6333" t="str">
            <v>4|1|60000|1</v>
          </cell>
        </row>
        <row r="6334">
          <cell r="A6334">
            <v>90006</v>
          </cell>
          <cell r="B6334">
            <v>0</v>
          </cell>
          <cell r="C6334" t="str">
            <v>4|1|60000</v>
          </cell>
          <cell r="D6334" t="str">
            <v>第6次招财获得金币</v>
          </cell>
          <cell r="E6334" t="str">
            <v>4|1|60000|1</v>
          </cell>
        </row>
        <row r="6335">
          <cell r="A6335">
            <v>90007</v>
          </cell>
          <cell r="B6335">
            <v>0</v>
          </cell>
          <cell r="C6335" t="str">
            <v>4|1|60000</v>
          </cell>
          <cell r="D6335" t="str">
            <v>第7次招财获得金币</v>
          </cell>
          <cell r="E6335" t="str">
            <v>4|1|60000|1</v>
          </cell>
        </row>
        <row r="6336">
          <cell r="A6336">
            <v>90008</v>
          </cell>
          <cell r="B6336">
            <v>0</v>
          </cell>
          <cell r="C6336" t="str">
            <v>4|1|80000</v>
          </cell>
          <cell r="D6336" t="str">
            <v>第8次招财获得金币</v>
          </cell>
          <cell r="E6336" t="str">
            <v>4|1|80000|1</v>
          </cell>
        </row>
        <row r="6337">
          <cell r="A6337">
            <v>90009</v>
          </cell>
          <cell r="B6337">
            <v>0</v>
          </cell>
          <cell r="C6337" t="str">
            <v>4|1|80000</v>
          </cell>
          <cell r="D6337" t="str">
            <v>第9次招财获得金币</v>
          </cell>
          <cell r="E6337" t="str">
            <v>4|1|80000|1</v>
          </cell>
        </row>
        <row r="6338">
          <cell r="A6338">
            <v>90010</v>
          </cell>
          <cell r="B6338">
            <v>0</v>
          </cell>
          <cell r="C6338" t="str">
            <v>4|1|80000</v>
          </cell>
          <cell r="D6338" t="str">
            <v>第10次招财获得金币</v>
          </cell>
          <cell r="E6338" t="str">
            <v>4|1|80000|1</v>
          </cell>
        </row>
        <row r="6339">
          <cell r="A6339">
            <v>90011</v>
          </cell>
          <cell r="B6339">
            <v>0</v>
          </cell>
          <cell r="C6339" t="str">
            <v>4|1|100000</v>
          </cell>
          <cell r="D6339" t="str">
            <v>第11次招财获得金币</v>
          </cell>
          <cell r="E6339" t="str">
            <v>4|1|100000|1</v>
          </cell>
        </row>
        <row r="6340">
          <cell r="A6340">
            <v>90012</v>
          </cell>
          <cell r="B6340">
            <v>0</v>
          </cell>
          <cell r="C6340" t="str">
            <v>4|1|100000</v>
          </cell>
          <cell r="D6340" t="str">
            <v>第12次招财获得金币</v>
          </cell>
          <cell r="E6340" t="str">
            <v>4|1|100000|1</v>
          </cell>
        </row>
        <row r="6341">
          <cell r="A6341">
            <v>90013</v>
          </cell>
          <cell r="B6341">
            <v>0</v>
          </cell>
          <cell r="C6341" t="str">
            <v>4|1|100000</v>
          </cell>
          <cell r="D6341" t="str">
            <v>第13次招财获得金币</v>
          </cell>
          <cell r="E6341" t="str">
            <v>4|1|100000|1</v>
          </cell>
        </row>
        <row r="6342">
          <cell r="A6342">
            <v>90014</v>
          </cell>
          <cell r="B6342">
            <v>0</v>
          </cell>
          <cell r="C6342" t="str">
            <v>4|1|120000</v>
          </cell>
          <cell r="D6342" t="str">
            <v>第14次招财获得金币</v>
          </cell>
          <cell r="E6342" t="str">
            <v>4|1|120000|1</v>
          </cell>
        </row>
        <row r="6343">
          <cell r="A6343">
            <v>90015</v>
          </cell>
          <cell r="B6343">
            <v>0</v>
          </cell>
          <cell r="C6343" t="str">
            <v>4|1|120000</v>
          </cell>
          <cell r="D6343" t="str">
            <v>第15次招财获得金币</v>
          </cell>
          <cell r="E6343" t="str">
            <v>4|1|120000|1</v>
          </cell>
        </row>
        <row r="6344">
          <cell r="A6344">
            <v>90016</v>
          </cell>
          <cell r="B6344">
            <v>0</v>
          </cell>
          <cell r="C6344" t="str">
            <v>4|1|120000</v>
          </cell>
          <cell r="D6344" t="str">
            <v>第16次招财获得金币</v>
          </cell>
          <cell r="E6344" t="str">
            <v>4|1|120000|1</v>
          </cell>
        </row>
        <row r="6345">
          <cell r="A6345">
            <v>90017</v>
          </cell>
          <cell r="B6345">
            <v>0</v>
          </cell>
          <cell r="C6345" t="str">
            <v>4|1|140000</v>
          </cell>
          <cell r="D6345" t="str">
            <v>第17次招财获得金币</v>
          </cell>
          <cell r="E6345" t="str">
            <v>4|1|140000|1</v>
          </cell>
        </row>
        <row r="6346">
          <cell r="A6346">
            <v>90018</v>
          </cell>
          <cell r="B6346">
            <v>0</v>
          </cell>
          <cell r="C6346" t="str">
            <v>4|1|140000</v>
          </cell>
          <cell r="D6346" t="str">
            <v>第18次招财获得金币</v>
          </cell>
          <cell r="E6346" t="str">
            <v>4|1|140000|1</v>
          </cell>
        </row>
        <row r="6347">
          <cell r="A6347">
            <v>90019</v>
          </cell>
          <cell r="B6347">
            <v>0</v>
          </cell>
          <cell r="C6347" t="str">
            <v>4|1|140000</v>
          </cell>
          <cell r="D6347" t="str">
            <v>第19次招财获得金币</v>
          </cell>
          <cell r="E6347" t="str">
            <v>4|1|140000|1</v>
          </cell>
        </row>
        <row r="6348">
          <cell r="A6348">
            <v>90020</v>
          </cell>
          <cell r="B6348">
            <v>0</v>
          </cell>
          <cell r="C6348" t="str">
            <v>4|1|160000</v>
          </cell>
          <cell r="D6348" t="str">
            <v>第20次招财获得金币</v>
          </cell>
          <cell r="E6348" t="str">
            <v>4|1|160000|1</v>
          </cell>
        </row>
        <row r="6349">
          <cell r="A6349">
            <v>90021</v>
          </cell>
          <cell r="B6349">
            <v>0</v>
          </cell>
          <cell r="C6349" t="str">
            <v>4|1|160000</v>
          </cell>
          <cell r="D6349" t="str">
            <v>第21次招财获得金币</v>
          </cell>
          <cell r="E6349" t="str">
            <v>4|1|160000|1</v>
          </cell>
        </row>
        <row r="6350">
          <cell r="A6350">
            <v>90022</v>
          </cell>
          <cell r="B6350">
            <v>0</v>
          </cell>
          <cell r="C6350" t="str">
            <v>4|1|160000</v>
          </cell>
          <cell r="D6350" t="str">
            <v>第22次招财获得金币</v>
          </cell>
          <cell r="E6350" t="str">
            <v>4|1|160000|1</v>
          </cell>
        </row>
        <row r="6351">
          <cell r="A6351">
            <v>90023</v>
          </cell>
          <cell r="B6351">
            <v>0</v>
          </cell>
          <cell r="C6351" t="str">
            <v>4|1|180000</v>
          </cell>
          <cell r="D6351" t="str">
            <v>第23次招财获得金币</v>
          </cell>
          <cell r="E6351" t="str">
            <v>4|1|180000|1</v>
          </cell>
        </row>
        <row r="6352">
          <cell r="A6352">
            <v>90024</v>
          </cell>
          <cell r="B6352">
            <v>0</v>
          </cell>
          <cell r="C6352" t="str">
            <v>4|1|180000</v>
          </cell>
          <cell r="D6352" t="str">
            <v>第24次招财获得金币</v>
          </cell>
          <cell r="E6352" t="str">
            <v>4|1|180000|1</v>
          </cell>
        </row>
        <row r="6353">
          <cell r="A6353">
            <v>90025</v>
          </cell>
          <cell r="B6353">
            <v>0</v>
          </cell>
          <cell r="C6353" t="str">
            <v>4|1|180000</v>
          </cell>
          <cell r="D6353" t="str">
            <v>第25次招财获得金币</v>
          </cell>
          <cell r="E6353" t="str">
            <v>4|1|180000|1</v>
          </cell>
        </row>
        <row r="6354">
          <cell r="A6354">
            <v>90026</v>
          </cell>
          <cell r="B6354">
            <v>0</v>
          </cell>
          <cell r="C6354" t="str">
            <v>4|1|200000</v>
          </cell>
          <cell r="D6354" t="str">
            <v>第26次招财获得金币</v>
          </cell>
          <cell r="E6354" t="str">
            <v>4|1|200000|1</v>
          </cell>
        </row>
        <row r="6355">
          <cell r="A6355">
            <v>90027</v>
          </cell>
          <cell r="B6355">
            <v>0</v>
          </cell>
          <cell r="C6355" t="str">
            <v>4|1|200000</v>
          </cell>
          <cell r="D6355" t="str">
            <v>第27次招财获得金币</v>
          </cell>
          <cell r="E6355" t="str">
            <v>4|1|200000|1</v>
          </cell>
        </row>
        <row r="6356">
          <cell r="A6356">
            <v>90028</v>
          </cell>
          <cell r="B6356">
            <v>0</v>
          </cell>
          <cell r="C6356" t="str">
            <v>4|1|200000</v>
          </cell>
          <cell r="D6356" t="str">
            <v>第28次招财获得金币</v>
          </cell>
          <cell r="E6356" t="str">
            <v>4|1|200000|1</v>
          </cell>
        </row>
        <row r="6357">
          <cell r="A6357">
            <v>90029</v>
          </cell>
          <cell r="B6357">
            <v>0</v>
          </cell>
          <cell r="C6357" t="str">
            <v>4|1|220000</v>
          </cell>
          <cell r="D6357" t="str">
            <v>第29次招财获得金币</v>
          </cell>
          <cell r="E6357" t="str">
            <v>4|1|220000|1</v>
          </cell>
        </row>
        <row r="6358">
          <cell r="A6358">
            <v>90030</v>
          </cell>
          <cell r="B6358">
            <v>0</v>
          </cell>
          <cell r="C6358" t="str">
            <v>4|1|220000</v>
          </cell>
          <cell r="D6358" t="str">
            <v>第30次招财获得金币</v>
          </cell>
          <cell r="E6358" t="str">
            <v>4|1|220000|1</v>
          </cell>
        </row>
        <row r="6359">
          <cell r="A6359">
            <v>90031</v>
          </cell>
          <cell r="B6359">
            <v>0</v>
          </cell>
          <cell r="C6359" t="str">
            <v>4|1|220000</v>
          </cell>
          <cell r="D6359" t="str">
            <v>第31次招财获得金币</v>
          </cell>
          <cell r="E6359" t="str">
            <v>4|1|220000|1</v>
          </cell>
        </row>
        <row r="6360">
          <cell r="A6360">
            <v>90032</v>
          </cell>
          <cell r="B6360">
            <v>0</v>
          </cell>
          <cell r="C6360" t="str">
            <v>4|1|240000</v>
          </cell>
          <cell r="D6360" t="str">
            <v>第32次招财获得金币</v>
          </cell>
          <cell r="E6360" t="str">
            <v>4|1|240000|1</v>
          </cell>
        </row>
        <row r="6361">
          <cell r="A6361">
            <v>90033</v>
          </cell>
          <cell r="B6361">
            <v>0</v>
          </cell>
          <cell r="C6361" t="str">
            <v>4|1|240000</v>
          </cell>
          <cell r="D6361" t="str">
            <v>第33次招财获得金币</v>
          </cell>
          <cell r="E6361" t="str">
            <v>4|1|240000|1</v>
          </cell>
        </row>
        <row r="6362">
          <cell r="A6362">
            <v>90034</v>
          </cell>
          <cell r="B6362">
            <v>0</v>
          </cell>
          <cell r="C6362" t="str">
            <v>4|1|240000</v>
          </cell>
          <cell r="D6362" t="str">
            <v>第34次招财获得金币</v>
          </cell>
          <cell r="E6362" t="str">
            <v>4|1|240000|1</v>
          </cell>
        </row>
        <row r="6363">
          <cell r="A6363">
            <v>90035</v>
          </cell>
          <cell r="B6363">
            <v>0</v>
          </cell>
          <cell r="C6363" t="str">
            <v>4|1|260000</v>
          </cell>
          <cell r="D6363" t="str">
            <v>第35次招财获得金币</v>
          </cell>
          <cell r="E6363" t="str">
            <v>4|1|260000|1</v>
          </cell>
        </row>
        <row r="6364">
          <cell r="A6364">
            <v>90036</v>
          </cell>
          <cell r="B6364">
            <v>0</v>
          </cell>
          <cell r="C6364" t="str">
            <v>4|1|260000</v>
          </cell>
          <cell r="D6364" t="str">
            <v>第36次招财获得金币</v>
          </cell>
          <cell r="E6364" t="str">
            <v>4|1|260000|1</v>
          </cell>
        </row>
        <row r="6365">
          <cell r="A6365">
            <v>90037</v>
          </cell>
          <cell r="B6365">
            <v>0</v>
          </cell>
          <cell r="C6365" t="str">
            <v>4|1|260000</v>
          </cell>
          <cell r="D6365" t="str">
            <v>第37次招财获得金币</v>
          </cell>
          <cell r="E6365" t="str">
            <v>4|1|260000|1</v>
          </cell>
        </row>
        <row r="6366">
          <cell r="A6366">
            <v>90038</v>
          </cell>
          <cell r="B6366">
            <v>0</v>
          </cell>
          <cell r="C6366" t="str">
            <v>4|1|280000</v>
          </cell>
          <cell r="D6366" t="str">
            <v>第38次招财获得金币</v>
          </cell>
          <cell r="E6366" t="str">
            <v>4|1|280000|1</v>
          </cell>
        </row>
        <row r="6367">
          <cell r="A6367">
            <v>90039</v>
          </cell>
          <cell r="B6367">
            <v>0</v>
          </cell>
          <cell r="C6367" t="str">
            <v>4|1|280000</v>
          </cell>
          <cell r="D6367" t="str">
            <v>第39次招财获得金币</v>
          </cell>
          <cell r="E6367" t="str">
            <v>4|1|280000|1</v>
          </cell>
        </row>
        <row r="6368">
          <cell r="A6368">
            <v>90040</v>
          </cell>
          <cell r="B6368">
            <v>0</v>
          </cell>
          <cell r="C6368" t="str">
            <v>4|1|280000</v>
          </cell>
          <cell r="D6368" t="str">
            <v>第40次招财获得金币</v>
          </cell>
          <cell r="E6368" t="str">
            <v>4|1|280000|1</v>
          </cell>
        </row>
        <row r="6369">
          <cell r="A6369">
            <v>90041</v>
          </cell>
          <cell r="B6369">
            <v>0</v>
          </cell>
          <cell r="C6369" t="str">
            <v>4|1|300000</v>
          </cell>
          <cell r="D6369" t="str">
            <v>第41次招财获得金币</v>
          </cell>
          <cell r="E6369" t="str">
            <v>4|1|300000|1</v>
          </cell>
        </row>
        <row r="6370">
          <cell r="A6370">
            <v>90042</v>
          </cell>
          <cell r="B6370">
            <v>0</v>
          </cell>
          <cell r="C6370" t="str">
            <v>4|1|300000</v>
          </cell>
          <cell r="D6370" t="str">
            <v>第42次招财获得金币</v>
          </cell>
          <cell r="E6370" t="str">
            <v>4|1|300000|1</v>
          </cell>
        </row>
        <row r="6371">
          <cell r="A6371">
            <v>90043</v>
          </cell>
          <cell r="B6371">
            <v>0</v>
          </cell>
          <cell r="C6371" t="str">
            <v>4|1|300000</v>
          </cell>
          <cell r="D6371" t="str">
            <v>第43次招财获得金币</v>
          </cell>
          <cell r="E6371" t="str">
            <v>4|1|300000|1</v>
          </cell>
        </row>
        <row r="6372">
          <cell r="A6372">
            <v>90044</v>
          </cell>
          <cell r="B6372">
            <v>0</v>
          </cell>
          <cell r="C6372" t="str">
            <v>4|1|320000</v>
          </cell>
          <cell r="D6372" t="str">
            <v>第44次招财获得金币</v>
          </cell>
          <cell r="E6372" t="str">
            <v>4|1|320000|1</v>
          </cell>
        </row>
        <row r="6373">
          <cell r="A6373">
            <v>90045</v>
          </cell>
          <cell r="B6373">
            <v>0</v>
          </cell>
          <cell r="C6373" t="str">
            <v>4|1|320000</v>
          </cell>
          <cell r="D6373" t="str">
            <v>第45次招财获得金币</v>
          </cell>
          <cell r="E6373" t="str">
            <v>4|1|320000|1</v>
          </cell>
        </row>
        <row r="6374">
          <cell r="A6374">
            <v>90046</v>
          </cell>
          <cell r="B6374">
            <v>0</v>
          </cell>
          <cell r="C6374" t="str">
            <v>4|1|320000</v>
          </cell>
          <cell r="D6374" t="str">
            <v>第46次招财获得金币</v>
          </cell>
          <cell r="E6374" t="str">
            <v>4|1|320000|1</v>
          </cell>
        </row>
        <row r="6375">
          <cell r="A6375">
            <v>90047</v>
          </cell>
          <cell r="B6375">
            <v>0</v>
          </cell>
          <cell r="C6375" t="str">
            <v>4|1|340000</v>
          </cell>
          <cell r="D6375" t="str">
            <v>第47次招财获得金币</v>
          </cell>
          <cell r="E6375" t="str">
            <v>4|1|340000|1</v>
          </cell>
        </row>
        <row r="6376">
          <cell r="A6376">
            <v>90048</v>
          </cell>
          <cell r="B6376">
            <v>0</v>
          </cell>
          <cell r="C6376" t="str">
            <v>4|1|340000</v>
          </cell>
          <cell r="D6376" t="str">
            <v>第48次招财获得金币</v>
          </cell>
          <cell r="E6376" t="str">
            <v>4|1|340000|1</v>
          </cell>
        </row>
        <row r="6377">
          <cell r="A6377">
            <v>90049</v>
          </cell>
          <cell r="B6377">
            <v>0</v>
          </cell>
          <cell r="C6377" t="str">
            <v>4|1|340000</v>
          </cell>
          <cell r="D6377" t="str">
            <v>第49次招财获得金币</v>
          </cell>
          <cell r="E6377" t="str">
            <v>4|1|340000|1</v>
          </cell>
        </row>
        <row r="6378">
          <cell r="A6378">
            <v>90050</v>
          </cell>
          <cell r="B6378">
            <v>0</v>
          </cell>
          <cell r="C6378" t="str">
            <v>4|1|360000</v>
          </cell>
          <cell r="D6378" t="str">
            <v>第50次招财获得金币</v>
          </cell>
          <cell r="E6378" t="str">
            <v>4|1|360000|1</v>
          </cell>
        </row>
        <row r="6379">
          <cell r="A6379">
            <v>90051</v>
          </cell>
          <cell r="B6379">
            <v>0</v>
          </cell>
          <cell r="C6379" t="str">
            <v>4|1|360000</v>
          </cell>
          <cell r="D6379" t="str">
            <v>第51次招财获得金币</v>
          </cell>
          <cell r="E6379" t="str">
            <v>4|1|360000|1</v>
          </cell>
        </row>
        <row r="6380">
          <cell r="A6380">
            <v>90052</v>
          </cell>
          <cell r="B6380">
            <v>0</v>
          </cell>
          <cell r="C6380" t="str">
            <v>4|1|360000</v>
          </cell>
          <cell r="D6380" t="str">
            <v>第52次招财获得金币</v>
          </cell>
          <cell r="E6380" t="str">
            <v>4|1|360000|1</v>
          </cell>
        </row>
        <row r="6381">
          <cell r="A6381">
            <v>90053</v>
          </cell>
          <cell r="B6381">
            <v>0</v>
          </cell>
          <cell r="C6381" t="str">
            <v>4|1|380000</v>
          </cell>
          <cell r="D6381" t="str">
            <v>第53次招财获得金币</v>
          </cell>
          <cell r="E6381" t="str">
            <v>4|1|380000|1</v>
          </cell>
        </row>
        <row r="6382">
          <cell r="A6382">
            <v>90054</v>
          </cell>
          <cell r="B6382">
            <v>0</v>
          </cell>
          <cell r="C6382" t="str">
            <v>4|1|380000</v>
          </cell>
          <cell r="D6382" t="str">
            <v>第54次招财获得金币</v>
          </cell>
          <cell r="E6382" t="str">
            <v>4|1|380000|1</v>
          </cell>
        </row>
        <row r="6383">
          <cell r="A6383">
            <v>90055</v>
          </cell>
          <cell r="B6383">
            <v>0</v>
          </cell>
          <cell r="C6383" t="str">
            <v>4|1|380000</v>
          </cell>
          <cell r="D6383" t="str">
            <v>第55次招财获得金币</v>
          </cell>
          <cell r="E6383" t="str">
            <v>4|1|380000|1</v>
          </cell>
        </row>
        <row r="6384">
          <cell r="A6384">
            <v>90056</v>
          </cell>
          <cell r="B6384">
            <v>0</v>
          </cell>
          <cell r="C6384" t="str">
            <v>4|1|400000</v>
          </cell>
          <cell r="D6384" t="str">
            <v>第56次招财获得金币</v>
          </cell>
          <cell r="E6384" t="str">
            <v>4|1|400000|1</v>
          </cell>
        </row>
        <row r="6385">
          <cell r="A6385">
            <v>90057</v>
          </cell>
          <cell r="B6385">
            <v>0</v>
          </cell>
          <cell r="C6385" t="str">
            <v>4|1|400000</v>
          </cell>
          <cell r="D6385" t="str">
            <v>第57次招财获得金币</v>
          </cell>
          <cell r="E6385" t="str">
            <v>4|1|400000|1</v>
          </cell>
        </row>
        <row r="6386">
          <cell r="A6386">
            <v>90058</v>
          </cell>
          <cell r="B6386">
            <v>0</v>
          </cell>
          <cell r="C6386" t="str">
            <v>4|1|400000</v>
          </cell>
          <cell r="D6386" t="str">
            <v>第58次招财获得金币</v>
          </cell>
          <cell r="E6386" t="str">
            <v>4|1|400000|1</v>
          </cell>
        </row>
        <row r="6387">
          <cell r="A6387">
            <v>90059</v>
          </cell>
          <cell r="B6387">
            <v>0</v>
          </cell>
          <cell r="C6387" t="str">
            <v>4|1|420000</v>
          </cell>
          <cell r="D6387" t="str">
            <v>第59次招财获得金币</v>
          </cell>
          <cell r="E6387" t="str">
            <v>4|1|420000|1</v>
          </cell>
        </row>
        <row r="6388">
          <cell r="A6388">
            <v>90060</v>
          </cell>
          <cell r="B6388">
            <v>0</v>
          </cell>
          <cell r="C6388" t="str">
            <v>4|1|420000</v>
          </cell>
          <cell r="D6388" t="str">
            <v>第60次招财获得金币</v>
          </cell>
          <cell r="E6388" t="str">
            <v>4|1|420000|1</v>
          </cell>
        </row>
        <row r="6389">
          <cell r="A6389">
            <v>90061</v>
          </cell>
          <cell r="B6389">
            <v>0</v>
          </cell>
          <cell r="C6389" t="str">
            <v>4|1|420000</v>
          </cell>
          <cell r="D6389" t="str">
            <v>第61次招财获得金币</v>
          </cell>
          <cell r="E6389" t="str">
            <v>4|1|420000|1</v>
          </cell>
        </row>
        <row r="6390">
          <cell r="A6390">
            <v>90062</v>
          </cell>
          <cell r="B6390">
            <v>0</v>
          </cell>
          <cell r="C6390" t="str">
            <v>4|1|440000</v>
          </cell>
          <cell r="D6390" t="str">
            <v>第62次招财获得金币</v>
          </cell>
          <cell r="E6390" t="str">
            <v>4|1|440000|1</v>
          </cell>
        </row>
        <row r="6391">
          <cell r="A6391">
            <v>90063</v>
          </cell>
          <cell r="B6391">
            <v>0</v>
          </cell>
          <cell r="C6391" t="str">
            <v>4|1|440000</v>
          </cell>
          <cell r="D6391" t="str">
            <v>第63次招财获得金币</v>
          </cell>
          <cell r="E6391" t="str">
            <v>4|1|440000|1</v>
          </cell>
        </row>
        <row r="6392">
          <cell r="A6392">
            <v>90064</v>
          </cell>
          <cell r="B6392">
            <v>0</v>
          </cell>
          <cell r="C6392" t="str">
            <v>4|1|440000</v>
          </cell>
          <cell r="D6392" t="str">
            <v>第64次招财获得金币</v>
          </cell>
          <cell r="E6392" t="str">
            <v>4|1|440000|1</v>
          </cell>
        </row>
        <row r="6393">
          <cell r="A6393">
            <v>90065</v>
          </cell>
          <cell r="B6393">
            <v>0</v>
          </cell>
          <cell r="C6393" t="str">
            <v>4|1|460000</v>
          </cell>
          <cell r="D6393" t="str">
            <v>第65次招财获得金币</v>
          </cell>
          <cell r="E6393" t="str">
            <v>4|1|460000|1</v>
          </cell>
        </row>
        <row r="6394">
          <cell r="A6394">
            <v>90066</v>
          </cell>
          <cell r="B6394">
            <v>0</v>
          </cell>
          <cell r="C6394" t="str">
            <v>4|1|460000</v>
          </cell>
          <cell r="D6394" t="str">
            <v>第66次招财获得金币</v>
          </cell>
          <cell r="E6394" t="str">
            <v>4|1|460000|1</v>
          </cell>
        </row>
        <row r="6395">
          <cell r="A6395">
            <v>90067</v>
          </cell>
          <cell r="B6395">
            <v>0</v>
          </cell>
          <cell r="C6395" t="str">
            <v>4|1|460000</v>
          </cell>
          <cell r="D6395" t="str">
            <v>第67次招财获得金币</v>
          </cell>
          <cell r="E6395" t="str">
            <v>4|1|460000|1</v>
          </cell>
        </row>
        <row r="6396">
          <cell r="A6396">
            <v>90068</v>
          </cell>
          <cell r="B6396">
            <v>0</v>
          </cell>
          <cell r="C6396" t="str">
            <v>4|1|480000</v>
          </cell>
          <cell r="D6396" t="str">
            <v>第68次招财获得金币</v>
          </cell>
          <cell r="E6396" t="str">
            <v>4|1|480000|1</v>
          </cell>
        </row>
        <row r="6397">
          <cell r="A6397">
            <v>90069</v>
          </cell>
          <cell r="B6397">
            <v>0</v>
          </cell>
          <cell r="C6397" t="str">
            <v>4|1|480000</v>
          </cell>
          <cell r="D6397" t="str">
            <v>第69次招财获得金币</v>
          </cell>
          <cell r="E6397" t="str">
            <v>4|1|480000|1</v>
          </cell>
        </row>
        <row r="6398">
          <cell r="A6398">
            <v>90070</v>
          </cell>
          <cell r="B6398">
            <v>0</v>
          </cell>
          <cell r="C6398" t="str">
            <v>4|1|480000</v>
          </cell>
          <cell r="D6398" t="str">
            <v>第70次招财获得金币</v>
          </cell>
          <cell r="E6398" t="str">
            <v>4|1|480000|1</v>
          </cell>
        </row>
        <row r="6399">
          <cell r="A6399">
            <v>90071</v>
          </cell>
          <cell r="B6399">
            <v>0</v>
          </cell>
          <cell r="C6399" t="str">
            <v>4|1|500000</v>
          </cell>
          <cell r="D6399" t="str">
            <v>第71次招财获得金币</v>
          </cell>
          <cell r="E6399" t="str">
            <v>4|1|500000|1</v>
          </cell>
        </row>
        <row r="6400">
          <cell r="A6400">
            <v>90072</v>
          </cell>
          <cell r="B6400">
            <v>0</v>
          </cell>
          <cell r="C6400" t="str">
            <v>4|1|500000</v>
          </cell>
          <cell r="D6400" t="str">
            <v>第72次招财获得金币</v>
          </cell>
          <cell r="E6400" t="str">
            <v>4|1|500000|1</v>
          </cell>
        </row>
        <row r="6401">
          <cell r="A6401">
            <v>90073</v>
          </cell>
          <cell r="B6401">
            <v>0</v>
          </cell>
          <cell r="C6401" t="str">
            <v>4|1|500000</v>
          </cell>
          <cell r="D6401" t="str">
            <v>第73次招财获得金币</v>
          </cell>
          <cell r="E6401" t="str">
            <v>4|1|500000|1</v>
          </cell>
        </row>
        <row r="6402">
          <cell r="A6402">
            <v>90074</v>
          </cell>
          <cell r="B6402">
            <v>0</v>
          </cell>
          <cell r="C6402" t="str">
            <v>4|1|520000</v>
          </cell>
          <cell r="D6402" t="str">
            <v>第74次招财获得金币</v>
          </cell>
          <cell r="E6402" t="str">
            <v>4|1|520000|1</v>
          </cell>
        </row>
        <row r="6403">
          <cell r="A6403">
            <v>90075</v>
          </cell>
          <cell r="B6403">
            <v>0</v>
          </cell>
          <cell r="C6403" t="str">
            <v>4|1|520000</v>
          </cell>
          <cell r="D6403" t="str">
            <v>第75次招财获得金币</v>
          </cell>
          <cell r="E6403" t="str">
            <v>4|1|520000|1</v>
          </cell>
        </row>
        <row r="6404">
          <cell r="A6404">
            <v>90076</v>
          </cell>
          <cell r="B6404">
            <v>0</v>
          </cell>
          <cell r="C6404" t="str">
            <v>4|1|520000</v>
          </cell>
          <cell r="D6404" t="str">
            <v>第76次招财获得金币</v>
          </cell>
          <cell r="E6404" t="str">
            <v>4|1|520000|1</v>
          </cell>
        </row>
        <row r="6405">
          <cell r="A6405">
            <v>90077</v>
          </cell>
          <cell r="B6405">
            <v>0</v>
          </cell>
          <cell r="C6405" t="str">
            <v>4|1|540000</v>
          </cell>
          <cell r="D6405" t="str">
            <v>第77次招财获得金币</v>
          </cell>
          <cell r="E6405" t="str">
            <v>4|1|540000|1</v>
          </cell>
        </row>
        <row r="6406">
          <cell r="A6406">
            <v>90078</v>
          </cell>
          <cell r="B6406">
            <v>0</v>
          </cell>
          <cell r="C6406" t="str">
            <v>4|1|540000</v>
          </cell>
          <cell r="D6406" t="str">
            <v>第78次招财获得金币</v>
          </cell>
          <cell r="E6406" t="str">
            <v>4|1|540000|1</v>
          </cell>
        </row>
        <row r="6407">
          <cell r="A6407">
            <v>90079</v>
          </cell>
          <cell r="B6407">
            <v>0</v>
          </cell>
          <cell r="C6407" t="str">
            <v>4|1|540000</v>
          </cell>
          <cell r="D6407" t="str">
            <v>第79次招财获得金币</v>
          </cell>
          <cell r="E6407" t="str">
            <v>4|1|540000|1</v>
          </cell>
        </row>
        <row r="6408">
          <cell r="A6408">
            <v>90080</v>
          </cell>
          <cell r="B6408">
            <v>0</v>
          </cell>
          <cell r="C6408" t="str">
            <v>4|1|560000</v>
          </cell>
          <cell r="D6408" t="str">
            <v>第80次招财获得金币</v>
          </cell>
          <cell r="E6408" t="str">
            <v>4|1|560000|1</v>
          </cell>
        </row>
        <row r="6409">
          <cell r="A6409">
            <v>90081</v>
          </cell>
          <cell r="B6409">
            <v>0</v>
          </cell>
          <cell r="C6409" t="str">
            <v>4|1|560000</v>
          </cell>
          <cell r="D6409" t="str">
            <v>第81次招财获得金币</v>
          </cell>
          <cell r="E6409" t="str">
            <v>4|1|560000|1</v>
          </cell>
        </row>
        <row r="6410">
          <cell r="A6410">
            <v>90082</v>
          </cell>
          <cell r="B6410">
            <v>0</v>
          </cell>
          <cell r="C6410" t="str">
            <v>4|1|560000</v>
          </cell>
          <cell r="D6410" t="str">
            <v>第82次招财获得金币</v>
          </cell>
          <cell r="E6410" t="str">
            <v>4|1|560000|1</v>
          </cell>
        </row>
        <row r="6411">
          <cell r="A6411">
            <v>90083</v>
          </cell>
          <cell r="B6411">
            <v>0</v>
          </cell>
          <cell r="C6411" t="str">
            <v>4|1|580000</v>
          </cell>
          <cell r="D6411" t="str">
            <v>第83次招财获得金币</v>
          </cell>
          <cell r="E6411" t="str">
            <v>4|1|580000|1</v>
          </cell>
        </row>
        <row r="6412">
          <cell r="A6412">
            <v>90084</v>
          </cell>
          <cell r="B6412">
            <v>0</v>
          </cell>
          <cell r="C6412" t="str">
            <v>4|1|580000</v>
          </cell>
          <cell r="D6412" t="str">
            <v>第84次招财获得金币</v>
          </cell>
          <cell r="E6412" t="str">
            <v>4|1|580000|1</v>
          </cell>
        </row>
        <row r="6413">
          <cell r="A6413">
            <v>90085</v>
          </cell>
          <cell r="B6413">
            <v>0</v>
          </cell>
          <cell r="C6413" t="str">
            <v>4|1|580000</v>
          </cell>
          <cell r="D6413" t="str">
            <v>第85次招财获得金币</v>
          </cell>
          <cell r="E6413" t="str">
            <v>4|1|580000|1</v>
          </cell>
        </row>
        <row r="6414">
          <cell r="A6414">
            <v>90086</v>
          </cell>
          <cell r="B6414">
            <v>0</v>
          </cell>
          <cell r="C6414" t="str">
            <v>4|1|600000</v>
          </cell>
          <cell r="D6414" t="str">
            <v>第86次招财获得金币</v>
          </cell>
          <cell r="E6414" t="str">
            <v>4|1|600000|1</v>
          </cell>
        </row>
        <row r="6415">
          <cell r="A6415">
            <v>90087</v>
          </cell>
          <cell r="B6415">
            <v>0</v>
          </cell>
          <cell r="C6415" t="str">
            <v>4|1|600000</v>
          </cell>
          <cell r="D6415" t="str">
            <v>第87次招财获得金币</v>
          </cell>
          <cell r="E6415" t="str">
            <v>4|1|600000|1</v>
          </cell>
        </row>
        <row r="6416">
          <cell r="A6416">
            <v>90088</v>
          </cell>
          <cell r="B6416">
            <v>0</v>
          </cell>
          <cell r="C6416" t="str">
            <v>4|1|600000</v>
          </cell>
          <cell r="D6416" t="str">
            <v>第88次招财获得金币</v>
          </cell>
          <cell r="E6416" t="str">
            <v>4|1|600000|1</v>
          </cell>
        </row>
        <row r="6417">
          <cell r="A6417">
            <v>90089</v>
          </cell>
          <cell r="B6417">
            <v>0</v>
          </cell>
          <cell r="C6417" t="str">
            <v>4|1|620000</v>
          </cell>
          <cell r="D6417" t="str">
            <v>第89次招财获得金币</v>
          </cell>
          <cell r="E6417" t="str">
            <v>4|1|620000|1</v>
          </cell>
        </row>
        <row r="6418">
          <cell r="A6418">
            <v>90090</v>
          </cell>
          <cell r="B6418">
            <v>0</v>
          </cell>
          <cell r="C6418" t="str">
            <v>4|1|620000</v>
          </cell>
          <cell r="D6418" t="str">
            <v>第90次招财获得金币</v>
          </cell>
          <cell r="E6418" t="str">
            <v>4|1|620000|1</v>
          </cell>
        </row>
        <row r="6419">
          <cell r="A6419">
            <v>90091</v>
          </cell>
          <cell r="B6419">
            <v>0</v>
          </cell>
          <cell r="C6419" t="str">
            <v>4|1|620000</v>
          </cell>
          <cell r="D6419" t="str">
            <v>第91次招财获得金币</v>
          </cell>
          <cell r="E6419" t="str">
            <v>4|1|620000|1</v>
          </cell>
        </row>
        <row r="6420">
          <cell r="A6420">
            <v>90092</v>
          </cell>
          <cell r="B6420">
            <v>0</v>
          </cell>
          <cell r="C6420" t="str">
            <v>4|1|640000</v>
          </cell>
          <cell r="D6420" t="str">
            <v>第92次招财获得金币</v>
          </cell>
          <cell r="E6420" t="str">
            <v>4|1|640000|1</v>
          </cell>
        </row>
        <row r="6421">
          <cell r="A6421">
            <v>90093</v>
          </cell>
          <cell r="B6421">
            <v>0</v>
          </cell>
          <cell r="C6421" t="str">
            <v>4|1|640000</v>
          </cell>
          <cell r="D6421" t="str">
            <v>第93次招财获得金币</v>
          </cell>
          <cell r="E6421" t="str">
            <v>4|1|640000|1</v>
          </cell>
        </row>
        <row r="6422">
          <cell r="A6422">
            <v>90094</v>
          </cell>
          <cell r="B6422">
            <v>0</v>
          </cell>
          <cell r="C6422" t="str">
            <v>4|1|640000</v>
          </cell>
          <cell r="D6422" t="str">
            <v>第94次招财获得金币</v>
          </cell>
          <cell r="E6422" t="str">
            <v>4|1|640000|1</v>
          </cell>
        </row>
        <row r="6423">
          <cell r="A6423">
            <v>90095</v>
          </cell>
          <cell r="B6423">
            <v>0</v>
          </cell>
          <cell r="C6423" t="str">
            <v>4|1|660000</v>
          </cell>
          <cell r="D6423" t="str">
            <v>第95次招财获得金币</v>
          </cell>
          <cell r="E6423" t="str">
            <v>4|1|660000|1</v>
          </cell>
        </row>
        <row r="6424">
          <cell r="A6424">
            <v>90096</v>
          </cell>
          <cell r="B6424">
            <v>0</v>
          </cell>
          <cell r="C6424" t="str">
            <v>4|1|660000</v>
          </cell>
          <cell r="D6424" t="str">
            <v>第96次招财获得金币</v>
          </cell>
          <cell r="E6424" t="str">
            <v>4|1|660000|1</v>
          </cell>
        </row>
        <row r="6425">
          <cell r="A6425">
            <v>90097</v>
          </cell>
          <cell r="B6425">
            <v>0</v>
          </cell>
          <cell r="C6425" t="str">
            <v>4|1|660000</v>
          </cell>
          <cell r="D6425" t="str">
            <v>第97次招财获得金币</v>
          </cell>
          <cell r="E6425" t="str">
            <v>4|1|660000|1</v>
          </cell>
        </row>
        <row r="6426">
          <cell r="A6426">
            <v>90098</v>
          </cell>
          <cell r="B6426">
            <v>0</v>
          </cell>
          <cell r="C6426" t="str">
            <v>4|1|680000</v>
          </cell>
          <cell r="D6426" t="str">
            <v>第98次招财获得金币</v>
          </cell>
          <cell r="E6426" t="str">
            <v>4|1|680000|1</v>
          </cell>
        </row>
        <row r="6427">
          <cell r="A6427">
            <v>90099</v>
          </cell>
          <cell r="B6427">
            <v>0</v>
          </cell>
          <cell r="C6427" t="str">
            <v>4|1|680000</v>
          </cell>
          <cell r="D6427" t="str">
            <v>第99次招财获得金币</v>
          </cell>
          <cell r="E6427" t="str">
            <v>4|1|680000|1</v>
          </cell>
        </row>
        <row r="6428">
          <cell r="A6428">
            <v>90100</v>
          </cell>
          <cell r="B6428">
            <v>0</v>
          </cell>
          <cell r="C6428" t="str">
            <v>4|1|680000</v>
          </cell>
          <cell r="D6428" t="str">
            <v>第100次招财获得金币</v>
          </cell>
          <cell r="E6428" t="str">
            <v>4|1|680000|1</v>
          </cell>
        </row>
        <row r="6429">
          <cell r="A6429">
            <v>91001</v>
          </cell>
          <cell r="B6429">
            <v>0</v>
          </cell>
          <cell r="C6429" t="str">
            <v>4|1|100000</v>
          </cell>
          <cell r="D6429" t="str">
            <v>第1个招财进度宝箱奖励金币</v>
          </cell>
          <cell r="E6429" t="str">
            <v>4|1|100000|1</v>
          </cell>
        </row>
        <row r="6430">
          <cell r="A6430">
            <v>91002</v>
          </cell>
          <cell r="B6430">
            <v>0</v>
          </cell>
          <cell r="C6430" t="str">
            <v>4|1|200000</v>
          </cell>
          <cell r="D6430" t="str">
            <v>第2个招财进度宝箱奖励金币</v>
          </cell>
          <cell r="E6430" t="str">
            <v>4|1|200000|1</v>
          </cell>
        </row>
        <row r="6431">
          <cell r="A6431">
            <v>91003</v>
          </cell>
          <cell r="B6431">
            <v>0</v>
          </cell>
          <cell r="C6431" t="str">
            <v>4|1|300000</v>
          </cell>
          <cell r="D6431" t="str">
            <v>第3个招财进度宝箱奖励金币</v>
          </cell>
          <cell r="E6431" t="str">
            <v>4|1|300000|1</v>
          </cell>
        </row>
        <row r="6432">
          <cell r="A6432">
            <v>91004</v>
          </cell>
          <cell r="B6432">
            <v>0</v>
          </cell>
          <cell r="C6432" t="str">
            <v>4|1|400000</v>
          </cell>
          <cell r="D6432" t="str">
            <v>第4个招财进度宝箱奖励金币</v>
          </cell>
          <cell r="E6432" t="str">
            <v>4|1|400000|1</v>
          </cell>
        </row>
        <row r="6433">
          <cell r="A6433">
            <v>91005</v>
          </cell>
          <cell r="B6433">
            <v>0</v>
          </cell>
          <cell r="C6433" t="str">
            <v>4|1|200000</v>
          </cell>
          <cell r="D6433" t="str">
            <v>50-59级招财进度宝箱奖励金币</v>
          </cell>
          <cell r="E6433" t="str">
            <v>4|1|200000|1</v>
          </cell>
        </row>
        <row r="6434">
          <cell r="A6434">
            <v>91006</v>
          </cell>
          <cell r="B6434">
            <v>0</v>
          </cell>
          <cell r="C6434" t="str">
            <v>4|1|220000</v>
          </cell>
          <cell r="D6434" t="str">
            <v>60-69级招财进度宝箱奖励金币</v>
          </cell>
          <cell r="E6434" t="str">
            <v>4|1|220000|1</v>
          </cell>
        </row>
        <row r="6435">
          <cell r="A6435">
            <v>91007</v>
          </cell>
          <cell r="B6435">
            <v>0</v>
          </cell>
          <cell r="C6435" t="str">
            <v>4|1|240000</v>
          </cell>
          <cell r="D6435" t="str">
            <v>70-79级招财进度宝箱奖励金币</v>
          </cell>
          <cell r="E6435" t="str">
            <v>4|1|240000|1</v>
          </cell>
        </row>
        <row r="6436">
          <cell r="A6436">
            <v>91008</v>
          </cell>
          <cell r="B6436">
            <v>0</v>
          </cell>
          <cell r="C6436" t="str">
            <v>4|1|260000</v>
          </cell>
          <cell r="D6436" t="str">
            <v>80-89级招财进度宝箱奖励金币</v>
          </cell>
          <cell r="E6436" t="str">
            <v>4|1|260000|1</v>
          </cell>
        </row>
        <row r="6437">
          <cell r="A6437">
            <v>91009</v>
          </cell>
          <cell r="B6437">
            <v>0</v>
          </cell>
          <cell r="C6437" t="str">
            <v>4|1|280000</v>
          </cell>
          <cell r="D6437" t="str">
            <v>90-99级招财进度宝箱奖励金币</v>
          </cell>
          <cell r="E6437" t="str">
            <v>4|1|280000|1</v>
          </cell>
        </row>
        <row r="6438">
          <cell r="A6438">
            <v>91010</v>
          </cell>
          <cell r="B6438">
            <v>0</v>
          </cell>
          <cell r="C6438" t="str">
            <v>4|1|300000</v>
          </cell>
          <cell r="D6438" t="str">
            <v>100-109级招财进度宝箱奖励金币</v>
          </cell>
          <cell r="E6438" t="str">
            <v>4|1|300000|1</v>
          </cell>
        </row>
        <row r="6439">
          <cell r="A6439">
            <v>91011</v>
          </cell>
          <cell r="B6439">
            <v>0</v>
          </cell>
          <cell r="C6439" t="str">
            <v>4|1|320000</v>
          </cell>
          <cell r="D6439" t="str">
            <v>110-119级招财进度宝箱奖励金币</v>
          </cell>
          <cell r="E6439" t="str">
            <v>4|1|320000|1</v>
          </cell>
        </row>
        <row r="6440">
          <cell r="A6440">
            <v>91012</v>
          </cell>
          <cell r="B6440">
            <v>0</v>
          </cell>
          <cell r="C6440" t="str">
            <v>4|1|340000</v>
          </cell>
          <cell r="D6440" t="str">
            <v>120-129级招财进度宝箱奖励金币</v>
          </cell>
          <cell r="E6440" t="str">
            <v>4|1|340000|1</v>
          </cell>
        </row>
        <row r="6441">
          <cell r="A6441">
            <v>91013</v>
          </cell>
          <cell r="B6441">
            <v>0</v>
          </cell>
          <cell r="C6441" t="str">
            <v>4|1|360000</v>
          </cell>
          <cell r="D6441" t="str">
            <v>130-139级招财进度宝箱奖励金币</v>
          </cell>
          <cell r="E6441" t="str">
            <v>4|1|360000|1</v>
          </cell>
        </row>
        <row r="6442">
          <cell r="A6442">
            <v>91014</v>
          </cell>
          <cell r="B6442">
            <v>0</v>
          </cell>
          <cell r="C6442" t="str">
            <v>4|1|380000</v>
          </cell>
          <cell r="D6442" t="str">
            <v>140-149级招财进度宝箱奖励金币</v>
          </cell>
          <cell r="E6442" t="str">
            <v>4|1|380000|1</v>
          </cell>
        </row>
        <row r="6443">
          <cell r="A6443">
            <v>91015</v>
          </cell>
          <cell r="B6443">
            <v>0</v>
          </cell>
          <cell r="C6443" t="str">
            <v>4|1|400000</v>
          </cell>
          <cell r="D6443" t="str">
            <v>150-159级招财进度宝箱奖励金币</v>
          </cell>
          <cell r="E6443" t="str">
            <v>4|1|400000|1</v>
          </cell>
        </row>
        <row r="6444">
          <cell r="A6444">
            <v>95001</v>
          </cell>
          <cell r="B6444">
            <v>0</v>
          </cell>
          <cell r="C6444" t="str">
            <v>1|14003|1</v>
          </cell>
          <cell r="D6444" t="str">
            <v>主线副本宝箱奖励1</v>
          </cell>
          <cell r="E6444" t="str">
            <v>1|14003|1|1</v>
          </cell>
        </row>
        <row r="6445">
          <cell r="A6445">
            <v>95002</v>
          </cell>
          <cell r="B6445">
            <v>0</v>
          </cell>
          <cell r="C6445" t="str">
            <v>1|14003|1</v>
          </cell>
          <cell r="D6445" t="str">
            <v>主线副本宝箱奖励2</v>
          </cell>
          <cell r="E6445" t="str">
            <v>1|14003|1|1</v>
          </cell>
        </row>
        <row r="6446">
          <cell r="A6446">
            <v>95003</v>
          </cell>
          <cell r="B6446">
            <v>0</v>
          </cell>
          <cell r="C6446" t="str">
            <v>1|14003|1</v>
          </cell>
          <cell r="D6446" t="str">
            <v>主线副本宝箱奖励3</v>
          </cell>
          <cell r="E6446" t="str">
            <v>1|14003|1|1</v>
          </cell>
        </row>
        <row r="6447">
          <cell r="A6447">
            <v>95004</v>
          </cell>
          <cell r="B6447">
            <v>0</v>
          </cell>
          <cell r="C6447" t="str">
            <v>1|14003|1,1|10034|40</v>
          </cell>
          <cell r="D6447" t="str">
            <v>主线副本宝箱奖励4</v>
          </cell>
          <cell r="E6447" t="str">
            <v>1|14003|1|1,1|10034|40|1</v>
          </cell>
        </row>
        <row r="6448">
          <cell r="A6448">
            <v>95005</v>
          </cell>
          <cell r="B6448">
            <v>0</v>
          </cell>
          <cell r="C6448" t="str">
            <v>1|14003|1,2|2002|1,2|2004|1</v>
          </cell>
          <cell r="D6448" t="str">
            <v>主线副本宝箱奖励5</v>
          </cell>
          <cell r="E6448" t="str">
            <v>1|14003|1|1,2|2002|1|1,2|2004|1|1</v>
          </cell>
        </row>
        <row r="6449">
          <cell r="A6449">
            <v>95006</v>
          </cell>
          <cell r="B6449">
            <v>0</v>
          </cell>
          <cell r="C6449" t="str">
            <v>1|14003|1,2|2001|1,2|2003|1</v>
          </cell>
          <cell r="D6449" t="str">
            <v>主线副本宝箱奖励6</v>
          </cell>
          <cell r="E6449" t="str">
            <v>1|14003|1|1,2|2001|1|1,2|2003|1|1</v>
          </cell>
        </row>
        <row r="6450">
          <cell r="A6450">
            <v>95007</v>
          </cell>
          <cell r="B6450">
            <v>0</v>
          </cell>
          <cell r="C6450" t="str">
            <v>1|14003|1,2|2001|1,2|2003|1</v>
          </cell>
          <cell r="D6450" t="str">
            <v>主线副本宝箱奖励7</v>
          </cell>
          <cell r="E6450" t="str">
            <v>1|14003|1|1,2|2001|1|1,2|2003|1|1</v>
          </cell>
        </row>
        <row r="6451">
          <cell r="A6451">
            <v>95008</v>
          </cell>
          <cell r="B6451">
            <v>0</v>
          </cell>
          <cell r="C6451" t="str">
            <v>1|14003|1,2|2002|1,2|2004|1</v>
          </cell>
          <cell r="D6451" t="str">
            <v>主线副本宝箱奖励8</v>
          </cell>
          <cell r="E6451" t="str">
            <v>1|14003|1|1,2|2002|1|1,2|2004|1|1</v>
          </cell>
        </row>
        <row r="6452">
          <cell r="A6452">
            <v>95009</v>
          </cell>
          <cell r="B6452">
            <v>0</v>
          </cell>
          <cell r="C6452" t="str">
            <v>1|14003|1,2|2001|1,2|2003|1</v>
          </cell>
          <cell r="D6452" t="str">
            <v>主线副本宝箱奖励9</v>
          </cell>
          <cell r="E6452" t="str">
            <v>1|14003|1|1,2|2001|1|1,2|2003|1|1</v>
          </cell>
        </row>
        <row r="6453">
          <cell r="A6453">
            <v>95010</v>
          </cell>
          <cell r="B6453">
            <v>0</v>
          </cell>
          <cell r="C6453" t="str">
            <v>1|14003|1,1|10039|5</v>
          </cell>
          <cell r="D6453" t="str">
            <v>主线副本宝箱奖励10</v>
          </cell>
          <cell r="E6453" t="str">
            <v>1|14003|1|1,1|10039|5|1</v>
          </cell>
        </row>
        <row r="6454">
          <cell r="A6454">
            <v>95011</v>
          </cell>
          <cell r="B6454">
            <v>0</v>
          </cell>
          <cell r="C6454" t="str">
            <v>1|14003|1,1|10034|5,2|2022|1</v>
          </cell>
          <cell r="D6454" t="str">
            <v>主线副本宝箱奖励11</v>
          </cell>
          <cell r="E6454" t="str">
            <v>1|14003|1|1,1|10034|5|1,2|2022|1|1</v>
          </cell>
        </row>
        <row r="6455">
          <cell r="A6455">
            <v>95012</v>
          </cell>
          <cell r="B6455">
            <v>0</v>
          </cell>
          <cell r="C6455" t="str">
            <v>1|14003|1,1|10103|5,2|2021|1</v>
          </cell>
          <cell r="D6455" t="str">
            <v>主线副本宝箱奖励12</v>
          </cell>
          <cell r="E6455" t="str">
            <v>1|14003|1|1,1|10103|5|1,2|2021|1|1</v>
          </cell>
        </row>
        <row r="6456">
          <cell r="A6456">
            <v>95013</v>
          </cell>
          <cell r="B6456">
            <v>0</v>
          </cell>
          <cell r="C6456" t="str">
            <v>1|14003|1,1|10040|5</v>
          </cell>
          <cell r="D6456" t="str">
            <v>主线副本宝箱奖励13</v>
          </cell>
          <cell r="E6456" t="str">
            <v>1|14003|1|1,1|10040|5|1</v>
          </cell>
        </row>
        <row r="6457">
          <cell r="A6457">
            <v>95014</v>
          </cell>
          <cell r="B6457">
            <v>0</v>
          </cell>
          <cell r="C6457" t="str">
            <v>1|14003|1,1|10106|5,2|2024|1</v>
          </cell>
          <cell r="D6457" t="str">
            <v>主线副本宝箱奖励14</v>
          </cell>
          <cell r="E6457" t="str">
            <v>1|14003|1|1,1|10106|5|1,2|2024|1|1</v>
          </cell>
        </row>
        <row r="6458">
          <cell r="A6458">
            <v>95015</v>
          </cell>
          <cell r="B6458">
            <v>0</v>
          </cell>
          <cell r="C6458" t="str">
            <v>1|14003|1,1|10105|5,2|2023|1</v>
          </cell>
          <cell r="D6458" t="str">
            <v>主线副本宝箱奖励15</v>
          </cell>
          <cell r="E6458" t="str">
            <v>1|14003|1|1,1|10105|5|1,2|2023|1|1</v>
          </cell>
        </row>
        <row r="6459">
          <cell r="A6459">
            <v>95016</v>
          </cell>
          <cell r="B6459">
            <v>0</v>
          </cell>
          <cell r="C6459" t="str">
            <v>1|14003|1,1|10007|5</v>
          </cell>
          <cell r="D6459" t="str">
            <v>主线副本宝箱奖励16</v>
          </cell>
          <cell r="E6459" t="str">
            <v>1|14003|1|1,1|10007|5|1</v>
          </cell>
        </row>
        <row r="6460">
          <cell r="A6460">
            <v>95017</v>
          </cell>
          <cell r="B6460">
            <v>0</v>
          </cell>
          <cell r="C6460" t="str">
            <v>1|14003|1,1|10030|5,1|11006|20</v>
          </cell>
          <cell r="D6460" t="str">
            <v>主线副本宝箱奖励17</v>
          </cell>
          <cell r="E6460" t="str">
            <v>1|14003|1|1,1|10030|5|1,1|11006|20|1</v>
          </cell>
        </row>
        <row r="6461">
          <cell r="A6461">
            <v>95018</v>
          </cell>
          <cell r="B6461">
            <v>0</v>
          </cell>
          <cell r="C6461" t="str">
            <v>1|14003|1,1|10033|5,1|11005|20</v>
          </cell>
          <cell r="D6461" t="str">
            <v>主线副本宝箱奖励18</v>
          </cell>
          <cell r="E6461" t="str">
            <v>1|14003|1|1,1|10033|5|1,1|11005|20|1</v>
          </cell>
        </row>
        <row r="6462">
          <cell r="A6462">
            <v>95019</v>
          </cell>
          <cell r="B6462">
            <v>0</v>
          </cell>
          <cell r="C6462" t="str">
            <v>1|14003|1,1|10034|5</v>
          </cell>
          <cell r="D6462" t="str">
            <v>主线副本宝箱奖励19</v>
          </cell>
          <cell r="E6462" t="str">
            <v>1|14003|1|1,1|10034|5|1</v>
          </cell>
        </row>
        <row r="6463">
          <cell r="A6463">
            <v>95020</v>
          </cell>
          <cell r="B6463">
            <v>0</v>
          </cell>
          <cell r="C6463" t="str">
            <v>1|14003|1,1|10103|5,1|11008|20</v>
          </cell>
          <cell r="D6463" t="str">
            <v>主线副本宝箱奖励20</v>
          </cell>
          <cell r="E6463" t="str">
            <v>1|14003|1|1,1|10103|5|1,1|11008|20|1</v>
          </cell>
        </row>
        <row r="6464">
          <cell r="A6464">
            <v>95021</v>
          </cell>
          <cell r="B6464">
            <v>0</v>
          </cell>
          <cell r="C6464" t="str">
            <v>1|14003|1,1|10104|5,1|11007|20</v>
          </cell>
          <cell r="D6464" t="str">
            <v>主线副本宝箱奖励21</v>
          </cell>
          <cell r="E6464" t="str">
            <v>1|14003|1|1,1|10104|5|1,1|11007|20|1</v>
          </cell>
        </row>
        <row r="6465">
          <cell r="A6465">
            <v>95022</v>
          </cell>
          <cell r="B6465">
            <v>0</v>
          </cell>
          <cell r="C6465" t="str">
            <v>1|14003|1,1|10106|5</v>
          </cell>
          <cell r="D6465" t="str">
            <v>主线副本宝箱奖励22</v>
          </cell>
          <cell r="E6465" t="str">
            <v>1|14003|1|1,1|10106|5|1</v>
          </cell>
        </row>
        <row r="6466">
          <cell r="A6466">
            <v>95023</v>
          </cell>
          <cell r="B6466">
            <v>0</v>
          </cell>
          <cell r="C6466" t="str">
            <v>1|14003|1,1|10105|5,1|11002|5</v>
          </cell>
          <cell r="D6466" t="str">
            <v>主线副本宝箱奖励23</v>
          </cell>
          <cell r="E6466" t="str">
            <v>1|14003|1|1,1|10105|5|1,1|11002|5|1</v>
          </cell>
        </row>
        <row r="6467">
          <cell r="A6467">
            <v>95024</v>
          </cell>
          <cell r="B6467">
            <v>0</v>
          </cell>
          <cell r="C6467" t="str">
            <v>1|14003|1,1|10028|5,1|11001|5</v>
          </cell>
          <cell r="D6467" t="str">
            <v>主线副本宝箱奖励24</v>
          </cell>
          <cell r="E6467" t="str">
            <v>1|14003|1|1,1|10028|5|1,1|11001|5|1</v>
          </cell>
        </row>
        <row r="6468">
          <cell r="A6468">
            <v>95025</v>
          </cell>
          <cell r="B6468">
            <v>0</v>
          </cell>
          <cell r="C6468" t="str">
            <v>1|14003|1,1|10030|5</v>
          </cell>
          <cell r="D6468" t="str">
            <v>主线副本宝箱奖励25</v>
          </cell>
          <cell r="E6468" t="str">
            <v>1|14003|1|1,1|10030|5|1</v>
          </cell>
        </row>
        <row r="6469">
          <cell r="A6469">
            <v>95026</v>
          </cell>
          <cell r="B6469">
            <v>0</v>
          </cell>
          <cell r="C6469" t="str">
            <v>1|14003|1,1|10033|5,1|11004|5</v>
          </cell>
          <cell r="D6469" t="str">
            <v>主线副本宝箱奖励26</v>
          </cell>
          <cell r="E6469" t="str">
            <v>1|14003|1|1,1|10033|5|1,1|11004|5|1</v>
          </cell>
        </row>
        <row r="6470">
          <cell r="A6470">
            <v>95027</v>
          </cell>
          <cell r="B6470">
            <v>0</v>
          </cell>
          <cell r="C6470" t="str">
            <v>1|14003|1,1|10018|5,1|11003|5</v>
          </cell>
          <cell r="D6470" t="str">
            <v>主线副本宝箱奖励27</v>
          </cell>
          <cell r="E6470" t="str">
            <v>1|14003|1|1,1|10018|5|1,1|11003|5|1</v>
          </cell>
        </row>
        <row r="6471">
          <cell r="A6471">
            <v>95028</v>
          </cell>
          <cell r="B6471">
            <v>0</v>
          </cell>
          <cell r="C6471" t="str">
            <v>1|14003|1,1|10103|5</v>
          </cell>
          <cell r="D6471" t="str">
            <v>主线副本宝箱奖励28</v>
          </cell>
          <cell r="E6471" t="str">
            <v>1|14003|1|1,1|10103|5|1</v>
          </cell>
        </row>
        <row r="6472">
          <cell r="A6472">
            <v>95029</v>
          </cell>
          <cell r="B6472">
            <v>0</v>
          </cell>
          <cell r="C6472" t="str">
            <v>1|14003|1,1|10104|5,1|11010|5</v>
          </cell>
          <cell r="D6472" t="str">
            <v>主线副本宝箱奖励29</v>
          </cell>
          <cell r="E6472" t="str">
            <v>1|14003|1|1,1|10104|5|1,1|11010|5|1</v>
          </cell>
        </row>
        <row r="6473">
          <cell r="A6473">
            <v>95030</v>
          </cell>
          <cell r="B6473">
            <v>0</v>
          </cell>
          <cell r="C6473" t="str">
            <v>1|14003|1,1|10036|5,1|11009|5</v>
          </cell>
          <cell r="D6473" t="str">
            <v>主线副本宝箱奖励30</v>
          </cell>
          <cell r="E6473" t="str">
            <v>1|14003|1|1,1|10036|5|1,1|11009|5|1</v>
          </cell>
        </row>
        <row r="6474">
          <cell r="A6474">
            <v>95031</v>
          </cell>
          <cell r="B6474">
            <v>0</v>
          </cell>
          <cell r="C6474" t="str">
            <v>1|14003|1,1|10105|5</v>
          </cell>
          <cell r="D6474" t="str">
            <v>主线副本宝箱奖励31</v>
          </cell>
          <cell r="E6474" t="str">
            <v>1|14003|1|1,1|10105|5|1</v>
          </cell>
        </row>
        <row r="6475">
          <cell r="A6475">
            <v>95032</v>
          </cell>
          <cell r="B6475">
            <v>0</v>
          </cell>
          <cell r="C6475" t="str">
            <v>1|14003|1,1|10028|5,1|11012|5</v>
          </cell>
          <cell r="D6475" t="str">
            <v>主线副本宝箱奖励32</v>
          </cell>
          <cell r="E6475" t="str">
            <v>1|14003|1|1,1|10028|5|1,1|11012|5|1</v>
          </cell>
        </row>
        <row r="6476">
          <cell r="A6476">
            <v>95033</v>
          </cell>
          <cell r="B6476">
            <v>0</v>
          </cell>
          <cell r="C6476" t="str">
            <v>1|14003|1,1|10041|5,1|11011|5</v>
          </cell>
          <cell r="D6476" t="str">
            <v>主线副本宝箱奖励33</v>
          </cell>
          <cell r="E6476" t="str">
            <v>1|14003|1|1,1|10041|5|1,1|11011|5|1</v>
          </cell>
        </row>
        <row r="6477">
          <cell r="A6477">
            <v>95034</v>
          </cell>
          <cell r="B6477">
            <v>0</v>
          </cell>
          <cell r="C6477" t="str">
            <v>1|14003|1,1|10033|5,1|14300|1</v>
          </cell>
          <cell r="D6477" t="str">
            <v>主线副本宝箱奖励34</v>
          </cell>
          <cell r="E6477" t="str">
            <v>1|14003|1|1,1|10033|5|1,1|14300|1|1</v>
          </cell>
        </row>
        <row r="6478">
          <cell r="A6478">
            <v>95035</v>
          </cell>
          <cell r="B6478">
            <v>0</v>
          </cell>
          <cell r="C6478" t="str">
            <v>1|14003|1,1|10018|5,1|14300|1</v>
          </cell>
          <cell r="D6478" t="str">
            <v>主线副本宝箱奖励35</v>
          </cell>
          <cell r="E6478" t="str">
            <v>1|14003|1|1,1|10018|5|1,1|14300|1|1</v>
          </cell>
        </row>
        <row r="6479">
          <cell r="A6479">
            <v>95036</v>
          </cell>
          <cell r="B6479">
            <v>0</v>
          </cell>
          <cell r="C6479" t="str">
            <v>1|14003|1,1|10014|5,1|11014|5</v>
          </cell>
          <cell r="D6479" t="str">
            <v>主线副本宝箱奖励36</v>
          </cell>
          <cell r="E6479" t="str">
            <v>1|14003|1|1,1|10014|5|1,1|11014|5|1</v>
          </cell>
        </row>
        <row r="6480">
          <cell r="A6480">
            <v>95037</v>
          </cell>
          <cell r="B6480">
            <v>0</v>
          </cell>
          <cell r="C6480" t="str">
            <v>1|14003|1,1|10104|5,1|14300|1</v>
          </cell>
          <cell r="D6480" t="str">
            <v>主线副本宝箱奖励37</v>
          </cell>
          <cell r="E6480" t="str">
            <v>1|14003|1|1,1|10104|5|1,1|14300|1|1</v>
          </cell>
        </row>
        <row r="6481">
          <cell r="A6481">
            <v>95038</v>
          </cell>
          <cell r="B6481">
            <v>0</v>
          </cell>
          <cell r="C6481" t="str">
            <v>1|14003|1,1|10036|5,1|14300|1</v>
          </cell>
          <cell r="D6481" t="str">
            <v>主线副本宝箱奖励38</v>
          </cell>
          <cell r="E6481" t="str">
            <v>1|14003|1|1,1|10036|5|1,1|14300|1|1</v>
          </cell>
        </row>
        <row r="6482">
          <cell r="A6482">
            <v>95039</v>
          </cell>
          <cell r="B6482">
            <v>0</v>
          </cell>
          <cell r="C6482" t="str">
            <v>1|14003|1,1|10010|5,1|11013|5</v>
          </cell>
          <cell r="D6482" t="str">
            <v>主线副本宝箱奖励39</v>
          </cell>
          <cell r="E6482" t="str">
            <v>1|14003|1|1,1|10010|5|1,1|11013|5|1</v>
          </cell>
        </row>
        <row r="6483">
          <cell r="A6483">
            <v>95040</v>
          </cell>
          <cell r="B6483">
            <v>0</v>
          </cell>
          <cell r="C6483" t="str">
            <v>1|14003|1,1|10028|5,1|14300|1</v>
          </cell>
          <cell r="D6483" t="str">
            <v>主线副本宝箱奖励40</v>
          </cell>
          <cell r="E6483" t="str">
            <v>1|14003|1|1,1|10028|5|1,1|14300|1|1</v>
          </cell>
        </row>
        <row r="6484">
          <cell r="A6484">
            <v>95041</v>
          </cell>
          <cell r="B6484">
            <v>0</v>
          </cell>
          <cell r="C6484" t="str">
            <v>1|14003|1,1|10041|5,1|14300|1</v>
          </cell>
          <cell r="D6484" t="str">
            <v>主线副本宝箱奖励41</v>
          </cell>
          <cell r="E6484" t="str">
            <v>1|14003|1|1,1|10041|5|1,1|14300|1|1</v>
          </cell>
        </row>
        <row r="6485">
          <cell r="A6485">
            <v>95042</v>
          </cell>
          <cell r="B6485">
            <v>0</v>
          </cell>
          <cell r="C6485" t="str">
            <v>1|14003|1,1|10004|5,1|11016|5</v>
          </cell>
          <cell r="D6485" t="str">
            <v>主线副本宝箱奖励42</v>
          </cell>
          <cell r="E6485" t="str">
            <v>1|14003|1|1,1|10004|5|1,1|11016|5|1</v>
          </cell>
        </row>
        <row r="6486">
          <cell r="A6486">
            <v>95043</v>
          </cell>
          <cell r="B6486">
            <v>0</v>
          </cell>
          <cell r="C6486" t="str">
            <v>1|14003|1,1|10018|5,1|14300|1</v>
          </cell>
          <cell r="D6486" t="str">
            <v>主线副本宝箱奖励43</v>
          </cell>
          <cell r="E6486" t="str">
            <v>1|14003|1|1,1|10018|5|1,1|14300|1|1</v>
          </cell>
        </row>
        <row r="6487">
          <cell r="A6487">
            <v>95044</v>
          </cell>
          <cell r="B6487">
            <v>0</v>
          </cell>
          <cell r="C6487" t="str">
            <v>1|14003|1,1|10038|5,1|14300|1</v>
          </cell>
          <cell r="D6487" t="str">
            <v>主线副本宝箱奖励44</v>
          </cell>
          <cell r="E6487" t="str">
            <v>1|14003|1|1,1|10038|5|1,1|14300|1|1</v>
          </cell>
        </row>
        <row r="6488">
          <cell r="A6488">
            <v>95045</v>
          </cell>
          <cell r="B6488">
            <v>0</v>
          </cell>
          <cell r="C6488" t="str">
            <v>1|14003|1,1|10035|5,1|11015|5</v>
          </cell>
          <cell r="D6488" t="str">
            <v>主线副本宝箱奖励45</v>
          </cell>
          <cell r="E6488" t="str">
            <v>1|14003|1|1,1|10035|5|1,1|11015|5|1</v>
          </cell>
        </row>
        <row r="6489">
          <cell r="A6489">
            <v>95046</v>
          </cell>
          <cell r="B6489">
            <v>0</v>
          </cell>
          <cell r="C6489" t="str">
            <v>1|14003|1,1|10036|5,1|14300|1</v>
          </cell>
          <cell r="D6489" t="str">
            <v>主线副本宝箱奖励46</v>
          </cell>
          <cell r="E6489" t="str">
            <v>1|14003|1|1,1|10036|5|1,1|14300|1|1</v>
          </cell>
        </row>
        <row r="6490">
          <cell r="A6490">
            <v>95047</v>
          </cell>
          <cell r="B6490">
            <v>0</v>
          </cell>
          <cell r="C6490" t="str">
            <v>1|14003|1,1|10126|5,1|14300|1</v>
          </cell>
          <cell r="D6490" t="str">
            <v>主线副本宝箱奖励47</v>
          </cell>
          <cell r="E6490" t="str">
            <v>1|14003|1|1,1|10126|5|1,1|14300|1|1</v>
          </cell>
        </row>
        <row r="6491">
          <cell r="A6491">
            <v>95048</v>
          </cell>
          <cell r="B6491">
            <v>0</v>
          </cell>
          <cell r="C6491" t="str">
            <v>1|14003|1,1|10032|5,1|11018|5</v>
          </cell>
          <cell r="D6491" t="str">
            <v>主线副本宝箱奖励48</v>
          </cell>
          <cell r="E6491" t="str">
            <v>1|14003|1|1,1|10032|5|1,1|11018|5|1</v>
          </cell>
        </row>
        <row r="6492">
          <cell r="A6492">
            <v>95049</v>
          </cell>
          <cell r="B6492">
            <v>0</v>
          </cell>
          <cell r="C6492" t="str">
            <v>1|14003|1,1|10041|5,1|14300|1</v>
          </cell>
          <cell r="D6492" t="str">
            <v>主线副本宝箱奖励49</v>
          </cell>
          <cell r="E6492" t="str">
            <v>1|14003|1|1,1|10041|5|1,1|14300|1|1</v>
          </cell>
        </row>
        <row r="6493">
          <cell r="A6493">
            <v>95050</v>
          </cell>
          <cell r="B6493">
            <v>0</v>
          </cell>
          <cell r="C6493" t="str">
            <v>1|14003|1,1|10092|5,1|14300|1</v>
          </cell>
          <cell r="D6493" t="str">
            <v>主线副本宝箱奖励50</v>
          </cell>
          <cell r="E6493" t="str">
            <v>1|14003|1|1,1|10092|5|1,1|14300|1|1</v>
          </cell>
        </row>
        <row r="6494">
          <cell r="A6494">
            <v>95051</v>
          </cell>
          <cell r="B6494">
            <v>0</v>
          </cell>
          <cell r="C6494" t="str">
            <v>1|14003|1,1|10102|5,1|11017|5</v>
          </cell>
          <cell r="D6494" t="str">
            <v>主线副本宝箱奖励51</v>
          </cell>
          <cell r="E6494" t="str">
            <v>1|14003|1|1,1|10102|5|1,1|11017|5|1</v>
          </cell>
        </row>
        <row r="6495">
          <cell r="A6495">
            <v>95052</v>
          </cell>
          <cell r="B6495">
            <v>0</v>
          </cell>
          <cell r="C6495" t="str">
            <v>1|14003|1,1|10038|5,1|14300|1</v>
          </cell>
          <cell r="D6495" t="str">
            <v>主线副本宝箱奖励52</v>
          </cell>
          <cell r="E6495" t="str">
            <v>1|14003|1|1,1|10038|5|1,1|14300|1|1</v>
          </cell>
        </row>
        <row r="6496">
          <cell r="A6496">
            <v>95053</v>
          </cell>
          <cell r="B6496">
            <v>0</v>
          </cell>
          <cell r="C6496" t="str">
            <v>1|14003|1,1|10052|5,1|14300|1</v>
          </cell>
          <cell r="D6496" t="str">
            <v>主线副本宝箱奖励53</v>
          </cell>
          <cell r="E6496" t="str">
            <v>1|14003|1|1,1|10052|5|1,1|14300|1|1</v>
          </cell>
        </row>
        <row r="6497">
          <cell r="A6497">
            <v>95054</v>
          </cell>
          <cell r="B6497">
            <v>0</v>
          </cell>
          <cell r="C6497" t="str">
            <v>1|14003|1,1|10023|5,1|11020|5</v>
          </cell>
          <cell r="D6497" t="str">
            <v>主线副本宝箱奖励54</v>
          </cell>
          <cell r="E6497" t="str">
            <v>1|14003|1|1,1|10023|5|1,1|11020|5|1</v>
          </cell>
        </row>
        <row r="6498">
          <cell r="A6498">
            <v>95055</v>
          </cell>
          <cell r="B6498">
            <v>0</v>
          </cell>
          <cell r="C6498" t="str">
            <v>1|14003|1,1|10126|5,1|14300|1</v>
          </cell>
          <cell r="D6498" t="str">
            <v>主线副本宝箱奖励55</v>
          </cell>
          <cell r="E6498" t="str">
            <v>1|14003|1|1,1|10126|5|1,1|14300|1|1</v>
          </cell>
        </row>
        <row r="6499">
          <cell r="A6499">
            <v>95056</v>
          </cell>
          <cell r="B6499">
            <v>0</v>
          </cell>
          <cell r="C6499" t="str">
            <v>1|14003|1,1|10404|5,1|14300|1</v>
          </cell>
          <cell r="D6499" t="str">
            <v>主线副本宝箱奖励56</v>
          </cell>
          <cell r="E6499" t="str">
            <v>1|14003|1|1,1|10404|5|1,1|14300|1|1</v>
          </cell>
        </row>
        <row r="6500">
          <cell r="A6500">
            <v>95057</v>
          </cell>
          <cell r="B6500">
            <v>0</v>
          </cell>
          <cell r="C6500" t="str">
            <v>1|14003|1,1|10017|5,1|11019|5</v>
          </cell>
          <cell r="D6500" t="str">
            <v>主线副本宝箱奖励57</v>
          </cell>
          <cell r="E6500" t="str">
            <v>1|14003|1|1,1|10017|5|1,1|11019|5|1</v>
          </cell>
        </row>
        <row r="6501">
          <cell r="A6501">
            <v>95058</v>
          </cell>
          <cell r="B6501">
            <v>0</v>
          </cell>
          <cell r="C6501" t="str">
            <v>1|14003|1,1|10092|5,1|14314|1</v>
          </cell>
          <cell r="D6501" t="str">
            <v>主线副本宝箱奖励58</v>
          </cell>
          <cell r="E6501" t="str">
            <v>1|14003|1|1,1|10092|5|1,1|14314|1|1</v>
          </cell>
        </row>
        <row r="6502">
          <cell r="A6502">
            <v>95059</v>
          </cell>
          <cell r="B6502">
            <v>0</v>
          </cell>
          <cell r="C6502" t="str">
            <v>1|14003|1,1|10039|5,1|14314|1</v>
          </cell>
          <cell r="D6502" t="str">
            <v>主线副本宝箱奖励59</v>
          </cell>
          <cell r="E6502" t="str">
            <v>1|14003|1|1,1|10039|5|1,1|14314|1|1</v>
          </cell>
        </row>
        <row r="6503">
          <cell r="A6503">
            <v>95060</v>
          </cell>
          <cell r="B6503">
            <v>0</v>
          </cell>
          <cell r="C6503" t="str">
            <v>1|14003|1,1|10101|5,1|11022|5</v>
          </cell>
          <cell r="D6503" t="str">
            <v>主线副本宝箱奖励60</v>
          </cell>
          <cell r="E6503" t="str">
            <v>1|14003|1|1,1|10101|5|1,1|11022|5|1</v>
          </cell>
        </row>
        <row r="6504">
          <cell r="A6504">
            <v>95061</v>
          </cell>
          <cell r="B6504">
            <v>0</v>
          </cell>
          <cell r="C6504" t="str">
            <v>1|14003|1,1|10052|5,1|14314|1</v>
          </cell>
          <cell r="D6504" t="str">
            <v>主线副本宝箱奖励61</v>
          </cell>
          <cell r="E6504" t="str">
            <v>1|14003|1|1,1|10052|5|1,1|14314|1|1</v>
          </cell>
        </row>
        <row r="6505">
          <cell r="A6505">
            <v>95062</v>
          </cell>
          <cell r="B6505">
            <v>0</v>
          </cell>
          <cell r="C6505" t="str">
            <v>1|14003|1,1|10039|5,1|14314|1</v>
          </cell>
          <cell r="D6505" t="str">
            <v>主线副本宝箱奖励62</v>
          </cell>
          <cell r="E6505" t="str">
            <v>1|14003|1|1,1|10039|5|1,1|14314|1|1</v>
          </cell>
        </row>
        <row r="6506">
          <cell r="A6506">
            <v>95063</v>
          </cell>
          <cell r="B6506">
            <v>0</v>
          </cell>
          <cell r="C6506" t="str">
            <v>1|14003|1,1|10031|5,1|11021|5</v>
          </cell>
          <cell r="D6506" t="str">
            <v>主线副本宝箱奖励63</v>
          </cell>
          <cell r="E6506" t="str">
            <v>1|14003|1|1,1|10031|5|1,1|11021|5|1</v>
          </cell>
        </row>
        <row r="6507">
          <cell r="A6507">
            <v>95064</v>
          </cell>
          <cell r="B6507">
            <v>0</v>
          </cell>
          <cell r="C6507" t="str">
            <v>1|14003|1,1|10404|5,1|14314|1</v>
          </cell>
          <cell r="D6507" t="str">
            <v>主线副本宝箱奖励64</v>
          </cell>
          <cell r="E6507" t="str">
            <v>1|14003|1|1,1|10404|5|1,1|14314|1|1</v>
          </cell>
        </row>
        <row r="6508">
          <cell r="A6508">
            <v>95065</v>
          </cell>
          <cell r="B6508">
            <v>0</v>
          </cell>
          <cell r="C6508" t="str">
            <v>1|14003|1,1|10007|5,1|14314|1</v>
          </cell>
          <cell r="D6508" t="str">
            <v>主线副本宝箱奖励65</v>
          </cell>
          <cell r="E6508" t="str">
            <v>1|14003|1|1,1|10007|5|1,1|14314|1|1</v>
          </cell>
        </row>
        <row r="6509">
          <cell r="A6509">
            <v>95066</v>
          </cell>
          <cell r="B6509">
            <v>0</v>
          </cell>
          <cell r="C6509" t="str">
            <v>1|14003|1,1|10037|5,1|11024|5</v>
          </cell>
          <cell r="D6509" t="str">
            <v>主线副本宝箱奖励66</v>
          </cell>
          <cell r="E6509" t="str">
            <v>1|14003|1|1,1|10037|5|1,1|11024|5|1</v>
          </cell>
        </row>
        <row r="6510">
          <cell r="A6510">
            <v>95067</v>
          </cell>
          <cell r="B6510">
            <v>0</v>
          </cell>
          <cell r="C6510" t="str">
            <v>1|14003|1,1|10039|5,1|14314|1</v>
          </cell>
          <cell r="D6510" t="str">
            <v>主线副本宝箱奖励67</v>
          </cell>
          <cell r="E6510" t="str">
            <v>1|14003|1|1,1|10039|5|1,1|14314|1|1</v>
          </cell>
        </row>
        <row r="6511">
          <cell r="A6511">
            <v>95068</v>
          </cell>
          <cell r="B6511">
            <v>0</v>
          </cell>
          <cell r="C6511" t="str">
            <v>1|14003|1,1|10034|5,1|14314|1</v>
          </cell>
          <cell r="D6511" t="str">
            <v>主线副本宝箱奖励68</v>
          </cell>
          <cell r="E6511" t="str">
            <v>1|14003|1|1,1|10034|5|1,1|14314|1|1</v>
          </cell>
        </row>
        <row r="6512">
          <cell r="A6512">
            <v>95069</v>
          </cell>
          <cell r="B6512">
            <v>0</v>
          </cell>
          <cell r="C6512" t="str">
            <v>1|14003|1,1|10116|5,1|11023|5</v>
          </cell>
          <cell r="D6512" t="str">
            <v>主线副本宝箱奖励69</v>
          </cell>
          <cell r="E6512" t="str">
            <v>1|14003|1|1,1|10116|5|1,1|11023|5|1</v>
          </cell>
        </row>
        <row r="6513">
          <cell r="A6513">
            <v>95070</v>
          </cell>
          <cell r="B6513">
            <v>0</v>
          </cell>
          <cell r="C6513" t="str">
            <v>1|14003|1,1|10040|5,1|14314|1</v>
          </cell>
          <cell r="D6513" t="str">
            <v>主线副本宝箱奖励70</v>
          </cell>
          <cell r="E6513" t="str">
            <v>1|14003|1|1,1|10040|5|1,1|14314|1|1</v>
          </cell>
        </row>
        <row r="6514">
          <cell r="A6514">
            <v>95071</v>
          </cell>
          <cell r="B6514">
            <v>0</v>
          </cell>
          <cell r="C6514" t="str">
            <v>1|14003|1,1|10102|5,1|14314|1</v>
          </cell>
          <cell r="D6514" t="str">
            <v>主线副本宝箱奖励71</v>
          </cell>
          <cell r="E6514" t="str">
            <v>1|14003|1|1,1|10102|5|1,1|14314|1|1</v>
          </cell>
        </row>
        <row r="6515">
          <cell r="A6515">
            <v>95072</v>
          </cell>
          <cell r="B6515">
            <v>0</v>
          </cell>
          <cell r="C6515" t="str">
            <v>1|14003|1,1|10006|5,1|11026|2</v>
          </cell>
          <cell r="D6515" t="str">
            <v>主线副本宝箱奖励72</v>
          </cell>
          <cell r="E6515" t="str">
            <v>1|14003|1|1,1|10006|5|1,1|11026|2|1</v>
          </cell>
        </row>
        <row r="6516">
          <cell r="A6516">
            <v>95073</v>
          </cell>
          <cell r="B6516">
            <v>0</v>
          </cell>
          <cell r="C6516" t="str">
            <v>1|14003|1,1|10007|5,1|14314|1</v>
          </cell>
          <cell r="D6516" t="str">
            <v>主线副本宝箱奖励73</v>
          </cell>
          <cell r="E6516" t="str">
            <v>1|14003|1|1,1|10007|5|1,1|14314|1|1</v>
          </cell>
        </row>
        <row r="6517">
          <cell r="A6517">
            <v>95074</v>
          </cell>
          <cell r="B6517">
            <v>0</v>
          </cell>
          <cell r="C6517" t="str">
            <v>1|14003|1,1|10023|5,1|14314|1</v>
          </cell>
          <cell r="D6517" t="str">
            <v>主线副本宝箱奖励74</v>
          </cell>
          <cell r="E6517" t="str">
            <v>1|14003|1|1,1|10023|5|1,1|14314|1|1</v>
          </cell>
        </row>
        <row r="6518">
          <cell r="A6518">
            <v>95075</v>
          </cell>
          <cell r="B6518">
            <v>0</v>
          </cell>
          <cell r="C6518" t="str">
            <v>1|14003|1,1|10108|5,1|11025|2</v>
          </cell>
          <cell r="D6518" t="str">
            <v>主线副本宝箱奖励75</v>
          </cell>
          <cell r="E6518" t="str">
            <v>1|14003|1|1,1|10108|5|1,1|11025|2|1</v>
          </cell>
        </row>
        <row r="6519">
          <cell r="A6519">
            <v>95076</v>
          </cell>
          <cell r="B6519">
            <v>0</v>
          </cell>
          <cell r="C6519" t="str">
            <v>1|14003|1,1|10034|5,1|14314|1</v>
          </cell>
          <cell r="D6519" t="str">
            <v>主线副本宝箱奖励76</v>
          </cell>
          <cell r="E6519" t="str">
            <v>1|14003|1|1,1|10034|5|1,1|14314|1|1</v>
          </cell>
        </row>
        <row r="6520">
          <cell r="A6520">
            <v>95077</v>
          </cell>
          <cell r="B6520">
            <v>0</v>
          </cell>
          <cell r="C6520" t="str">
            <v>1|14003|1,1|10017|5,1|14314|1</v>
          </cell>
          <cell r="D6520" t="str">
            <v>主线副本宝箱奖励77</v>
          </cell>
          <cell r="E6520" t="str">
            <v>1|14003|1|1,1|10017|5|1,1|14314|1|1</v>
          </cell>
        </row>
        <row r="6521">
          <cell r="A6521">
            <v>95078</v>
          </cell>
          <cell r="B6521">
            <v>0</v>
          </cell>
          <cell r="C6521" t="str">
            <v>1|14003|1,1|10022|5,1|11028|2</v>
          </cell>
          <cell r="D6521" t="str">
            <v>主线副本宝箱奖励78</v>
          </cell>
          <cell r="E6521" t="str">
            <v>1|14003|1|1,1|10022|5|1,1|11028|2|1</v>
          </cell>
        </row>
        <row r="6522">
          <cell r="A6522">
            <v>95079</v>
          </cell>
          <cell r="B6522">
            <v>0</v>
          </cell>
          <cell r="C6522" t="str">
            <v>1|14003|1,1|10106|5,1|14314|1</v>
          </cell>
          <cell r="D6522" t="str">
            <v>主线副本宝箱奖励79</v>
          </cell>
          <cell r="E6522" t="str">
            <v>1|14003|1|1,1|10106|5|1,1|14314|1|1</v>
          </cell>
        </row>
        <row r="6523">
          <cell r="A6523">
            <v>95080</v>
          </cell>
          <cell r="B6523">
            <v>0</v>
          </cell>
          <cell r="C6523" t="str">
            <v>1|14003|1,1|10101|5,1|14314|1</v>
          </cell>
          <cell r="D6523" t="str">
            <v>主线副本宝箱奖励80</v>
          </cell>
          <cell r="E6523" t="str">
            <v>1|14003|1|1,1|10101|5|1,1|14314|1|1</v>
          </cell>
        </row>
        <row r="6524">
          <cell r="A6524">
            <v>95081</v>
          </cell>
          <cell r="B6524">
            <v>0</v>
          </cell>
          <cell r="C6524" t="str">
            <v>1|14003|1,1|10107|5,1|11027|2</v>
          </cell>
          <cell r="D6524" t="str">
            <v>主线副本宝箱奖励81</v>
          </cell>
          <cell r="E6524" t="str">
            <v>1|14003|1|1,1|10107|5|1,1|11027|2|1</v>
          </cell>
        </row>
        <row r="6525">
          <cell r="A6525">
            <v>95082</v>
          </cell>
          <cell r="B6525">
            <v>0</v>
          </cell>
          <cell r="C6525" t="str">
            <v>1|14003|1,1|10030|5,1|14314|1</v>
          </cell>
          <cell r="D6525" t="str">
            <v>主线副本宝箱奖励82</v>
          </cell>
          <cell r="E6525" t="str">
            <v>1|14003|1|1,1|10030|5|1,1|14314|1|1</v>
          </cell>
        </row>
        <row r="6526">
          <cell r="A6526">
            <v>95083</v>
          </cell>
          <cell r="B6526">
            <v>0</v>
          </cell>
          <cell r="C6526" t="str">
            <v>1|14003|1,1|10031|5,1|14314|1</v>
          </cell>
          <cell r="D6526" t="str">
            <v>主线副本宝箱奖励83</v>
          </cell>
          <cell r="E6526" t="str">
            <v>1|14003|1|1,1|10031|5|1,1|14314|1|1</v>
          </cell>
        </row>
        <row r="6527">
          <cell r="A6527">
            <v>95084</v>
          </cell>
          <cell r="B6527">
            <v>0</v>
          </cell>
          <cell r="C6527" t="str">
            <v>1|14003|1,1|10026|5,1|11030|2</v>
          </cell>
          <cell r="D6527" t="str">
            <v>主线副本宝箱奖励84</v>
          </cell>
          <cell r="E6527" t="str">
            <v>1|14003|1|1,1|10026|5|1,1|11030|2|1</v>
          </cell>
        </row>
        <row r="6528">
          <cell r="A6528">
            <v>95085</v>
          </cell>
          <cell r="B6528">
            <v>0</v>
          </cell>
          <cell r="C6528" t="str">
            <v>1|14003|1,1|10103|5,1|14314|1</v>
          </cell>
          <cell r="D6528" t="str">
            <v>主线副本宝箱奖励85</v>
          </cell>
          <cell r="E6528" t="str">
            <v>1|14003|1|1,1|10103|5|1,1|14314|1|1</v>
          </cell>
        </row>
        <row r="6529">
          <cell r="A6529">
            <v>95086</v>
          </cell>
          <cell r="B6529">
            <v>0</v>
          </cell>
          <cell r="C6529" t="str">
            <v>1|14003|1,1|10037|5,1|14314|1</v>
          </cell>
          <cell r="D6529" t="str">
            <v>主线副本宝箱奖励86</v>
          </cell>
          <cell r="E6529" t="str">
            <v>1|14003|1|1,1|10037|5|1,1|14314|1|1</v>
          </cell>
        </row>
        <row r="6530">
          <cell r="A6530">
            <v>95087</v>
          </cell>
          <cell r="B6530">
            <v>0</v>
          </cell>
          <cell r="C6530" t="str">
            <v>1|14003|1,1|10007|5,1|11029|2</v>
          </cell>
          <cell r="D6530" t="str">
            <v>主线副本宝箱奖励87</v>
          </cell>
          <cell r="E6530" t="str">
            <v>1|14003|1|1,1|10007|5|1,1|11029|2|1</v>
          </cell>
        </row>
        <row r="6531">
          <cell r="A6531">
            <v>95088</v>
          </cell>
          <cell r="B6531">
            <v>0</v>
          </cell>
          <cell r="C6531" t="str">
            <v>1|14003|1,1|10105|5,1|14314|1</v>
          </cell>
          <cell r="D6531" t="str">
            <v>主线副本宝箱奖励88</v>
          </cell>
          <cell r="E6531" t="str">
            <v>1|14003|1|1,1|10105|5|1,1|14314|1|1</v>
          </cell>
        </row>
        <row r="6532">
          <cell r="A6532">
            <v>95089</v>
          </cell>
          <cell r="B6532">
            <v>0</v>
          </cell>
          <cell r="C6532" t="str">
            <v>1|14003|1,1|10116|5,1|14314|1</v>
          </cell>
          <cell r="D6532" t="str">
            <v>主线副本宝箱奖励89</v>
          </cell>
          <cell r="E6532" t="str">
            <v>1|14003|1|1,1|10116|5|1,1|14314|1|1</v>
          </cell>
        </row>
        <row r="6533">
          <cell r="A6533">
            <v>95090</v>
          </cell>
          <cell r="B6533">
            <v>0</v>
          </cell>
          <cell r="C6533" t="str">
            <v>1|14003|1,1|10025|5,1|11032|2</v>
          </cell>
          <cell r="D6533" t="str">
            <v>主线副本宝箱奖励90</v>
          </cell>
          <cell r="E6533" t="str">
            <v>1|14003|1|1,1|10025|5|1,1|11032|2|1</v>
          </cell>
        </row>
        <row r="6534">
          <cell r="A6534">
            <v>95091</v>
          </cell>
          <cell r="B6534">
            <v>0</v>
          </cell>
          <cell r="C6534" t="str">
            <v>1|14003|1,1|10033|5,1|14314|1</v>
          </cell>
          <cell r="D6534" t="str">
            <v>主线副本宝箱奖励91</v>
          </cell>
          <cell r="E6534" t="str">
            <v>1|14003|1|1,1|10033|5|1,1|14314|1|1</v>
          </cell>
        </row>
        <row r="6535">
          <cell r="A6535">
            <v>95092</v>
          </cell>
          <cell r="B6535">
            <v>0</v>
          </cell>
          <cell r="C6535" t="str">
            <v>1|14003|1,1|10006|5,1|14314|1</v>
          </cell>
          <cell r="D6535" t="str">
            <v>主线副本宝箱奖励92</v>
          </cell>
          <cell r="E6535" t="str">
            <v>1|14003|1|1,1|10006|5|1,1|14314|1|1</v>
          </cell>
        </row>
        <row r="6536">
          <cell r="A6536">
            <v>95093</v>
          </cell>
          <cell r="B6536">
            <v>0</v>
          </cell>
          <cell r="C6536" t="str">
            <v>1|14003|1,1|10009|5,1|11031|2</v>
          </cell>
          <cell r="D6536" t="str">
            <v>主线副本宝箱奖励93</v>
          </cell>
          <cell r="E6536" t="str">
            <v>1|14003|1|1,1|10009|5|1,1|11031|2|1</v>
          </cell>
        </row>
        <row r="6537">
          <cell r="A6537">
            <v>95094</v>
          </cell>
          <cell r="B6537">
            <v>0</v>
          </cell>
          <cell r="C6537" t="str">
            <v>1|14003|1,1|10104|5,1|14314|1</v>
          </cell>
          <cell r="D6537" t="str">
            <v>主线副本宝箱奖励94</v>
          </cell>
          <cell r="E6537" t="str">
            <v>1|14003|1|1,1|10104|5|1,1|14314|1|1</v>
          </cell>
        </row>
        <row r="6538">
          <cell r="A6538">
            <v>95095</v>
          </cell>
          <cell r="B6538">
            <v>0</v>
          </cell>
          <cell r="C6538" t="str">
            <v>1|14003|1,1|10108|5,1|14314|1</v>
          </cell>
          <cell r="D6538" t="str">
            <v>主线副本宝箱奖励95</v>
          </cell>
          <cell r="E6538" t="str">
            <v>1|14003|1|1,1|10108|5|1,1|14314|1|1</v>
          </cell>
        </row>
        <row r="6539">
          <cell r="A6539">
            <v>95096</v>
          </cell>
          <cell r="B6539">
            <v>0</v>
          </cell>
          <cell r="C6539" t="str">
            <v>1|14003|1,1|10016|5,1|11034|2</v>
          </cell>
          <cell r="D6539" t="str">
            <v>主线副本宝箱奖励96</v>
          </cell>
          <cell r="E6539" t="str">
            <v>1|14003|1|1,1|10016|5|1,1|11034|2|1</v>
          </cell>
        </row>
        <row r="6540">
          <cell r="A6540">
            <v>95097</v>
          </cell>
          <cell r="B6540">
            <v>0</v>
          </cell>
          <cell r="C6540" t="str">
            <v>1|14003|1,1|10028|5,1|14314|1</v>
          </cell>
          <cell r="D6540" t="str">
            <v>主线副本宝箱奖励97</v>
          </cell>
          <cell r="E6540" t="str">
            <v>1|14003|1|1,1|10028|5|1,1|14314|1|1</v>
          </cell>
        </row>
        <row r="6541">
          <cell r="A6541">
            <v>95098</v>
          </cell>
          <cell r="B6541">
            <v>0</v>
          </cell>
          <cell r="C6541" t="str">
            <v>1|14003|1,1|10022|5,1|14314|1</v>
          </cell>
          <cell r="D6541" t="str">
            <v>主线副本宝箱奖励98</v>
          </cell>
          <cell r="E6541" t="str">
            <v>1|14003|1|1,1|10022|5|1,1|14314|1|1</v>
          </cell>
        </row>
        <row r="6542">
          <cell r="A6542">
            <v>95099</v>
          </cell>
          <cell r="B6542">
            <v>0</v>
          </cell>
          <cell r="C6542" t="str">
            <v>1|14003|1,1|10014|5,1|11033|2</v>
          </cell>
          <cell r="D6542" t="str">
            <v>主线副本宝箱奖励99</v>
          </cell>
          <cell r="E6542" t="str">
            <v>1|14003|1|1,1|10014|5|1,1|11033|2|1</v>
          </cell>
        </row>
        <row r="6543">
          <cell r="A6543">
            <v>95100</v>
          </cell>
          <cell r="B6543">
            <v>0</v>
          </cell>
          <cell r="C6543" t="str">
            <v>1|14003|1,1|10018|5,1|14314|1</v>
          </cell>
          <cell r="D6543" t="str">
            <v>主线副本宝箱奖励100</v>
          </cell>
          <cell r="E6543" t="str">
            <v>1|14003|1|1,1|10018|5|1,1|14314|1|1</v>
          </cell>
        </row>
        <row r="6544">
          <cell r="A6544">
            <v>95101</v>
          </cell>
          <cell r="B6544">
            <v>0</v>
          </cell>
          <cell r="C6544" t="str">
            <v>1|14003|1,1|10107|5,1|14314|1</v>
          </cell>
          <cell r="D6544" t="str">
            <v>主线副本宝箱奖励101</v>
          </cell>
          <cell r="E6544" t="str">
            <v>1|14003|1|1,1|10107|5|1,1|14314|1|1</v>
          </cell>
        </row>
        <row r="6545">
          <cell r="A6545">
            <v>95102</v>
          </cell>
          <cell r="B6545">
            <v>0</v>
          </cell>
          <cell r="C6545" t="str">
            <v>1|14003|1,1|10010|5,1|11036|2</v>
          </cell>
          <cell r="D6545" t="str">
            <v>主线副本宝箱奖励102</v>
          </cell>
          <cell r="E6545" t="str">
            <v>1|14003|1|1,1|10010|5|1,1|11036|2|1</v>
          </cell>
        </row>
        <row r="6546">
          <cell r="A6546">
            <v>95103</v>
          </cell>
          <cell r="B6546">
            <v>0</v>
          </cell>
          <cell r="C6546" t="str">
            <v>1|14003|1,1|10036|5,1|14314|1</v>
          </cell>
          <cell r="D6546" t="str">
            <v>主线副本宝箱奖励103</v>
          </cell>
          <cell r="E6546" t="str">
            <v>1|14003|1|1,1|10036|5|1,1|14314|1|1</v>
          </cell>
        </row>
        <row r="6547">
          <cell r="A6547">
            <v>95104</v>
          </cell>
          <cell r="B6547">
            <v>0</v>
          </cell>
          <cell r="C6547" t="str">
            <v>1|14003|1,1|10026|5,1|14314|1</v>
          </cell>
          <cell r="D6547" t="str">
            <v>主线副本宝箱奖励104</v>
          </cell>
          <cell r="E6547" t="str">
            <v>1|14003|1|1,1|10026|5|1,1|14314|1|1</v>
          </cell>
        </row>
        <row r="6548">
          <cell r="A6548">
            <v>95105</v>
          </cell>
          <cell r="B6548">
            <v>0</v>
          </cell>
          <cell r="C6548" t="str">
            <v>1|14003|1,1|10004|5,1|11035|2</v>
          </cell>
          <cell r="D6548" t="str">
            <v>主线副本宝箱奖励105</v>
          </cell>
          <cell r="E6548" t="str">
            <v>1|14003|1|1,1|10004|5|1,1|11035|2|1</v>
          </cell>
        </row>
        <row r="6549">
          <cell r="A6549">
            <v>95106</v>
          </cell>
          <cell r="B6549">
            <v>0</v>
          </cell>
          <cell r="C6549" t="str">
            <v>1|14003|1,1|10041|5,1|14314|1</v>
          </cell>
          <cell r="D6549" t="str">
            <v>主线副本宝箱奖励106</v>
          </cell>
          <cell r="E6549" t="str">
            <v>1|14003|1|1,1|10041|5|1,1|14314|1|1</v>
          </cell>
        </row>
        <row r="6550">
          <cell r="A6550">
            <v>95107</v>
          </cell>
          <cell r="B6550">
            <v>0</v>
          </cell>
          <cell r="C6550" t="str">
            <v>1|14003|1,1|10007|5,1|14314|1</v>
          </cell>
          <cell r="D6550" t="str">
            <v>主线副本宝箱奖励107</v>
          </cell>
          <cell r="E6550" t="str">
            <v>1|14003|1|1,1|10007|5|1,1|14314|1|1</v>
          </cell>
        </row>
        <row r="6551">
          <cell r="A6551">
            <v>95108</v>
          </cell>
          <cell r="B6551">
            <v>0</v>
          </cell>
          <cell r="C6551" t="str">
            <v>1|14003|1,1|10035|5,1|14315|2</v>
          </cell>
          <cell r="D6551" t="str">
            <v>主线副本宝箱奖励108</v>
          </cell>
          <cell r="E6551" t="str">
            <v>1|14003|1|1,1|10035|5|1,1|14315|2|1</v>
          </cell>
        </row>
        <row r="6552">
          <cell r="A6552">
            <v>95109</v>
          </cell>
          <cell r="B6552">
            <v>0</v>
          </cell>
          <cell r="C6552" t="str">
            <v>1|14003|1,1|10038|5,1|14314|1</v>
          </cell>
          <cell r="D6552" t="str">
            <v>主线副本宝箱奖励109</v>
          </cell>
          <cell r="E6552" t="str">
            <v>1|14003|1|1,1|10038|5|1,1|14314|1|1</v>
          </cell>
        </row>
        <row r="6553">
          <cell r="A6553">
            <v>95110</v>
          </cell>
          <cell r="B6553">
            <v>0</v>
          </cell>
          <cell r="C6553" t="str">
            <v>1|14003|1,1|10025|5,1|14314|1</v>
          </cell>
          <cell r="D6553" t="str">
            <v>主线副本宝箱奖励110</v>
          </cell>
          <cell r="E6553" t="str">
            <v>1|14003|1|1,1|10025|5|1,1|14314|1|1</v>
          </cell>
        </row>
        <row r="6554">
          <cell r="A6554">
            <v>95111</v>
          </cell>
          <cell r="B6554">
            <v>0</v>
          </cell>
          <cell r="C6554" t="str">
            <v>1|14003|1,1|10032|5,1|14315|2</v>
          </cell>
          <cell r="D6554" t="str">
            <v>主线副本宝箱奖励111</v>
          </cell>
          <cell r="E6554" t="str">
            <v>1|14003|1|1,1|10032|5|1,1|14315|2|1</v>
          </cell>
        </row>
        <row r="6555">
          <cell r="A6555">
            <v>95112</v>
          </cell>
          <cell r="B6555">
            <v>0</v>
          </cell>
          <cell r="C6555" t="str">
            <v>1|14003|1,1|10126|5,1|14314|1</v>
          </cell>
          <cell r="D6555" t="str">
            <v>主线副本宝箱奖励112</v>
          </cell>
          <cell r="E6555" t="str">
            <v>1|14003|1|1,1|10126|5|1,1|14314|1|1</v>
          </cell>
        </row>
        <row r="6556">
          <cell r="A6556">
            <v>95113</v>
          </cell>
          <cell r="B6556">
            <v>0</v>
          </cell>
          <cell r="C6556" t="str">
            <v>1|14003|1,1|10009|5,1|14314|1</v>
          </cell>
          <cell r="D6556" t="str">
            <v>主线副本宝箱奖励113</v>
          </cell>
          <cell r="E6556" t="str">
            <v>1|14003|1|1,1|10009|5|1,1|14314|1|1</v>
          </cell>
        </row>
        <row r="6557">
          <cell r="A6557">
            <v>95114</v>
          </cell>
          <cell r="B6557">
            <v>0</v>
          </cell>
          <cell r="C6557" t="str">
            <v>1|14003|1,1|10102|5,1|14315|2</v>
          </cell>
          <cell r="D6557" t="str">
            <v>主线副本宝箱奖励114</v>
          </cell>
          <cell r="E6557" t="str">
            <v>1|14003|1|1,1|10102|5|1,1|14315|2|1</v>
          </cell>
        </row>
        <row r="6558">
          <cell r="A6558">
            <v>95115</v>
          </cell>
          <cell r="B6558">
            <v>0</v>
          </cell>
          <cell r="C6558" t="str">
            <v>1|14003|1,1|10092|5,1|14314|1</v>
          </cell>
          <cell r="D6558" t="str">
            <v>主线副本宝箱奖励115</v>
          </cell>
          <cell r="E6558" t="str">
            <v>1|14003|1|1,1|10092|5|1,1|14314|1|1</v>
          </cell>
        </row>
        <row r="6559">
          <cell r="A6559">
            <v>95116</v>
          </cell>
          <cell r="B6559">
            <v>0</v>
          </cell>
          <cell r="C6559" t="str">
            <v>1|14003|1,1|10016|5,1|14314|1</v>
          </cell>
          <cell r="D6559" t="str">
            <v>主线副本宝箱奖励116</v>
          </cell>
          <cell r="E6559" t="str">
            <v>1|14003|1|1,1|10016|5|1,1|14314|1|1</v>
          </cell>
        </row>
        <row r="6560">
          <cell r="A6560">
            <v>95117</v>
          </cell>
          <cell r="B6560">
            <v>0</v>
          </cell>
          <cell r="C6560" t="str">
            <v>1|14003|1,1|10023|5,1|14315|2</v>
          </cell>
          <cell r="D6560" t="str">
            <v>主线副本宝箱奖励117</v>
          </cell>
          <cell r="E6560" t="str">
            <v>1|14003|1|1,1|10023|5|1,1|14315|2|1</v>
          </cell>
        </row>
        <row r="6561">
          <cell r="A6561">
            <v>95118</v>
          </cell>
          <cell r="B6561">
            <v>0</v>
          </cell>
          <cell r="C6561" t="str">
            <v>1|14003|1,1|10052|5,1|14314|1</v>
          </cell>
          <cell r="D6561" t="str">
            <v>主线副本宝箱奖励118</v>
          </cell>
          <cell r="E6561" t="str">
            <v>1|14003|1|1,1|10052|5|1,1|14314|1|1</v>
          </cell>
        </row>
        <row r="6562">
          <cell r="A6562">
            <v>95119</v>
          </cell>
          <cell r="B6562">
            <v>0</v>
          </cell>
          <cell r="C6562" t="str">
            <v>1|14003|1,1|10014|5,1|14314|1</v>
          </cell>
          <cell r="D6562" t="str">
            <v>主线副本宝箱奖励119</v>
          </cell>
          <cell r="E6562" t="str">
            <v>1|14003|1|1,1|10014|5|1,1|14314|1|1</v>
          </cell>
        </row>
        <row r="6563">
          <cell r="A6563">
            <v>95120</v>
          </cell>
          <cell r="B6563">
            <v>0</v>
          </cell>
          <cell r="C6563" t="str">
            <v>1|14003|1,1|10017|5,1|14315|2</v>
          </cell>
          <cell r="D6563" t="str">
            <v>主线副本宝箱奖励120</v>
          </cell>
          <cell r="E6563" t="str">
            <v>1|14003|1|1,1|10017|5|1,1|14315|2|1</v>
          </cell>
        </row>
        <row r="6564">
          <cell r="A6564">
            <v>95121</v>
          </cell>
          <cell r="B6564">
            <v>0</v>
          </cell>
          <cell r="C6564" t="str">
            <v>1|14003|1,1|10404|5,1|14314|1</v>
          </cell>
          <cell r="D6564" t="str">
            <v>主线副本宝箱奖励121</v>
          </cell>
          <cell r="E6564" t="str">
            <v>1|14003|1|1,1|10404|5|1,1|14314|1|1</v>
          </cell>
        </row>
        <row r="6565">
          <cell r="A6565">
            <v>95122</v>
          </cell>
          <cell r="B6565">
            <v>0</v>
          </cell>
          <cell r="C6565" t="str">
            <v>1|14003|1,1|10010|5,1|14314|1</v>
          </cell>
          <cell r="D6565" t="str">
            <v>主线副本宝箱奖励122</v>
          </cell>
          <cell r="E6565" t="str">
            <v>1|14003|1|1,1|10010|5|1,1|14314|1|1</v>
          </cell>
        </row>
        <row r="6566">
          <cell r="A6566">
            <v>95123</v>
          </cell>
          <cell r="B6566">
            <v>0</v>
          </cell>
          <cell r="C6566" t="str">
            <v>1|14003|1,1|10101|5,1|14315|2</v>
          </cell>
          <cell r="D6566" t="str">
            <v>主线副本宝箱奖励123</v>
          </cell>
          <cell r="E6566" t="str">
            <v>1|14003|1|1,1|10101|5|1,1|14315|2|1</v>
          </cell>
        </row>
        <row r="6567">
          <cell r="A6567">
            <v>95124</v>
          </cell>
          <cell r="B6567">
            <v>0</v>
          </cell>
          <cell r="C6567" t="str">
            <v>1|14003|1,1|10039|5,1|14314|1</v>
          </cell>
          <cell r="D6567" t="str">
            <v>主线副本宝箱奖励124</v>
          </cell>
          <cell r="E6567" t="str">
            <v>1|14003|1|1,1|10039|5|1,1|14314|1|1</v>
          </cell>
        </row>
        <row r="6568">
          <cell r="A6568">
            <v>95125</v>
          </cell>
          <cell r="B6568">
            <v>0</v>
          </cell>
          <cell r="C6568" t="str">
            <v>1|14003|1,1|10004|5,1|14314|1</v>
          </cell>
          <cell r="D6568" t="str">
            <v>主线副本宝箱奖励125</v>
          </cell>
          <cell r="E6568" t="str">
            <v>1|14003|1|1,1|10004|5|1,1|14314|1|1</v>
          </cell>
        </row>
        <row r="6569">
          <cell r="A6569">
            <v>95126</v>
          </cell>
          <cell r="B6569">
            <v>0</v>
          </cell>
          <cell r="C6569" t="str">
            <v>1|14003|1,1|10031|5,1|14315|2</v>
          </cell>
          <cell r="D6569" t="str">
            <v>主线副本宝箱奖励126</v>
          </cell>
          <cell r="E6569" t="str">
            <v>1|14003|1|1,1|10031|5|1,1|14315|2|1</v>
          </cell>
        </row>
        <row r="6570">
          <cell r="A6570">
            <v>95127</v>
          </cell>
          <cell r="B6570">
            <v>0</v>
          </cell>
          <cell r="C6570" t="str">
            <v>1|14003|1,1|10040|5,1|14314|1</v>
          </cell>
          <cell r="D6570" t="str">
            <v>主线副本宝箱奖励127</v>
          </cell>
          <cell r="E6570" t="str">
            <v>1|14003|1|1,1|10040|5|1,1|14314|1|1</v>
          </cell>
        </row>
        <row r="6571">
          <cell r="A6571">
            <v>95128</v>
          </cell>
          <cell r="B6571">
            <v>0</v>
          </cell>
          <cell r="C6571" t="str">
            <v>1|14003|1,1|10035|5,1|14314|1</v>
          </cell>
          <cell r="D6571" t="str">
            <v>主线副本宝箱奖励128</v>
          </cell>
          <cell r="E6571" t="str">
            <v>1|14003|1|1,1|10035|5|1,1|14314|1|1</v>
          </cell>
        </row>
        <row r="6572">
          <cell r="A6572">
            <v>95129</v>
          </cell>
          <cell r="B6572">
            <v>0</v>
          </cell>
          <cell r="C6572" t="str">
            <v>1|14003|1,1|10037|5,1|14315|2</v>
          </cell>
          <cell r="D6572" t="str">
            <v>主线副本宝箱奖励129</v>
          </cell>
          <cell r="E6572" t="str">
            <v>1|14003|1|1,1|10037|5|1,1|14315|2|1</v>
          </cell>
        </row>
        <row r="6573">
          <cell r="A6573">
            <v>95130</v>
          </cell>
          <cell r="B6573">
            <v>0</v>
          </cell>
          <cell r="C6573" t="str">
            <v>1|14003|1,1|10007|5,1|14314|1</v>
          </cell>
          <cell r="D6573" t="str">
            <v>主线副本宝箱奖励130</v>
          </cell>
          <cell r="E6573" t="str">
            <v>1|14003|1|1,1|10007|5|1,1|14314|1|1</v>
          </cell>
        </row>
        <row r="6574">
          <cell r="A6574">
            <v>95131</v>
          </cell>
          <cell r="B6574">
            <v>0</v>
          </cell>
          <cell r="C6574" t="str">
            <v>1|14003|1,1|10032|5,1|14314|1</v>
          </cell>
          <cell r="D6574" t="str">
            <v>主线副本宝箱奖励131</v>
          </cell>
          <cell r="E6574" t="str">
            <v>1|14003|1|1,1|10032|5|1,1|14314|1|1</v>
          </cell>
        </row>
        <row r="6575">
          <cell r="A6575">
            <v>95132</v>
          </cell>
          <cell r="B6575">
            <v>0</v>
          </cell>
          <cell r="C6575" t="str">
            <v>1|14003|1,1|10116|5,1|14315|2</v>
          </cell>
          <cell r="D6575" t="str">
            <v>主线副本宝箱奖励132</v>
          </cell>
          <cell r="E6575" t="str">
            <v>1|14003|1|1,1|10116|5|1,1|14315|2|1</v>
          </cell>
        </row>
        <row r="6576">
          <cell r="A6576">
            <v>95133</v>
          </cell>
          <cell r="B6576">
            <v>0</v>
          </cell>
          <cell r="C6576" t="str">
            <v>1|14003|1,1|10034|5,1|14314|1</v>
          </cell>
          <cell r="D6576" t="str">
            <v>主线副本宝箱奖励133</v>
          </cell>
          <cell r="E6576" t="str">
            <v>1|14003|1|1,1|10034|5|1,1|14314|1|1</v>
          </cell>
        </row>
        <row r="6577">
          <cell r="A6577">
            <v>95134</v>
          </cell>
          <cell r="B6577">
            <v>0</v>
          </cell>
          <cell r="C6577" t="str">
            <v>1|14003|1,1|10102|5,1|14314|1</v>
          </cell>
          <cell r="D6577" t="str">
            <v>主线副本宝箱奖励134</v>
          </cell>
          <cell r="E6577" t="str">
            <v>1|14003|1|1,1|10102|5|1,1|14314|1|1</v>
          </cell>
        </row>
        <row r="6578">
          <cell r="A6578">
            <v>95135</v>
          </cell>
          <cell r="B6578">
            <v>0</v>
          </cell>
          <cell r="C6578" t="str">
            <v>1|14003|1,1|10006|5,1|14315|2</v>
          </cell>
          <cell r="D6578" t="str">
            <v>主线副本宝箱奖励135</v>
          </cell>
          <cell r="E6578" t="str">
            <v>1|14003|1|1,1|10006|5|1,1|14315|2|1</v>
          </cell>
        </row>
        <row r="6579">
          <cell r="A6579">
            <v>95136</v>
          </cell>
          <cell r="B6579">
            <v>0</v>
          </cell>
          <cell r="C6579" t="str">
            <v>1|14003|1,1|10106|5,1|14314|1</v>
          </cell>
          <cell r="D6579" t="str">
            <v>主线副本宝箱奖励136</v>
          </cell>
          <cell r="E6579" t="str">
            <v>1|14003|1|1,1|10106|5|1,1|14314|1|1</v>
          </cell>
        </row>
        <row r="6580">
          <cell r="A6580">
            <v>95137</v>
          </cell>
          <cell r="B6580">
            <v>0</v>
          </cell>
          <cell r="C6580" t="str">
            <v>1|14003|1,1|10023|5,1|14314|1</v>
          </cell>
          <cell r="D6580" t="str">
            <v>主线副本宝箱奖励137</v>
          </cell>
          <cell r="E6580" t="str">
            <v>1|14003|1|1,1|10023|5|1,1|14314|1|1</v>
          </cell>
        </row>
        <row r="6581">
          <cell r="A6581">
            <v>95138</v>
          </cell>
          <cell r="B6581">
            <v>0</v>
          </cell>
          <cell r="C6581" t="str">
            <v>1|14003|1,1|10108|5,1|14315|2</v>
          </cell>
          <cell r="D6581" t="str">
            <v>主线副本宝箱奖励138</v>
          </cell>
          <cell r="E6581" t="str">
            <v>1|14003|1|1,1|10108|5|1,1|14315|2|1</v>
          </cell>
        </row>
        <row r="6582">
          <cell r="A6582">
            <v>95139</v>
          </cell>
          <cell r="B6582">
            <v>0</v>
          </cell>
          <cell r="C6582" t="str">
            <v>1|14003|1,1|10030|5,1|14314|1</v>
          </cell>
          <cell r="D6582" t="str">
            <v>主线副本宝箱奖励139</v>
          </cell>
          <cell r="E6582" t="str">
            <v>1|14003|1|1,1|10030|5|1,1|14314|1|1</v>
          </cell>
        </row>
        <row r="6583">
          <cell r="A6583">
            <v>95140</v>
          </cell>
          <cell r="B6583">
            <v>0</v>
          </cell>
          <cell r="C6583" t="str">
            <v>1|14003|1,1|10017|5,1|14314|1</v>
          </cell>
          <cell r="D6583" t="str">
            <v>主线副本宝箱奖励140</v>
          </cell>
          <cell r="E6583" t="str">
            <v>1|14003|1|1,1|10017|5|1,1|14314|1|1</v>
          </cell>
        </row>
        <row r="6584">
          <cell r="A6584">
            <v>95141</v>
          </cell>
          <cell r="B6584">
            <v>0</v>
          </cell>
          <cell r="C6584" t="str">
            <v>1|14003|1,1|10022|5,1|14315|2</v>
          </cell>
          <cell r="D6584" t="str">
            <v>主线副本宝箱奖励141</v>
          </cell>
          <cell r="E6584" t="str">
            <v>1|14003|1|1,1|10022|5|1,1|14315|2|1</v>
          </cell>
        </row>
        <row r="6585">
          <cell r="A6585">
            <v>95142</v>
          </cell>
          <cell r="B6585">
            <v>0</v>
          </cell>
          <cell r="C6585" t="str">
            <v>1|14003|1,1|10103|5,1|14314|1</v>
          </cell>
          <cell r="D6585" t="str">
            <v>主线副本宝箱奖励142</v>
          </cell>
          <cell r="E6585" t="str">
            <v>1|14003|1|1,1|10103|5|1,1|14314|1|1</v>
          </cell>
        </row>
        <row r="6586">
          <cell r="A6586">
            <v>95143</v>
          </cell>
          <cell r="B6586">
            <v>0</v>
          </cell>
          <cell r="C6586" t="str">
            <v>1|14003|1,1|10101|5,1|14314|1</v>
          </cell>
          <cell r="D6586" t="str">
            <v>主线副本宝箱奖励143</v>
          </cell>
          <cell r="E6586" t="str">
            <v>1|14003|1|1,1|10101|5|1,1|14314|1|1</v>
          </cell>
        </row>
        <row r="6587">
          <cell r="A6587">
            <v>95144</v>
          </cell>
          <cell r="B6587">
            <v>0</v>
          </cell>
          <cell r="C6587" t="str">
            <v>1|14003|1,1|10107|5,1|14315|2</v>
          </cell>
          <cell r="D6587" t="str">
            <v>主线副本宝箱奖励144</v>
          </cell>
          <cell r="E6587" t="str">
            <v>1|14003|1|1,1|10107|5|1,1|14315|2|1</v>
          </cell>
        </row>
        <row r="6588">
          <cell r="A6588">
            <v>95145</v>
          </cell>
          <cell r="B6588">
            <v>0</v>
          </cell>
          <cell r="C6588" t="str">
            <v>1|14003|1,1|10105|5,1|14314|1</v>
          </cell>
          <cell r="D6588" t="str">
            <v>主线副本宝箱奖励145</v>
          </cell>
          <cell r="E6588" t="str">
            <v>1|14003|1|1,1|10105|5|1,1|14314|1|1</v>
          </cell>
        </row>
        <row r="6589">
          <cell r="A6589">
            <v>95146</v>
          </cell>
          <cell r="B6589">
            <v>0</v>
          </cell>
          <cell r="C6589" t="str">
            <v>1|14003|1,1|10031|5,1|14314|1</v>
          </cell>
          <cell r="D6589" t="str">
            <v>主线副本宝箱奖励146</v>
          </cell>
          <cell r="E6589" t="str">
            <v>1|14003|1|1,1|10031|5|1,1|14314|1|1</v>
          </cell>
        </row>
        <row r="6590">
          <cell r="A6590">
            <v>95147</v>
          </cell>
          <cell r="B6590">
            <v>0</v>
          </cell>
          <cell r="C6590" t="str">
            <v>1|14003|1,1|10026|5,1|14315|2</v>
          </cell>
          <cell r="D6590" t="str">
            <v>主线副本宝箱奖励147</v>
          </cell>
          <cell r="E6590" t="str">
            <v>1|14003|1|1,1|10026|5|1,1|14315|2|1</v>
          </cell>
        </row>
        <row r="6591">
          <cell r="A6591">
            <v>95148</v>
          </cell>
          <cell r="B6591">
            <v>0</v>
          </cell>
          <cell r="C6591" t="str">
            <v>1|14003|1,1|10033|5,1|14315|1</v>
          </cell>
          <cell r="D6591" t="str">
            <v>主线副本宝箱奖励148</v>
          </cell>
          <cell r="E6591" t="str">
            <v>1|14003|1|1,1|10033|5|1,1|14315|1|1</v>
          </cell>
        </row>
        <row r="6592">
          <cell r="A6592">
            <v>95149</v>
          </cell>
          <cell r="B6592">
            <v>0</v>
          </cell>
          <cell r="C6592" t="str">
            <v>1|14003|1,1|10037|5,1|14315|1</v>
          </cell>
          <cell r="D6592" t="str">
            <v>主线副本宝箱奖励149</v>
          </cell>
          <cell r="E6592" t="str">
            <v>1|14003|1|1,1|10037|5|1,1|14315|1|1</v>
          </cell>
        </row>
        <row r="6593">
          <cell r="A6593">
            <v>95150</v>
          </cell>
          <cell r="B6593">
            <v>0</v>
          </cell>
          <cell r="C6593" t="str">
            <v>1|14003|1,1|10007|5,1|14315|2</v>
          </cell>
          <cell r="D6593" t="str">
            <v>主线副本宝箱奖励150</v>
          </cell>
          <cell r="E6593" t="str">
            <v>1|14003|1|1,1|10007|5|1,1|14315|2|1</v>
          </cell>
        </row>
        <row r="6594">
          <cell r="A6594">
            <v>95151</v>
          </cell>
          <cell r="B6594">
            <v>0</v>
          </cell>
          <cell r="C6594" t="str">
            <v>1|14003|1,1|10104|5,1|14315|1</v>
          </cell>
          <cell r="D6594" t="str">
            <v>主线副本宝箱奖励151</v>
          </cell>
          <cell r="E6594" t="str">
            <v>1|14003|1|1,1|10104|5|1,1|14315|1|1</v>
          </cell>
        </row>
        <row r="6595">
          <cell r="A6595">
            <v>95152</v>
          </cell>
          <cell r="B6595">
            <v>0</v>
          </cell>
          <cell r="C6595" t="str">
            <v>1|14003|1,1|10116|5,1|14315|1</v>
          </cell>
          <cell r="D6595" t="str">
            <v>主线副本宝箱奖励152</v>
          </cell>
          <cell r="E6595" t="str">
            <v>1|14003|1|1,1|10116|5|1,1|14315|1|1</v>
          </cell>
        </row>
        <row r="6596">
          <cell r="A6596">
            <v>95153</v>
          </cell>
          <cell r="B6596">
            <v>0</v>
          </cell>
          <cell r="C6596" t="str">
            <v>1|14003|1,1|10025|5,1|14315|2</v>
          </cell>
          <cell r="D6596" t="str">
            <v>主线副本宝箱奖励153</v>
          </cell>
          <cell r="E6596" t="str">
            <v>1|14003|1|1,1|10025|5|1,1|14315|2|1</v>
          </cell>
        </row>
        <row r="6597">
          <cell r="A6597">
            <v>95154</v>
          </cell>
          <cell r="B6597">
            <v>0</v>
          </cell>
          <cell r="C6597" t="str">
            <v>1|14003|1,1|10028|5,1|14315|1</v>
          </cell>
          <cell r="D6597" t="str">
            <v>主线副本宝箱奖励154</v>
          </cell>
          <cell r="E6597" t="str">
            <v>1|14003|1|1,1|10028|5|1,1|14315|1|1</v>
          </cell>
        </row>
        <row r="6598">
          <cell r="A6598">
            <v>95155</v>
          </cell>
          <cell r="B6598">
            <v>0</v>
          </cell>
          <cell r="C6598" t="str">
            <v>1|14003|1,1|10006|5,1|14315|1</v>
          </cell>
          <cell r="D6598" t="str">
            <v>主线副本宝箱奖励155</v>
          </cell>
          <cell r="E6598" t="str">
            <v>1|14003|1|1,1|10006|5|1,1|14315|1|1</v>
          </cell>
        </row>
        <row r="6599">
          <cell r="A6599">
            <v>95156</v>
          </cell>
          <cell r="B6599">
            <v>0</v>
          </cell>
          <cell r="C6599" t="str">
            <v>1|14003|1,1|10009|5,1|14315|2</v>
          </cell>
          <cell r="D6599" t="str">
            <v>主线副本宝箱奖励156</v>
          </cell>
          <cell r="E6599" t="str">
            <v>1|14003|1|1,1|10009|5|1,1|14315|2|1</v>
          </cell>
        </row>
        <row r="6600">
          <cell r="A6600">
            <v>95157</v>
          </cell>
          <cell r="B6600">
            <v>0</v>
          </cell>
          <cell r="C6600" t="str">
            <v>1|14003|1,1|10018|5,1|14315|1</v>
          </cell>
          <cell r="D6600" t="str">
            <v>主线副本宝箱奖励157</v>
          </cell>
          <cell r="E6600" t="str">
            <v>1|14003|1|1,1|10018|5|1,1|14315|1|1</v>
          </cell>
        </row>
        <row r="6601">
          <cell r="A6601">
            <v>95158</v>
          </cell>
          <cell r="B6601">
            <v>0</v>
          </cell>
          <cell r="C6601" t="str">
            <v>1|14003|1,1|10108|5,1|14315|1</v>
          </cell>
          <cell r="D6601" t="str">
            <v>主线副本宝箱奖励158</v>
          </cell>
          <cell r="E6601" t="str">
            <v>1|14003|1|1,1|10108|5|1,1|14315|1|1</v>
          </cell>
        </row>
        <row r="6602">
          <cell r="A6602">
            <v>95159</v>
          </cell>
          <cell r="B6602">
            <v>0</v>
          </cell>
          <cell r="C6602" t="str">
            <v>1|14003|1,1|10016|5,1|14315|2</v>
          </cell>
          <cell r="D6602" t="str">
            <v>主线副本宝箱奖励159</v>
          </cell>
          <cell r="E6602" t="str">
            <v>1|14003|1|1,1|10016|5|1,1|14315|2|1</v>
          </cell>
        </row>
        <row r="6603">
          <cell r="A6603">
            <v>95160</v>
          </cell>
          <cell r="B6603">
            <v>0</v>
          </cell>
          <cell r="C6603" t="str">
            <v>1|14003|1,1|10036|5,1|14315|1</v>
          </cell>
          <cell r="D6603" t="str">
            <v>主线副本宝箱奖励160</v>
          </cell>
          <cell r="E6603" t="str">
            <v>1|14003|1|1,1|10036|5|1,1|14315|1|1</v>
          </cell>
        </row>
        <row r="6604">
          <cell r="A6604">
            <v>95161</v>
          </cell>
          <cell r="B6604">
            <v>0</v>
          </cell>
          <cell r="C6604" t="str">
            <v>1|14003|1,1|10022|5,1|14315|1</v>
          </cell>
          <cell r="D6604" t="str">
            <v>主线副本宝箱奖励161</v>
          </cell>
          <cell r="E6604" t="str">
            <v>1|14003|1|1,1|10022|5|1,1|14315|1|1</v>
          </cell>
        </row>
        <row r="6605">
          <cell r="A6605">
            <v>95162</v>
          </cell>
          <cell r="B6605">
            <v>0</v>
          </cell>
          <cell r="C6605" t="str">
            <v>1|14003|1,1|10014|5,1|14315|2</v>
          </cell>
          <cell r="D6605" t="str">
            <v>主线副本宝箱奖励162</v>
          </cell>
          <cell r="E6605" t="str">
            <v>1|14003|1|1,1|10014|5|1,1|14315|2|1</v>
          </cell>
        </row>
        <row r="6606">
          <cell r="A6606">
            <v>95163</v>
          </cell>
          <cell r="B6606">
            <v>0</v>
          </cell>
          <cell r="C6606" t="str">
            <v>1|14003|1,1|10041|5,1|14315|1</v>
          </cell>
          <cell r="D6606" t="str">
            <v>主线副本宝箱奖励163</v>
          </cell>
          <cell r="E6606" t="str">
            <v>1|14003|1|1,1|10041|5|1,1|14315|1|1</v>
          </cell>
        </row>
        <row r="6607">
          <cell r="A6607">
            <v>95164</v>
          </cell>
          <cell r="B6607">
            <v>0</v>
          </cell>
          <cell r="C6607" t="str">
            <v>1|14003|1,1|10107|5,1|14315|1</v>
          </cell>
          <cell r="D6607" t="str">
            <v>主线副本宝箱奖励164</v>
          </cell>
          <cell r="E6607" t="str">
            <v>1|14003|1|1,1|10107|5|1,1|14315|1|1</v>
          </cell>
        </row>
        <row r="6608">
          <cell r="A6608">
            <v>95165</v>
          </cell>
          <cell r="B6608">
            <v>0</v>
          </cell>
          <cell r="C6608" t="str">
            <v>1|14003|1,1|10013|5,1|14315|2</v>
          </cell>
          <cell r="D6608" t="str">
            <v>主线副本宝箱奖励165</v>
          </cell>
          <cell r="E6608" t="str">
            <v>1|14003|1|1,1|10013|5|1,1|14315|2|1</v>
          </cell>
        </row>
        <row r="6609">
          <cell r="A6609">
            <v>95166</v>
          </cell>
          <cell r="B6609">
            <v>0</v>
          </cell>
          <cell r="C6609" t="str">
            <v>1|14003|1,1|10038|5,1|14315|1</v>
          </cell>
          <cell r="D6609" t="str">
            <v>主线副本宝箱奖励166</v>
          </cell>
          <cell r="E6609" t="str">
            <v>1|14003|1|1,1|10038|5|1,1|14315|1|1</v>
          </cell>
        </row>
        <row r="6610">
          <cell r="A6610">
            <v>95167</v>
          </cell>
          <cell r="B6610">
            <v>0</v>
          </cell>
          <cell r="C6610" t="str">
            <v>1|14003|1,1|10026|5,1|14315|1</v>
          </cell>
          <cell r="D6610" t="str">
            <v>主线副本宝箱奖励167</v>
          </cell>
          <cell r="E6610" t="str">
            <v>1|14003|1|1,1|10026|5|1,1|14315|1|1</v>
          </cell>
        </row>
        <row r="6611">
          <cell r="A6611">
            <v>95168</v>
          </cell>
          <cell r="B6611">
            <v>0</v>
          </cell>
          <cell r="C6611" t="str">
            <v>1|14003|1,1|10027|5,1|14315|2</v>
          </cell>
          <cell r="D6611" t="str">
            <v>主线副本宝箱奖励168</v>
          </cell>
          <cell r="E6611" t="str">
            <v>1|14003|1|1,1|10027|5|1,1|14315|2|1</v>
          </cell>
        </row>
        <row r="6612">
          <cell r="A6612">
            <v>95169</v>
          </cell>
          <cell r="B6612">
            <v>0</v>
          </cell>
          <cell r="C6612" t="str">
            <v>1|14003|1,1|10126|5,1|14315|1</v>
          </cell>
          <cell r="D6612" t="str">
            <v>主线副本宝箱奖励169</v>
          </cell>
          <cell r="E6612" t="str">
            <v>1|14003|1|1,1|10126|5|1,1|14315|1|1</v>
          </cell>
        </row>
        <row r="6613">
          <cell r="A6613">
            <v>95170</v>
          </cell>
          <cell r="B6613">
            <v>0</v>
          </cell>
          <cell r="C6613" t="str">
            <v>1|14003|1,1|10007|5,1|14315|1</v>
          </cell>
          <cell r="D6613" t="str">
            <v>主线副本宝箱奖励170</v>
          </cell>
          <cell r="E6613" t="str">
            <v>1|14003|1|1,1|10007|5|1,1|14315|1|1</v>
          </cell>
        </row>
        <row r="6614">
          <cell r="A6614">
            <v>95171</v>
          </cell>
          <cell r="B6614">
            <v>0</v>
          </cell>
          <cell r="C6614" t="str">
            <v>1|14003|1,1|10119|5,1|14315|2</v>
          </cell>
          <cell r="D6614" t="str">
            <v>主线副本宝箱奖励171</v>
          </cell>
          <cell r="E6614" t="str">
            <v>1|14003|1|1,1|10119|5|1,1|14315|2|1</v>
          </cell>
        </row>
        <row r="6615">
          <cell r="A6615">
            <v>95172</v>
          </cell>
          <cell r="B6615">
            <v>0</v>
          </cell>
          <cell r="C6615" t="str">
            <v>1|14003|1,1|10092|5,1|14315|1</v>
          </cell>
          <cell r="D6615" t="str">
            <v>主线副本宝箱奖励172</v>
          </cell>
          <cell r="E6615" t="str">
            <v>1|14003|1|1,1|10092|5|1,1|14315|1|1</v>
          </cell>
        </row>
        <row r="6616">
          <cell r="A6616">
            <v>95173</v>
          </cell>
          <cell r="B6616">
            <v>0</v>
          </cell>
          <cell r="C6616" t="str">
            <v>1|14003|1,1|10025|5,1|14315|1</v>
          </cell>
          <cell r="D6616" t="str">
            <v>主线副本宝箱奖励173</v>
          </cell>
          <cell r="E6616" t="str">
            <v>1|14003|1|1,1|10025|5|1,1|14315|1|1</v>
          </cell>
        </row>
        <row r="6617">
          <cell r="A6617">
            <v>95174</v>
          </cell>
          <cell r="B6617">
            <v>0</v>
          </cell>
          <cell r="C6617" t="str">
            <v>1|14003|1,1|10118|5,1|14315|2</v>
          </cell>
          <cell r="D6617" t="str">
            <v>主线副本宝箱奖励174</v>
          </cell>
          <cell r="E6617" t="str">
            <v>1|14003|1|1,1|10118|5|1,1|14315|2|1</v>
          </cell>
        </row>
        <row r="6618">
          <cell r="A6618">
            <v>95175</v>
          </cell>
          <cell r="B6618">
            <v>0</v>
          </cell>
          <cell r="C6618" t="str">
            <v>1|14003|1,1|10052|5,1|14315|1</v>
          </cell>
          <cell r="D6618" t="str">
            <v>主线副本宝箱奖励175</v>
          </cell>
          <cell r="E6618" t="str">
            <v>1|14003|1|1,1|10052|5|1,1|14315|1|1</v>
          </cell>
        </row>
        <row r="6619">
          <cell r="A6619">
            <v>95176</v>
          </cell>
          <cell r="B6619">
            <v>0</v>
          </cell>
          <cell r="C6619" t="str">
            <v>1|14003|1,1|10009|5,1|14315|1</v>
          </cell>
          <cell r="D6619" t="str">
            <v>主线副本宝箱奖励176</v>
          </cell>
          <cell r="E6619" t="str">
            <v>1|14003|1|1,1|10009|5|1,1|14315|1|1</v>
          </cell>
        </row>
        <row r="6620">
          <cell r="A6620">
            <v>95177</v>
          </cell>
          <cell r="B6620">
            <v>0</v>
          </cell>
          <cell r="C6620" t="str">
            <v>1|14003|1,1|10115|5,1|14315|2</v>
          </cell>
          <cell r="D6620" t="str">
            <v>主线副本宝箱奖励177</v>
          </cell>
          <cell r="E6620" t="str">
            <v>1|14003|1|1,1|10115|5|1,1|14315|2|1</v>
          </cell>
        </row>
        <row r="6621">
          <cell r="A6621">
            <v>95178</v>
          </cell>
          <cell r="B6621">
            <v>0</v>
          </cell>
          <cell r="C6621" t="str">
            <v>1|14003|1,1|10404|5,1|14315|1</v>
          </cell>
          <cell r="D6621" t="str">
            <v>主线副本宝箱奖励178</v>
          </cell>
          <cell r="E6621" t="str">
            <v>1|14003|1|1,1|10404|5|1,1|14315|1|1</v>
          </cell>
        </row>
        <row r="6622">
          <cell r="A6622">
            <v>95179</v>
          </cell>
          <cell r="B6622">
            <v>0</v>
          </cell>
          <cell r="C6622" t="str">
            <v>1|14003|1,1|10016|5,1|14315|1</v>
          </cell>
          <cell r="D6622" t="str">
            <v>主线副本宝箱奖励179</v>
          </cell>
          <cell r="E6622" t="str">
            <v>1|14003|1|1,1|10016|5|1,1|14315|1|1</v>
          </cell>
        </row>
        <row r="6623">
          <cell r="A6623">
            <v>95180</v>
          </cell>
          <cell r="B6623">
            <v>0</v>
          </cell>
          <cell r="C6623" t="str">
            <v>1|14003|1,1|10011|5,1|14315|2</v>
          </cell>
          <cell r="D6623" t="str">
            <v>主线副本宝箱奖励180</v>
          </cell>
          <cell r="E6623" t="str">
            <v>1|14003|1|1,1|10011|5|1,1|14315|2|1</v>
          </cell>
        </row>
        <row r="6624">
          <cell r="A6624">
            <v>95181</v>
          </cell>
          <cell r="B6624">
            <v>0</v>
          </cell>
          <cell r="C6624" t="str">
            <v>1|14003|1,1|10039|5,1|14315|1</v>
          </cell>
          <cell r="D6624" t="str">
            <v>主线副本宝箱奖励181</v>
          </cell>
          <cell r="E6624" t="str">
            <v>1|14003|1|1,1|10039|5|1,1|14315|1|1</v>
          </cell>
        </row>
        <row r="6625">
          <cell r="A6625">
            <v>95182</v>
          </cell>
          <cell r="B6625">
            <v>0</v>
          </cell>
          <cell r="C6625" t="str">
            <v>1|14003|1,1|10014|5,1|14315|1</v>
          </cell>
          <cell r="D6625" t="str">
            <v>主线副本宝箱奖励182</v>
          </cell>
          <cell r="E6625" t="str">
            <v>1|14003|1|1,1|10014|5|1,1|14315|1|1</v>
          </cell>
        </row>
        <row r="6626">
          <cell r="A6626">
            <v>95183</v>
          </cell>
          <cell r="B6626">
            <v>0</v>
          </cell>
          <cell r="C6626" t="str">
            <v>1|14003|1,1|10015|5,1|14315|2</v>
          </cell>
          <cell r="D6626" t="str">
            <v>主线副本宝箱奖励183</v>
          </cell>
          <cell r="E6626" t="str">
            <v>1|14003|1|1,1|10015|5|1,1|14315|2|1</v>
          </cell>
        </row>
        <row r="6627">
          <cell r="A6627">
            <v>95184</v>
          </cell>
          <cell r="B6627">
            <v>0</v>
          </cell>
          <cell r="C6627" t="str">
            <v>1|14003|1,1|10040|5,1|14315|1</v>
          </cell>
          <cell r="D6627" t="str">
            <v>主线副本宝箱奖励184</v>
          </cell>
          <cell r="E6627" t="str">
            <v>1|14003|1|1,1|10040|5|1,1|14315|1|1</v>
          </cell>
        </row>
        <row r="6628">
          <cell r="A6628">
            <v>95185</v>
          </cell>
          <cell r="B6628">
            <v>0</v>
          </cell>
          <cell r="C6628" t="str">
            <v>1|14003|1,1|10010|5,1|14315|1</v>
          </cell>
          <cell r="D6628" t="str">
            <v>主线副本宝箱奖励185</v>
          </cell>
          <cell r="E6628" t="str">
            <v>1|14003|1|1,1|10010|5|1,1|14315|1|1</v>
          </cell>
        </row>
        <row r="6629">
          <cell r="A6629">
            <v>95186</v>
          </cell>
          <cell r="B6629">
            <v>0</v>
          </cell>
          <cell r="C6629" t="str">
            <v>1|14003|1,1|10003|5,1|14315|2</v>
          </cell>
          <cell r="D6629" t="str">
            <v>主线副本宝箱奖励186</v>
          </cell>
          <cell r="E6629" t="str">
            <v>1|14003|1|1,1|10003|5|1,1|14315|2|1</v>
          </cell>
        </row>
        <row r="6630">
          <cell r="A6630">
            <v>95187</v>
          </cell>
          <cell r="B6630">
            <v>0</v>
          </cell>
          <cell r="C6630" t="str">
            <v>1|14003|1,1|10007|5,1|14315|1</v>
          </cell>
          <cell r="D6630" t="str">
            <v>主线副本宝箱奖励187</v>
          </cell>
          <cell r="E6630" t="str">
            <v>1|14003|1|1,1|10007|5|1,1|14315|1|1</v>
          </cell>
        </row>
        <row r="6631">
          <cell r="A6631">
            <v>95188</v>
          </cell>
          <cell r="B6631">
            <v>0</v>
          </cell>
          <cell r="C6631" t="str">
            <v>1|14003|1,1|10004|5,1|14315|1</v>
          </cell>
          <cell r="D6631" t="str">
            <v>主线副本宝箱奖励188</v>
          </cell>
          <cell r="E6631" t="str">
            <v>1|14003|1|1,1|10004|5|1,1|14315|1|1</v>
          </cell>
        </row>
        <row r="6632">
          <cell r="A6632">
            <v>95189</v>
          </cell>
          <cell r="B6632">
            <v>0</v>
          </cell>
          <cell r="C6632" t="str">
            <v>1|14003|1,1|10020|5,1|14315|2</v>
          </cell>
          <cell r="D6632" t="str">
            <v>主线副本宝箱奖励189</v>
          </cell>
          <cell r="E6632" t="str">
            <v>1|14003|1|1,1|10020|5|1,1|14315|2|1</v>
          </cell>
        </row>
        <row r="6633">
          <cell r="A6633">
            <v>95190</v>
          </cell>
          <cell r="B6633">
            <v>0</v>
          </cell>
          <cell r="C6633" t="str">
            <v>1|14003|1,1|10034|5,1|14315|1</v>
          </cell>
          <cell r="D6633" t="str">
            <v>主线副本宝箱奖励190</v>
          </cell>
          <cell r="E6633" t="str">
            <v>1|14003|1|1,1|10034|5|1,1|14315|1|1</v>
          </cell>
        </row>
        <row r="6634">
          <cell r="A6634">
            <v>95191</v>
          </cell>
          <cell r="B6634">
            <v>0</v>
          </cell>
          <cell r="C6634" t="str">
            <v>1|14003|1,1|10035|5,1|14315|1</v>
          </cell>
          <cell r="D6634" t="str">
            <v>主线副本宝箱奖励191</v>
          </cell>
          <cell r="E6634" t="str">
            <v>1|14003|1|1,1|10035|5|1,1|14315|1|1</v>
          </cell>
        </row>
        <row r="6635">
          <cell r="A6635">
            <v>95192</v>
          </cell>
          <cell r="B6635">
            <v>0</v>
          </cell>
          <cell r="C6635" t="str">
            <v>1|14003|1,1|10112|5,1|14315|2</v>
          </cell>
          <cell r="D6635" t="str">
            <v>主线副本宝箱奖励192</v>
          </cell>
          <cell r="E6635" t="str">
            <v>1|14003|1|1,1|10112|5|1,1|14315|2|1</v>
          </cell>
        </row>
        <row r="6636">
          <cell r="A6636">
            <v>95193</v>
          </cell>
          <cell r="B6636">
            <v>0</v>
          </cell>
          <cell r="C6636" t="str">
            <v>1|14003|1,1|10106|5,1|14315|1</v>
          </cell>
          <cell r="D6636" t="str">
            <v>主线副本宝箱奖励193</v>
          </cell>
          <cell r="E6636" t="str">
            <v>1|14003|1|1,1|10106|5|1,1|14315|1|1</v>
          </cell>
        </row>
        <row r="6637">
          <cell r="A6637">
            <v>95194</v>
          </cell>
          <cell r="B6637">
            <v>0</v>
          </cell>
          <cell r="C6637" t="str">
            <v>1|14003|1,1|10032|5,1|14315|1</v>
          </cell>
          <cell r="D6637" t="str">
            <v>主线副本宝箱奖励194</v>
          </cell>
          <cell r="E6637" t="str">
            <v>1|14003|1|1,1|10032|5|1,1|14315|1|1</v>
          </cell>
        </row>
        <row r="6638">
          <cell r="A6638">
            <v>95195</v>
          </cell>
          <cell r="B6638">
            <v>0</v>
          </cell>
          <cell r="C6638" t="str">
            <v>1|14003|1,1|10008|5,1|14315|2</v>
          </cell>
          <cell r="D6638" t="str">
            <v>主线副本宝箱奖励195</v>
          </cell>
          <cell r="E6638" t="str">
            <v>1|14003|1|1,1|10008|5|1,1|14315|2|1</v>
          </cell>
        </row>
        <row r="6639">
          <cell r="A6639">
            <v>95196</v>
          </cell>
          <cell r="B6639">
            <v>0</v>
          </cell>
          <cell r="C6639" t="str">
            <v>1|14003|1,1|10030|5,1|14315|1</v>
          </cell>
          <cell r="D6639" t="str">
            <v>主线副本宝箱奖励196</v>
          </cell>
          <cell r="E6639" t="str">
            <v>1|14003|1|1,1|10030|5|1,1|14315|1|1</v>
          </cell>
        </row>
        <row r="6640">
          <cell r="A6640">
            <v>95197</v>
          </cell>
          <cell r="B6640">
            <v>0</v>
          </cell>
          <cell r="C6640" t="str">
            <v>1|14003|1,1|10102|5,1|14315|1</v>
          </cell>
          <cell r="D6640" t="str">
            <v>主线副本宝箱奖励197</v>
          </cell>
          <cell r="E6640" t="str">
            <v>1|14003|1|1,1|10102|5|1,1|14315|1|1</v>
          </cell>
        </row>
        <row r="6641">
          <cell r="A6641">
            <v>95198</v>
          </cell>
          <cell r="B6641">
            <v>0</v>
          </cell>
          <cell r="C6641" t="str">
            <v>1|14003|1,1|10113|5,1|14315|2</v>
          </cell>
          <cell r="D6641" t="str">
            <v>主线副本宝箱奖励198</v>
          </cell>
          <cell r="E6641" t="str">
            <v>1|14003|1|1,1|10113|5|1,1|14315|2|1</v>
          </cell>
        </row>
        <row r="6642">
          <cell r="A6642">
            <v>95199</v>
          </cell>
          <cell r="B6642">
            <v>0</v>
          </cell>
          <cell r="C6642" t="str">
            <v>1|14003|1,1|10103|5,1|14315|1</v>
          </cell>
          <cell r="D6642" t="str">
            <v>主线副本宝箱奖励199</v>
          </cell>
          <cell r="E6642" t="str">
            <v>1|14003|1|1,1|10103|5|1,1|14315|1|1</v>
          </cell>
        </row>
        <row r="6643">
          <cell r="A6643">
            <v>95200</v>
          </cell>
          <cell r="B6643">
            <v>0</v>
          </cell>
          <cell r="C6643" t="str">
            <v>1|14003|1,1|10023|5,1|14315|1</v>
          </cell>
          <cell r="D6643" t="str">
            <v>主线副本宝箱奖励200</v>
          </cell>
          <cell r="E6643" t="str">
            <v>1|14003|1|1,1|10023|5|1,1|14315|1|1</v>
          </cell>
        </row>
        <row r="6644">
          <cell r="A6644">
            <v>95201</v>
          </cell>
          <cell r="B6644">
            <v>0</v>
          </cell>
          <cell r="C6644" t="str">
            <v>1|14003|1,1|10012|5,1|14315|2</v>
          </cell>
          <cell r="D6644" t="str">
            <v>主线副本宝箱奖励201</v>
          </cell>
          <cell r="E6644" t="str">
            <v>1|14003|1|1,1|10012|5|1,1|14315|2|1</v>
          </cell>
        </row>
        <row r="6645">
          <cell r="A6645">
            <v>95202</v>
          </cell>
          <cell r="B6645">
            <v>0</v>
          </cell>
          <cell r="C6645" t="str">
            <v>1|14003|1,1|10105|5,1|14315|1</v>
          </cell>
          <cell r="D6645" t="str">
            <v>主线副本宝箱奖励202</v>
          </cell>
          <cell r="E6645" t="str">
            <v>1|14003|1|1,1|10105|5|1,1|14315|1|1</v>
          </cell>
        </row>
        <row r="6646">
          <cell r="A6646">
            <v>95203</v>
          </cell>
          <cell r="B6646">
            <v>0</v>
          </cell>
          <cell r="C6646" t="str">
            <v>1|14003|1,1|10017|5,1|14315|1</v>
          </cell>
          <cell r="D6646" t="str">
            <v>主线副本宝箱奖励203</v>
          </cell>
          <cell r="E6646" t="str">
            <v>1|14003|1|1,1|10017|5|1,1|14315|1|1</v>
          </cell>
        </row>
        <row r="6647">
          <cell r="A6647">
            <v>95204</v>
          </cell>
          <cell r="B6647">
            <v>0</v>
          </cell>
          <cell r="C6647" t="str">
            <v>1|14003|1,1|10114|5,1|14315|2</v>
          </cell>
          <cell r="D6647" t="str">
            <v>主线副本宝箱奖励204</v>
          </cell>
          <cell r="E6647" t="str">
            <v>1|14003|1|1,1|10114|5|1,1|14315|2|1</v>
          </cell>
        </row>
        <row r="6648">
          <cell r="A6648">
            <v>95205</v>
          </cell>
          <cell r="B6648">
            <v>0</v>
          </cell>
          <cell r="C6648" t="str">
            <v>1|14003|1,1|10033|5,1|14315|1</v>
          </cell>
          <cell r="D6648" t="str">
            <v>主线副本宝箱奖励205</v>
          </cell>
          <cell r="E6648" t="str">
            <v>1|14003|1|1,1|10033|5|1,1|14315|1|1</v>
          </cell>
        </row>
        <row r="6649">
          <cell r="A6649">
            <v>95206</v>
          </cell>
          <cell r="B6649">
            <v>0</v>
          </cell>
          <cell r="C6649" t="str">
            <v>1|14003|1,1|10101|5,1|14315|1</v>
          </cell>
          <cell r="D6649" t="str">
            <v>主线副本宝箱奖励206</v>
          </cell>
          <cell r="E6649" t="str">
            <v>1|14003|1|1,1|10101|5|1,1|14315|1|1</v>
          </cell>
        </row>
        <row r="6650">
          <cell r="A6650">
            <v>95207</v>
          </cell>
          <cell r="B6650">
            <v>0</v>
          </cell>
          <cell r="C6650" t="str">
            <v>1|14003|1,1|10002|5,1|14315|2</v>
          </cell>
          <cell r="D6650" t="str">
            <v>主线副本宝箱奖励207</v>
          </cell>
          <cell r="E6650" t="str">
            <v>1|14003|1|1,1|10002|5|1,1|14315|2|1</v>
          </cell>
        </row>
        <row r="6651">
          <cell r="A6651">
            <v>95208</v>
          </cell>
          <cell r="B6651">
            <v>0</v>
          </cell>
          <cell r="C6651" t="str">
            <v>1|14003|1,1|10104|5,1|14315|1</v>
          </cell>
          <cell r="D6651" t="str">
            <v>主线副本宝箱奖励208</v>
          </cell>
          <cell r="E6651" t="str">
            <v>1|14003|1|1,1|10104|5|1,1|14315|1|1</v>
          </cell>
        </row>
        <row r="6652">
          <cell r="A6652">
            <v>95209</v>
          </cell>
          <cell r="B6652">
            <v>0</v>
          </cell>
          <cell r="C6652" t="str">
            <v>1|14003|1,1|10031|5,1|14315|1</v>
          </cell>
          <cell r="D6652" t="str">
            <v>主线副本宝箱奖励209</v>
          </cell>
          <cell r="E6652" t="str">
            <v>1|14003|1|1,1|10031|5|1,1|14315|1|1</v>
          </cell>
        </row>
        <row r="6653">
          <cell r="A6653">
            <v>95210</v>
          </cell>
          <cell r="B6653">
            <v>0</v>
          </cell>
          <cell r="C6653" t="str">
            <v>1|14003|1,1|10013|5,1|14315|2</v>
          </cell>
          <cell r="D6653" t="str">
            <v>主线副本宝箱奖励210</v>
          </cell>
          <cell r="E6653" t="str">
            <v>1|14003|1|1,1|10013|5|1,1|14315|2|1</v>
          </cell>
        </row>
        <row r="6654">
          <cell r="A6654">
            <v>95211</v>
          </cell>
          <cell r="B6654">
            <v>0</v>
          </cell>
          <cell r="C6654" t="str">
            <v>1|14003|1,1|10028|5,1|14315|1</v>
          </cell>
          <cell r="D6654" t="str">
            <v>主线副本宝箱奖励211</v>
          </cell>
          <cell r="E6654" t="str">
            <v>1|14003|1|1,1|10028|5|1,1|14315|1|1</v>
          </cell>
        </row>
        <row r="6655">
          <cell r="A6655">
            <v>95212</v>
          </cell>
          <cell r="B6655">
            <v>0</v>
          </cell>
          <cell r="C6655" t="str">
            <v>1|14003|1,1|10037|5,1|14315|1</v>
          </cell>
          <cell r="D6655" t="str">
            <v>主线副本宝箱奖励212</v>
          </cell>
          <cell r="E6655" t="str">
            <v>1|14003|1|1,1|10037|5|1,1|14315|1|1</v>
          </cell>
        </row>
        <row r="6656">
          <cell r="A6656">
            <v>95213</v>
          </cell>
          <cell r="B6656">
            <v>0</v>
          </cell>
          <cell r="C6656" t="str">
            <v>1|14003|1,1|10027|5,1|14315|2</v>
          </cell>
          <cell r="D6656" t="str">
            <v>主线副本宝箱奖励213</v>
          </cell>
          <cell r="E6656" t="str">
            <v>1|14003|1|1,1|10027|5|1,1|14315|2|1</v>
          </cell>
        </row>
        <row r="6657">
          <cell r="A6657">
            <v>95214</v>
          </cell>
          <cell r="B6657">
            <v>0</v>
          </cell>
          <cell r="C6657" t="str">
            <v>1|14003|1,1|10018|5,1|14315|1</v>
          </cell>
          <cell r="D6657" t="str">
            <v>主线副本宝箱奖励214</v>
          </cell>
          <cell r="E6657" t="str">
            <v>1|14003|1|1,1|10018|5|1,1|14315|1|1</v>
          </cell>
        </row>
        <row r="6658">
          <cell r="A6658">
            <v>95215</v>
          </cell>
          <cell r="B6658">
            <v>0</v>
          </cell>
          <cell r="C6658" t="str">
            <v>1|14003|1,1|10116|5,1|14315|1</v>
          </cell>
          <cell r="D6658" t="str">
            <v>主线副本宝箱奖励215</v>
          </cell>
          <cell r="E6658" t="str">
            <v>1|14003|1|1,1|10116|5|1,1|14315|1|1</v>
          </cell>
        </row>
        <row r="6659">
          <cell r="A6659">
            <v>95216</v>
          </cell>
          <cell r="B6659">
            <v>0</v>
          </cell>
          <cell r="C6659" t="str">
            <v>1|14003|1,1|10119|5,1|14315|2</v>
          </cell>
          <cell r="D6659" t="str">
            <v>主线副本宝箱奖励216</v>
          </cell>
          <cell r="E6659" t="str">
            <v>1|14003|1|1,1|10119|5|1,1|14315|2|1</v>
          </cell>
        </row>
        <row r="6660">
          <cell r="A6660">
            <v>95217</v>
          </cell>
          <cell r="B6660">
            <v>0</v>
          </cell>
          <cell r="C6660" t="str">
            <v>1|14003|1,1|10036|5,1|14315|1</v>
          </cell>
          <cell r="D6660" t="str">
            <v>主线副本宝箱奖励217</v>
          </cell>
          <cell r="E6660" t="str">
            <v>1|14003|1|1,1|10036|5|1,1|14315|1|1</v>
          </cell>
        </row>
        <row r="6661">
          <cell r="A6661">
            <v>95218</v>
          </cell>
          <cell r="B6661">
            <v>0</v>
          </cell>
          <cell r="C6661" t="str">
            <v>1|14003|1,1|10006|5,1|14315|1</v>
          </cell>
          <cell r="D6661" t="str">
            <v>主线副本宝箱奖励218</v>
          </cell>
          <cell r="E6661" t="str">
            <v>1|14003|1|1,1|10006|5|1,1|14315|1|1</v>
          </cell>
        </row>
        <row r="6662">
          <cell r="A6662">
            <v>95219</v>
          </cell>
          <cell r="B6662">
            <v>0</v>
          </cell>
          <cell r="C6662" t="str">
            <v>1|14003|1,1|10118|5,1|14315|2</v>
          </cell>
          <cell r="D6662" t="str">
            <v>主线副本宝箱奖励219</v>
          </cell>
          <cell r="E6662" t="str">
            <v>1|14003|1|1,1|10118|5|1,1|14315|2|1</v>
          </cell>
        </row>
        <row r="6663">
          <cell r="A6663">
            <v>95220</v>
          </cell>
          <cell r="B6663">
            <v>0</v>
          </cell>
          <cell r="C6663" t="str">
            <v>1|14003|1,1|10041|5,1|14315|1</v>
          </cell>
          <cell r="D6663" t="str">
            <v>主线副本宝箱奖励220</v>
          </cell>
          <cell r="E6663" t="str">
            <v>1|14003|1|1,1|10041|5|1,1|14315|1|1</v>
          </cell>
        </row>
        <row r="6664">
          <cell r="A6664">
            <v>95221</v>
          </cell>
          <cell r="B6664">
            <v>0</v>
          </cell>
          <cell r="C6664" t="str">
            <v>1|14003|1,1|10108|5,1|14315|1</v>
          </cell>
          <cell r="D6664" t="str">
            <v>主线副本宝箱奖励221</v>
          </cell>
          <cell r="E6664" t="str">
            <v>1|14003|1|1,1|10108|5|1,1|14315|1|1</v>
          </cell>
        </row>
        <row r="6665">
          <cell r="A6665">
            <v>95222</v>
          </cell>
          <cell r="B6665">
            <v>0</v>
          </cell>
          <cell r="C6665" t="str">
            <v>1|14003|1,1|10115|5,1|14315|2</v>
          </cell>
          <cell r="D6665" t="str">
            <v>主线副本宝箱奖励222</v>
          </cell>
          <cell r="E6665" t="str">
            <v>1|14003|1|1,1|10115|5|1,1|14315|2|1</v>
          </cell>
        </row>
        <row r="6666">
          <cell r="A6666">
            <v>95223</v>
          </cell>
          <cell r="B6666">
            <v>0</v>
          </cell>
          <cell r="C6666" t="str">
            <v>1|14003|1,1|10038|5,1|14315|1</v>
          </cell>
          <cell r="D6666" t="str">
            <v>主线副本宝箱奖励223</v>
          </cell>
          <cell r="E6666" t="str">
            <v>1|14003|1|1,1|10038|5|1,1|14315|1|1</v>
          </cell>
        </row>
        <row r="6667">
          <cell r="A6667">
            <v>95224</v>
          </cell>
          <cell r="B6667">
            <v>0</v>
          </cell>
          <cell r="C6667" t="str">
            <v>1|14003|1,1|10022|5,1|14315|1</v>
          </cell>
          <cell r="D6667" t="str">
            <v>主线副本宝箱奖励224</v>
          </cell>
          <cell r="E6667" t="str">
            <v>1|14003|1|1,1|10022|5|1,1|14315|1|1</v>
          </cell>
        </row>
        <row r="6668">
          <cell r="A6668">
            <v>95225</v>
          </cell>
          <cell r="B6668">
            <v>0</v>
          </cell>
          <cell r="C6668" t="str">
            <v>1|14003|1,1|10011|5,1|14315|2</v>
          </cell>
          <cell r="D6668" t="str">
            <v>主线副本宝箱奖励225</v>
          </cell>
          <cell r="E6668" t="str">
            <v>1|14003|1|1,1|10011|5|1,1|14315|2|1</v>
          </cell>
        </row>
        <row r="6669">
          <cell r="A6669">
            <v>95226</v>
          </cell>
          <cell r="B6669">
            <v>0</v>
          </cell>
          <cell r="C6669" t="str">
            <v>1|14003|1,1|10126|5,1|14315|1</v>
          </cell>
          <cell r="D6669" t="str">
            <v>主线副本宝箱奖励226</v>
          </cell>
          <cell r="E6669" t="str">
            <v>1|14003|1|1,1|10126|5|1,1|14315|1|1</v>
          </cell>
        </row>
        <row r="6670">
          <cell r="A6670">
            <v>95227</v>
          </cell>
          <cell r="B6670">
            <v>0</v>
          </cell>
          <cell r="C6670" t="str">
            <v>1|14003|1,1|10107|5,1|14315|1</v>
          </cell>
          <cell r="D6670" t="str">
            <v>主线副本宝箱奖励227</v>
          </cell>
          <cell r="E6670" t="str">
            <v>1|14003|1|1,1|10107|5|1,1|14315|1|1</v>
          </cell>
        </row>
        <row r="6671">
          <cell r="A6671">
            <v>95228</v>
          </cell>
          <cell r="B6671">
            <v>0</v>
          </cell>
          <cell r="C6671" t="str">
            <v>1|14003|1,1|10015|5,1|14315|2</v>
          </cell>
          <cell r="D6671" t="str">
            <v>主线副本宝箱奖励228</v>
          </cell>
          <cell r="E6671" t="str">
            <v>1|14003|1|1,1|10015|5|1,1|14315|2|1</v>
          </cell>
        </row>
        <row r="6672">
          <cell r="A6672">
            <v>95229</v>
          </cell>
          <cell r="B6672">
            <v>0</v>
          </cell>
          <cell r="C6672" t="str">
            <v>1|14003|1,1|10092|5,1|14315|1</v>
          </cell>
          <cell r="D6672" t="str">
            <v>主线副本宝箱奖励229</v>
          </cell>
          <cell r="E6672" t="str">
            <v>1|14003|1|1,1|10092|5|1,1|14315|1|1</v>
          </cell>
        </row>
        <row r="6673">
          <cell r="A6673">
            <v>95230</v>
          </cell>
          <cell r="B6673">
            <v>0</v>
          </cell>
          <cell r="C6673" t="str">
            <v>1|14003|1,1|10026|5,1|14315|1</v>
          </cell>
          <cell r="D6673" t="str">
            <v>主线副本宝箱奖励230</v>
          </cell>
          <cell r="E6673" t="str">
            <v>1|14003|1|1,1|10026|5|1,1|14315|1|1</v>
          </cell>
        </row>
        <row r="6674">
          <cell r="A6674">
            <v>95231</v>
          </cell>
          <cell r="B6674">
            <v>0</v>
          </cell>
          <cell r="C6674" t="str">
            <v>1|14003|1,1|10003|5,1|14315|2</v>
          </cell>
          <cell r="D6674" t="str">
            <v>主线副本宝箱奖励231</v>
          </cell>
          <cell r="E6674" t="str">
            <v>1|14003|1|1,1|10003|5|1,1|14315|2|1</v>
          </cell>
        </row>
        <row r="6675">
          <cell r="A6675">
            <v>95232</v>
          </cell>
          <cell r="B6675">
            <v>0</v>
          </cell>
          <cell r="C6675" t="str">
            <v>1|14003|1,1|10052|5,1|14315|1</v>
          </cell>
          <cell r="D6675" t="str">
            <v>主线副本宝箱奖励232</v>
          </cell>
          <cell r="E6675" t="str">
            <v>1|14003|1|1,1|10052|5|1,1|14315|1|1</v>
          </cell>
        </row>
        <row r="6676">
          <cell r="A6676">
            <v>95233</v>
          </cell>
          <cell r="B6676">
            <v>0</v>
          </cell>
          <cell r="C6676" t="str">
            <v>1|14003|1,1|10007|5,1|14315|1</v>
          </cell>
          <cell r="D6676" t="str">
            <v>主线副本宝箱奖励233</v>
          </cell>
          <cell r="E6676" t="str">
            <v>1|14003|1|1,1|10007|5|1,1|14315|1|1</v>
          </cell>
        </row>
        <row r="6677">
          <cell r="A6677">
            <v>95234</v>
          </cell>
          <cell r="B6677">
            <v>0</v>
          </cell>
          <cell r="C6677" t="str">
            <v>1|14003|1,1|10020|5,1|14315|2</v>
          </cell>
          <cell r="D6677" t="str">
            <v>主线副本宝箱奖励234</v>
          </cell>
          <cell r="E6677" t="str">
            <v>1|14003|1|1,1|10020|5|1,1|14315|2|1</v>
          </cell>
        </row>
        <row r="6678">
          <cell r="A6678">
            <v>95235</v>
          </cell>
          <cell r="B6678">
            <v>0</v>
          </cell>
          <cell r="C6678" t="str">
            <v>1|14003|1,1|10404|5,1|14315|1</v>
          </cell>
          <cell r="D6678" t="str">
            <v>主线副本宝箱奖励235</v>
          </cell>
          <cell r="E6678" t="str">
            <v>1|14003|1|1,1|10404|5|1,1|14315|1|1</v>
          </cell>
        </row>
        <row r="6679">
          <cell r="A6679">
            <v>95236</v>
          </cell>
          <cell r="B6679">
            <v>0</v>
          </cell>
          <cell r="C6679" t="str">
            <v>1|14003|1,1|10025|5,1|14315|1</v>
          </cell>
          <cell r="D6679" t="str">
            <v>主线副本宝箱奖励236</v>
          </cell>
          <cell r="E6679" t="str">
            <v>1|14003|1|1,1|10025|5|1,1|14315|1|1</v>
          </cell>
        </row>
        <row r="6680">
          <cell r="A6680">
            <v>95237</v>
          </cell>
          <cell r="B6680">
            <v>0</v>
          </cell>
          <cell r="C6680" t="str">
            <v>1|14003|1,1|10112|5,1|14315|2</v>
          </cell>
          <cell r="D6680" t="str">
            <v>主线副本宝箱奖励237</v>
          </cell>
          <cell r="E6680" t="str">
            <v>1|14003|1|1,1|10112|5|1,1|14315|2|1</v>
          </cell>
        </row>
        <row r="6681">
          <cell r="A6681">
            <v>95238</v>
          </cell>
          <cell r="B6681">
            <v>0</v>
          </cell>
          <cell r="C6681" t="str">
            <v>1|14003|1,1|10039|5,1|14315|1</v>
          </cell>
          <cell r="D6681" t="str">
            <v>主线副本宝箱奖励238</v>
          </cell>
          <cell r="E6681" t="str">
            <v>1|14003|1|1,1|10039|5|1,1|14315|1|1</v>
          </cell>
        </row>
        <row r="6682">
          <cell r="A6682">
            <v>95239</v>
          </cell>
          <cell r="B6682">
            <v>0</v>
          </cell>
          <cell r="C6682" t="str">
            <v>1|14003|1,1|10009|5,1|14315|1</v>
          </cell>
          <cell r="D6682" t="str">
            <v>主线副本宝箱奖励239</v>
          </cell>
          <cell r="E6682" t="str">
            <v>1|14003|1|1,1|10009|5|1,1|14315|1|1</v>
          </cell>
        </row>
        <row r="6683">
          <cell r="A6683">
            <v>95240</v>
          </cell>
          <cell r="B6683">
            <v>0</v>
          </cell>
          <cell r="C6683" t="str">
            <v>1|14003|1,1|10008|5,1|14315|2</v>
          </cell>
          <cell r="D6683" t="str">
            <v>主线副本宝箱奖励240</v>
          </cell>
          <cell r="E6683" t="str">
            <v>1|14003|1|1,1|10008|5|1,1|14315|2|1</v>
          </cell>
        </row>
        <row r="6684">
          <cell r="A6684">
            <v>95241</v>
          </cell>
          <cell r="B6684">
            <v>0</v>
          </cell>
          <cell r="C6684" t="str">
            <v>1|14003|1,1|10040|5,1|14315|1</v>
          </cell>
          <cell r="D6684" t="str">
            <v>主线副本宝箱奖励241</v>
          </cell>
          <cell r="E6684" t="str">
            <v>1|14003|1|1,1|10040|5|1,1|14315|1|1</v>
          </cell>
        </row>
        <row r="6685">
          <cell r="A6685">
            <v>95242</v>
          </cell>
          <cell r="B6685">
            <v>0</v>
          </cell>
          <cell r="C6685" t="str">
            <v>1|14003|1,1|10016|5,1|14315|1</v>
          </cell>
          <cell r="D6685" t="str">
            <v>主线副本宝箱奖励242</v>
          </cell>
          <cell r="E6685" t="str">
            <v>1|14003|1|1,1|10016|5|1,1|14315|1|1</v>
          </cell>
        </row>
        <row r="6686">
          <cell r="A6686">
            <v>95243</v>
          </cell>
          <cell r="B6686">
            <v>0</v>
          </cell>
          <cell r="C6686" t="str">
            <v>1|14003|1,1|10113|5,1|14315|2</v>
          </cell>
          <cell r="D6686" t="str">
            <v>主线副本宝箱奖励243</v>
          </cell>
          <cell r="E6686" t="str">
            <v>1|14003|1|1,1|10113|5|1,1|14315|2|1</v>
          </cell>
        </row>
        <row r="6687">
          <cell r="A6687">
            <v>95244</v>
          </cell>
          <cell r="B6687">
            <v>0</v>
          </cell>
          <cell r="C6687" t="str">
            <v>1|14003|1,1|10007|5,1|14315|1</v>
          </cell>
          <cell r="D6687" t="str">
            <v>主线副本宝箱奖励244</v>
          </cell>
          <cell r="E6687" t="str">
            <v>1|14003|1|1,1|10007|5|1,1|14315|1|1</v>
          </cell>
        </row>
        <row r="6688">
          <cell r="A6688">
            <v>95245</v>
          </cell>
          <cell r="B6688">
            <v>0</v>
          </cell>
          <cell r="C6688" t="str">
            <v>1|14003|1,1|10014|5,1|14315|1</v>
          </cell>
          <cell r="D6688" t="str">
            <v>主线副本宝箱奖励245</v>
          </cell>
          <cell r="E6688" t="str">
            <v>1|14003|1|1,1|10014|5|1,1|14315|1|1</v>
          </cell>
        </row>
        <row r="6689">
          <cell r="A6689">
            <v>95246</v>
          </cell>
          <cell r="B6689">
            <v>0</v>
          </cell>
          <cell r="C6689" t="str">
            <v>1|14003|1,1|10012|5,1|14315|2</v>
          </cell>
          <cell r="D6689" t="str">
            <v>主线副本宝箱奖励246</v>
          </cell>
          <cell r="E6689" t="str">
            <v>1|14003|1|1,1|10012|5|1,1|14315|2|1</v>
          </cell>
        </row>
        <row r="6690">
          <cell r="A6690">
            <v>95247</v>
          </cell>
          <cell r="B6690">
            <v>0</v>
          </cell>
          <cell r="C6690" t="str">
            <v>1|14003|1,1|10034|5,1|14315|1</v>
          </cell>
          <cell r="D6690" t="str">
            <v>主线副本宝箱奖励247</v>
          </cell>
          <cell r="E6690" t="str">
            <v>1|14003|1|1,1|10034|5|1,1|14315|1|1</v>
          </cell>
        </row>
        <row r="6691">
          <cell r="A6691">
            <v>95248</v>
          </cell>
          <cell r="B6691">
            <v>0</v>
          </cell>
          <cell r="C6691" t="str">
            <v>1|14003|1,1|10010|5,1|14315|1</v>
          </cell>
          <cell r="D6691" t="str">
            <v>主线副本宝箱奖励248</v>
          </cell>
          <cell r="E6691" t="str">
            <v>1|14003|1|1,1|10010|5|1,1|14315|1|1</v>
          </cell>
        </row>
        <row r="6692">
          <cell r="A6692">
            <v>95249</v>
          </cell>
          <cell r="B6692">
            <v>0</v>
          </cell>
          <cell r="C6692" t="str">
            <v>1|14003|1,1|10114|5,1|14315|2</v>
          </cell>
          <cell r="D6692" t="str">
            <v>主线副本宝箱奖励249</v>
          </cell>
          <cell r="E6692" t="str">
            <v>1|14003|1|1,1|10114|5|1,1|14315|2|1</v>
          </cell>
        </row>
        <row r="6693">
          <cell r="A6693">
            <v>95250</v>
          </cell>
          <cell r="B6693">
            <v>0</v>
          </cell>
          <cell r="C6693" t="str">
            <v>1|14003|1,1|10106|5,1|14315|1</v>
          </cell>
          <cell r="D6693" t="str">
            <v>主线副本宝箱奖励250</v>
          </cell>
          <cell r="E6693" t="str">
            <v>1|14003|1|1,1|10106|5|1,1|14315|1|1</v>
          </cell>
        </row>
        <row r="6694">
          <cell r="A6694">
            <v>95251</v>
          </cell>
          <cell r="B6694">
            <v>0</v>
          </cell>
          <cell r="C6694" t="str">
            <v>1|14003|1,1|10004|5,1|14315|1</v>
          </cell>
          <cell r="D6694" t="str">
            <v>主线副本宝箱奖励251</v>
          </cell>
          <cell r="E6694" t="str">
            <v>1|14003|1|1,1|10004|5|1,1|14315|1|1</v>
          </cell>
        </row>
        <row r="6695">
          <cell r="A6695">
            <v>95252</v>
          </cell>
          <cell r="B6695">
            <v>0</v>
          </cell>
          <cell r="C6695" t="str">
            <v>1|14003|1,1|10002|5,1|14315|2</v>
          </cell>
          <cell r="D6695" t="str">
            <v>主线副本宝箱奖励252</v>
          </cell>
          <cell r="E6695" t="str">
            <v>1|14003|1|1,1|10002|5|1,1|14315|2|1</v>
          </cell>
        </row>
        <row r="6696">
          <cell r="A6696">
            <v>95253</v>
          </cell>
          <cell r="B6696">
            <v>0</v>
          </cell>
          <cell r="C6696" t="str">
            <v>1|14003|1,1|10030|5,1|14315|1</v>
          </cell>
          <cell r="D6696" t="str">
            <v>主线副本宝箱奖励253</v>
          </cell>
          <cell r="E6696" t="str">
            <v>1|14003|1|1,1|10030|5|1,1|14315|1|1</v>
          </cell>
        </row>
        <row r="6697">
          <cell r="A6697">
            <v>95254</v>
          </cell>
          <cell r="B6697">
            <v>0</v>
          </cell>
          <cell r="C6697" t="str">
            <v>1|14003|1,1|10035|5,1|14315|1</v>
          </cell>
          <cell r="D6697" t="str">
            <v>主线副本宝箱奖励254</v>
          </cell>
          <cell r="E6697" t="str">
            <v>1|14003|1|1,1|10035|5|1,1|14315|1|1</v>
          </cell>
        </row>
        <row r="6698">
          <cell r="A6698">
            <v>95255</v>
          </cell>
          <cell r="B6698">
            <v>0</v>
          </cell>
          <cell r="C6698" t="str">
            <v>1|14003|1,1|10013|5,1|14315|2</v>
          </cell>
          <cell r="D6698" t="str">
            <v>主线副本宝箱奖励255</v>
          </cell>
          <cell r="E6698" t="str">
            <v>1|14003|1|1,1|10013|5|1,1|14315|2|1</v>
          </cell>
        </row>
        <row r="6699">
          <cell r="A6699">
            <v>95256</v>
          </cell>
          <cell r="B6699">
            <v>0</v>
          </cell>
          <cell r="C6699" t="str">
            <v>1|14003|1,1|10103|5,1|14315|1</v>
          </cell>
          <cell r="D6699" t="str">
            <v>主线副本宝箱奖励256</v>
          </cell>
          <cell r="E6699" t="str">
            <v>1|14003|1|1,1|10103|5|1,1|14315|1|1</v>
          </cell>
        </row>
        <row r="6700">
          <cell r="A6700">
            <v>95257</v>
          </cell>
          <cell r="B6700">
            <v>0</v>
          </cell>
          <cell r="C6700" t="str">
            <v>1|14003|1,1|10032|5,1|14315|1</v>
          </cell>
          <cell r="D6700" t="str">
            <v>主线副本宝箱奖励257</v>
          </cell>
          <cell r="E6700" t="str">
            <v>1|14003|1|1,1|10032|5|1,1|14315|1|1</v>
          </cell>
        </row>
        <row r="6701">
          <cell r="A6701">
            <v>95258</v>
          </cell>
          <cell r="B6701">
            <v>0</v>
          </cell>
          <cell r="C6701" t="str">
            <v>1|14003|1,1|10027|5,1|14315|2</v>
          </cell>
          <cell r="D6701" t="str">
            <v>主线副本宝箱奖励258</v>
          </cell>
          <cell r="E6701" t="str">
            <v>1|14003|1|1,1|10027|5|1,1|14315|2|1</v>
          </cell>
        </row>
        <row r="6702">
          <cell r="A6702">
            <v>95259</v>
          </cell>
          <cell r="B6702">
            <v>0</v>
          </cell>
          <cell r="C6702" t="str">
            <v>1|14003|1,1|10105|5,1|14315|1</v>
          </cell>
          <cell r="D6702" t="str">
            <v>主线副本宝箱奖励259</v>
          </cell>
          <cell r="E6702" t="str">
            <v>1|14003|1|1,1|10105|5|1,1|14315|1|1</v>
          </cell>
        </row>
        <row r="6703">
          <cell r="A6703">
            <v>95260</v>
          </cell>
          <cell r="B6703">
            <v>0</v>
          </cell>
          <cell r="C6703" t="str">
            <v>1|14003|1,1|10102|5,1|14315|1</v>
          </cell>
          <cell r="D6703" t="str">
            <v>主线副本宝箱奖励260</v>
          </cell>
          <cell r="E6703" t="str">
            <v>1|14003|1|1,1|10102|5|1,1|14315|1|1</v>
          </cell>
        </row>
        <row r="6704">
          <cell r="A6704">
            <v>95261</v>
          </cell>
          <cell r="B6704">
            <v>0</v>
          </cell>
          <cell r="C6704" t="str">
            <v>1|14003|1,1|10119|5,1|14315|2</v>
          </cell>
          <cell r="D6704" t="str">
            <v>主线副本宝箱奖励261</v>
          </cell>
          <cell r="E6704" t="str">
            <v>1|14003|1|1,1|10119|5|1,1|14315|2|1</v>
          </cell>
        </row>
        <row r="6705">
          <cell r="A6705">
            <v>95262</v>
          </cell>
          <cell r="B6705">
            <v>0</v>
          </cell>
          <cell r="C6705" t="str">
            <v>1|14003|1,1|10033|5,1|14315|1</v>
          </cell>
          <cell r="D6705" t="str">
            <v>主线副本宝箱奖励262</v>
          </cell>
          <cell r="E6705" t="str">
            <v>1|14003|1|1,1|10033|5|1,1|14315|1|1</v>
          </cell>
        </row>
        <row r="6706">
          <cell r="A6706">
            <v>95263</v>
          </cell>
          <cell r="B6706">
            <v>0</v>
          </cell>
          <cell r="C6706" t="str">
            <v>1|14003|1,1|10023|5,1|14315|1</v>
          </cell>
          <cell r="D6706" t="str">
            <v>主线副本宝箱奖励263</v>
          </cell>
          <cell r="E6706" t="str">
            <v>1|14003|1|1,1|10023|5|1,1|14315|1|1</v>
          </cell>
        </row>
        <row r="6707">
          <cell r="A6707">
            <v>95264</v>
          </cell>
          <cell r="B6707">
            <v>0</v>
          </cell>
          <cell r="C6707" t="str">
            <v>1|14003|1,1|10118|5,1|14315|2</v>
          </cell>
          <cell r="D6707" t="str">
            <v>主线副本宝箱奖励264</v>
          </cell>
          <cell r="E6707" t="str">
            <v>1|14003|1|1,1|10118|5|1,1|14315|2|1</v>
          </cell>
        </row>
        <row r="6708">
          <cell r="A6708">
            <v>95265</v>
          </cell>
          <cell r="B6708">
            <v>0</v>
          </cell>
          <cell r="C6708" t="str">
            <v>1|14003|1,1|10104|5,1|14315|1</v>
          </cell>
          <cell r="D6708" t="str">
            <v>主线副本宝箱奖励265</v>
          </cell>
          <cell r="E6708" t="str">
            <v>1|14003|1|1,1|10104|5|1,1|14315|1|1</v>
          </cell>
        </row>
        <row r="6709">
          <cell r="A6709">
            <v>95266</v>
          </cell>
          <cell r="B6709">
            <v>0</v>
          </cell>
          <cell r="C6709" t="str">
            <v>1|14003|1,1|10017|5,1|14315|1</v>
          </cell>
          <cell r="D6709" t="str">
            <v>主线副本宝箱奖励266</v>
          </cell>
          <cell r="E6709" t="str">
            <v>1|14003|1|1,1|10017|5|1,1|14315|1|1</v>
          </cell>
        </row>
        <row r="6710">
          <cell r="A6710">
            <v>95267</v>
          </cell>
          <cell r="B6710">
            <v>0</v>
          </cell>
          <cell r="C6710" t="str">
            <v>1|14003|1,1|10115|5,1|14315|2</v>
          </cell>
          <cell r="D6710" t="str">
            <v>主线副本宝箱奖励267</v>
          </cell>
          <cell r="E6710" t="str">
            <v>1|14003|1|1,1|10115|5|1,1|14315|2|1</v>
          </cell>
        </row>
        <row r="6711">
          <cell r="A6711">
            <v>95268</v>
          </cell>
          <cell r="B6711">
            <v>0</v>
          </cell>
          <cell r="C6711" t="str">
            <v>1|14003|1,1|10028|5,1|14315|1</v>
          </cell>
          <cell r="D6711" t="str">
            <v>主线副本宝箱奖励268</v>
          </cell>
          <cell r="E6711" t="str">
            <v>1|14003|1|1,1|10028|5|1,1|14315|1|1</v>
          </cell>
        </row>
        <row r="6712">
          <cell r="A6712">
            <v>95269</v>
          </cell>
          <cell r="B6712">
            <v>0</v>
          </cell>
          <cell r="C6712" t="str">
            <v>1|14003|1,1|10101|5,1|14315|1</v>
          </cell>
          <cell r="D6712" t="str">
            <v>主线副本宝箱奖励269</v>
          </cell>
          <cell r="E6712" t="str">
            <v>1|14003|1|1,1|10101|5|1,1|14315|1|1</v>
          </cell>
        </row>
        <row r="6713">
          <cell r="A6713">
            <v>95270</v>
          </cell>
          <cell r="B6713">
            <v>0</v>
          </cell>
          <cell r="C6713" t="str">
            <v>1|14003|1,1|10011|5,1|14315|2</v>
          </cell>
          <cell r="D6713" t="str">
            <v>主线副本宝箱奖励270</v>
          </cell>
          <cell r="E6713" t="str">
            <v>1|14003|1|1,1|10011|5|1,1|14315|2|1</v>
          </cell>
        </row>
        <row r="6714">
          <cell r="A6714">
            <v>95271</v>
          </cell>
          <cell r="B6714">
            <v>0</v>
          </cell>
          <cell r="C6714" t="str">
            <v>1|14003|1,1|10018|5,1|14315|1</v>
          </cell>
          <cell r="D6714" t="str">
            <v>主线副本宝箱奖励271</v>
          </cell>
          <cell r="E6714" t="str">
            <v>1|14003|1|1,1|10018|5|1,1|14315|1|1</v>
          </cell>
        </row>
        <row r="6715">
          <cell r="A6715">
            <v>95272</v>
          </cell>
          <cell r="B6715">
            <v>0</v>
          </cell>
          <cell r="C6715" t="str">
            <v>1|14003|1,1|10031|5,1|14315|1</v>
          </cell>
          <cell r="D6715" t="str">
            <v>主线副本宝箱奖励272</v>
          </cell>
          <cell r="E6715" t="str">
            <v>1|14003|1|1,1|10031|5|1,1|14315|1|1</v>
          </cell>
        </row>
        <row r="6716">
          <cell r="A6716">
            <v>95273</v>
          </cell>
          <cell r="B6716">
            <v>0</v>
          </cell>
          <cell r="C6716" t="str">
            <v>1|14003|1,1|10015|5,1|14315|2</v>
          </cell>
          <cell r="D6716" t="str">
            <v>主线副本宝箱奖励273</v>
          </cell>
          <cell r="E6716" t="str">
            <v>1|14003|1|1,1|10015|5|1,1|14315|2|1</v>
          </cell>
        </row>
        <row r="6717">
          <cell r="A6717">
            <v>95274</v>
          </cell>
          <cell r="B6717">
            <v>0</v>
          </cell>
          <cell r="C6717" t="str">
            <v>1|14003|1,1|10036|5,1|14315|1</v>
          </cell>
          <cell r="D6717" t="str">
            <v>主线副本宝箱奖励274</v>
          </cell>
          <cell r="E6717" t="str">
            <v>1|14003|1|1,1|10036|5|1,1|14315|1|1</v>
          </cell>
        </row>
        <row r="6718">
          <cell r="A6718">
            <v>95275</v>
          </cell>
          <cell r="B6718">
            <v>0</v>
          </cell>
          <cell r="C6718" t="str">
            <v>1|14003|1,1|10037|5,1|14315|1</v>
          </cell>
          <cell r="D6718" t="str">
            <v>主线副本宝箱奖励275</v>
          </cell>
          <cell r="E6718" t="str">
            <v>1|14003|1|1,1|10037|5|1,1|14315|1|1</v>
          </cell>
        </row>
        <row r="6719">
          <cell r="A6719">
            <v>95276</v>
          </cell>
          <cell r="B6719">
            <v>0</v>
          </cell>
          <cell r="C6719" t="str">
            <v>1|14003|1,1|10003|5,1|14315|2</v>
          </cell>
          <cell r="D6719" t="str">
            <v>主线副本宝箱奖励276</v>
          </cell>
          <cell r="E6719" t="str">
            <v>1|14003|1|1,1|10003|5|1,1|14315|2|1</v>
          </cell>
        </row>
        <row r="6720">
          <cell r="A6720">
            <v>95277</v>
          </cell>
          <cell r="B6720">
            <v>0</v>
          </cell>
          <cell r="C6720" t="str">
            <v>1|14003|1,1|10041|5,1|14315|1</v>
          </cell>
          <cell r="D6720" t="str">
            <v>主线副本宝箱奖励277</v>
          </cell>
          <cell r="E6720" t="str">
            <v>1|14003|1|1,1|10041|5|1,1|14315|1|1</v>
          </cell>
        </row>
        <row r="6721">
          <cell r="A6721">
            <v>95278</v>
          </cell>
          <cell r="B6721">
            <v>0</v>
          </cell>
          <cell r="C6721" t="str">
            <v>1|14003|1,1|10116|5,1|14315|1</v>
          </cell>
          <cell r="D6721" t="str">
            <v>主线副本宝箱奖励278</v>
          </cell>
          <cell r="E6721" t="str">
            <v>1|14003|1|1,1|10116|5|1,1|14315|1|1</v>
          </cell>
        </row>
        <row r="6722">
          <cell r="A6722">
            <v>95279</v>
          </cell>
          <cell r="B6722">
            <v>0</v>
          </cell>
          <cell r="C6722" t="str">
            <v>1|14003|1,1|10020|5,1|14315|2</v>
          </cell>
          <cell r="D6722" t="str">
            <v>主线副本宝箱奖励279</v>
          </cell>
          <cell r="E6722" t="str">
            <v>1|14003|1|1,1|10020|5|1,1|14315|2|1</v>
          </cell>
        </row>
        <row r="6723">
          <cell r="A6723">
            <v>95280</v>
          </cell>
          <cell r="B6723">
            <v>0</v>
          </cell>
          <cell r="C6723" t="str">
            <v>1|14003|1,1|10038|5,1|14315|1</v>
          </cell>
          <cell r="D6723" t="str">
            <v>主线副本宝箱奖励280</v>
          </cell>
          <cell r="E6723" t="str">
            <v>1|14003|1|1,1|10038|5|1,1|14315|1|1</v>
          </cell>
        </row>
        <row r="6724">
          <cell r="A6724">
            <v>95281</v>
          </cell>
          <cell r="B6724">
            <v>0</v>
          </cell>
          <cell r="C6724" t="str">
            <v>1|14003|1,1|10006|5,1|14315|1</v>
          </cell>
          <cell r="D6724" t="str">
            <v>主线副本宝箱奖励281</v>
          </cell>
          <cell r="E6724" t="str">
            <v>1|14003|1|1,1|10006|5|1,1|14315|1|1</v>
          </cell>
        </row>
        <row r="6725">
          <cell r="A6725">
            <v>95282</v>
          </cell>
          <cell r="B6725">
            <v>0</v>
          </cell>
          <cell r="C6725" t="str">
            <v>1|14003|1,1|10112|5,1|14315|2</v>
          </cell>
          <cell r="D6725" t="str">
            <v>主线副本宝箱奖励282</v>
          </cell>
          <cell r="E6725" t="str">
            <v>1|14003|1|1,1|10112|5|1,1|14315|2|1</v>
          </cell>
        </row>
        <row r="6726">
          <cell r="A6726">
            <v>95283</v>
          </cell>
          <cell r="B6726">
            <v>0</v>
          </cell>
          <cell r="C6726" t="str">
            <v>1|14003|1,1|10126|5,1|14315|1</v>
          </cell>
          <cell r="D6726" t="str">
            <v>主线副本宝箱奖励283</v>
          </cell>
          <cell r="E6726" t="str">
            <v>1|14003|1|1,1|10126|5|1,1|14315|1|1</v>
          </cell>
        </row>
        <row r="6727">
          <cell r="A6727">
            <v>95284</v>
          </cell>
          <cell r="B6727">
            <v>0</v>
          </cell>
          <cell r="C6727" t="str">
            <v>1|14003|1,1|10108|5,1|14315|1</v>
          </cell>
          <cell r="D6727" t="str">
            <v>主线副本宝箱奖励284</v>
          </cell>
          <cell r="E6727" t="str">
            <v>1|14003|1|1,1|10108|5|1,1|14315|1|1</v>
          </cell>
        </row>
        <row r="6728">
          <cell r="A6728">
            <v>95285</v>
          </cell>
          <cell r="B6728">
            <v>0</v>
          </cell>
          <cell r="C6728" t="str">
            <v>1|14003|1,1|10008|5,1|14315|2</v>
          </cell>
          <cell r="D6728" t="str">
            <v>主线副本宝箱奖励285</v>
          </cell>
          <cell r="E6728" t="str">
            <v>1|14003|1|1,1|10008|5|1,1|14315|2|1</v>
          </cell>
        </row>
        <row r="6729">
          <cell r="A6729">
            <v>95286</v>
          </cell>
          <cell r="B6729">
            <v>0</v>
          </cell>
          <cell r="C6729" t="str">
            <v>1|14003|1,1|10092|5,1|14315|1</v>
          </cell>
          <cell r="D6729" t="str">
            <v>主线副本宝箱奖励286</v>
          </cell>
          <cell r="E6729" t="str">
            <v>1|14003|1|1,1|10092|5|1,1|14315|1|1</v>
          </cell>
        </row>
        <row r="6730">
          <cell r="A6730">
            <v>95287</v>
          </cell>
          <cell r="B6730">
            <v>0</v>
          </cell>
          <cell r="C6730" t="str">
            <v>1|14003|1,1|10022|5,1|14315|1</v>
          </cell>
          <cell r="D6730" t="str">
            <v>主线副本宝箱奖励287</v>
          </cell>
          <cell r="E6730" t="str">
            <v>1|14003|1|1,1|10022|5|1,1|14315|1|1</v>
          </cell>
        </row>
        <row r="6731">
          <cell r="A6731">
            <v>95288</v>
          </cell>
          <cell r="B6731">
            <v>0</v>
          </cell>
          <cell r="C6731" t="str">
            <v>1|14003|1,1|10113|5,1|14315|2</v>
          </cell>
          <cell r="D6731" t="str">
            <v>主线副本宝箱奖励288</v>
          </cell>
          <cell r="E6731" t="str">
            <v>1|14003|1|1,1|10113|5|1,1|14315|2|1</v>
          </cell>
        </row>
        <row r="6732">
          <cell r="A6732">
            <v>95289</v>
          </cell>
          <cell r="B6732">
            <v>0</v>
          </cell>
          <cell r="C6732" t="str">
            <v>1|14003|1,1|10052|5,1|14315|1</v>
          </cell>
          <cell r="D6732" t="str">
            <v>主线副本宝箱奖励289</v>
          </cell>
          <cell r="E6732" t="str">
            <v>1|14003|1|1,1|10052|5|1,1|14315|1|1</v>
          </cell>
        </row>
        <row r="6733">
          <cell r="A6733">
            <v>95290</v>
          </cell>
          <cell r="B6733">
            <v>0</v>
          </cell>
          <cell r="C6733" t="str">
            <v>1|14003|1,1|10107|5,1|14315|1</v>
          </cell>
          <cell r="D6733" t="str">
            <v>主线副本宝箱奖励290</v>
          </cell>
          <cell r="E6733" t="str">
            <v>1|14003|1|1,1|10107|5|1,1|14315|1|1</v>
          </cell>
        </row>
        <row r="6734">
          <cell r="A6734">
            <v>95291</v>
          </cell>
          <cell r="B6734">
            <v>0</v>
          </cell>
          <cell r="C6734" t="str">
            <v>1|14003|1,1|10012|5,1|14315|2</v>
          </cell>
          <cell r="D6734" t="str">
            <v>主线副本宝箱奖励291</v>
          </cell>
          <cell r="E6734" t="str">
            <v>1|14003|1|1,1|10012|5|1,1|14315|2|1</v>
          </cell>
        </row>
        <row r="6735">
          <cell r="A6735">
            <v>95292</v>
          </cell>
          <cell r="B6735">
            <v>0</v>
          </cell>
          <cell r="C6735" t="str">
            <v>1|14003|1,1|10404|5,1|14315|1</v>
          </cell>
          <cell r="D6735" t="str">
            <v>主线副本宝箱奖励292</v>
          </cell>
          <cell r="E6735" t="str">
            <v>1|14003|1|1,1|10404|5|1,1|14315|1|1</v>
          </cell>
        </row>
        <row r="6736">
          <cell r="A6736">
            <v>95293</v>
          </cell>
          <cell r="B6736">
            <v>0</v>
          </cell>
          <cell r="C6736" t="str">
            <v>1|14003|1,1|10026|5,1|14315|1</v>
          </cell>
          <cell r="D6736" t="str">
            <v>主线副本宝箱奖励293</v>
          </cell>
          <cell r="E6736" t="str">
            <v>1|14003|1|1,1|10026|5|1,1|14315|1|1</v>
          </cell>
        </row>
        <row r="6737">
          <cell r="A6737">
            <v>95294</v>
          </cell>
          <cell r="B6737">
            <v>0</v>
          </cell>
          <cell r="C6737" t="str">
            <v>1|14003|1,1|10114|5,1|14315|2</v>
          </cell>
          <cell r="D6737" t="str">
            <v>主线副本宝箱奖励294</v>
          </cell>
          <cell r="E6737" t="str">
            <v>1|14003|1|1,1|10114|5|1,1|14315|2|1</v>
          </cell>
        </row>
        <row r="6738">
          <cell r="A6738">
            <v>95295</v>
          </cell>
          <cell r="B6738">
            <v>0</v>
          </cell>
          <cell r="C6738" t="str">
            <v>1|14003|1,1|10039|5,1|14315|1</v>
          </cell>
          <cell r="D6738" t="str">
            <v>主线副本宝箱奖励295</v>
          </cell>
          <cell r="E6738" t="str">
            <v>1|14003|1|1,1|10039|5|1,1|14315|1|1</v>
          </cell>
        </row>
        <row r="6739">
          <cell r="A6739">
            <v>95296</v>
          </cell>
          <cell r="B6739">
            <v>0</v>
          </cell>
          <cell r="C6739" t="str">
            <v>1|14003|1,1|10007|5,1|14315|1</v>
          </cell>
          <cell r="D6739" t="str">
            <v>主线副本宝箱奖励296</v>
          </cell>
          <cell r="E6739" t="str">
            <v>1|14003|1|1,1|10007|5|1,1|14315|1|1</v>
          </cell>
        </row>
        <row r="6740">
          <cell r="A6740">
            <v>95297</v>
          </cell>
          <cell r="B6740">
            <v>0</v>
          </cell>
          <cell r="C6740" t="str">
            <v>1|14003|1,1|10002|5,1|14315|2</v>
          </cell>
          <cell r="D6740" t="str">
            <v>主线副本宝箱奖励297</v>
          </cell>
          <cell r="E6740" t="str">
            <v>1|14003|1|1,1|10002|5|1,1|14315|2|1</v>
          </cell>
        </row>
        <row r="6741">
          <cell r="A6741">
            <v>95298</v>
          </cell>
          <cell r="B6741">
            <v>0</v>
          </cell>
          <cell r="C6741" t="str">
            <v>1|14003|1,1|10040|5,1|14315|1</v>
          </cell>
          <cell r="D6741" t="str">
            <v>主线副本宝箱奖励298</v>
          </cell>
          <cell r="E6741" t="str">
            <v>1|14003|1|1,1|10040|5|1,1|14315|1|1</v>
          </cell>
        </row>
        <row r="6742">
          <cell r="A6742">
            <v>95299</v>
          </cell>
          <cell r="B6742">
            <v>0</v>
          </cell>
          <cell r="C6742" t="str">
            <v>1|14003|1,1|10025|5,1|14315|1</v>
          </cell>
          <cell r="D6742" t="str">
            <v>主线副本宝箱奖励299</v>
          </cell>
          <cell r="E6742" t="str">
            <v>1|14003|1|1,1|10025|5|1,1|14315|1|1</v>
          </cell>
        </row>
        <row r="6743">
          <cell r="A6743">
            <v>95300</v>
          </cell>
          <cell r="B6743">
            <v>0</v>
          </cell>
          <cell r="C6743" t="str">
            <v>1|14003|1,1|10013|5,1|14315|2</v>
          </cell>
          <cell r="D6743" t="str">
            <v>主线副本宝箱奖励300</v>
          </cell>
          <cell r="E6743" t="str">
            <v>1|14003|1|1,1|10013|5|1,1|14315|2|1</v>
          </cell>
        </row>
        <row r="6744">
          <cell r="A6744">
            <v>95301</v>
          </cell>
          <cell r="B6744">
            <v>0</v>
          </cell>
          <cell r="C6744" t="str">
            <v>1|14003|1,1|10007|5,1|14315|1</v>
          </cell>
          <cell r="D6744" t="str">
            <v>主线副本宝箱奖励301</v>
          </cell>
          <cell r="E6744" t="str">
            <v>1|14003|1|1,1|10007|5|1,1|14315|1|1</v>
          </cell>
        </row>
        <row r="6745">
          <cell r="A6745">
            <v>95302</v>
          </cell>
          <cell r="B6745">
            <v>0</v>
          </cell>
          <cell r="C6745" t="str">
            <v>1|14003|1,1|10009|5,1|14315|1</v>
          </cell>
          <cell r="D6745" t="str">
            <v>主线副本宝箱奖励302</v>
          </cell>
          <cell r="E6745" t="str">
            <v>1|14003|1|1,1|10009|5|1,1|14315|1|1</v>
          </cell>
        </row>
        <row r="6746">
          <cell r="A6746">
            <v>95303</v>
          </cell>
          <cell r="B6746">
            <v>0</v>
          </cell>
          <cell r="C6746" t="str">
            <v>1|14003|1,1|10027|5,1|14315|2</v>
          </cell>
          <cell r="D6746" t="str">
            <v>主线副本宝箱奖励303</v>
          </cell>
          <cell r="E6746" t="str">
            <v>1|14003|1|1,1|10027|5|1,1|14315|2|1</v>
          </cell>
        </row>
        <row r="6747">
          <cell r="A6747">
            <v>95304</v>
          </cell>
          <cell r="B6747">
            <v>0</v>
          </cell>
          <cell r="C6747" t="str">
            <v>1|14003|1,1|10034|5,1|14315|1</v>
          </cell>
          <cell r="D6747" t="str">
            <v>主线副本宝箱奖励304</v>
          </cell>
          <cell r="E6747" t="str">
            <v>1|14003|1|1,1|10034|5|1,1|14315|1|1</v>
          </cell>
        </row>
        <row r="6748">
          <cell r="A6748">
            <v>95305</v>
          </cell>
          <cell r="B6748">
            <v>0</v>
          </cell>
          <cell r="C6748" t="str">
            <v>1|14003|1,1|10016|5,1|14315|1</v>
          </cell>
          <cell r="D6748" t="str">
            <v>主线副本宝箱奖励305</v>
          </cell>
          <cell r="E6748" t="str">
            <v>1|14003|1|1,1|10016|5|1,1|14315|1|1</v>
          </cell>
        </row>
        <row r="6749">
          <cell r="A6749">
            <v>95306</v>
          </cell>
          <cell r="B6749">
            <v>0</v>
          </cell>
          <cell r="C6749" t="str">
            <v>1|14003|1,1|10119|5,1|14315|2</v>
          </cell>
          <cell r="D6749" t="str">
            <v>主线副本宝箱奖励306</v>
          </cell>
          <cell r="E6749" t="str">
            <v>1|14003|1|1,1|10119|5|1,1|14315|2|1</v>
          </cell>
        </row>
        <row r="6750">
          <cell r="A6750">
            <v>95307</v>
          </cell>
          <cell r="B6750">
            <v>0</v>
          </cell>
          <cell r="C6750" t="str">
            <v>1|14003|1,1|10106|5,1|14315|1</v>
          </cell>
          <cell r="D6750" t="str">
            <v>主线副本宝箱奖励307</v>
          </cell>
          <cell r="E6750" t="str">
            <v>1|14003|1|1,1|10106|5|1,1|14315|1|1</v>
          </cell>
        </row>
        <row r="6751">
          <cell r="A6751">
            <v>95308</v>
          </cell>
          <cell r="B6751">
            <v>0</v>
          </cell>
          <cell r="C6751" t="str">
            <v>1|14003|1,1|10014|5,1|14315|1</v>
          </cell>
          <cell r="D6751" t="str">
            <v>主线副本宝箱奖励308</v>
          </cell>
          <cell r="E6751" t="str">
            <v>1|14003|1|1,1|10014|5|1,1|14315|1|1</v>
          </cell>
        </row>
        <row r="6752">
          <cell r="A6752">
            <v>95309</v>
          </cell>
          <cell r="B6752">
            <v>0</v>
          </cell>
          <cell r="C6752" t="str">
            <v>1|14003|1,1|10118|5,1|14315|2</v>
          </cell>
          <cell r="D6752" t="str">
            <v>主线副本宝箱奖励309</v>
          </cell>
          <cell r="E6752" t="str">
            <v>1|14003|1|1,1|10118|5|1,1|14315|2|1</v>
          </cell>
        </row>
        <row r="6753">
          <cell r="A6753">
            <v>95310</v>
          </cell>
          <cell r="B6753">
            <v>0</v>
          </cell>
          <cell r="C6753" t="str">
            <v>1|14003|1,1|10030|5,1|14315|1</v>
          </cell>
          <cell r="D6753" t="str">
            <v>主线副本宝箱奖励310</v>
          </cell>
          <cell r="E6753" t="str">
            <v>1|14003|1|1,1|10030|5|1,1|14315|1|1</v>
          </cell>
        </row>
        <row r="6754">
          <cell r="A6754">
            <v>95311</v>
          </cell>
          <cell r="B6754">
            <v>0</v>
          </cell>
          <cell r="C6754" t="str">
            <v>1|14003|1,1|10010|5,1|14315|1</v>
          </cell>
          <cell r="D6754" t="str">
            <v>主线副本宝箱奖励311</v>
          </cell>
          <cell r="E6754" t="str">
            <v>1|14003|1|1,1|10010|5|1,1|14315|1|1</v>
          </cell>
        </row>
        <row r="6755">
          <cell r="A6755">
            <v>95312</v>
          </cell>
          <cell r="B6755">
            <v>0</v>
          </cell>
          <cell r="C6755" t="str">
            <v>1|14003|1,1|10115|5,1|14315|2</v>
          </cell>
          <cell r="D6755" t="str">
            <v>主线副本宝箱奖励312</v>
          </cell>
          <cell r="E6755" t="str">
            <v>1|14003|1|1,1|10115|5|1,1|14315|2|1</v>
          </cell>
        </row>
        <row r="6756">
          <cell r="A6756">
            <v>95313</v>
          </cell>
          <cell r="B6756">
            <v>0</v>
          </cell>
          <cell r="C6756" t="str">
            <v>1|14003|1,1|10103|5,1|14315|1</v>
          </cell>
          <cell r="D6756" t="str">
            <v>主线副本宝箱奖励313</v>
          </cell>
          <cell r="E6756" t="str">
            <v>1|14003|1|1,1|10103|5|1,1|14315|1|1</v>
          </cell>
        </row>
        <row r="6757">
          <cell r="A6757">
            <v>95314</v>
          </cell>
          <cell r="B6757">
            <v>0</v>
          </cell>
          <cell r="C6757" t="str">
            <v>1|14003|1,1|10004|5,1|14315|1</v>
          </cell>
          <cell r="D6757" t="str">
            <v>主线副本宝箱奖励314</v>
          </cell>
          <cell r="E6757" t="str">
            <v>1|14003|1|1,1|10004|5|1,1|14315|1|1</v>
          </cell>
        </row>
        <row r="6758">
          <cell r="A6758">
            <v>95315</v>
          </cell>
          <cell r="B6758">
            <v>0</v>
          </cell>
          <cell r="C6758" t="str">
            <v>1|14003|1,1|10011|5,1|14315|2</v>
          </cell>
          <cell r="D6758" t="str">
            <v>主线副本宝箱奖励315</v>
          </cell>
          <cell r="E6758" t="str">
            <v>1|14003|1|1,1|10011|5|1,1|14315|2|1</v>
          </cell>
        </row>
        <row r="6759">
          <cell r="A6759">
            <v>95316</v>
          </cell>
          <cell r="B6759">
            <v>0</v>
          </cell>
          <cell r="C6759" t="str">
            <v>1|14003|1,1|10105|5,1|14315|1</v>
          </cell>
          <cell r="D6759" t="str">
            <v>主线副本宝箱奖励316</v>
          </cell>
          <cell r="E6759" t="str">
            <v>1|14003|1|1,1|10105|5|1,1|14315|1|1</v>
          </cell>
        </row>
        <row r="6760">
          <cell r="A6760">
            <v>95317</v>
          </cell>
          <cell r="B6760">
            <v>0</v>
          </cell>
          <cell r="C6760" t="str">
            <v>1|14003|1,1|10035|5,1|14315|1</v>
          </cell>
          <cell r="D6760" t="str">
            <v>主线副本宝箱奖励317</v>
          </cell>
          <cell r="E6760" t="str">
            <v>1|14003|1|1,1|10035|5|1,1|14315|1|1</v>
          </cell>
        </row>
        <row r="6761">
          <cell r="A6761">
            <v>95318</v>
          </cell>
          <cell r="B6761">
            <v>0</v>
          </cell>
          <cell r="C6761" t="str">
            <v>1|14003|1,1|10015|5,1|14315|2</v>
          </cell>
          <cell r="D6761" t="str">
            <v>主线副本宝箱奖励318</v>
          </cell>
          <cell r="E6761" t="str">
            <v>1|14003|1|1,1|10015|5|1,1|14315|2|1</v>
          </cell>
        </row>
        <row r="6762">
          <cell r="A6762">
            <v>95319</v>
          </cell>
          <cell r="B6762">
            <v>0</v>
          </cell>
          <cell r="C6762" t="str">
            <v>1|14003|1,1|10033|5,1|14315|1</v>
          </cell>
          <cell r="D6762" t="str">
            <v>主线副本宝箱奖励319</v>
          </cell>
          <cell r="E6762" t="str">
            <v>1|14003|1|1,1|10033|5|1,1|14315|1|1</v>
          </cell>
        </row>
        <row r="6763">
          <cell r="A6763">
            <v>95320</v>
          </cell>
          <cell r="B6763">
            <v>0</v>
          </cell>
          <cell r="C6763" t="str">
            <v>1|14003|1,1|10032|5,1|14315|1</v>
          </cell>
          <cell r="D6763" t="str">
            <v>主线副本宝箱奖励320</v>
          </cell>
          <cell r="E6763" t="str">
            <v>1|14003|1|1,1|10032|5|1,1|14315|1|1</v>
          </cell>
        </row>
        <row r="6764">
          <cell r="A6764">
            <v>95321</v>
          </cell>
          <cell r="B6764">
            <v>0</v>
          </cell>
          <cell r="C6764" t="str">
            <v>1|14003|1,1|10003|5,1|14315|2</v>
          </cell>
          <cell r="D6764" t="str">
            <v>主线副本宝箱奖励321</v>
          </cell>
          <cell r="E6764" t="str">
            <v>1|14003|1|1,1|10003|5|1,1|14315|2|1</v>
          </cell>
        </row>
        <row r="6765">
          <cell r="A6765">
            <v>95322</v>
          </cell>
          <cell r="B6765">
            <v>0</v>
          </cell>
          <cell r="C6765" t="str">
            <v>1|14003|1,1|10104|5,1|14315|1</v>
          </cell>
          <cell r="D6765" t="str">
            <v>主线副本宝箱奖励322</v>
          </cell>
          <cell r="E6765" t="str">
            <v>1|14003|1|1,1|10104|5|1,1|14315|1|1</v>
          </cell>
        </row>
        <row r="6766">
          <cell r="A6766">
            <v>95323</v>
          </cell>
          <cell r="B6766">
            <v>0</v>
          </cell>
          <cell r="C6766" t="str">
            <v>1|14003|1,1|10102|5,1|14315|1</v>
          </cell>
          <cell r="D6766" t="str">
            <v>主线副本宝箱奖励323</v>
          </cell>
          <cell r="E6766" t="str">
            <v>1|14003|1|1,1|10102|5|1,1|14315|1|1</v>
          </cell>
        </row>
        <row r="6767">
          <cell r="A6767">
            <v>95324</v>
          </cell>
          <cell r="B6767">
            <v>0</v>
          </cell>
          <cell r="C6767" t="str">
            <v>1|14003|1,1|10020|5,1|14315|2</v>
          </cell>
          <cell r="D6767" t="str">
            <v>主线副本宝箱奖励324</v>
          </cell>
          <cell r="E6767" t="str">
            <v>1|14003|1|1,1|10020|5|1,1|14315|2|1</v>
          </cell>
        </row>
        <row r="6768">
          <cell r="A6768">
            <v>95325</v>
          </cell>
          <cell r="B6768">
            <v>0</v>
          </cell>
          <cell r="C6768" t="str">
            <v>1|14003|1,1|10028|5,1|14315|1</v>
          </cell>
          <cell r="D6768" t="str">
            <v>主线副本宝箱奖励325</v>
          </cell>
          <cell r="E6768" t="str">
            <v>1|14003|1|1,1|10028|5|1,1|14315|1|1</v>
          </cell>
        </row>
        <row r="6769">
          <cell r="A6769">
            <v>95326</v>
          </cell>
          <cell r="B6769">
            <v>0</v>
          </cell>
          <cell r="C6769" t="str">
            <v>1|14003|1,1|10023|5,1|14315|1</v>
          </cell>
          <cell r="D6769" t="str">
            <v>主线副本宝箱奖励326</v>
          </cell>
          <cell r="E6769" t="str">
            <v>1|14003|1|1,1|10023|5|1,1|14315|1|1</v>
          </cell>
        </row>
        <row r="6770">
          <cell r="A6770">
            <v>95327</v>
          </cell>
          <cell r="B6770">
            <v>0</v>
          </cell>
          <cell r="C6770" t="str">
            <v>1|14003|1,1|10112|5,1|14315|2</v>
          </cell>
          <cell r="D6770" t="str">
            <v>主线副本宝箱奖励327</v>
          </cell>
          <cell r="E6770" t="str">
            <v>1|14003|1|1,1|10112|5|1,1|14315|2|1</v>
          </cell>
        </row>
        <row r="6771">
          <cell r="A6771">
            <v>95328</v>
          </cell>
          <cell r="B6771">
            <v>0</v>
          </cell>
          <cell r="C6771" t="str">
            <v>1|14003|1,1|10018|5,1|14315|1</v>
          </cell>
          <cell r="D6771" t="str">
            <v>主线副本宝箱奖励328</v>
          </cell>
          <cell r="E6771" t="str">
            <v>1|14003|1|1,1|10018|5|1,1|14315|1|1</v>
          </cell>
        </row>
        <row r="6772">
          <cell r="A6772">
            <v>95329</v>
          </cell>
          <cell r="B6772">
            <v>0</v>
          </cell>
          <cell r="C6772" t="str">
            <v>1|14003|1,1|10017|5,1|14315|1</v>
          </cell>
          <cell r="D6772" t="str">
            <v>主线副本宝箱奖励329</v>
          </cell>
          <cell r="E6772" t="str">
            <v>1|14003|1|1,1|10017|5|1,1|14315|1|1</v>
          </cell>
        </row>
        <row r="6773">
          <cell r="A6773">
            <v>95330</v>
          </cell>
          <cell r="B6773">
            <v>0</v>
          </cell>
          <cell r="C6773" t="str">
            <v>1|14003|1,1|10008|5,1|14315|2</v>
          </cell>
          <cell r="D6773" t="str">
            <v>主线副本宝箱奖励330</v>
          </cell>
          <cell r="E6773" t="str">
            <v>1|14003|1|1,1|10008|5|1,1|14315|2|1</v>
          </cell>
        </row>
        <row r="6774">
          <cell r="A6774">
            <v>95331</v>
          </cell>
          <cell r="B6774">
            <v>0</v>
          </cell>
          <cell r="C6774" t="str">
            <v>1|14003|1,1|10036|5,1|14315|1</v>
          </cell>
          <cell r="D6774" t="str">
            <v>主线副本宝箱奖励331</v>
          </cell>
          <cell r="E6774" t="str">
            <v>1|14003|1|1,1|10036|5|1,1|14315|1|1</v>
          </cell>
        </row>
        <row r="6775">
          <cell r="A6775">
            <v>95332</v>
          </cell>
          <cell r="B6775">
            <v>0</v>
          </cell>
          <cell r="C6775" t="str">
            <v>1|14003|1,1|10101|5,1|14315|1</v>
          </cell>
          <cell r="D6775" t="str">
            <v>主线副本宝箱奖励332</v>
          </cell>
          <cell r="E6775" t="str">
            <v>1|14003|1|1,1|10101|5|1,1|14315|1|1</v>
          </cell>
        </row>
        <row r="6776">
          <cell r="A6776">
            <v>95333</v>
          </cell>
          <cell r="B6776">
            <v>0</v>
          </cell>
          <cell r="C6776" t="str">
            <v>1|14003|1,1|10113|5,1|14315|2</v>
          </cell>
          <cell r="D6776" t="str">
            <v>主线副本宝箱奖励333</v>
          </cell>
          <cell r="E6776" t="str">
            <v>1|14003|1|1,1|10113|5|1,1|14315|2|1</v>
          </cell>
        </row>
        <row r="6777">
          <cell r="A6777">
            <v>95334</v>
          </cell>
          <cell r="B6777">
            <v>0</v>
          </cell>
          <cell r="C6777" t="str">
            <v>1|14003|1,1|10041|5,1|14315|1</v>
          </cell>
          <cell r="D6777" t="str">
            <v>主线副本宝箱奖励334</v>
          </cell>
          <cell r="E6777" t="str">
            <v>1|14003|1|1,1|10041|5|1,1|14315|1|1</v>
          </cell>
        </row>
        <row r="6778">
          <cell r="A6778">
            <v>95335</v>
          </cell>
          <cell r="B6778">
            <v>0</v>
          </cell>
          <cell r="C6778" t="str">
            <v>1|14003|1,1|10031|5,1|14315|1</v>
          </cell>
          <cell r="D6778" t="str">
            <v>主线副本宝箱奖励335</v>
          </cell>
          <cell r="E6778" t="str">
            <v>1|14003|1|1,1|10031|5|1,1|14315|1|1</v>
          </cell>
        </row>
        <row r="6779">
          <cell r="A6779">
            <v>95336</v>
          </cell>
          <cell r="B6779">
            <v>0</v>
          </cell>
          <cell r="C6779" t="str">
            <v>1|14003|1,1|10012|5,1|14315|2</v>
          </cell>
          <cell r="D6779" t="str">
            <v>主线副本宝箱奖励336</v>
          </cell>
          <cell r="E6779" t="str">
            <v>1|14003|1|1,1|10012|5|1,1|14315|2|1</v>
          </cell>
        </row>
        <row r="6780">
          <cell r="A6780">
            <v>95337</v>
          </cell>
          <cell r="B6780">
            <v>0</v>
          </cell>
          <cell r="C6780" t="str">
            <v>1|14003|1,1|10038|5,1|14315|1</v>
          </cell>
          <cell r="D6780" t="str">
            <v>主线副本宝箱奖励337</v>
          </cell>
          <cell r="E6780" t="str">
            <v>1|14003|1|1,1|10038|5|1,1|14315|1|1</v>
          </cell>
        </row>
        <row r="6781">
          <cell r="A6781">
            <v>95338</v>
          </cell>
          <cell r="B6781">
            <v>0</v>
          </cell>
          <cell r="C6781" t="str">
            <v>1|14003|1,1|10037|5,1|14315|1</v>
          </cell>
          <cell r="D6781" t="str">
            <v>主线副本宝箱奖励338</v>
          </cell>
          <cell r="E6781" t="str">
            <v>1|14003|1|1,1|10037|5|1,1|14315|1|1</v>
          </cell>
        </row>
        <row r="6782">
          <cell r="A6782">
            <v>95339</v>
          </cell>
          <cell r="B6782">
            <v>0</v>
          </cell>
          <cell r="C6782" t="str">
            <v>1|14003|1,1|10114|5,1|14315|2</v>
          </cell>
          <cell r="D6782" t="str">
            <v>主线副本宝箱奖励339</v>
          </cell>
          <cell r="E6782" t="str">
            <v>1|14003|1|1,1|10114|5|1,1|14315|2|1</v>
          </cell>
        </row>
        <row r="6783">
          <cell r="A6783">
            <v>95340</v>
          </cell>
          <cell r="B6783">
            <v>0</v>
          </cell>
          <cell r="C6783" t="str">
            <v>1|14003|1,1|10126|5,1|14315|1</v>
          </cell>
          <cell r="D6783" t="str">
            <v>主线副本宝箱奖励340</v>
          </cell>
          <cell r="E6783" t="str">
            <v>1|14003|1|1,1|10126|5|1,1|14315|1|1</v>
          </cell>
        </row>
        <row r="6784">
          <cell r="A6784">
            <v>95341</v>
          </cell>
          <cell r="B6784">
            <v>0</v>
          </cell>
          <cell r="C6784" t="str">
            <v>1|14003|1,1|10116|5,1|14315|1</v>
          </cell>
          <cell r="D6784" t="str">
            <v>主线副本宝箱奖励341</v>
          </cell>
          <cell r="E6784" t="str">
            <v>1|14003|1|1,1|10116|5|1,1|14315|1|1</v>
          </cell>
        </row>
        <row r="6785">
          <cell r="A6785">
            <v>95342</v>
          </cell>
          <cell r="B6785">
            <v>0</v>
          </cell>
          <cell r="C6785" t="str">
            <v>1|14003|1,1|10002|5,1|14315|2</v>
          </cell>
          <cell r="D6785" t="str">
            <v>主线副本宝箱奖励342</v>
          </cell>
          <cell r="E6785" t="str">
            <v>1|14003|1|1,1|10002|5|1,1|14315|2|1</v>
          </cell>
        </row>
        <row r="6786">
          <cell r="A6786">
            <v>95343</v>
          </cell>
          <cell r="B6786">
            <v>0</v>
          </cell>
          <cell r="C6786" t="str">
            <v>1|14003|1,1|10092|5,1|14315|1</v>
          </cell>
          <cell r="D6786" t="str">
            <v>主线副本宝箱奖励343</v>
          </cell>
          <cell r="E6786" t="str">
            <v>1|14003|1|1,1|10092|5|1,1|14315|1|1</v>
          </cell>
        </row>
        <row r="6787">
          <cell r="A6787">
            <v>95344</v>
          </cell>
          <cell r="B6787">
            <v>0</v>
          </cell>
          <cell r="C6787" t="str">
            <v>1|14003|1,1|10006|5,1|14315|1</v>
          </cell>
          <cell r="D6787" t="str">
            <v>主线副本宝箱奖励344</v>
          </cell>
          <cell r="E6787" t="str">
            <v>1|14003|1|1,1|10006|5|1,1|14315|1|1</v>
          </cell>
        </row>
        <row r="6788">
          <cell r="A6788">
            <v>95345</v>
          </cell>
          <cell r="B6788">
            <v>0</v>
          </cell>
          <cell r="C6788" t="str">
            <v>1|14003|1,1|10013|5,1|14315|2</v>
          </cell>
          <cell r="D6788" t="str">
            <v>主线副本宝箱奖励345</v>
          </cell>
          <cell r="E6788" t="str">
            <v>1|14003|1|1,1|10013|5|1,1|14315|2|1</v>
          </cell>
        </row>
        <row r="6789">
          <cell r="A6789">
            <v>95346</v>
          </cell>
          <cell r="B6789">
            <v>0</v>
          </cell>
          <cell r="C6789" t="str">
            <v>1|14003|1,1|10052|5,1|14315|1</v>
          </cell>
          <cell r="D6789" t="str">
            <v>主线副本宝箱奖励346</v>
          </cell>
          <cell r="E6789" t="str">
            <v>1|14003|1|1,1|10052|5|1,1|14315|1|1</v>
          </cell>
        </row>
        <row r="6790">
          <cell r="A6790">
            <v>95347</v>
          </cell>
          <cell r="B6790">
            <v>0</v>
          </cell>
          <cell r="C6790" t="str">
            <v>1|14003|1,1|10108|5,1|14315|1</v>
          </cell>
          <cell r="D6790" t="str">
            <v>主线副本宝箱奖励347</v>
          </cell>
          <cell r="E6790" t="str">
            <v>1|14003|1|1,1|10108|5|1,1|14315|1|1</v>
          </cell>
        </row>
        <row r="6791">
          <cell r="A6791">
            <v>95348</v>
          </cell>
          <cell r="B6791">
            <v>0</v>
          </cell>
          <cell r="C6791" t="str">
            <v>1|14003|1,1|10027|5,1|14315|2</v>
          </cell>
          <cell r="D6791" t="str">
            <v>主线副本宝箱奖励348</v>
          </cell>
          <cell r="E6791" t="str">
            <v>1|14003|1|1,1|10027|5|1,1|14315|2|1</v>
          </cell>
        </row>
        <row r="6792">
          <cell r="A6792">
            <v>95349</v>
          </cell>
          <cell r="B6792">
            <v>0</v>
          </cell>
          <cell r="C6792" t="str">
            <v>1|14003|1,1|10404|5,1|14315|1</v>
          </cell>
          <cell r="D6792" t="str">
            <v>主线副本宝箱奖励349</v>
          </cell>
          <cell r="E6792" t="str">
            <v>1|14003|1|1,1|10404|5|1,1|14315|1|1</v>
          </cell>
        </row>
        <row r="6793">
          <cell r="A6793">
            <v>95350</v>
          </cell>
          <cell r="B6793">
            <v>0</v>
          </cell>
          <cell r="C6793" t="str">
            <v>1|14003|1,1|10022|5,1|14315|1</v>
          </cell>
          <cell r="D6793" t="str">
            <v>主线副本宝箱奖励350</v>
          </cell>
          <cell r="E6793" t="str">
            <v>1|14003|1|1,1|10022|5|1,1|14315|1|1</v>
          </cell>
        </row>
        <row r="6794">
          <cell r="A6794">
            <v>95351</v>
          </cell>
          <cell r="B6794">
            <v>0</v>
          </cell>
          <cell r="C6794" t="str">
            <v>1|14003|1,1|10119|5,1|14315|2</v>
          </cell>
          <cell r="D6794" t="str">
            <v>主线副本宝箱奖励351</v>
          </cell>
          <cell r="E6794" t="str">
            <v>1|14003|1|1,1|10119|5|1,1|14315|2|1</v>
          </cell>
        </row>
        <row r="6795">
          <cell r="A6795">
            <v>95352</v>
          </cell>
          <cell r="B6795">
            <v>0</v>
          </cell>
          <cell r="C6795" t="str">
            <v>1|14003|1,1|10039|5,1|14315|1</v>
          </cell>
          <cell r="D6795" t="str">
            <v>主线副本宝箱奖励352</v>
          </cell>
          <cell r="E6795" t="str">
            <v>1|14003|1|1,1|10039|5|1,1|14315|1|1</v>
          </cell>
        </row>
        <row r="6796">
          <cell r="A6796">
            <v>95353</v>
          </cell>
          <cell r="B6796">
            <v>0</v>
          </cell>
          <cell r="C6796" t="str">
            <v>1|14003|1,1|10107|5,1|14315|1</v>
          </cell>
          <cell r="D6796" t="str">
            <v>主线副本宝箱奖励353</v>
          </cell>
          <cell r="E6796" t="str">
            <v>1|14003|1|1,1|10107|5|1,1|14315|1|1</v>
          </cell>
        </row>
        <row r="6797">
          <cell r="A6797">
            <v>95354</v>
          </cell>
          <cell r="B6797">
            <v>0</v>
          </cell>
          <cell r="C6797" t="str">
            <v>1|14003|1,1|10118|5,1|14315|2</v>
          </cell>
          <cell r="D6797" t="str">
            <v>主线副本宝箱奖励354</v>
          </cell>
          <cell r="E6797" t="str">
            <v>1|14003|1|1,1|10118|5|1,1|14315|2|1</v>
          </cell>
        </row>
        <row r="6798">
          <cell r="A6798">
            <v>95355</v>
          </cell>
          <cell r="B6798">
            <v>0</v>
          </cell>
          <cell r="C6798" t="str">
            <v>1|14003|1,1|10040|5,1|14315|1</v>
          </cell>
          <cell r="D6798" t="str">
            <v>主线副本宝箱奖励355</v>
          </cell>
          <cell r="E6798" t="str">
            <v>1|14003|1|1,1|10040|5|1,1|14315|1|1</v>
          </cell>
        </row>
        <row r="6799">
          <cell r="A6799">
            <v>95356</v>
          </cell>
          <cell r="B6799">
            <v>0</v>
          </cell>
          <cell r="C6799" t="str">
            <v>1|14003|1,1|10026|5,1|14315|1</v>
          </cell>
          <cell r="D6799" t="str">
            <v>主线副本宝箱奖励356</v>
          </cell>
          <cell r="E6799" t="str">
            <v>1|14003|1|1,1|10026|5|1,1|14315|1|1</v>
          </cell>
        </row>
        <row r="6800">
          <cell r="A6800">
            <v>95357</v>
          </cell>
          <cell r="B6800">
            <v>0</v>
          </cell>
          <cell r="C6800" t="str">
            <v>1|14003|1,1|10115|5,1|14315|2</v>
          </cell>
          <cell r="D6800" t="str">
            <v>主线副本宝箱奖励357</v>
          </cell>
          <cell r="E6800" t="str">
            <v>1|14003|1|1,1|10115|5|1,1|14315|2|1</v>
          </cell>
        </row>
        <row r="6801">
          <cell r="A6801">
            <v>95358</v>
          </cell>
          <cell r="B6801">
            <v>0</v>
          </cell>
          <cell r="C6801" t="str">
            <v>1|14003|1,1|10007|5,1|14315|1</v>
          </cell>
          <cell r="D6801" t="str">
            <v>主线副本宝箱奖励358</v>
          </cell>
          <cell r="E6801" t="str">
            <v>1|14003|1|1,1|10007|5|1,1|14315|1|1</v>
          </cell>
        </row>
        <row r="6802">
          <cell r="A6802">
            <v>95359</v>
          </cell>
          <cell r="B6802">
            <v>0</v>
          </cell>
          <cell r="C6802" t="str">
            <v>1|14003|1,1|10007|5,1|14315|1</v>
          </cell>
          <cell r="D6802" t="str">
            <v>主线副本宝箱奖励359</v>
          </cell>
          <cell r="E6802" t="str">
            <v>1|14003|1|1,1|10007|5|1,1|14315|1|1</v>
          </cell>
        </row>
        <row r="6803">
          <cell r="A6803">
            <v>95360</v>
          </cell>
          <cell r="B6803">
            <v>0</v>
          </cell>
          <cell r="C6803" t="str">
            <v>1|14003|1,1|10011|5,1|14315|2</v>
          </cell>
          <cell r="D6803" t="str">
            <v>主线副本宝箱奖励360</v>
          </cell>
          <cell r="E6803" t="str">
            <v>1|14003|1|1,1|10011|5|1,1|14315|2|1</v>
          </cell>
        </row>
        <row r="6804">
          <cell r="A6804">
            <v>95361</v>
          </cell>
          <cell r="B6804">
            <v>0</v>
          </cell>
          <cell r="C6804" t="str">
            <v>1|14003|1,1|10034|5,1|14315|1</v>
          </cell>
          <cell r="D6804" t="str">
            <v>主线副本宝箱奖励361</v>
          </cell>
          <cell r="E6804" t="str">
            <v>1|14003|1|1,1|10034|5|1,1|14315|1|1</v>
          </cell>
        </row>
        <row r="6805">
          <cell r="A6805">
            <v>95362</v>
          </cell>
          <cell r="B6805">
            <v>0</v>
          </cell>
          <cell r="C6805" t="str">
            <v>1|14003|1,1|10025|5,1|14315|1</v>
          </cell>
          <cell r="D6805" t="str">
            <v>主线副本宝箱奖励362</v>
          </cell>
          <cell r="E6805" t="str">
            <v>1|14003|1|1,1|10025|5|1,1|14315|1|1</v>
          </cell>
        </row>
        <row r="6806">
          <cell r="A6806">
            <v>95363</v>
          </cell>
          <cell r="B6806">
            <v>0</v>
          </cell>
          <cell r="C6806" t="str">
            <v>1|14003|1,1|10015|5,1|14315|2</v>
          </cell>
          <cell r="D6806" t="str">
            <v>主线副本宝箱奖励363</v>
          </cell>
          <cell r="E6806" t="str">
            <v>1|14003|1|1,1|10015|5|1,1|14315|2|1</v>
          </cell>
        </row>
        <row r="6807">
          <cell r="A6807">
            <v>95364</v>
          </cell>
          <cell r="B6807">
            <v>0</v>
          </cell>
          <cell r="C6807" t="str">
            <v>1|14003|1,1|10106|5,1|14315|1</v>
          </cell>
          <cell r="D6807" t="str">
            <v>主线副本宝箱奖励364</v>
          </cell>
          <cell r="E6807" t="str">
            <v>1|14003|1|1,1|10106|5|1,1|14315|1|1</v>
          </cell>
        </row>
        <row r="6808">
          <cell r="A6808">
            <v>95365</v>
          </cell>
          <cell r="B6808">
            <v>0</v>
          </cell>
          <cell r="C6808" t="str">
            <v>1|14003|1,1|10009|5,1|14315|1</v>
          </cell>
          <cell r="D6808" t="str">
            <v>主线副本宝箱奖励365</v>
          </cell>
          <cell r="E6808" t="str">
            <v>1|14003|1|1,1|10009|5|1,1|14315|1|1</v>
          </cell>
        </row>
        <row r="6809">
          <cell r="A6809">
            <v>95366</v>
          </cell>
          <cell r="B6809">
            <v>0</v>
          </cell>
          <cell r="C6809" t="str">
            <v>1|14003|1,1|10003|5,1|14315|2</v>
          </cell>
          <cell r="D6809" t="str">
            <v>主线副本宝箱奖励366</v>
          </cell>
          <cell r="E6809" t="str">
            <v>1|14003|1|1,1|10003|5|1,1|14315|2|1</v>
          </cell>
        </row>
        <row r="6810">
          <cell r="A6810">
            <v>95367</v>
          </cell>
          <cell r="B6810">
            <v>0</v>
          </cell>
          <cell r="C6810" t="str">
            <v>1|14003|1,1|10030|5,1|14315|1</v>
          </cell>
          <cell r="D6810" t="str">
            <v>主线副本宝箱奖励367</v>
          </cell>
          <cell r="E6810" t="str">
            <v>1|14003|1|1,1|10030|5|1,1|14315|1|1</v>
          </cell>
        </row>
        <row r="6811">
          <cell r="A6811">
            <v>95368</v>
          </cell>
          <cell r="B6811">
            <v>0</v>
          </cell>
          <cell r="C6811" t="str">
            <v>1|14003|1,1|10016|5,1|14315|1</v>
          </cell>
          <cell r="D6811" t="str">
            <v>主线副本宝箱奖励368</v>
          </cell>
          <cell r="E6811" t="str">
            <v>1|14003|1|1,1|10016|5|1,1|14315|1|1</v>
          </cell>
        </row>
        <row r="6812">
          <cell r="A6812">
            <v>95369</v>
          </cell>
          <cell r="B6812">
            <v>0</v>
          </cell>
          <cell r="C6812" t="str">
            <v>1|14003|1,1|10020|5,1|14315|2</v>
          </cell>
          <cell r="D6812" t="str">
            <v>主线副本宝箱奖励369</v>
          </cell>
          <cell r="E6812" t="str">
            <v>1|14003|1|1,1|10020|5|1,1|14315|2|1</v>
          </cell>
        </row>
        <row r="6813">
          <cell r="A6813">
            <v>95370</v>
          </cell>
          <cell r="B6813">
            <v>0</v>
          </cell>
          <cell r="C6813" t="str">
            <v>1|14003|1,1|10103|5,1|14315|1</v>
          </cell>
          <cell r="D6813" t="str">
            <v>主线副本宝箱奖励370</v>
          </cell>
          <cell r="E6813" t="str">
            <v>1|14003|1|1,1|10103|5|1,1|14315|1|1</v>
          </cell>
        </row>
        <row r="6814">
          <cell r="A6814">
            <v>95371</v>
          </cell>
          <cell r="B6814">
            <v>0</v>
          </cell>
          <cell r="C6814" t="str">
            <v>1|14003|1,1|10014|5,1|14315|1</v>
          </cell>
          <cell r="D6814" t="str">
            <v>主线副本宝箱奖励371</v>
          </cell>
          <cell r="E6814" t="str">
            <v>1|14003|1|1,1|10014|5|1,1|14315|1|1</v>
          </cell>
        </row>
        <row r="6815">
          <cell r="A6815">
            <v>95372</v>
          </cell>
          <cell r="B6815">
            <v>0</v>
          </cell>
          <cell r="C6815" t="str">
            <v>1|14003|1,1|10112|5,1|14315|2</v>
          </cell>
          <cell r="D6815" t="str">
            <v>主线副本宝箱奖励372</v>
          </cell>
          <cell r="E6815" t="str">
            <v>1|14003|1|1,1|10112|5|1,1|14315|2|1</v>
          </cell>
        </row>
        <row r="6816">
          <cell r="A6816">
            <v>95373</v>
          </cell>
          <cell r="B6816">
            <v>0</v>
          </cell>
          <cell r="C6816" t="str">
            <v>1|14003|1,1|10105|5,1|14315|1</v>
          </cell>
          <cell r="D6816" t="str">
            <v>主线副本宝箱奖励373</v>
          </cell>
          <cell r="E6816" t="str">
            <v>1|14003|1|1,1|10105|5|1,1|14315|1|1</v>
          </cell>
        </row>
        <row r="6817">
          <cell r="A6817">
            <v>95374</v>
          </cell>
          <cell r="B6817">
            <v>0</v>
          </cell>
          <cell r="C6817" t="str">
            <v>1|14003|1,1|10010|5,1|14315|1</v>
          </cell>
          <cell r="D6817" t="str">
            <v>主线副本宝箱奖励374</v>
          </cell>
          <cell r="E6817" t="str">
            <v>1|14003|1|1,1|10010|5|1,1|14315|1|1</v>
          </cell>
        </row>
        <row r="6818">
          <cell r="A6818">
            <v>95375</v>
          </cell>
          <cell r="B6818">
            <v>0</v>
          </cell>
          <cell r="C6818" t="str">
            <v>1|14003|1,1|10008|5,1|14315|2</v>
          </cell>
          <cell r="D6818" t="str">
            <v>主线副本宝箱奖励375</v>
          </cell>
          <cell r="E6818" t="str">
            <v>1|14003|1|1,1|10008|5|1,1|14315|2|1</v>
          </cell>
        </row>
        <row r="6819">
          <cell r="A6819">
            <v>95376</v>
          </cell>
          <cell r="B6819">
            <v>0</v>
          </cell>
          <cell r="C6819" t="str">
            <v>1|14003|1,1|10033|5,1|14315|1</v>
          </cell>
          <cell r="D6819" t="str">
            <v>主线副本宝箱奖励376</v>
          </cell>
          <cell r="E6819" t="str">
            <v>1|14003|1|1,1|10033|5|1,1|14315|1|1</v>
          </cell>
        </row>
        <row r="6820">
          <cell r="A6820">
            <v>95377</v>
          </cell>
          <cell r="B6820">
            <v>0</v>
          </cell>
          <cell r="C6820" t="str">
            <v>1|14003|1,1|10004|5,1|14315|1</v>
          </cell>
          <cell r="D6820" t="str">
            <v>主线副本宝箱奖励377</v>
          </cell>
          <cell r="E6820" t="str">
            <v>1|14003|1|1,1|10004|5|1,1|14315|1|1</v>
          </cell>
        </row>
        <row r="6821">
          <cell r="A6821">
            <v>95378</v>
          </cell>
          <cell r="B6821">
            <v>0</v>
          </cell>
          <cell r="C6821" t="str">
            <v>1|14003|1,1|10113|5,1|14315|2</v>
          </cell>
          <cell r="D6821" t="str">
            <v>主线副本宝箱奖励378</v>
          </cell>
          <cell r="E6821" t="str">
            <v>1|14003|1|1,1|10113|5|1,1|14315|2|1</v>
          </cell>
        </row>
        <row r="6822">
          <cell r="A6822">
            <v>95379</v>
          </cell>
          <cell r="B6822">
            <v>0</v>
          </cell>
          <cell r="C6822" t="str">
            <v>1|14003|1,1|10104|5,1|14315|1</v>
          </cell>
          <cell r="D6822" t="str">
            <v>主线副本宝箱奖励379</v>
          </cell>
          <cell r="E6822" t="str">
            <v>1|14003|1|1,1|10104|5|1,1|14315|1|1</v>
          </cell>
        </row>
        <row r="6823">
          <cell r="A6823">
            <v>95380</v>
          </cell>
          <cell r="B6823">
            <v>0</v>
          </cell>
          <cell r="C6823" t="str">
            <v>1|14003|1,1|10035|5,1|14315|1</v>
          </cell>
          <cell r="D6823" t="str">
            <v>主线副本宝箱奖励380</v>
          </cell>
          <cell r="E6823" t="str">
            <v>1|14003|1|1,1|10035|5|1,1|14315|1|1</v>
          </cell>
        </row>
        <row r="6824">
          <cell r="A6824">
            <v>95381</v>
          </cell>
          <cell r="B6824">
            <v>0</v>
          </cell>
          <cell r="C6824" t="str">
            <v>1|14003|1,1|10012|5,1|14315|2</v>
          </cell>
          <cell r="D6824" t="str">
            <v>主线副本宝箱奖励381</v>
          </cell>
          <cell r="E6824" t="str">
            <v>1|14003|1|1,1|10012|5|1,1|14315|2|1</v>
          </cell>
        </row>
        <row r="6825">
          <cell r="A6825">
            <v>95382</v>
          </cell>
          <cell r="B6825">
            <v>0</v>
          </cell>
          <cell r="C6825" t="str">
            <v>1|14003|1,1|10028|5,1|14315|1</v>
          </cell>
          <cell r="D6825" t="str">
            <v>主线副本宝箱奖励382</v>
          </cell>
          <cell r="E6825" t="str">
            <v>1|14003|1|1,1|10028|5|1,1|14315|1|1</v>
          </cell>
        </row>
        <row r="6826">
          <cell r="A6826">
            <v>95383</v>
          </cell>
          <cell r="B6826">
            <v>0</v>
          </cell>
          <cell r="C6826" t="str">
            <v>1|14003|1,1|10032|5,1|14315|1</v>
          </cell>
          <cell r="D6826" t="str">
            <v>主线副本宝箱奖励383</v>
          </cell>
          <cell r="E6826" t="str">
            <v>1|14003|1|1,1|10032|5|1,1|14315|1|1</v>
          </cell>
        </row>
        <row r="6827">
          <cell r="A6827">
            <v>95384</v>
          </cell>
          <cell r="B6827">
            <v>0</v>
          </cell>
          <cell r="C6827" t="str">
            <v>1|14003|1,1|10114|5,1|14315|2</v>
          </cell>
          <cell r="D6827" t="str">
            <v>主线副本宝箱奖励384</v>
          </cell>
          <cell r="E6827" t="str">
            <v>1|14003|1|1,1|10114|5|1,1|14315|2|1</v>
          </cell>
        </row>
        <row r="6828">
          <cell r="A6828">
            <v>95385</v>
          </cell>
          <cell r="B6828">
            <v>0</v>
          </cell>
          <cell r="C6828" t="str">
            <v>1|14003|1,1|10018|5,1|14315|1</v>
          </cell>
          <cell r="D6828" t="str">
            <v>主线副本宝箱奖励385</v>
          </cell>
          <cell r="E6828" t="str">
            <v>1|14003|1|1,1|10018|5|1,1|14315|1|1</v>
          </cell>
        </row>
        <row r="6829">
          <cell r="A6829">
            <v>95386</v>
          </cell>
          <cell r="B6829">
            <v>0</v>
          </cell>
          <cell r="C6829" t="str">
            <v>1|14003|1,1|10102|5,1|14315|1</v>
          </cell>
          <cell r="D6829" t="str">
            <v>主线副本宝箱奖励386</v>
          </cell>
          <cell r="E6829" t="str">
            <v>1|14003|1|1,1|10102|5|1,1|14315|1|1</v>
          </cell>
        </row>
        <row r="6830">
          <cell r="A6830">
            <v>95387</v>
          </cell>
          <cell r="B6830">
            <v>0</v>
          </cell>
          <cell r="C6830" t="str">
            <v>1|14003|1,1|10002|5,1|14315|2</v>
          </cell>
          <cell r="D6830" t="str">
            <v>主线副本宝箱奖励387</v>
          </cell>
          <cell r="E6830" t="str">
            <v>1|14003|1|1,1|10002|5|1,1|14315|2|1</v>
          </cell>
        </row>
        <row r="6831">
          <cell r="A6831">
            <v>95388</v>
          </cell>
          <cell r="B6831">
            <v>0</v>
          </cell>
          <cell r="C6831" t="str">
            <v>1|14003|1,1|10036|5,1|14315|1</v>
          </cell>
          <cell r="D6831" t="str">
            <v>主线副本宝箱奖励388</v>
          </cell>
          <cell r="E6831" t="str">
            <v>1|14003|1|1,1|10036|5|1,1|14315|1|1</v>
          </cell>
        </row>
        <row r="6832">
          <cell r="A6832">
            <v>95389</v>
          </cell>
          <cell r="B6832">
            <v>0</v>
          </cell>
          <cell r="C6832" t="str">
            <v>1|14003|1,1|10023|5,1|14315|1</v>
          </cell>
          <cell r="D6832" t="str">
            <v>主线副本宝箱奖励389</v>
          </cell>
          <cell r="E6832" t="str">
            <v>1|14003|1|1,1|10023|5|1,1|14315|1|1</v>
          </cell>
        </row>
        <row r="6833">
          <cell r="A6833">
            <v>95390</v>
          </cell>
          <cell r="B6833">
            <v>0</v>
          </cell>
          <cell r="C6833" t="str">
            <v>1|14003|1,1|10013|5,1|14315|2</v>
          </cell>
          <cell r="D6833" t="str">
            <v>主线副本宝箱奖励390</v>
          </cell>
          <cell r="E6833" t="str">
            <v>1|14003|1|1,1|10013|5|1,1|14315|2|1</v>
          </cell>
        </row>
        <row r="6834">
          <cell r="A6834">
            <v>95391</v>
          </cell>
          <cell r="B6834">
            <v>0</v>
          </cell>
          <cell r="C6834" t="str">
            <v>1|14003|1,1|10041|5,1|14315|1</v>
          </cell>
          <cell r="D6834" t="str">
            <v>主线副本宝箱奖励391</v>
          </cell>
          <cell r="E6834" t="str">
            <v>1|14003|1|1,1|10041|5|1,1|14315|1|1</v>
          </cell>
        </row>
        <row r="6835">
          <cell r="A6835">
            <v>95392</v>
          </cell>
          <cell r="B6835">
            <v>0</v>
          </cell>
          <cell r="C6835" t="str">
            <v>1|14003|1,1|10017|5,1|14315|1</v>
          </cell>
          <cell r="D6835" t="str">
            <v>主线副本宝箱奖励392</v>
          </cell>
          <cell r="E6835" t="str">
            <v>1|14003|1|1,1|10017|5|1,1|14315|1|1</v>
          </cell>
        </row>
        <row r="6836">
          <cell r="A6836">
            <v>95393</v>
          </cell>
          <cell r="B6836">
            <v>0</v>
          </cell>
          <cell r="C6836" t="str">
            <v>1|14003|1,1|10027|5,1|14315|2</v>
          </cell>
          <cell r="D6836" t="str">
            <v>主线副本宝箱奖励393</v>
          </cell>
          <cell r="E6836" t="str">
            <v>1|14003|1|1,1|10027|5|1,1|14315|2|1</v>
          </cell>
        </row>
        <row r="6837">
          <cell r="A6837">
            <v>95394</v>
          </cell>
          <cell r="B6837">
            <v>0</v>
          </cell>
          <cell r="C6837" t="str">
            <v>1|14003|1,1|10038|5,1|14315|1</v>
          </cell>
          <cell r="D6837" t="str">
            <v>主线副本宝箱奖励394</v>
          </cell>
          <cell r="E6837" t="str">
            <v>1|14003|1|1,1|10038|5|1,1|14315|1|1</v>
          </cell>
        </row>
        <row r="6838">
          <cell r="A6838">
            <v>95395</v>
          </cell>
          <cell r="B6838">
            <v>0</v>
          </cell>
          <cell r="C6838" t="str">
            <v>1|14003|1,1|10101|5,1|14315|1</v>
          </cell>
          <cell r="D6838" t="str">
            <v>主线副本宝箱奖励395</v>
          </cell>
          <cell r="E6838" t="str">
            <v>1|14003|1|1,1|10101|5|1,1|14315|1|1</v>
          </cell>
        </row>
        <row r="6839">
          <cell r="A6839">
            <v>95396</v>
          </cell>
          <cell r="B6839">
            <v>0</v>
          </cell>
          <cell r="C6839" t="str">
            <v>1|14003|1,1|10119|5,1|14315|2</v>
          </cell>
          <cell r="D6839" t="str">
            <v>主线副本宝箱奖励396</v>
          </cell>
          <cell r="E6839" t="str">
            <v>1|14003|1|1,1|10119|5|1,1|14315|2|1</v>
          </cell>
        </row>
        <row r="6840">
          <cell r="A6840">
            <v>97001</v>
          </cell>
          <cell r="B6840">
            <v>0</v>
          </cell>
          <cell r="C6840" t="str">
            <v>4|1|60000,1|14003|2,1|14102|10</v>
          </cell>
          <cell r="D6840" t="str">
            <v>精英副本宝箱奖励1</v>
          </cell>
          <cell r="E6840" t="str">
            <v>4|1|60000|1,1|14003|2|1,1|14102|10|1</v>
          </cell>
        </row>
        <row r="6841">
          <cell r="A6841">
            <v>97002</v>
          </cell>
          <cell r="B6841">
            <v>0</v>
          </cell>
          <cell r="C6841" t="str">
            <v>4|1|80000,1|14003|2,4|4|180</v>
          </cell>
          <cell r="D6841" t="str">
            <v>精英副本宝箱奖励2</v>
          </cell>
          <cell r="E6841" t="str">
            <v>4|1|80000|1,1|14003|2|1,4|4|180|1</v>
          </cell>
        </row>
        <row r="6842">
          <cell r="A6842">
            <v>97003</v>
          </cell>
          <cell r="B6842">
            <v>0</v>
          </cell>
          <cell r="C6842" t="str">
            <v>4|1|100000,4|2|100,1|14107|100,4|45|1000</v>
          </cell>
          <cell r="D6842" t="str">
            <v>精英副本宝箱奖励3</v>
          </cell>
          <cell r="E6842" t="str">
            <v>4|1|100000|1,4|2|100|1,1|14107|100|1,4|45|1000|1</v>
          </cell>
        </row>
        <row r="6843">
          <cell r="A6843">
            <v>97004</v>
          </cell>
          <cell r="B6843">
            <v>0</v>
          </cell>
          <cell r="C6843" t="str">
            <v>4|1|60000,1|14003|2,1|14102|10</v>
          </cell>
          <cell r="D6843" t="str">
            <v>精英副本宝箱奖励4</v>
          </cell>
          <cell r="E6843" t="str">
            <v>4|1|60000|1,1|14003|2|1,1|14102|10|1</v>
          </cell>
        </row>
        <row r="6844">
          <cell r="A6844">
            <v>97005</v>
          </cell>
          <cell r="B6844">
            <v>0</v>
          </cell>
          <cell r="C6844" t="str">
            <v>4|1|80000,1|14003|2,4|4|180</v>
          </cell>
          <cell r="D6844" t="str">
            <v>精英副本宝箱奖励5</v>
          </cell>
          <cell r="E6844" t="str">
            <v>4|1|80000|1,1|14003|2|1,4|4|180|1</v>
          </cell>
        </row>
        <row r="6845">
          <cell r="A6845">
            <v>97006</v>
          </cell>
          <cell r="B6845">
            <v>0</v>
          </cell>
          <cell r="C6845" t="str">
            <v>4|1|100000,4|2|100,1|14107|100,4|45|1000</v>
          </cell>
          <cell r="D6845" t="str">
            <v>精英副本宝箱奖励6</v>
          </cell>
          <cell r="E6845" t="str">
            <v>4|1|100000|1,4|2|100|1,1|14107|100|1,4|45|1000|1</v>
          </cell>
        </row>
        <row r="6846">
          <cell r="A6846">
            <v>97007</v>
          </cell>
          <cell r="B6846">
            <v>0</v>
          </cell>
          <cell r="C6846" t="str">
            <v>4|1|60000,1|14003|2,1|14102|10</v>
          </cell>
          <cell r="D6846" t="str">
            <v>精英副本宝箱奖励7</v>
          </cell>
          <cell r="E6846" t="str">
            <v>4|1|60000|1,1|14003|2|1,1|14102|10|1</v>
          </cell>
        </row>
        <row r="6847">
          <cell r="A6847">
            <v>97008</v>
          </cell>
          <cell r="B6847">
            <v>0</v>
          </cell>
          <cell r="C6847" t="str">
            <v>4|1|80000,1|14003|2,4|4|200</v>
          </cell>
          <cell r="D6847" t="str">
            <v>精英副本宝箱奖励8</v>
          </cell>
          <cell r="E6847" t="str">
            <v>4|1|80000|1,1|14003|2|1,4|4|200|1</v>
          </cell>
        </row>
        <row r="6848">
          <cell r="A6848">
            <v>97009</v>
          </cell>
          <cell r="B6848">
            <v>0</v>
          </cell>
          <cell r="C6848" t="str">
            <v>4|1|100000,4|2|120,1|14107|125,4|45|1000</v>
          </cell>
          <cell r="D6848" t="str">
            <v>精英副本宝箱奖励9</v>
          </cell>
          <cell r="E6848" t="str">
            <v>4|1|100000|1,4|2|120|1,1|14107|125|1,4|45|1000|1</v>
          </cell>
        </row>
        <row r="6849">
          <cell r="A6849">
            <v>97010</v>
          </cell>
          <cell r="B6849">
            <v>0</v>
          </cell>
          <cell r="C6849" t="str">
            <v>4|1|60000,1|14003|2,1|14102|10</v>
          </cell>
          <cell r="D6849" t="str">
            <v>精英副本宝箱奖励10</v>
          </cell>
          <cell r="E6849" t="str">
            <v>4|1|60000|1,1|14003|2|1,1|14102|10|1</v>
          </cell>
        </row>
        <row r="6850">
          <cell r="A6850">
            <v>97011</v>
          </cell>
          <cell r="B6850">
            <v>0</v>
          </cell>
          <cell r="C6850" t="str">
            <v>4|1|80000,1|14003|2,4|4|200</v>
          </cell>
          <cell r="D6850" t="str">
            <v>精英副本宝箱奖励11</v>
          </cell>
          <cell r="E6850" t="str">
            <v>4|1|80000|1,1|14003|2|1,4|4|200|1</v>
          </cell>
        </row>
        <row r="6851">
          <cell r="A6851">
            <v>97012</v>
          </cell>
          <cell r="B6851">
            <v>0</v>
          </cell>
          <cell r="C6851" t="str">
            <v>4|1|100000,4|2|120,1|14107|125,4|45|1500</v>
          </cell>
          <cell r="D6851" t="str">
            <v>精英副本宝箱奖励12</v>
          </cell>
          <cell r="E6851" t="str">
            <v>4|1|100000|1,4|2|120|1,1|14107|125|1,4|45|1500|1</v>
          </cell>
        </row>
        <row r="6852">
          <cell r="A6852">
            <v>97013</v>
          </cell>
          <cell r="B6852">
            <v>0</v>
          </cell>
          <cell r="C6852" t="str">
            <v>4|1|60000,1|14003|2,1|14102|10</v>
          </cell>
          <cell r="D6852" t="str">
            <v>精英副本宝箱奖励13</v>
          </cell>
          <cell r="E6852" t="str">
            <v>4|1|60000|1,1|14003|2|1,1|14102|10|1</v>
          </cell>
        </row>
        <row r="6853">
          <cell r="A6853">
            <v>97014</v>
          </cell>
          <cell r="B6853">
            <v>0</v>
          </cell>
          <cell r="C6853" t="str">
            <v>4|1|80000,1|14003|2,4|4|220</v>
          </cell>
          <cell r="D6853" t="str">
            <v>精英副本宝箱奖励14</v>
          </cell>
          <cell r="E6853" t="str">
            <v>4|1|80000|1,1|14003|2|1,4|4|220|1</v>
          </cell>
        </row>
        <row r="6854">
          <cell r="A6854">
            <v>97015</v>
          </cell>
          <cell r="B6854">
            <v>0</v>
          </cell>
          <cell r="C6854" t="str">
            <v>4|1|100000,4|2|140,1|14107|150,4|45|1500</v>
          </cell>
          <cell r="D6854" t="str">
            <v>精英副本宝箱奖励15</v>
          </cell>
          <cell r="E6854" t="str">
            <v>4|1|100000|1,4|2|140|1,1|14107|150|1,4|45|1500|1</v>
          </cell>
        </row>
        <row r="6855">
          <cell r="A6855">
            <v>97016</v>
          </cell>
          <cell r="B6855">
            <v>0</v>
          </cell>
          <cell r="C6855" t="str">
            <v>4|1|60000,1|14003|2,1|14102|10</v>
          </cell>
          <cell r="D6855" t="str">
            <v>精英副本宝箱奖励16</v>
          </cell>
          <cell r="E6855" t="str">
            <v>4|1|60000|1,1|14003|2|1,1|14102|10|1</v>
          </cell>
        </row>
        <row r="6856">
          <cell r="A6856">
            <v>97017</v>
          </cell>
          <cell r="B6856">
            <v>0</v>
          </cell>
          <cell r="C6856" t="str">
            <v>4|1|80000,1|14003|2,4|4|220</v>
          </cell>
          <cell r="D6856" t="str">
            <v>精英副本宝箱奖励17</v>
          </cell>
          <cell r="E6856" t="str">
            <v>4|1|80000|1,1|14003|2|1,4|4|220|1</v>
          </cell>
        </row>
        <row r="6857">
          <cell r="A6857">
            <v>97018</v>
          </cell>
          <cell r="B6857">
            <v>0</v>
          </cell>
          <cell r="C6857" t="str">
            <v>4|1|100000,4|2|140,1|14107|150,4|45|1500</v>
          </cell>
          <cell r="D6857" t="str">
            <v>精英副本宝箱奖励18</v>
          </cell>
          <cell r="E6857" t="str">
            <v>4|1|100000|1,4|2|140|1,1|14107|150|1,4|45|1500|1</v>
          </cell>
        </row>
        <row r="6858">
          <cell r="A6858">
            <v>97019</v>
          </cell>
          <cell r="B6858">
            <v>0</v>
          </cell>
          <cell r="C6858" t="str">
            <v>4|1|60000,1|14003|2,1|14102|10</v>
          </cell>
          <cell r="D6858" t="str">
            <v>精英副本宝箱奖励19</v>
          </cell>
          <cell r="E6858" t="str">
            <v>4|1|60000|1,1|14003|2|1,1|14102|10|1</v>
          </cell>
        </row>
        <row r="6859">
          <cell r="A6859">
            <v>97020</v>
          </cell>
          <cell r="B6859">
            <v>0</v>
          </cell>
          <cell r="C6859" t="str">
            <v>4|1|80000,1|14003|2,4|4|240</v>
          </cell>
          <cell r="D6859" t="str">
            <v>精英副本宝箱奖励20</v>
          </cell>
          <cell r="E6859" t="str">
            <v>4|1|80000|1,1|14003|2|1,4|4|240|1</v>
          </cell>
        </row>
        <row r="6860">
          <cell r="A6860">
            <v>97021</v>
          </cell>
          <cell r="B6860">
            <v>0</v>
          </cell>
          <cell r="C6860" t="str">
            <v>4|1|100000,4|2|160,1|14107|175,4|45|1500</v>
          </cell>
          <cell r="D6860" t="str">
            <v>精英副本宝箱奖励21</v>
          </cell>
          <cell r="E6860" t="str">
            <v>4|1|100000|1,4|2|160|1,1|14107|175|1,4|45|1500|1</v>
          </cell>
        </row>
        <row r="6861">
          <cell r="A6861">
            <v>97022</v>
          </cell>
          <cell r="B6861">
            <v>0</v>
          </cell>
          <cell r="C6861" t="str">
            <v>4|1|60000,1|14003|2,1|14102|10</v>
          </cell>
          <cell r="D6861" t="str">
            <v>精英副本宝箱奖励22</v>
          </cell>
          <cell r="E6861" t="str">
            <v>4|1|60000|1,1|14003|2|1,1|14102|10|1</v>
          </cell>
        </row>
        <row r="6862">
          <cell r="A6862">
            <v>97023</v>
          </cell>
          <cell r="B6862">
            <v>0</v>
          </cell>
          <cell r="C6862" t="str">
            <v>4|1|80000,1|14003|2,4|4|240</v>
          </cell>
          <cell r="D6862" t="str">
            <v>精英副本宝箱奖励23</v>
          </cell>
          <cell r="E6862" t="str">
            <v>4|1|80000|1,1|14003|2|1,4|4|240|1</v>
          </cell>
        </row>
        <row r="6863">
          <cell r="A6863">
            <v>97024</v>
          </cell>
          <cell r="B6863">
            <v>0</v>
          </cell>
          <cell r="C6863" t="str">
            <v>4|1|100000,4|2|160,1|14107|175,4|45|1500</v>
          </cell>
          <cell r="D6863" t="str">
            <v>精英副本宝箱奖励24</v>
          </cell>
          <cell r="E6863" t="str">
            <v>4|1|100000|1,4|2|160|1,1|14107|175|1,4|45|1500|1</v>
          </cell>
        </row>
        <row r="6864">
          <cell r="A6864">
            <v>97025</v>
          </cell>
          <cell r="B6864">
            <v>0</v>
          </cell>
          <cell r="C6864" t="str">
            <v>4|1|60000,1|14003|2,1|14102|10</v>
          </cell>
          <cell r="D6864" t="str">
            <v>精英副本宝箱奖励25</v>
          </cell>
          <cell r="E6864" t="str">
            <v>4|1|60000|1,1|14003|2|1,1|14102|10|1</v>
          </cell>
        </row>
        <row r="6865">
          <cell r="A6865">
            <v>97026</v>
          </cell>
          <cell r="B6865">
            <v>0</v>
          </cell>
          <cell r="C6865" t="str">
            <v>4|1|80000,1|14003|2,4|4|260</v>
          </cell>
          <cell r="D6865" t="str">
            <v>精英副本宝箱奖励26</v>
          </cell>
          <cell r="E6865" t="str">
            <v>4|1|80000|1,1|14003|2|1,4|4|260|1</v>
          </cell>
        </row>
        <row r="6866">
          <cell r="A6866">
            <v>97027</v>
          </cell>
          <cell r="B6866">
            <v>0</v>
          </cell>
          <cell r="C6866" t="str">
            <v>4|1|100000,4|2|180,1|14107|190,4|45|1500</v>
          </cell>
          <cell r="D6866" t="str">
            <v>精英副本宝箱奖励27</v>
          </cell>
          <cell r="E6866" t="str">
            <v>4|1|100000|1,4|2|180|1,1|14107|190|1,4|45|1500|1</v>
          </cell>
        </row>
        <row r="6867">
          <cell r="A6867">
            <v>97028</v>
          </cell>
          <cell r="B6867">
            <v>0</v>
          </cell>
          <cell r="C6867" t="str">
            <v>4|1|60000,1|14003|2,1|14102|10</v>
          </cell>
          <cell r="D6867" t="str">
            <v>精英副本宝箱奖励28</v>
          </cell>
          <cell r="E6867" t="str">
            <v>4|1|60000|1,1|14003|2|1,1|14102|10|1</v>
          </cell>
        </row>
        <row r="6868">
          <cell r="A6868">
            <v>97029</v>
          </cell>
          <cell r="B6868">
            <v>0</v>
          </cell>
          <cell r="C6868" t="str">
            <v>4|1|80000,1|14003|2,4|4|260</v>
          </cell>
          <cell r="D6868" t="str">
            <v>精英副本宝箱奖励29</v>
          </cell>
          <cell r="E6868" t="str">
            <v>4|1|80000|1,1|14003|2|1,4|4|260|1</v>
          </cell>
        </row>
        <row r="6869">
          <cell r="A6869">
            <v>97030</v>
          </cell>
          <cell r="B6869">
            <v>0</v>
          </cell>
          <cell r="C6869" t="str">
            <v>4|1|100000,4|2|180,1|14107|190,4|45|1500</v>
          </cell>
          <cell r="D6869" t="str">
            <v>精英副本宝箱奖励30</v>
          </cell>
          <cell r="E6869" t="str">
            <v>4|1|100000|1,4|2|180|1,1|14107|190|1,4|45|1500|1</v>
          </cell>
        </row>
        <row r="6870">
          <cell r="A6870">
            <v>97031</v>
          </cell>
          <cell r="B6870">
            <v>0</v>
          </cell>
          <cell r="C6870" t="str">
            <v>4|1|60000,1|14003|2,1|14102|10</v>
          </cell>
          <cell r="D6870" t="str">
            <v>精英副本宝箱奖励31</v>
          </cell>
          <cell r="E6870" t="str">
            <v>4|1|60000|1,1|14003|2|1,1|14102|10|1</v>
          </cell>
        </row>
        <row r="6871">
          <cell r="A6871">
            <v>97032</v>
          </cell>
          <cell r="B6871">
            <v>0</v>
          </cell>
          <cell r="C6871" t="str">
            <v>4|1|80000,1|14003|2,4|4|270</v>
          </cell>
          <cell r="D6871" t="str">
            <v>精英副本宝箱奖励32</v>
          </cell>
          <cell r="E6871" t="str">
            <v>4|1|80000|1,1|14003|2|1,4|4|270|1</v>
          </cell>
        </row>
        <row r="6872">
          <cell r="A6872">
            <v>97033</v>
          </cell>
          <cell r="B6872">
            <v>0</v>
          </cell>
          <cell r="C6872" t="str">
            <v>4|1|100000,4|2|200,1|14107|200,4|45|1500</v>
          </cell>
          <cell r="D6872" t="str">
            <v>精英副本宝箱奖励33</v>
          </cell>
          <cell r="E6872" t="str">
            <v>4|1|100000|1,4|2|200|1,1|14107|200|1,4|45|1500|1</v>
          </cell>
        </row>
        <row r="6873">
          <cell r="A6873">
            <v>97034</v>
          </cell>
          <cell r="B6873">
            <v>0</v>
          </cell>
          <cell r="C6873" t="str">
            <v>4|1|60000,1|14003|2,1|14102|10</v>
          </cell>
          <cell r="D6873" t="str">
            <v>精英副本宝箱奖励34</v>
          </cell>
          <cell r="E6873" t="str">
            <v>4|1|60000|1,1|14003|2|1,1|14102|10|1</v>
          </cell>
        </row>
        <row r="6874">
          <cell r="A6874">
            <v>97035</v>
          </cell>
          <cell r="B6874">
            <v>0</v>
          </cell>
          <cell r="C6874" t="str">
            <v>4|1|80000,1|14003|2,4|4|270</v>
          </cell>
          <cell r="D6874" t="str">
            <v>精英副本宝箱奖励35</v>
          </cell>
          <cell r="E6874" t="str">
            <v>4|1|80000|1,1|14003|2|1,4|4|270|1</v>
          </cell>
        </row>
        <row r="6875">
          <cell r="A6875">
            <v>97036</v>
          </cell>
          <cell r="B6875">
            <v>0</v>
          </cell>
          <cell r="C6875" t="str">
            <v>4|1|100000,4|2|200,1|14107|200,4|45|2000</v>
          </cell>
          <cell r="D6875" t="str">
            <v>精英副本宝箱奖励36</v>
          </cell>
          <cell r="E6875" t="str">
            <v>4|1|100000|1,4|2|200|1,1|14107|200|1,4|45|2000|1</v>
          </cell>
        </row>
        <row r="6876">
          <cell r="A6876">
            <v>97037</v>
          </cell>
          <cell r="B6876">
            <v>0</v>
          </cell>
          <cell r="C6876" t="str">
            <v>4|1|60000,1|14003|2,1|14102|10</v>
          </cell>
          <cell r="D6876" t="str">
            <v>精英副本宝箱奖励37</v>
          </cell>
          <cell r="E6876" t="str">
            <v>4|1|60000|1,1|14003|2|1,1|14102|10|1</v>
          </cell>
        </row>
        <row r="6877">
          <cell r="A6877">
            <v>97038</v>
          </cell>
          <cell r="B6877">
            <v>0</v>
          </cell>
          <cell r="C6877" t="str">
            <v>4|1|80000,1|14003|2,4|4|280</v>
          </cell>
          <cell r="D6877" t="str">
            <v>精英副本宝箱奖励38</v>
          </cell>
          <cell r="E6877" t="str">
            <v>4|1|80000|1,1|14003|2|1,4|4|280|1</v>
          </cell>
        </row>
        <row r="6878">
          <cell r="A6878">
            <v>97039</v>
          </cell>
          <cell r="B6878">
            <v>0</v>
          </cell>
          <cell r="C6878" t="str">
            <v>4|1|100000,4|2|220,1|14107|210,4|45|2000</v>
          </cell>
          <cell r="D6878" t="str">
            <v>精英副本宝箱奖励39</v>
          </cell>
          <cell r="E6878" t="str">
            <v>4|1|100000|1,4|2|220|1,1|14107|210|1,4|45|2000|1</v>
          </cell>
        </row>
        <row r="6879">
          <cell r="A6879">
            <v>97040</v>
          </cell>
          <cell r="B6879">
            <v>0</v>
          </cell>
          <cell r="C6879" t="str">
            <v>4|1|60000,1|14003|2,1|14102|10</v>
          </cell>
          <cell r="D6879" t="str">
            <v>精英副本宝箱奖励40</v>
          </cell>
          <cell r="E6879" t="str">
            <v>4|1|60000|1,1|14003|2|1,1|14102|10|1</v>
          </cell>
        </row>
        <row r="6880">
          <cell r="A6880">
            <v>97041</v>
          </cell>
          <cell r="B6880">
            <v>0</v>
          </cell>
          <cell r="C6880" t="str">
            <v>4|1|80000,1|14003|2,4|4|280</v>
          </cell>
          <cell r="D6880" t="str">
            <v>精英副本宝箱奖励41</v>
          </cell>
          <cell r="E6880" t="str">
            <v>4|1|80000|1,1|14003|2|1,4|4|280|1</v>
          </cell>
        </row>
        <row r="6881">
          <cell r="A6881">
            <v>97042</v>
          </cell>
          <cell r="B6881">
            <v>0</v>
          </cell>
          <cell r="C6881" t="str">
            <v>4|1|100000,4|2|220,1|14107|210,4|45|2000</v>
          </cell>
          <cell r="D6881" t="str">
            <v>精英副本宝箱奖励42</v>
          </cell>
          <cell r="E6881" t="str">
            <v>4|1|100000|1,4|2|220|1,1|14107|210|1,4|45|2000|1</v>
          </cell>
        </row>
        <row r="6882">
          <cell r="A6882">
            <v>97043</v>
          </cell>
          <cell r="B6882">
            <v>0</v>
          </cell>
          <cell r="C6882" t="str">
            <v>4|1|60000,1|14003|2,1|14102|10</v>
          </cell>
          <cell r="D6882" t="str">
            <v>精英副本宝箱奖励43</v>
          </cell>
          <cell r="E6882" t="str">
            <v>4|1|60000|1,1|14003|2|1,1|14102|10|1</v>
          </cell>
        </row>
        <row r="6883">
          <cell r="A6883">
            <v>97044</v>
          </cell>
          <cell r="B6883">
            <v>0</v>
          </cell>
          <cell r="C6883" t="str">
            <v>4|1|80000,1|14003|2,4|4|290</v>
          </cell>
          <cell r="D6883" t="str">
            <v>精英副本宝箱奖励44</v>
          </cell>
          <cell r="E6883" t="str">
            <v>4|1|80000|1,1|14003|2|1,4|4|290|1</v>
          </cell>
        </row>
        <row r="6884">
          <cell r="A6884">
            <v>97045</v>
          </cell>
          <cell r="B6884">
            <v>0</v>
          </cell>
          <cell r="C6884" t="str">
            <v>4|1|100000,4|2|240,1|14107|220,4|45|2000</v>
          </cell>
          <cell r="D6884" t="str">
            <v>精英副本宝箱奖励45</v>
          </cell>
          <cell r="E6884" t="str">
            <v>4|1|100000|1,4|2|240|1,1|14107|220|1,4|45|2000|1</v>
          </cell>
        </row>
        <row r="6885">
          <cell r="A6885">
            <v>97046</v>
          </cell>
          <cell r="B6885">
            <v>0</v>
          </cell>
          <cell r="C6885" t="str">
            <v>4|1|60000,1|14003|2,1|14102|10</v>
          </cell>
          <cell r="D6885" t="str">
            <v>精英副本宝箱奖励46</v>
          </cell>
          <cell r="E6885" t="str">
            <v>4|1|60000|1,1|14003|2|1,1|14102|10|1</v>
          </cell>
        </row>
        <row r="6886">
          <cell r="A6886">
            <v>97047</v>
          </cell>
          <cell r="B6886">
            <v>0</v>
          </cell>
          <cell r="C6886" t="str">
            <v>4|1|80000,1|14003|2,4|4|290</v>
          </cell>
          <cell r="D6886" t="str">
            <v>精英副本宝箱奖励47</v>
          </cell>
          <cell r="E6886" t="str">
            <v>4|1|80000|1,1|14003|2|1,4|4|290|1</v>
          </cell>
        </row>
        <row r="6887">
          <cell r="A6887">
            <v>97048</v>
          </cell>
          <cell r="B6887">
            <v>0</v>
          </cell>
          <cell r="C6887" t="str">
            <v>4|1|100000,4|2|240,1|14107|220,4|45|2000</v>
          </cell>
          <cell r="D6887" t="str">
            <v>精英副本宝箱奖励48</v>
          </cell>
          <cell r="E6887" t="str">
            <v>4|1|100000|1,4|2|240|1,1|14107|220|1,4|45|2000|1</v>
          </cell>
        </row>
        <row r="6888">
          <cell r="A6888">
            <v>97049</v>
          </cell>
          <cell r="B6888">
            <v>0</v>
          </cell>
          <cell r="C6888" t="str">
            <v>4|1|60000,1|14003|2,1|14102|10</v>
          </cell>
          <cell r="D6888" t="str">
            <v>精英副本宝箱奖励49</v>
          </cell>
          <cell r="E6888" t="str">
            <v>4|1|60000|1,1|14003|2|1,1|14102|10|1</v>
          </cell>
        </row>
        <row r="6889">
          <cell r="A6889">
            <v>97050</v>
          </cell>
          <cell r="B6889">
            <v>0</v>
          </cell>
          <cell r="C6889" t="str">
            <v>4|1|80000,1|14003|2,4|4|300</v>
          </cell>
          <cell r="D6889" t="str">
            <v>精英副本宝箱奖励50</v>
          </cell>
          <cell r="E6889" t="str">
            <v>4|1|80000|1,1|14003|2|1,4|4|300|1</v>
          </cell>
        </row>
        <row r="6890">
          <cell r="A6890">
            <v>97051</v>
          </cell>
          <cell r="B6890">
            <v>0</v>
          </cell>
          <cell r="C6890" t="str">
            <v>4|1|100000,4|2|260,1|14107|230,4|45|2000</v>
          </cell>
          <cell r="D6890" t="str">
            <v>精英副本宝箱奖励51</v>
          </cell>
          <cell r="E6890" t="str">
            <v>4|1|100000|1,4|2|260|1,1|14107|230|1,4|45|2000|1</v>
          </cell>
        </row>
        <row r="6891">
          <cell r="A6891">
            <v>97052</v>
          </cell>
          <cell r="B6891">
            <v>0</v>
          </cell>
          <cell r="C6891" t="str">
            <v>4|1|60000,1|14003|2,1|14102|10</v>
          </cell>
          <cell r="D6891" t="str">
            <v>精英副本宝箱奖励52</v>
          </cell>
          <cell r="E6891" t="str">
            <v>4|1|60000|1,1|14003|2|1,1|14102|10|1</v>
          </cell>
        </row>
        <row r="6892">
          <cell r="A6892">
            <v>97053</v>
          </cell>
          <cell r="B6892">
            <v>0</v>
          </cell>
          <cell r="C6892" t="str">
            <v>4|1|80000,1|14003|2,4|4|300</v>
          </cell>
          <cell r="D6892" t="str">
            <v>精英副本宝箱奖励53</v>
          </cell>
          <cell r="E6892" t="str">
            <v>4|1|80000|1,1|14003|2|1,4|4|300|1</v>
          </cell>
        </row>
        <row r="6893">
          <cell r="A6893">
            <v>97054</v>
          </cell>
          <cell r="B6893">
            <v>0</v>
          </cell>
          <cell r="C6893" t="str">
            <v>4|1|100000,4|2|260,1|14107|230,4|45|2000</v>
          </cell>
          <cell r="D6893" t="str">
            <v>精英副本宝箱奖励54</v>
          </cell>
          <cell r="E6893" t="str">
            <v>4|1|100000|1,4|2|260|1,1|14107|230|1,4|45|2000|1</v>
          </cell>
        </row>
        <row r="6894">
          <cell r="A6894">
            <v>97055</v>
          </cell>
          <cell r="B6894">
            <v>0</v>
          </cell>
          <cell r="C6894" t="str">
            <v>4|1|60000,1|14003|2,1|14102|10</v>
          </cell>
          <cell r="D6894" t="str">
            <v>精英副本宝箱奖励55</v>
          </cell>
          <cell r="E6894" t="str">
            <v>4|1|60000|1,1|14003|2|1,1|14102|10|1</v>
          </cell>
        </row>
        <row r="6895">
          <cell r="A6895">
            <v>97056</v>
          </cell>
          <cell r="B6895">
            <v>0</v>
          </cell>
          <cell r="C6895" t="str">
            <v>4|1|80000,1|14003|2,4|4|310</v>
          </cell>
          <cell r="D6895" t="str">
            <v>精英副本宝箱奖励56</v>
          </cell>
          <cell r="E6895" t="str">
            <v>4|1|80000|1,1|14003|2|1,4|4|310|1</v>
          </cell>
        </row>
        <row r="6896">
          <cell r="A6896">
            <v>97057</v>
          </cell>
          <cell r="B6896">
            <v>0</v>
          </cell>
          <cell r="C6896" t="str">
            <v>4|1|100000,4|2|280,1|14107|240,4|45|2000</v>
          </cell>
          <cell r="D6896" t="str">
            <v>精英副本宝箱奖励57</v>
          </cell>
          <cell r="E6896" t="str">
            <v>4|1|100000|1,4|2|280|1,1|14107|240|1,4|45|2000|1</v>
          </cell>
        </row>
        <row r="6897">
          <cell r="A6897">
            <v>97058</v>
          </cell>
          <cell r="B6897">
            <v>0</v>
          </cell>
          <cell r="C6897" t="str">
            <v>4|1|60000,1|14003|2,1|14102|10</v>
          </cell>
          <cell r="D6897" t="str">
            <v>精英副本宝箱奖励58</v>
          </cell>
          <cell r="E6897" t="str">
            <v>4|1|60000|1,1|14003|2|1,1|14102|10|1</v>
          </cell>
        </row>
        <row r="6898">
          <cell r="A6898">
            <v>97059</v>
          </cell>
          <cell r="B6898">
            <v>0</v>
          </cell>
          <cell r="C6898" t="str">
            <v>4|1|80000,1|14003|2,4|4|310</v>
          </cell>
          <cell r="D6898" t="str">
            <v>精英副本宝箱奖励59</v>
          </cell>
          <cell r="E6898" t="str">
            <v>4|1|80000|1,1|14003|2|1,4|4|310|1</v>
          </cell>
        </row>
        <row r="6899">
          <cell r="A6899">
            <v>97060</v>
          </cell>
          <cell r="B6899">
            <v>0</v>
          </cell>
          <cell r="C6899" t="str">
            <v>4|1|100000,4|2|280,1|14107|240,4|45|2000</v>
          </cell>
          <cell r="D6899" t="str">
            <v>精英副本宝箱奖励60</v>
          </cell>
          <cell r="E6899" t="str">
            <v>4|1|100000|1,4|2|280|1,1|14107|240|1,4|45|2000|1</v>
          </cell>
        </row>
        <row r="6900">
          <cell r="A6900">
            <v>97061</v>
          </cell>
          <cell r="B6900">
            <v>0</v>
          </cell>
          <cell r="C6900" t="str">
            <v>4|1|60000,1|14003|2,1|14102|10</v>
          </cell>
          <cell r="D6900" t="str">
            <v>精英副本宝箱奖励61</v>
          </cell>
          <cell r="E6900" t="str">
            <v>4|1|60000|1,1|14003|2|1,1|14102|10|1</v>
          </cell>
        </row>
        <row r="6901">
          <cell r="A6901">
            <v>97062</v>
          </cell>
          <cell r="B6901">
            <v>0</v>
          </cell>
          <cell r="C6901" t="str">
            <v>4|1|80000,1|14003|2,4|4|320</v>
          </cell>
          <cell r="D6901" t="str">
            <v>精英副本宝箱奖励62</v>
          </cell>
          <cell r="E6901" t="str">
            <v>4|1|80000|1,1|14003|2|1,4|4|320|1</v>
          </cell>
        </row>
        <row r="6902">
          <cell r="A6902">
            <v>97063</v>
          </cell>
          <cell r="B6902">
            <v>0</v>
          </cell>
          <cell r="C6902" t="str">
            <v>4|1|100000,4|2|300,1|14107|250,4|45|2000</v>
          </cell>
          <cell r="D6902" t="str">
            <v>精英副本宝箱奖励63</v>
          </cell>
          <cell r="E6902" t="str">
            <v>4|1|100000|1,4|2|300|1,1|14107|250|1,4|45|2000|1</v>
          </cell>
        </row>
        <row r="6903">
          <cell r="A6903">
            <v>97064</v>
          </cell>
          <cell r="B6903">
            <v>0</v>
          </cell>
          <cell r="C6903" t="str">
            <v>4|1|60000,1|14003|2,1|14102|10</v>
          </cell>
          <cell r="D6903" t="str">
            <v>精英副本宝箱奖励64</v>
          </cell>
          <cell r="E6903" t="str">
            <v>4|1|60000|1,1|14003|2|1,1|14102|10|1</v>
          </cell>
        </row>
        <row r="6904">
          <cell r="A6904">
            <v>97065</v>
          </cell>
          <cell r="B6904">
            <v>0</v>
          </cell>
          <cell r="C6904" t="str">
            <v>4|1|80000,1|14003|2,4|4|320</v>
          </cell>
          <cell r="D6904" t="str">
            <v>精英副本宝箱奖励65</v>
          </cell>
          <cell r="E6904" t="str">
            <v>4|1|80000|1,1|14003|2|1,4|4|320|1</v>
          </cell>
        </row>
        <row r="6905">
          <cell r="A6905">
            <v>97066</v>
          </cell>
          <cell r="B6905">
            <v>0</v>
          </cell>
          <cell r="C6905" t="str">
            <v>4|1|100000,4|2|300,1|14107|250,4|45|2000</v>
          </cell>
          <cell r="D6905" t="str">
            <v>精英副本宝箱奖励66</v>
          </cell>
          <cell r="E6905" t="str">
            <v>4|1|100000|1,4|2|300|1,1|14107|250|1,4|45|2000|1</v>
          </cell>
        </row>
        <row r="6906">
          <cell r="A6906">
            <v>97067</v>
          </cell>
          <cell r="B6906">
            <v>0</v>
          </cell>
          <cell r="C6906" t="str">
            <v>4|1|60000,1|14003|2,1|14102|10</v>
          </cell>
          <cell r="D6906" t="str">
            <v>精英副本宝箱奖励67</v>
          </cell>
          <cell r="E6906" t="str">
            <v>4|1|60000|1,1|14003|2|1,1|14102|10|1</v>
          </cell>
        </row>
        <row r="6907">
          <cell r="A6907">
            <v>97068</v>
          </cell>
          <cell r="B6907">
            <v>0</v>
          </cell>
          <cell r="C6907" t="str">
            <v>4|1|80000,1|14003|2,4|4|330</v>
          </cell>
          <cell r="D6907" t="str">
            <v>精英副本宝箱奖励68</v>
          </cell>
          <cell r="E6907" t="str">
            <v>4|1|80000|1,1|14003|2|1,4|4|330|1</v>
          </cell>
        </row>
        <row r="6908">
          <cell r="A6908">
            <v>97069</v>
          </cell>
          <cell r="B6908">
            <v>0</v>
          </cell>
          <cell r="C6908" t="str">
            <v>4|1|100000,4|2|320,1|14107|260,4|45|2000</v>
          </cell>
          <cell r="D6908" t="str">
            <v>精英副本宝箱奖励69</v>
          </cell>
          <cell r="E6908" t="str">
            <v>4|1|100000|1,4|2|320|1,1|14107|260|1,4|45|2000|1</v>
          </cell>
        </row>
        <row r="6909">
          <cell r="A6909">
            <v>97070</v>
          </cell>
          <cell r="B6909">
            <v>0</v>
          </cell>
          <cell r="C6909" t="str">
            <v>4|1|60000,1|14003|2,1|14102|10</v>
          </cell>
          <cell r="D6909" t="str">
            <v>精英副本宝箱奖励70</v>
          </cell>
          <cell r="E6909" t="str">
            <v>4|1|60000|1,1|14003|2|1,1|14102|10|1</v>
          </cell>
        </row>
        <row r="6910">
          <cell r="A6910">
            <v>97071</v>
          </cell>
          <cell r="B6910">
            <v>0</v>
          </cell>
          <cell r="C6910" t="str">
            <v>4|1|80000,1|14003|2,4|4|330</v>
          </cell>
          <cell r="D6910" t="str">
            <v>精英副本宝箱奖励71</v>
          </cell>
          <cell r="E6910" t="str">
            <v>4|1|80000|1,1|14003|2|1,4|4|330|1</v>
          </cell>
        </row>
        <row r="6911">
          <cell r="A6911">
            <v>97072</v>
          </cell>
          <cell r="B6911">
            <v>0</v>
          </cell>
          <cell r="C6911" t="str">
            <v>4|1|100000,4|2|320,1|14107|260,4|45|2000</v>
          </cell>
          <cell r="D6911" t="str">
            <v>精英副本宝箱奖励72</v>
          </cell>
          <cell r="E6911" t="str">
            <v>4|1|100000|1,4|2|320|1,1|14107|260|1,4|45|2000|1</v>
          </cell>
        </row>
        <row r="6912">
          <cell r="A6912">
            <v>97073</v>
          </cell>
          <cell r="B6912">
            <v>0</v>
          </cell>
          <cell r="C6912" t="str">
            <v>4|1|60000,1|14003|2,1|14102|10</v>
          </cell>
          <cell r="D6912" t="str">
            <v>精英副本宝箱奖励73</v>
          </cell>
          <cell r="E6912" t="str">
            <v>4|1|60000|1,1|14003|2|1,1|14102|10|1</v>
          </cell>
        </row>
        <row r="6913">
          <cell r="A6913">
            <v>97074</v>
          </cell>
          <cell r="B6913">
            <v>0</v>
          </cell>
          <cell r="C6913" t="str">
            <v>4|1|80000,1|14003|2,4|4|340</v>
          </cell>
          <cell r="D6913" t="str">
            <v>精英副本宝箱奖励74</v>
          </cell>
          <cell r="E6913" t="str">
            <v>4|1|80000|1,1|14003|2|1,4|4|340|1</v>
          </cell>
        </row>
        <row r="6914">
          <cell r="A6914">
            <v>97075</v>
          </cell>
          <cell r="B6914">
            <v>0</v>
          </cell>
          <cell r="C6914" t="str">
            <v>4|1|100000,4|2|340,1|14107|270,4|45|2000</v>
          </cell>
          <cell r="D6914" t="str">
            <v>精英副本宝箱奖励75</v>
          </cell>
          <cell r="E6914" t="str">
            <v>4|1|100000|1,4|2|340|1,1|14107|270|1,4|45|2000|1</v>
          </cell>
        </row>
        <row r="6915">
          <cell r="A6915">
            <v>97076</v>
          </cell>
          <cell r="B6915">
            <v>0</v>
          </cell>
          <cell r="C6915" t="str">
            <v>4|1|60000,1|14003|2,1|14102|10</v>
          </cell>
          <cell r="D6915" t="str">
            <v>精英副本宝箱奖励76</v>
          </cell>
          <cell r="E6915" t="str">
            <v>4|1|60000|1,1|14003|2|1,1|14102|10|1</v>
          </cell>
        </row>
        <row r="6916">
          <cell r="A6916">
            <v>97077</v>
          </cell>
          <cell r="B6916">
            <v>0</v>
          </cell>
          <cell r="C6916" t="str">
            <v>4|1|80000,1|14003|2,4|4|340</v>
          </cell>
          <cell r="D6916" t="str">
            <v>精英副本宝箱奖励77</v>
          </cell>
          <cell r="E6916" t="str">
            <v>4|1|80000|1,1|14003|2|1,4|4|340|1</v>
          </cell>
        </row>
        <row r="6917">
          <cell r="A6917">
            <v>97078</v>
          </cell>
          <cell r="B6917">
            <v>0</v>
          </cell>
          <cell r="C6917" t="str">
            <v>4|1|100000,4|2|340,1|14107|270,4|45|2000</v>
          </cell>
          <cell r="D6917" t="str">
            <v>精英副本宝箱奖励78</v>
          </cell>
          <cell r="E6917" t="str">
            <v>4|1|100000|1,4|2|340|1,1|14107|270|1,4|45|2000|1</v>
          </cell>
        </row>
        <row r="6918">
          <cell r="A6918">
            <v>97079</v>
          </cell>
          <cell r="B6918">
            <v>0</v>
          </cell>
          <cell r="C6918" t="str">
            <v>4|1|60000,1|14003|2,1|14102|10</v>
          </cell>
          <cell r="D6918" t="str">
            <v>精英副本宝箱奖励79</v>
          </cell>
          <cell r="E6918" t="str">
            <v>4|1|60000|1,1|14003|2|1,1|14102|10|1</v>
          </cell>
        </row>
        <row r="6919">
          <cell r="A6919">
            <v>97080</v>
          </cell>
          <cell r="B6919">
            <v>0</v>
          </cell>
          <cell r="C6919" t="str">
            <v>4|1|80000,1|14003|2,4|4|350</v>
          </cell>
          <cell r="D6919" t="str">
            <v>精英副本宝箱奖励80</v>
          </cell>
          <cell r="E6919" t="str">
            <v>4|1|80000|1,1|14003|2|1,4|4|350|1</v>
          </cell>
        </row>
        <row r="6920">
          <cell r="A6920">
            <v>97081</v>
          </cell>
          <cell r="B6920">
            <v>0</v>
          </cell>
          <cell r="C6920" t="str">
            <v>4|1|100000,4|2|360,1|14107|280,4|45|2000</v>
          </cell>
          <cell r="D6920" t="str">
            <v>精英副本宝箱奖励81</v>
          </cell>
          <cell r="E6920" t="str">
            <v>4|1|100000|1,4|2|360|1,1|14107|280|1,4|45|2000|1</v>
          </cell>
        </row>
        <row r="6921">
          <cell r="A6921">
            <v>97082</v>
          </cell>
          <cell r="B6921">
            <v>0</v>
          </cell>
          <cell r="C6921" t="str">
            <v>4|1|60000,1|14003|2,1|14102|10</v>
          </cell>
          <cell r="D6921" t="str">
            <v>精英副本宝箱奖励82</v>
          </cell>
          <cell r="E6921" t="str">
            <v>4|1|60000|1,1|14003|2|1,1|14102|10|1</v>
          </cell>
        </row>
        <row r="6922">
          <cell r="A6922">
            <v>97083</v>
          </cell>
          <cell r="B6922">
            <v>0</v>
          </cell>
          <cell r="C6922" t="str">
            <v>4|1|80000,1|14003|2,4|4|350</v>
          </cell>
          <cell r="D6922" t="str">
            <v>精英副本宝箱奖励83</v>
          </cell>
          <cell r="E6922" t="str">
            <v>4|1|80000|1,1|14003|2|1,4|4|350|1</v>
          </cell>
        </row>
        <row r="6923">
          <cell r="A6923">
            <v>97084</v>
          </cell>
          <cell r="B6923">
            <v>0</v>
          </cell>
          <cell r="C6923" t="str">
            <v>4|1|100000,4|2|360,1|14107|280,4|45|2000</v>
          </cell>
          <cell r="D6923" t="str">
            <v>精英副本宝箱奖励84</v>
          </cell>
          <cell r="E6923" t="str">
            <v>4|1|100000|1,4|2|360|1,1|14107|280|1,4|45|2000|1</v>
          </cell>
        </row>
        <row r="6924">
          <cell r="A6924">
            <v>97085</v>
          </cell>
          <cell r="B6924">
            <v>0</v>
          </cell>
          <cell r="C6924" t="str">
            <v>4|1|60000,1|14003|2,1|14102|10</v>
          </cell>
          <cell r="D6924" t="str">
            <v>精英副本宝箱奖励85</v>
          </cell>
          <cell r="E6924" t="str">
            <v>4|1|60000|1,1|14003|2|1,1|14102|10|1</v>
          </cell>
        </row>
        <row r="6925">
          <cell r="A6925">
            <v>97086</v>
          </cell>
          <cell r="B6925">
            <v>0</v>
          </cell>
          <cell r="C6925" t="str">
            <v>4|1|80000,1|14003|2,4|4|360</v>
          </cell>
          <cell r="D6925" t="str">
            <v>精英副本宝箱奖励86</v>
          </cell>
          <cell r="E6925" t="str">
            <v>4|1|80000|1,1|14003|2|1,4|4|360|1</v>
          </cell>
        </row>
        <row r="6926">
          <cell r="A6926">
            <v>97087</v>
          </cell>
          <cell r="B6926">
            <v>0</v>
          </cell>
          <cell r="C6926" t="str">
            <v>4|1|100000,4|2|380,1|14107|290,4|45|2000</v>
          </cell>
          <cell r="D6926" t="str">
            <v>精英副本宝箱奖励87</v>
          </cell>
          <cell r="E6926" t="str">
            <v>4|1|100000|1,4|2|380|1,1|14107|290|1,4|45|2000|1</v>
          </cell>
        </row>
        <row r="6927">
          <cell r="A6927">
            <v>97088</v>
          </cell>
          <cell r="B6927">
            <v>0</v>
          </cell>
          <cell r="C6927" t="str">
            <v>4|1|60000,1|14003|2,1|14102|10</v>
          </cell>
          <cell r="D6927" t="str">
            <v>精英副本宝箱奖励88</v>
          </cell>
          <cell r="E6927" t="str">
            <v>4|1|60000|1,1|14003|2|1,1|14102|10|1</v>
          </cell>
        </row>
        <row r="6928">
          <cell r="A6928">
            <v>97089</v>
          </cell>
          <cell r="B6928">
            <v>0</v>
          </cell>
          <cell r="C6928" t="str">
            <v>4|1|80000,1|14003|2,4|4|360</v>
          </cell>
          <cell r="D6928" t="str">
            <v>精英副本宝箱奖励89</v>
          </cell>
          <cell r="E6928" t="str">
            <v>4|1|80000|1,1|14003|2|1,4|4|360|1</v>
          </cell>
        </row>
        <row r="6929">
          <cell r="A6929">
            <v>97090</v>
          </cell>
          <cell r="B6929">
            <v>0</v>
          </cell>
          <cell r="C6929" t="str">
            <v>4|1|100000,4|2|380,1|14107|290,4|45|2000</v>
          </cell>
          <cell r="D6929" t="str">
            <v>精英副本宝箱奖励90</v>
          </cell>
          <cell r="E6929" t="str">
            <v>4|1|100000|1,4|2|380|1,1|14107|290|1,4|45|2000|1</v>
          </cell>
        </row>
        <row r="6930">
          <cell r="A6930">
            <v>97091</v>
          </cell>
          <cell r="B6930">
            <v>0</v>
          </cell>
          <cell r="C6930" t="str">
            <v>4|1|60000,1|14003|2,1|14102|10</v>
          </cell>
          <cell r="D6930" t="str">
            <v>精英副本宝箱奖励91</v>
          </cell>
          <cell r="E6930" t="str">
            <v>4|1|60000|1,1|14003|2|1,1|14102|10|1</v>
          </cell>
        </row>
        <row r="6931">
          <cell r="A6931">
            <v>97092</v>
          </cell>
          <cell r="B6931">
            <v>0</v>
          </cell>
          <cell r="C6931" t="str">
            <v>4|1|80000,1|14003|2,4|4|370</v>
          </cell>
          <cell r="D6931" t="str">
            <v>精英副本宝箱奖励92</v>
          </cell>
          <cell r="E6931" t="str">
            <v>4|1|80000|1,1|14003|2|1,4|4|370|1</v>
          </cell>
        </row>
        <row r="6932">
          <cell r="A6932">
            <v>97093</v>
          </cell>
          <cell r="B6932">
            <v>0</v>
          </cell>
          <cell r="C6932" t="str">
            <v>4|1|100000,4|2|400,1|14107|300,4|45|2000</v>
          </cell>
          <cell r="D6932" t="str">
            <v>精英副本宝箱奖励93</v>
          </cell>
          <cell r="E6932" t="str">
            <v>4|1|100000|1,4|2|400|1,1|14107|300|1,4|45|2000|1</v>
          </cell>
        </row>
        <row r="6933">
          <cell r="A6933">
            <v>97094</v>
          </cell>
          <cell r="B6933">
            <v>0</v>
          </cell>
          <cell r="C6933" t="str">
            <v>4|1|60000,1|14003|2,1|14102|10</v>
          </cell>
          <cell r="D6933" t="str">
            <v>精英副本宝箱奖励94</v>
          </cell>
          <cell r="E6933" t="str">
            <v>4|1|60000|1,1|14003|2|1,1|14102|10|1</v>
          </cell>
        </row>
        <row r="6934">
          <cell r="A6934">
            <v>97095</v>
          </cell>
          <cell r="B6934">
            <v>0</v>
          </cell>
          <cell r="C6934" t="str">
            <v>4|1|80000,1|14003|2,4|4|370</v>
          </cell>
          <cell r="D6934" t="str">
            <v>精英副本宝箱奖励95</v>
          </cell>
          <cell r="E6934" t="str">
            <v>4|1|80000|1,1|14003|2|1,4|4|370|1</v>
          </cell>
        </row>
        <row r="6935">
          <cell r="A6935">
            <v>97096</v>
          </cell>
          <cell r="B6935">
            <v>0</v>
          </cell>
          <cell r="C6935" t="str">
            <v>4|1|100000,4|2|400,1|14107|300,4|45|2000</v>
          </cell>
          <cell r="D6935" t="str">
            <v>精英副本宝箱奖励96</v>
          </cell>
          <cell r="E6935" t="str">
            <v>4|1|100000|1,4|2|400|1,1|14107|300|1,4|45|2000|1</v>
          </cell>
        </row>
        <row r="6936">
          <cell r="A6936">
            <v>97097</v>
          </cell>
          <cell r="B6936">
            <v>0</v>
          </cell>
          <cell r="C6936" t="str">
            <v>4|1|60000,1|14003|2,1|14102|10</v>
          </cell>
          <cell r="D6936" t="str">
            <v>精英副本宝箱奖励97</v>
          </cell>
          <cell r="E6936" t="str">
            <v>4|1|60000|1,1|14003|2|1,1|14102|10|1</v>
          </cell>
        </row>
        <row r="6937">
          <cell r="A6937">
            <v>97098</v>
          </cell>
          <cell r="B6937">
            <v>0</v>
          </cell>
          <cell r="C6937" t="str">
            <v>4|1|80000,1|14003|2,4|4|380</v>
          </cell>
          <cell r="D6937" t="str">
            <v>精英副本宝箱奖励98</v>
          </cell>
          <cell r="E6937" t="str">
            <v>4|1|80000|1,1|14003|2|1,4|4|380|1</v>
          </cell>
        </row>
        <row r="6938">
          <cell r="A6938">
            <v>97099</v>
          </cell>
          <cell r="B6938">
            <v>0</v>
          </cell>
          <cell r="C6938" t="str">
            <v>4|1|100000,4|2|420,1|14107|310,4|45|2000</v>
          </cell>
          <cell r="D6938" t="str">
            <v>精英副本宝箱奖励99</v>
          </cell>
          <cell r="E6938" t="str">
            <v>4|1|100000|1,4|2|420|1,1|14107|310|1,4|45|2000|1</v>
          </cell>
        </row>
        <row r="6939">
          <cell r="A6939">
            <v>97100</v>
          </cell>
          <cell r="B6939">
            <v>0</v>
          </cell>
          <cell r="C6939" t="str">
            <v>4|1|60000,1|14003|2,1|14102|10</v>
          </cell>
          <cell r="D6939" t="str">
            <v>精英副本宝箱奖励100</v>
          </cell>
          <cell r="E6939" t="str">
            <v>4|1|60000|1,1|14003|2|1,1|14102|10|1</v>
          </cell>
        </row>
        <row r="6940">
          <cell r="A6940">
            <v>97101</v>
          </cell>
          <cell r="B6940">
            <v>0</v>
          </cell>
          <cell r="C6940" t="str">
            <v>4|1|80000,1|14003|2,4|4|380</v>
          </cell>
          <cell r="D6940" t="str">
            <v>精英副本宝箱奖励101</v>
          </cell>
          <cell r="E6940" t="str">
            <v>4|1|80000|1,1|14003|2|1,4|4|380|1</v>
          </cell>
        </row>
        <row r="6941">
          <cell r="A6941">
            <v>97102</v>
          </cell>
          <cell r="B6941">
            <v>0</v>
          </cell>
          <cell r="C6941" t="str">
            <v>4|1|100000,4|2|420,1|14107|310,4|45|2000</v>
          </cell>
          <cell r="D6941" t="str">
            <v>精英副本宝箱奖励102</v>
          </cell>
          <cell r="E6941" t="str">
            <v>4|1|100000|1,4|2|420|1,1|14107|310|1,4|45|2000|1</v>
          </cell>
        </row>
        <row r="6942">
          <cell r="A6942">
            <v>97103</v>
          </cell>
          <cell r="B6942">
            <v>0</v>
          </cell>
          <cell r="C6942" t="str">
            <v>4|1|60000,1|14003|2,1|14102|10</v>
          </cell>
          <cell r="D6942" t="str">
            <v>精英副本宝箱奖励103</v>
          </cell>
          <cell r="E6942" t="str">
            <v>4|1|60000|1,1|14003|2|1,1|14102|10|1</v>
          </cell>
        </row>
        <row r="6943">
          <cell r="A6943">
            <v>97104</v>
          </cell>
          <cell r="B6943">
            <v>0</v>
          </cell>
          <cell r="C6943" t="str">
            <v>4|1|80000,1|14003|2,4|4|390</v>
          </cell>
          <cell r="D6943" t="str">
            <v>精英副本宝箱奖励104</v>
          </cell>
          <cell r="E6943" t="str">
            <v>4|1|80000|1,1|14003|2|1,4|4|390|1</v>
          </cell>
        </row>
        <row r="6944">
          <cell r="A6944">
            <v>97105</v>
          </cell>
          <cell r="B6944">
            <v>0</v>
          </cell>
          <cell r="C6944" t="str">
            <v>4|1|100000,4|2|440,1|14107|320,4|45|2000</v>
          </cell>
          <cell r="D6944" t="str">
            <v>精英副本宝箱奖励105</v>
          </cell>
          <cell r="E6944" t="str">
            <v>4|1|100000|1,4|2|440|1,1|14107|320|1,4|45|2000|1</v>
          </cell>
        </row>
        <row r="6945">
          <cell r="A6945">
            <v>97106</v>
          </cell>
          <cell r="B6945">
            <v>0</v>
          </cell>
          <cell r="C6945" t="str">
            <v>4|1|60000,1|14003|2,1|14102|10</v>
          </cell>
          <cell r="D6945" t="str">
            <v>精英副本宝箱奖励106</v>
          </cell>
          <cell r="E6945" t="str">
            <v>4|1|60000|1,1|14003|2|1,1|14102|10|1</v>
          </cell>
        </row>
        <row r="6946">
          <cell r="A6946">
            <v>97107</v>
          </cell>
          <cell r="B6946">
            <v>0</v>
          </cell>
          <cell r="C6946" t="str">
            <v>4|1|80000,1|14003|2,4|4|390</v>
          </cell>
          <cell r="D6946" t="str">
            <v>精英副本宝箱奖励107</v>
          </cell>
          <cell r="E6946" t="str">
            <v>4|1|80000|1,1|14003|2|1,4|4|390|1</v>
          </cell>
        </row>
        <row r="6947">
          <cell r="A6947">
            <v>97108</v>
          </cell>
          <cell r="B6947">
            <v>0</v>
          </cell>
          <cell r="C6947" t="str">
            <v>4|1|100000,4|2|440,1|14107|320,4|45|2000</v>
          </cell>
          <cell r="D6947" t="str">
            <v>精英副本宝箱奖励108</v>
          </cell>
          <cell r="E6947" t="str">
            <v>4|1|100000|1,4|2|440|1,1|14107|320|1,4|45|2000|1</v>
          </cell>
        </row>
        <row r="6948">
          <cell r="A6948">
            <v>97109</v>
          </cell>
          <cell r="B6948">
            <v>0</v>
          </cell>
          <cell r="C6948" t="str">
            <v>4|1|60000,1|14003|2,1|14102|10</v>
          </cell>
          <cell r="D6948" t="str">
            <v>精英副本宝箱奖励109</v>
          </cell>
          <cell r="E6948" t="str">
            <v>4|1|60000|1,1|14003|2|1,1|14102|10|1</v>
          </cell>
        </row>
        <row r="6949">
          <cell r="A6949">
            <v>97110</v>
          </cell>
          <cell r="B6949">
            <v>0</v>
          </cell>
          <cell r="C6949" t="str">
            <v>4|1|80000,1|14003|2,4|4|400</v>
          </cell>
          <cell r="D6949" t="str">
            <v>精英副本宝箱奖励110</v>
          </cell>
          <cell r="E6949" t="str">
            <v>4|1|80000|1,1|14003|2|1,4|4|400|1</v>
          </cell>
        </row>
        <row r="6950">
          <cell r="A6950">
            <v>97111</v>
          </cell>
          <cell r="B6950">
            <v>0</v>
          </cell>
          <cell r="C6950" t="str">
            <v>4|1|100000,4|2|460,1|14107|330,4|45|2000</v>
          </cell>
          <cell r="D6950" t="str">
            <v>精英副本宝箱奖励111</v>
          </cell>
          <cell r="E6950" t="str">
            <v>4|1|100000|1,4|2|460|1,1|14107|330|1,4|45|2000|1</v>
          </cell>
        </row>
        <row r="6951">
          <cell r="A6951">
            <v>97112</v>
          </cell>
          <cell r="B6951">
            <v>0</v>
          </cell>
          <cell r="C6951" t="str">
            <v>4|1|60000,1|14003|2,1|14102|10</v>
          </cell>
          <cell r="D6951" t="str">
            <v>精英副本宝箱奖励112</v>
          </cell>
          <cell r="E6951" t="str">
            <v>4|1|60000|1,1|14003|2|1,1|14102|10|1</v>
          </cell>
        </row>
        <row r="6952">
          <cell r="A6952">
            <v>97113</v>
          </cell>
          <cell r="B6952">
            <v>0</v>
          </cell>
          <cell r="C6952" t="str">
            <v>4|1|80000,1|14003|2,4|4|400</v>
          </cell>
          <cell r="D6952" t="str">
            <v>精英副本宝箱奖励113</v>
          </cell>
          <cell r="E6952" t="str">
            <v>4|1|80000|1,1|14003|2|1,4|4|400|1</v>
          </cell>
        </row>
        <row r="6953">
          <cell r="A6953">
            <v>97114</v>
          </cell>
          <cell r="B6953">
            <v>0</v>
          </cell>
          <cell r="C6953" t="str">
            <v>4|1|100000,4|2|460,1|14107|330,4|45|2000</v>
          </cell>
          <cell r="D6953" t="str">
            <v>精英副本宝箱奖励114</v>
          </cell>
          <cell r="E6953" t="str">
            <v>4|1|100000|1,4|2|460|1,1|14107|330|1,4|45|2000|1</v>
          </cell>
        </row>
        <row r="6954">
          <cell r="A6954">
            <v>97115</v>
          </cell>
          <cell r="B6954">
            <v>0</v>
          </cell>
          <cell r="C6954" t="str">
            <v>4|1|60000,1|14003|2,1|14102|10</v>
          </cell>
          <cell r="D6954" t="str">
            <v>精英副本宝箱奖励115</v>
          </cell>
          <cell r="E6954" t="str">
            <v>4|1|60000|1,1|14003|2|1,1|14102|10|1</v>
          </cell>
        </row>
        <row r="6955">
          <cell r="A6955">
            <v>97116</v>
          </cell>
          <cell r="B6955">
            <v>0</v>
          </cell>
          <cell r="C6955" t="str">
            <v>4|1|80000,1|14003|2,4|4|410</v>
          </cell>
          <cell r="D6955" t="str">
            <v>精英副本宝箱奖励116</v>
          </cell>
          <cell r="E6955" t="str">
            <v>4|1|80000|1,1|14003|2|1,4|4|410|1</v>
          </cell>
        </row>
        <row r="6956">
          <cell r="A6956">
            <v>97117</v>
          </cell>
          <cell r="B6956">
            <v>0</v>
          </cell>
          <cell r="C6956" t="str">
            <v>4|1|100000,4|2|480,1|14107|340,4|45|2000</v>
          </cell>
          <cell r="D6956" t="str">
            <v>精英副本宝箱奖励117</v>
          </cell>
          <cell r="E6956" t="str">
            <v>4|1|100000|1,4|2|480|1,1|14107|340|1,4|45|2000|1</v>
          </cell>
        </row>
        <row r="6957">
          <cell r="A6957">
            <v>97118</v>
          </cell>
          <cell r="B6957">
            <v>0</v>
          </cell>
          <cell r="C6957" t="str">
            <v>4|1|60000,1|14003|2,1|14102|10</v>
          </cell>
          <cell r="D6957" t="str">
            <v>精英副本宝箱奖励118</v>
          </cell>
          <cell r="E6957" t="str">
            <v>4|1|60000|1,1|14003|2|1,1|14102|10|1</v>
          </cell>
        </row>
        <row r="6958">
          <cell r="A6958">
            <v>97119</v>
          </cell>
          <cell r="B6958">
            <v>0</v>
          </cell>
          <cell r="C6958" t="str">
            <v>4|1|80000,1|14003|2,4|4|410</v>
          </cell>
          <cell r="D6958" t="str">
            <v>精英副本宝箱奖励119</v>
          </cell>
          <cell r="E6958" t="str">
            <v>4|1|80000|1,1|14003|2|1,4|4|410|1</v>
          </cell>
        </row>
        <row r="6959">
          <cell r="A6959">
            <v>97120</v>
          </cell>
          <cell r="B6959">
            <v>0</v>
          </cell>
          <cell r="C6959" t="str">
            <v>4|1|100000,4|2|480,1|14107|340,4|45|2000</v>
          </cell>
          <cell r="D6959" t="str">
            <v>精英副本宝箱奖励120</v>
          </cell>
          <cell r="E6959" t="str">
            <v>4|1|100000|1,4|2|480|1,1|14107|340|1,4|45|2000|1</v>
          </cell>
        </row>
        <row r="6960">
          <cell r="A6960">
            <v>97121</v>
          </cell>
          <cell r="B6960">
            <v>0</v>
          </cell>
          <cell r="C6960" t="str">
            <v>4|1|60000,1|14003|2,1|14102|10</v>
          </cell>
          <cell r="D6960" t="str">
            <v>精英副本宝箱奖励121</v>
          </cell>
          <cell r="E6960" t="str">
            <v>4|1|60000|1,1|14003|2|1,1|14102|10|1</v>
          </cell>
        </row>
        <row r="6961">
          <cell r="A6961">
            <v>97122</v>
          </cell>
          <cell r="B6961">
            <v>0</v>
          </cell>
          <cell r="C6961" t="str">
            <v>4|1|80000,1|14003|2,4|4|420</v>
          </cell>
          <cell r="D6961" t="str">
            <v>精英副本宝箱奖励122</v>
          </cell>
          <cell r="E6961" t="str">
            <v>4|1|80000|1,1|14003|2|1,4|4|420|1</v>
          </cell>
        </row>
        <row r="6962">
          <cell r="A6962">
            <v>97123</v>
          </cell>
          <cell r="B6962">
            <v>0</v>
          </cell>
          <cell r="C6962" t="str">
            <v>4|1|100000,4|2|500,1|14107|350,4|45|2000</v>
          </cell>
          <cell r="D6962" t="str">
            <v>精英副本宝箱奖励123</v>
          </cell>
          <cell r="E6962" t="str">
            <v>4|1|100000|1,4|2|500|1,1|14107|350|1,4|45|2000|1</v>
          </cell>
        </row>
        <row r="6963">
          <cell r="A6963">
            <v>97124</v>
          </cell>
          <cell r="B6963">
            <v>0</v>
          </cell>
          <cell r="C6963" t="str">
            <v>4|1|60000,1|14003|2,1|14102|10</v>
          </cell>
          <cell r="D6963" t="str">
            <v>精英副本宝箱奖励124</v>
          </cell>
          <cell r="E6963" t="str">
            <v>4|1|60000|1,1|14003|2|1,1|14102|10|1</v>
          </cell>
        </row>
        <row r="6964">
          <cell r="A6964">
            <v>97125</v>
          </cell>
          <cell r="B6964">
            <v>0</v>
          </cell>
          <cell r="C6964" t="str">
            <v>4|1|80000,1|14003|2,4|4|420</v>
          </cell>
          <cell r="D6964" t="str">
            <v>精英副本宝箱奖励125</v>
          </cell>
          <cell r="E6964" t="str">
            <v>4|1|80000|1,1|14003|2|1,4|4|420|1</v>
          </cell>
        </row>
        <row r="6965">
          <cell r="A6965">
            <v>97126</v>
          </cell>
          <cell r="B6965">
            <v>0</v>
          </cell>
          <cell r="C6965" t="str">
            <v>4|1|100000,4|2|500,1|14107|350,4|45|2000</v>
          </cell>
          <cell r="D6965" t="str">
            <v>精英副本宝箱奖励126</v>
          </cell>
          <cell r="E6965" t="str">
            <v>4|1|100000|1,4|2|500|1,1|14107|350|1,4|45|2000|1</v>
          </cell>
        </row>
        <row r="6966">
          <cell r="A6966">
            <v>97127</v>
          </cell>
          <cell r="B6966">
            <v>0</v>
          </cell>
          <cell r="C6966" t="str">
            <v>4|1|60000,1|14003|2,1|14102|10</v>
          </cell>
          <cell r="D6966" t="str">
            <v>精英副本宝箱奖励127</v>
          </cell>
          <cell r="E6966" t="str">
            <v>4|1|60000|1,1|14003|2|1,1|14102|10|1</v>
          </cell>
        </row>
        <row r="6967">
          <cell r="A6967">
            <v>97128</v>
          </cell>
          <cell r="B6967">
            <v>0</v>
          </cell>
          <cell r="C6967" t="str">
            <v>4|1|80000,1|14003|2,4|4|430</v>
          </cell>
          <cell r="D6967" t="str">
            <v>精英副本宝箱奖励128</v>
          </cell>
          <cell r="E6967" t="str">
            <v>4|1|80000|1,1|14003|2|1,4|4|430|1</v>
          </cell>
        </row>
        <row r="6968">
          <cell r="A6968">
            <v>97129</v>
          </cell>
          <cell r="B6968">
            <v>0</v>
          </cell>
          <cell r="C6968" t="str">
            <v>4|1|100000,4|2|520,1|14107|360,4|45|2000</v>
          </cell>
          <cell r="D6968" t="str">
            <v>精英副本宝箱奖励129</v>
          </cell>
          <cell r="E6968" t="str">
            <v>4|1|100000|1,4|2|520|1,1|14107|360|1,4|45|2000|1</v>
          </cell>
        </row>
        <row r="6969">
          <cell r="A6969">
            <v>97130</v>
          </cell>
          <cell r="B6969">
            <v>0</v>
          </cell>
          <cell r="C6969" t="str">
            <v>4|1|60000,1|14003|2,1|14102|10</v>
          </cell>
          <cell r="D6969" t="str">
            <v>精英副本宝箱奖励130</v>
          </cell>
          <cell r="E6969" t="str">
            <v>4|1|60000|1,1|14003|2|1,1|14102|10|1</v>
          </cell>
        </row>
        <row r="6970">
          <cell r="A6970">
            <v>97131</v>
          </cell>
          <cell r="B6970">
            <v>0</v>
          </cell>
          <cell r="C6970" t="str">
            <v>4|1|80000,1|14003|2,4|4|430</v>
          </cell>
          <cell r="D6970" t="str">
            <v>精英副本宝箱奖励131</v>
          </cell>
          <cell r="E6970" t="str">
            <v>4|1|80000|1,1|14003|2|1,4|4|430|1</v>
          </cell>
        </row>
        <row r="6971">
          <cell r="A6971">
            <v>97132</v>
          </cell>
          <cell r="B6971">
            <v>0</v>
          </cell>
          <cell r="C6971" t="str">
            <v>4|1|100000,4|2|520,1|14107|360,4|45|2000</v>
          </cell>
          <cell r="D6971" t="str">
            <v>精英副本宝箱奖励132</v>
          </cell>
          <cell r="E6971" t="str">
            <v>4|1|100000|1,4|2|520|1,1|14107|360|1,4|45|2000|1</v>
          </cell>
        </row>
        <row r="6972">
          <cell r="A6972">
            <v>97133</v>
          </cell>
          <cell r="B6972">
            <v>0</v>
          </cell>
          <cell r="C6972" t="str">
            <v>4|1|60000,1|14003|2,1|14102|10</v>
          </cell>
          <cell r="D6972" t="str">
            <v>精英副本宝箱奖励133</v>
          </cell>
          <cell r="E6972" t="str">
            <v>4|1|60000|1,1|14003|2|1,1|14102|10|1</v>
          </cell>
        </row>
        <row r="6973">
          <cell r="A6973">
            <v>97134</v>
          </cell>
          <cell r="B6973">
            <v>0</v>
          </cell>
          <cell r="C6973" t="str">
            <v>4|1|80000,1|14003|2,4|4|440</v>
          </cell>
          <cell r="D6973" t="str">
            <v>精英副本宝箱奖励134</v>
          </cell>
          <cell r="E6973" t="str">
            <v>4|1|80000|1,1|14003|2|1,4|4|440|1</v>
          </cell>
        </row>
        <row r="6974">
          <cell r="A6974">
            <v>97135</v>
          </cell>
          <cell r="B6974">
            <v>0</v>
          </cell>
          <cell r="C6974" t="str">
            <v>4|1|100000,4|2|540,1|14107|370,4|45|2000</v>
          </cell>
          <cell r="D6974" t="str">
            <v>精英副本宝箱奖励135</v>
          </cell>
          <cell r="E6974" t="str">
            <v>4|1|100000|1,4|2|540|1,1|14107|370|1,4|45|2000|1</v>
          </cell>
        </row>
        <row r="6975">
          <cell r="A6975">
            <v>97136</v>
          </cell>
          <cell r="B6975">
            <v>0</v>
          </cell>
          <cell r="C6975" t="str">
            <v>4|1|60000,1|14003|2,1|14102|10</v>
          </cell>
          <cell r="D6975" t="str">
            <v>精英副本宝箱奖励136</v>
          </cell>
          <cell r="E6975" t="str">
            <v>4|1|60000|1,1|14003|2|1,1|14102|10|1</v>
          </cell>
        </row>
        <row r="6976">
          <cell r="A6976">
            <v>97137</v>
          </cell>
          <cell r="B6976">
            <v>0</v>
          </cell>
          <cell r="C6976" t="str">
            <v>4|1|80000,1|14003|2,4|4|440</v>
          </cell>
          <cell r="D6976" t="str">
            <v>精英副本宝箱奖励137</v>
          </cell>
          <cell r="E6976" t="str">
            <v>4|1|80000|1,1|14003|2|1,4|4|440|1</v>
          </cell>
        </row>
        <row r="6977">
          <cell r="A6977">
            <v>97138</v>
          </cell>
          <cell r="B6977">
            <v>0</v>
          </cell>
          <cell r="C6977" t="str">
            <v>4|1|100000,4|2|540,1|14107|370,4|45|2000</v>
          </cell>
          <cell r="D6977" t="str">
            <v>精英副本宝箱奖励138</v>
          </cell>
          <cell r="E6977" t="str">
            <v>4|1|100000|1,4|2|540|1,1|14107|370|1,4|45|2000|1</v>
          </cell>
        </row>
        <row r="6978">
          <cell r="A6978">
            <v>97139</v>
          </cell>
          <cell r="B6978">
            <v>0</v>
          </cell>
          <cell r="C6978" t="str">
            <v>4|1|60000,1|14003|2,1|14102|10</v>
          </cell>
          <cell r="D6978" t="str">
            <v>精英副本宝箱奖励139</v>
          </cell>
          <cell r="E6978" t="str">
            <v>4|1|60000|1,1|14003|2|1,1|14102|10|1</v>
          </cell>
        </row>
        <row r="6979">
          <cell r="A6979">
            <v>97140</v>
          </cell>
          <cell r="B6979">
            <v>0</v>
          </cell>
          <cell r="C6979" t="str">
            <v>4|1|80000,1|14003|2,4|4|450</v>
          </cell>
          <cell r="D6979" t="str">
            <v>精英副本宝箱奖励140</v>
          </cell>
          <cell r="E6979" t="str">
            <v>4|1|80000|1,1|14003|2|1,4|4|450|1</v>
          </cell>
        </row>
        <row r="6980">
          <cell r="A6980">
            <v>97141</v>
          </cell>
          <cell r="B6980">
            <v>0</v>
          </cell>
          <cell r="C6980" t="str">
            <v>4|1|100000,4|2|560,1|14107|380,4|45|2000</v>
          </cell>
          <cell r="D6980" t="str">
            <v>精英副本宝箱奖励141</v>
          </cell>
          <cell r="E6980" t="str">
            <v>4|1|100000|1,4|2|560|1,1|14107|380|1,4|45|2000|1</v>
          </cell>
        </row>
        <row r="6981">
          <cell r="A6981">
            <v>97142</v>
          </cell>
          <cell r="B6981">
            <v>0</v>
          </cell>
          <cell r="C6981" t="str">
            <v>4|1|60000,1|14003|2,1|14102|10</v>
          </cell>
          <cell r="D6981" t="str">
            <v>精英副本宝箱奖励142</v>
          </cell>
          <cell r="E6981" t="str">
            <v>4|1|60000|1,1|14003|2|1,1|14102|10|1</v>
          </cell>
        </row>
        <row r="6982">
          <cell r="A6982">
            <v>97143</v>
          </cell>
          <cell r="B6982">
            <v>0</v>
          </cell>
          <cell r="C6982" t="str">
            <v>4|1|80000,1|14003|2,4|4|450</v>
          </cell>
          <cell r="D6982" t="str">
            <v>精英副本宝箱奖励143</v>
          </cell>
          <cell r="E6982" t="str">
            <v>4|1|80000|1,1|14003|2|1,4|4|450|1</v>
          </cell>
        </row>
        <row r="6983">
          <cell r="A6983">
            <v>97144</v>
          </cell>
          <cell r="B6983">
            <v>0</v>
          </cell>
          <cell r="C6983" t="str">
            <v>4|1|100000,4|2|560,1|14107|380,4|45|2000</v>
          </cell>
          <cell r="D6983" t="str">
            <v>精英副本宝箱奖励144</v>
          </cell>
          <cell r="E6983" t="str">
            <v>4|1|100000|1,4|2|560|1,1|14107|380|1,4|45|2000|1</v>
          </cell>
        </row>
        <row r="6984">
          <cell r="A6984">
            <v>97145</v>
          </cell>
          <cell r="B6984">
            <v>0</v>
          </cell>
          <cell r="C6984" t="str">
            <v>4|1|60000,1|14003|2,1|14102|10</v>
          </cell>
          <cell r="D6984" t="str">
            <v>精英副本宝箱奖励145</v>
          </cell>
          <cell r="E6984" t="str">
            <v>4|1|60000|1,1|14003|2|1,1|14102|10|1</v>
          </cell>
        </row>
        <row r="6985">
          <cell r="A6985">
            <v>97146</v>
          </cell>
          <cell r="B6985">
            <v>0</v>
          </cell>
          <cell r="C6985" t="str">
            <v>4|1|80000,1|14003|2,4|4|460</v>
          </cell>
          <cell r="D6985" t="str">
            <v>精英副本宝箱奖励146</v>
          </cell>
          <cell r="E6985" t="str">
            <v>4|1|80000|1,1|14003|2|1,4|4|460|1</v>
          </cell>
        </row>
        <row r="6986">
          <cell r="A6986">
            <v>97147</v>
          </cell>
          <cell r="B6986">
            <v>0</v>
          </cell>
          <cell r="C6986" t="str">
            <v>4|1|100000,4|2|580,1|14107|390,4|45|2000</v>
          </cell>
          <cell r="D6986" t="str">
            <v>精英副本宝箱奖励147</v>
          </cell>
          <cell r="E6986" t="str">
            <v>4|1|100000|1,4|2|580|1,1|14107|390|1,4|45|2000|1</v>
          </cell>
        </row>
        <row r="6987">
          <cell r="A6987">
            <v>97148</v>
          </cell>
          <cell r="B6987">
            <v>0</v>
          </cell>
          <cell r="C6987" t="str">
            <v>4|1|60000,1|14003|2,1|14102|10</v>
          </cell>
          <cell r="D6987" t="str">
            <v>精英副本宝箱奖励148</v>
          </cell>
          <cell r="E6987" t="str">
            <v>4|1|60000|1,1|14003|2|1,1|14102|10|1</v>
          </cell>
        </row>
        <row r="6988">
          <cell r="A6988">
            <v>97149</v>
          </cell>
          <cell r="B6988">
            <v>0</v>
          </cell>
          <cell r="C6988" t="str">
            <v>4|1|80000,1|14003|2,4|4|460</v>
          </cell>
          <cell r="D6988" t="str">
            <v>精英副本宝箱奖励149</v>
          </cell>
          <cell r="E6988" t="str">
            <v>4|1|80000|1,1|14003|2|1,4|4|460|1</v>
          </cell>
        </row>
        <row r="6989">
          <cell r="A6989">
            <v>97150</v>
          </cell>
          <cell r="B6989">
            <v>0</v>
          </cell>
          <cell r="C6989" t="str">
            <v>4|1|100000,4|2|580,1|14107|390,4|45|2000</v>
          </cell>
          <cell r="D6989" t="str">
            <v>精英副本宝箱奖励150</v>
          </cell>
          <cell r="E6989" t="str">
            <v>4|1|100000|1,4|2|580|1,1|14107|390|1,4|45|2000|1</v>
          </cell>
        </row>
        <row r="6990">
          <cell r="A6990">
            <v>97151</v>
          </cell>
          <cell r="B6990">
            <v>0</v>
          </cell>
          <cell r="C6990" t="str">
            <v>4|1|60000,1|14003|2,1|14102|10</v>
          </cell>
          <cell r="D6990" t="str">
            <v>精英副本宝箱奖励151</v>
          </cell>
          <cell r="E6990" t="str">
            <v>4|1|60000|1,1|14003|2|1,1|14102|10|1</v>
          </cell>
        </row>
        <row r="6991">
          <cell r="A6991">
            <v>97152</v>
          </cell>
          <cell r="B6991">
            <v>0</v>
          </cell>
          <cell r="C6991" t="str">
            <v>4|1|80000,1|14003|2,4|4|470</v>
          </cell>
          <cell r="D6991" t="str">
            <v>精英副本宝箱奖励152</v>
          </cell>
          <cell r="E6991" t="str">
            <v>4|1|80000|1,1|14003|2|1,4|4|470|1</v>
          </cell>
        </row>
        <row r="6992">
          <cell r="A6992">
            <v>97153</v>
          </cell>
          <cell r="B6992">
            <v>0</v>
          </cell>
          <cell r="C6992" t="str">
            <v>4|1|100000,4|2|600,1|14107|400,4|45|2000</v>
          </cell>
          <cell r="D6992" t="str">
            <v>精英副本宝箱奖励153</v>
          </cell>
          <cell r="E6992" t="str">
            <v>4|1|100000|1,4|2|600|1,1|14107|400|1,4|45|2000|1</v>
          </cell>
        </row>
        <row r="6993">
          <cell r="A6993">
            <v>97154</v>
          </cell>
          <cell r="B6993">
            <v>0</v>
          </cell>
          <cell r="C6993" t="str">
            <v>4|1|60000,1|14003|2,1|14102|10</v>
          </cell>
          <cell r="D6993" t="str">
            <v>精英副本宝箱奖励154</v>
          </cell>
          <cell r="E6993" t="str">
            <v>4|1|60000|1,1|14003|2|1,1|14102|10|1</v>
          </cell>
        </row>
        <row r="6994">
          <cell r="A6994">
            <v>97155</v>
          </cell>
          <cell r="B6994">
            <v>0</v>
          </cell>
          <cell r="C6994" t="str">
            <v>4|1|80000,1|14003|2,4|4|470</v>
          </cell>
          <cell r="D6994" t="str">
            <v>精英副本宝箱奖励155</v>
          </cell>
          <cell r="E6994" t="str">
            <v>4|1|80000|1,1|14003|2|1,4|4|470|1</v>
          </cell>
        </row>
        <row r="6995">
          <cell r="A6995">
            <v>97156</v>
          </cell>
          <cell r="B6995">
            <v>0</v>
          </cell>
          <cell r="C6995" t="str">
            <v>4|1|100000,4|2|600,1|14107|400,4|45|2000</v>
          </cell>
          <cell r="D6995" t="str">
            <v>精英副本宝箱奖励156</v>
          </cell>
          <cell r="E6995" t="str">
            <v>4|1|100000|1,4|2|600|1,1|14107|400|1,4|45|2000|1</v>
          </cell>
        </row>
        <row r="6996">
          <cell r="A6996">
            <v>97157</v>
          </cell>
          <cell r="B6996">
            <v>0</v>
          </cell>
          <cell r="C6996" t="str">
            <v>4|1|60000,1|14003|2,1|14102|10</v>
          </cell>
          <cell r="D6996" t="str">
            <v>精英副本宝箱奖励157</v>
          </cell>
          <cell r="E6996" t="str">
            <v>4|1|60000|1,1|14003|2|1,1|14102|10|1</v>
          </cell>
        </row>
        <row r="6997">
          <cell r="A6997">
            <v>97158</v>
          </cell>
          <cell r="B6997">
            <v>0</v>
          </cell>
          <cell r="C6997" t="str">
            <v>4|1|80000,1|14003|2,4|4|480</v>
          </cell>
          <cell r="D6997" t="str">
            <v>精英副本宝箱奖励158</v>
          </cell>
          <cell r="E6997" t="str">
            <v>4|1|80000|1,1|14003|2|1,4|4|480|1</v>
          </cell>
        </row>
        <row r="6998">
          <cell r="A6998">
            <v>97159</v>
          </cell>
          <cell r="B6998">
            <v>0</v>
          </cell>
          <cell r="C6998" t="str">
            <v>4|1|100000,4|2|620,1|14107|410,4|45|2000</v>
          </cell>
          <cell r="D6998" t="str">
            <v>精英副本宝箱奖励159</v>
          </cell>
          <cell r="E6998" t="str">
            <v>4|1|100000|1,4|2|620|1,1|14107|410|1,4|45|2000|1</v>
          </cell>
        </row>
        <row r="6999">
          <cell r="A6999">
            <v>97160</v>
          </cell>
          <cell r="B6999">
            <v>0</v>
          </cell>
          <cell r="C6999" t="str">
            <v>4|1|60000,1|14003|2,1|14102|10</v>
          </cell>
          <cell r="D6999" t="str">
            <v>精英副本宝箱奖励160</v>
          </cell>
          <cell r="E6999" t="str">
            <v>4|1|60000|1,1|14003|2|1,1|14102|10|1</v>
          </cell>
        </row>
        <row r="7000">
          <cell r="A7000">
            <v>97161</v>
          </cell>
          <cell r="B7000">
            <v>0</v>
          </cell>
          <cell r="C7000" t="str">
            <v>4|1|80000,1|14003|2,4|4|480</v>
          </cell>
          <cell r="D7000" t="str">
            <v>精英副本宝箱奖励161</v>
          </cell>
          <cell r="E7000" t="str">
            <v>4|1|80000|1,1|14003|2|1,4|4|480|1</v>
          </cell>
        </row>
        <row r="7001">
          <cell r="A7001">
            <v>97162</v>
          </cell>
          <cell r="B7001">
            <v>0</v>
          </cell>
          <cell r="C7001" t="str">
            <v>4|1|100000,4|2|620,1|14107|410,4|45|2000</v>
          </cell>
          <cell r="D7001" t="str">
            <v>精英副本宝箱奖励162</v>
          </cell>
          <cell r="E7001" t="str">
            <v>4|1|100000|1,4|2|620|1,1|14107|410|1,4|45|2000|1</v>
          </cell>
        </row>
        <row r="7002">
          <cell r="A7002">
            <v>97163</v>
          </cell>
          <cell r="B7002">
            <v>0</v>
          </cell>
          <cell r="C7002" t="str">
            <v>4|1|60000,1|14003|2,1|14102|10</v>
          </cell>
          <cell r="D7002" t="str">
            <v>精英副本宝箱奖励163</v>
          </cell>
          <cell r="E7002" t="str">
            <v>4|1|60000|1,1|14003|2|1,1|14102|10|1</v>
          </cell>
        </row>
        <row r="7003">
          <cell r="A7003">
            <v>97164</v>
          </cell>
          <cell r="B7003">
            <v>0</v>
          </cell>
          <cell r="C7003" t="str">
            <v>4|1|80000,1|14003|2,4|4|490</v>
          </cell>
          <cell r="D7003" t="str">
            <v>精英副本宝箱奖励164</v>
          </cell>
          <cell r="E7003" t="str">
            <v>4|1|80000|1,1|14003|2|1,4|4|490|1</v>
          </cell>
        </row>
        <row r="7004">
          <cell r="A7004">
            <v>97165</v>
          </cell>
          <cell r="B7004">
            <v>0</v>
          </cell>
          <cell r="C7004" t="str">
            <v>4|1|100000,4|2|640,1|14107|420,4|45|2000</v>
          </cell>
          <cell r="D7004" t="str">
            <v>精英副本宝箱奖励165</v>
          </cell>
          <cell r="E7004" t="str">
            <v>4|1|100000|1,4|2|640|1,1|14107|420|1,4|45|2000|1</v>
          </cell>
        </row>
        <row r="7005">
          <cell r="A7005">
            <v>97166</v>
          </cell>
          <cell r="B7005">
            <v>0</v>
          </cell>
          <cell r="C7005" t="str">
            <v>4|1|60000,1|14003|2,1|14102|10</v>
          </cell>
          <cell r="D7005" t="str">
            <v>精英副本宝箱奖励166</v>
          </cell>
          <cell r="E7005" t="str">
            <v>4|1|60000|1,1|14003|2|1,1|14102|10|1</v>
          </cell>
        </row>
        <row r="7006">
          <cell r="A7006">
            <v>97167</v>
          </cell>
          <cell r="B7006">
            <v>0</v>
          </cell>
          <cell r="C7006" t="str">
            <v>4|1|80000,1|14003|2,4|4|490</v>
          </cell>
          <cell r="D7006" t="str">
            <v>精英副本宝箱奖励167</v>
          </cell>
          <cell r="E7006" t="str">
            <v>4|1|80000|1,1|14003|2|1,4|4|490|1</v>
          </cell>
        </row>
        <row r="7007">
          <cell r="A7007">
            <v>97168</v>
          </cell>
          <cell r="B7007">
            <v>0</v>
          </cell>
          <cell r="C7007" t="str">
            <v>4|1|100000,4|2|640,1|14107|420,4|45|2000</v>
          </cell>
          <cell r="D7007" t="str">
            <v>精英副本宝箱奖励168</v>
          </cell>
          <cell r="E7007" t="str">
            <v>4|1|100000|1,4|2|640|1,1|14107|420|1,4|45|2000|1</v>
          </cell>
        </row>
        <row r="7008">
          <cell r="A7008">
            <v>97169</v>
          </cell>
          <cell r="B7008">
            <v>0</v>
          </cell>
          <cell r="C7008" t="str">
            <v>4|1|60000,1|14003|2,1|14102|10</v>
          </cell>
          <cell r="D7008" t="str">
            <v>精英副本宝箱奖励169</v>
          </cell>
          <cell r="E7008" t="str">
            <v>4|1|60000|1,1|14003|2|1,1|14102|10|1</v>
          </cell>
        </row>
        <row r="7009">
          <cell r="A7009">
            <v>97170</v>
          </cell>
          <cell r="B7009">
            <v>0</v>
          </cell>
          <cell r="C7009" t="str">
            <v>4|1|80000,1|14003|2,4|4|500</v>
          </cell>
          <cell r="D7009" t="str">
            <v>精英副本宝箱奖励170</v>
          </cell>
          <cell r="E7009" t="str">
            <v>4|1|80000|1,1|14003|2|1,4|4|500|1</v>
          </cell>
        </row>
        <row r="7010">
          <cell r="A7010">
            <v>97171</v>
          </cell>
          <cell r="B7010">
            <v>0</v>
          </cell>
          <cell r="C7010" t="str">
            <v>4|1|100000,4|2|660,1|14107|430,4|45|2000</v>
          </cell>
          <cell r="D7010" t="str">
            <v>精英副本宝箱奖励171</v>
          </cell>
          <cell r="E7010" t="str">
            <v>4|1|100000|1,4|2|660|1,1|14107|430|1,4|45|2000|1</v>
          </cell>
        </row>
        <row r="7011">
          <cell r="A7011">
            <v>97172</v>
          </cell>
          <cell r="B7011">
            <v>0</v>
          </cell>
          <cell r="C7011" t="str">
            <v>4|1|60000,1|14003|2,1|14102|10</v>
          </cell>
          <cell r="D7011" t="str">
            <v>精英副本宝箱奖励172</v>
          </cell>
          <cell r="E7011" t="str">
            <v>4|1|60000|1,1|14003|2|1,1|14102|10|1</v>
          </cell>
        </row>
        <row r="7012">
          <cell r="A7012">
            <v>97173</v>
          </cell>
          <cell r="B7012">
            <v>0</v>
          </cell>
          <cell r="C7012" t="str">
            <v>4|1|80000,1|14003|2,4|4|500</v>
          </cell>
          <cell r="D7012" t="str">
            <v>精英副本宝箱奖励173</v>
          </cell>
          <cell r="E7012" t="str">
            <v>4|1|80000|1,1|14003|2|1,4|4|500|1</v>
          </cell>
        </row>
        <row r="7013">
          <cell r="A7013">
            <v>97174</v>
          </cell>
          <cell r="B7013">
            <v>0</v>
          </cell>
          <cell r="C7013" t="str">
            <v>4|1|100000,4|2|660,1|14107|430,4|45|2000</v>
          </cell>
          <cell r="D7013" t="str">
            <v>精英副本宝箱奖励174</v>
          </cell>
          <cell r="E7013" t="str">
            <v>4|1|100000|1,4|2|660|1,1|14107|430|1,4|45|2000|1</v>
          </cell>
        </row>
        <row r="7014">
          <cell r="A7014">
            <v>97175</v>
          </cell>
          <cell r="B7014">
            <v>0</v>
          </cell>
          <cell r="C7014" t="str">
            <v>4|1|60000,1|14003|2,1|14102|10</v>
          </cell>
          <cell r="D7014" t="str">
            <v>精英副本宝箱奖励175</v>
          </cell>
          <cell r="E7014" t="str">
            <v>4|1|60000|1,1|14003|2|1,1|14102|10|1</v>
          </cell>
        </row>
        <row r="7015">
          <cell r="A7015">
            <v>97176</v>
          </cell>
          <cell r="B7015">
            <v>0</v>
          </cell>
          <cell r="C7015" t="str">
            <v>4|1|80000,1|14003|2,4|4|510</v>
          </cell>
          <cell r="D7015" t="str">
            <v>精英副本宝箱奖励176</v>
          </cell>
          <cell r="E7015" t="str">
            <v>4|1|80000|1,1|14003|2|1,4|4|510|1</v>
          </cell>
        </row>
        <row r="7016">
          <cell r="A7016">
            <v>97177</v>
          </cell>
          <cell r="B7016">
            <v>0</v>
          </cell>
          <cell r="C7016" t="str">
            <v>4|1|100000,4|2|680,1|14107|440,4|45|2000</v>
          </cell>
          <cell r="D7016" t="str">
            <v>精英副本宝箱奖励177</v>
          </cell>
          <cell r="E7016" t="str">
            <v>4|1|100000|1,4|2|680|1,1|14107|440|1,4|45|2000|1</v>
          </cell>
        </row>
        <row r="7017">
          <cell r="A7017">
            <v>97178</v>
          </cell>
          <cell r="B7017">
            <v>0</v>
          </cell>
          <cell r="C7017" t="str">
            <v>4|1|60000,1|14003|2,1|14102|10</v>
          </cell>
          <cell r="D7017" t="str">
            <v>精英副本宝箱奖励178</v>
          </cell>
          <cell r="E7017" t="str">
            <v>4|1|60000|1,1|14003|2|1,1|14102|10|1</v>
          </cell>
        </row>
        <row r="7018">
          <cell r="A7018">
            <v>97179</v>
          </cell>
          <cell r="B7018">
            <v>0</v>
          </cell>
          <cell r="C7018" t="str">
            <v>4|1|80000,1|14003|2,4|4|510</v>
          </cell>
          <cell r="D7018" t="str">
            <v>精英副本宝箱奖励179</v>
          </cell>
          <cell r="E7018" t="str">
            <v>4|1|80000|1,1|14003|2|1,4|4|510|1</v>
          </cell>
        </row>
        <row r="7019">
          <cell r="A7019">
            <v>97180</v>
          </cell>
          <cell r="B7019">
            <v>0</v>
          </cell>
          <cell r="C7019" t="str">
            <v>4|1|100000,4|2|680,1|14107|440,4|45|2000</v>
          </cell>
          <cell r="D7019" t="str">
            <v>精英副本宝箱奖励180</v>
          </cell>
          <cell r="E7019" t="str">
            <v>4|1|100000|1,4|2|680|1,1|14107|440|1,4|45|2000|1</v>
          </cell>
        </row>
        <row r="7020">
          <cell r="A7020">
            <v>97181</v>
          </cell>
          <cell r="B7020">
            <v>0</v>
          </cell>
          <cell r="C7020" t="str">
            <v>4|1|60000,1|14003|2,1|14102|10</v>
          </cell>
          <cell r="D7020" t="str">
            <v>精英副本宝箱奖励181</v>
          </cell>
          <cell r="E7020" t="str">
            <v>4|1|60000|1,1|14003|2|1,1|14102|10|1</v>
          </cell>
        </row>
        <row r="7021">
          <cell r="A7021">
            <v>97182</v>
          </cell>
          <cell r="B7021">
            <v>0</v>
          </cell>
          <cell r="C7021" t="str">
            <v>4|1|80000,1|14003|2,4|4|520</v>
          </cell>
          <cell r="D7021" t="str">
            <v>精英副本宝箱奖励182</v>
          </cell>
          <cell r="E7021" t="str">
            <v>4|1|80000|1,1|14003|2|1,4|4|520|1</v>
          </cell>
        </row>
        <row r="7022">
          <cell r="A7022">
            <v>97183</v>
          </cell>
          <cell r="B7022">
            <v>0</v>
          </cell>
          <cell r="C7022" t="str">
            <v>4|1|100000,4|2|700,1|14107|450,4|45|2000</v>
          </cell>
          <cell r="D7022" t="str">
            <v>精英副本宝箱奖励183</v>
          </cell>
          <cell r="E7022" t="str">
            <v>4|1|100000|1,4|2|700|1,1|14107|450|1,4|45|2000|1</v>
          </cell>
        </row>
        <row r="7023">
          <cell r="A7023">
            <v>97184</v>
          </cell>
          <cell r="B7023">
            <v>0</v>
          </cell>
          <cell r="C7023" t="str">
            <v>4|1|60000,1|14003|2,1|14102|10</v>
          </cell>
          <cell r="D7023" t="str">
            <v>精英副本宝箱奖励184</v>
          </cell>
          <cell r="E7023" t="str">
            <v>4|1|60000|1,1|14003|2|1,1|14102|10|1</v>
          </cell>
        </row>
        <row r="7024">
          <cell r="A7024">
            <v>97185</v>
          </cell>
          <cell r="B7024">
            <v>0</v>
          </cell>
          <cell r="C7024" t="str">
            <v>4|1|80000,1|14003|2,4|4|520</v>
          </cell>
          <cell r="D7024" t="str">
            <v>精英副本宝箱奖励185</v>
          </cell>
          <cell r="E7024" t="str">
            <v>4|1|80000|1,1|14003|2|1,4|4|520|1</v>
          </cell>
        </row>
        <row r="7025">
          <cell r="A7025">
            <v>97186</v>
          </cell>
          <cell r="B7025">
            <v>0</v>
          </cell>
          <cell r="C7025" t="str">
            <v>4|1|100000,4|2|700,1|14107|450,4|45|2000</v>
          </cell>
          <cell r="D7025" t="str">
            <v>精英副本宝箱奖励186</v>
          </cell>
          <cell r="E7025" t="str">
            <v>4|1|100000|1,4|2|700|1,1|14107|450|1,4|45|2000|1</v>
          </cell>
        </row>
        <row r="7026">
          <cell r="A7026">
            <v>97187</v>
          </cell>
          <cell r="B7026">
            <v>0</v>
          </cell>
          <cell r="C7026" t="str">
            <v>4|1|60000,1|14003|2,1|14102|10</v>
          </cell>
          <cell r="D7026" t="str">
            <v>精英副本宝箱奖励187</v>
          </cell>
          <cell r="E7026" t="str">
            <v>4|1|60000|1,1|14003|2|1,1|14102|10|1</v>
          </cell>
        </row>
        <row r="7027">
          <cell r="A7027">
            <v>97188</v>
          </cell>
          <cell r="B7027">
            <v>0</v>
          </cell>
          <cell r="C7027" t="str">
            <v>4|1|80000,1|14003|2,4|4|530</v>
          </cell>
          <cell r="D7027" t="str">
            <v>精英副本宝箱奖励188</v>
          </cell>
          <cell r="E7027" t="str">
            <v>4|1|80000|1,1|14003|2|1,4|4|530|1</v>
          </cell>
        </row>
        <row r="7028">
          <cell r="A7028">
            <v>97189</v>
          </cell>
          <cell r="B7028">
            <v>0</v>
          </cell>
          <cell r="C7028" t="str">
            <v>4|1|100000,4|2|720,1|14107|460,4|45|2000</v>
          </cell>
          <cell r="D7028" t="str">
            <v>精英副本宝箱奖励189</v>
          </cell>
          <cell r="E7028" t="str">
            <v>4|1|100000|1,4|2|720|1,1|14107|460|1,4|45|2000|1</v>
          </cell>
        </row>
        <row r="7029">
          <cell r="A7029">
            <v>97190</v>
          </cell>
          <cell r="B7029">
            <v>0</v>
          </cell>
          <cell r="C7029" t="str">
            <v>4|1|60000,1|14003|2,1|14102|10</v>
          </cell>
          <cell r="D7029" t="str">
            <v>精英副本宝箱奖励190</v>
          </cell>
          <cell r="E7029" t="str">
            <v>4|1|60000|1,1|14003|2|1,1|14102|10|1</v>
          </cell>
        </row>
        <row r="7030">
          <cell r="A7030">
            <v>97191</v>
          </cell>
          <cell r="B7030">
            <v>0</v>
          </cell>
          <cell r="C7030" t="str">
            <v>4|1|80000,1|14003|2,4|4|530</v>
          </cell>
          <cell r="D7030" t="str">
            <v>精英副本宝箱奖励191</v>
          </cell>
          <cell r="E7030" t="str">
            <v>4|1|80000|1,1|14003|2|1,4|4|530|1</v>
          </cell>
        </row>
        <row r="7031">
          <cell r="A7031">
            <v>97192</v>
          </cell>
          <cell r="B7031">
            <v>0</v>
          </cell>
          <cell r="C7031" t="str">
            <v>4|1|100000,4|2|720,1|14107|460,4|45|2000</v>
          </cell>
          <cell r="D7031" t="str">
            <v>精英副本宝箱奖励192</v>
          </cell>
          <cell r="E7031" t="str">
            <v>4|1|100000|1,4|2|720|1,1|14107|460|1,4|45|2000|1</v>
          </cell>
        </row>
        <row r="7032">
          <cell r="A7032">
            <v>97193</v>
          </cell>
          <cell r="B7032">
            <v>0</v>
          </cell>
          <cell r="C7032" t="str">
            <v>4|1|60000,1|14003|2,1|14102|10</v>
          </cell>
          <cell r="D7032" t="str">
            <v>精英副本宝箱奖励193</v>
          </cell>
          <cell r="E7032" t="str">
            <v>4|1|60000|1,1|14003|2|1,1|14102|10|1</v>
          </cell>
        </row>
        <row r="7033">
          <cell r="A7033">
            <v>97194</v>
          </cell>
          <cell r="B7033">
            <v>0</v>
          </cell>
          <cell r="C7033" t="str">
            <v>4|1|80000,1|14003|2,4|4|540</v>
          </cell>
          <cell r="D7033" t="str">
            <v>精英副本宝箱奖励194</v>
          </cell>
          <cell r="E7033" t="str">
            <v>4|1|80000|1,1|14003|2|1,4|4|540|1</v>
          </cell>
        </row>
        <row r="7034">
          <cell r="A7034">
            <v>97195</v>
          </cell>
          <cell r="B7034">
            <v>0</v>
          </cell>
          <cell r="C7034" t="str">
            <v>4|1|100000,4|2|740,1|14107|470,4|45|2000</v>
          </cell>
          <cell r="D7034" t="str">
            <v>精英副本宝箱奖励195</v>
          </cell>
          <cell r="E7034" t="str">
            <v>4|1|100000|1,4|2|740|1,1|14107|470|1,4|45|2000|1</v>
          </cell>
        </row>
        <row r="7035">
          <cell r="A7035">
            <v>97196</v>
          </cell>
          <cell r="B7035">
            <v>0</v>
          </cell>
          <cell r="C7035" t="str">
            <v>4|1|60000,1|14003|2,1|14102|10</v>
          </cell>
          <cell r="D7035" t="str">
            <v>精英副本宝箱奖励196</v>
          </cell>
          <cell r="E7035" t="str">
            <v>4|1|60000|1,1|14003|2|1,1|14102|10|1</v>
          </cell>
        </row>
        <row r="7036">
          <cell r="A7036">
            <v>97197</v>
          </cell>
          <cell r="B7036">
            <v>0</v>
          </cell>
          <cell r="C7036" t="str">
            <v>4|1|80000,1|14003|2,4|4|540</v>
          </cell>
          <cell r="D7036" t="str">
            <v>精英副本宝箱奖励197</v>
          </cell>
          <cell r="E7036" t="str">
            <v>4|1|80000|1,1|14003|2|1,4|4|540|1</v>
          </cell>
        </row>
        <row r="7037">
          <cell r="A7037">
            <v>97198</v>
          </cell>
          <cell r="B7037">
            <v>0</v>
          </cell>
          <cell r="C7037" t="str">
            <v>4|1|100000,4|2|740,1|14107|470,4|45|2000</v>
          </cell>
          <cell r="D7037" t="str">
            <v>精英副本宝箱奖励198</v>
          </cell>
          <cell r="E7037" t="str">
            <v>4|1|100000|1,4|2|740|1,1|14107|470|1,4|45|2000|1</v>
          </cell>
        </row>
        <row r="7038">
          <cell r="A7038">
            <v>97199</v>
          </cell>
          <cell r="B7038">
            <v>0</v>
          </cell>
          <cell r="C7038" t="str">
            <v>4|1|60000,1|14003|2,1|14102|10</v>
          </cell>
          <cell r="D7038" t="str">
            <v>精英副本宝箱奖励199</v>
          </cell>
          <cell r="E7038" t="str">
            <v>4|1|60000|1,1|14003|2|1,1|14102|10|1</v>
          </cell>
        </row>
        <row r="7039">
          <cell r="A7039">
            <v>97200</v>
          </cell>
          <cell r="B7039">
            <v>0</v>
          </cell>
          <cell r="C7039" t="str">
            <v>4|1|80000,1|14003|2,4|4|550</v>
          </cell>
          <cell r="D7039" t="str">
            <v>精英副本宝箱奖励200</v>
          </cell>
          <cell r="E7039" t="str">
            <v>4|1|80000|1,1|14003|2|1,4|4|550|1</v>
          </cell>
        </row>
        <row r="7040">
          <cell r="A7040">
            <v>97201</v>
          </cell>
          <cell r="B7040">
            <v>0</v>
          </cell>
          <cell r="C7040" t="str">
            <v>4|1|100000,4|2|760,1|14107|480,4|45|2000</v>
          </cell>
          <cell r="D7040" t="str">
            <v>精英副本宝箱奖励201</v>
          </cell>
          <cell r="E7040" t="str">
            <v>4|1|100000|1,4|2|760|1,1|14107|480|1,4|45|2000|1</v>
          </cell>
        </row>
        <row r="7041">
          <cell r="A7041">
            <v>97202</v>
          </cell>
          <cell r="B7041">
            <v>0</v>
          </cell>
          <cell r="C7041" t="str">
            <v>4|1|60000,1|14003|2,1|14102|10</v>
          </cell>
          <cell r="D7041" t="str">
            <v>精英副本宝箱奖励202</v>
          </cell>
          <cell r="E7041" t="str">
            <v>4|1|60000|1,1|14003|2|1,1|14102|10|1</v>
          </cell>
        </row>
        <row r="7042">
          <cell r="A7042">
            <v>97203</v>
          </cell>
          <cell r="B7042">
            <v>0</v>
          </cell>
          <cell r="C7042" t="str">
            <v>4|1|80000,1|14003|2,4|4|550</v>
          </cell>
          <cell r="D7042" t="str">
            <v>精英副本宝箱奖励203</v>
          </cell>
          <cell r="E7042" t="str">
            <v>4|1|80000|1,1|14003|2|1,4|4|550|1</v>
          </cell>
        </row>
        <row r="7043">
          <cell r="A7043">
            <v>97204</v>
          </cell>
          <cell r="B7043">
            <v>0</v>
          </cell>
          <cell r="C7043" t="str">
            <v>4|1|100000,4|2|760,1|14107|480,4|45|2000</v>
          </cell>
          <cell r="D7043" t="str">
            <v>精英副本宝箱奖励204</v>
          </cell>
          <cell r="E7043" t="str">
            <v>4|1|100000|1,4|2|760|1,1|14107|480|1,4|45|2000|1</v>
          </cell>
        </row>
        <row r="7044">
          <cell r="A7044">
            <v>97205</v>
          </cell>
          <cell r="B7044">
            <v>0</v>
          </cell>
          <cell r="C7044" t="str">
            <v>4|1|60000,1|14003|2,1|14102|10</v>
          </cell>
          <cell r="D7044" t="str">
            <v>精英副本宝箱奖励205</v>
          </cell>
          <cell r="E7044" t="str">
            <v>4|1|60000|1,1|14003|2|1,1|14102|10|1</v>
          </cell>
        </row>
        <row r="7045">
          <cell r="A7045">
            <v>97206</v>
          </cell>
          <cell r="B7045">
            <v>0</v>
          </cell>
          <cell r="C7045" t="str">
            <v>4|1|80000,1|14003|2,4|4|560</v>
          </cell>
          <cell r="D7045" t="str">
            <v>精英副本宝箱奖励206</v>
          </cell>
          <cell r="E7045" t="str">
            <v>4|1|80000|1,1|14003|2|1,4|4|560|1</v>
          </cell>
        </row>
        <row r="7046">
          <cell r="A7046">
            <v>97207</v>
          </cell>
          <cell r="B7046">
            <v>0</v>
          </cell>
          <cell r="C7046" t="str">
            <v>4|1|100000,4|2|780,1|14107|490,4|45|2000</v>
          </cell>
          <cell r="D7046" t="str">
            <v>精英副本宝箱奖励207</v>
          </cell>
          <cell r="E7046" t="str">
            <v>4|1|100000|1,4|2|780|1,1|14107|490|1,4|45|2000|1</v>
          </cell>
        </row>
        <row r="7047">
          <cell r="A7047">
            <v>97208</v>
          </cell>
          <cell r="B7047">
            <v>0</v>
          </cell>
          <cell r="C7047" t="str">
            <v>4|1|60000,1|14003|2,1|14102|10</v>
          </cell>
          <cell r="D7047" t="str">
            <v>精英副本宝箱奖励208</v>
          </cell>
          <cell r="E7047" t="str">
            <v>4|1|60000|1,1|14003|2|1,1|14102|10|1</v>
          </cell>
        </row>
        <row r="7048">
          <cell r="A7048">
            <v>97209</v>
          </cell>
          <cell r="B7048">
            <v>0</v>
          </cell>
          <cell r="C7048" t="str">
            <v>4|1|80000,1|14003|2,4|4|560</v>
          </cell>
          <cell r="D7048" t="str">
            <v>精英副本宝箱奖励209</v>
          </cell>
          <cell r="E7048" t="str">
            <v>4|1|80000|1,1|14003|2|1,4|4|560|1</v>
          </cell>
        </row>
        <row r="7049">
          <cell r="A7049">
            <v>97210</v>
          </cell>
          <cell r="B7049">
            <v>0</v>
          </cell>
          <cell r="C7049" t="str">
            <v>4|1|100000,4|2|780,1|14107|490,4|45|2000</v>
          </cell>
          <cell r="D7049" t="str">
            <v>精英副本宝箱奖励210</v>
          </cell>
          <cell r="E7049" t="str">
            <v>4|1|100000|1,4|2|780|1,1|14107|490|1,4|45|2000|1</v>
          </cell>
        </row>
        <row r="7050">
          <cell r="A7050">
            <v>97211</v>
          </cell>
          <cell r="B7050">
            <v>0</v>
          </cell>
          <cell r="C7050" t="str">
            <v>4|1|60000,1|14003|2,1|14102|10</v>
          </cell>
          <cell r="D7050" t="str">
            <v>精英副本宝箱奖励211</v>
          </cell>
          <cell r="E7050" t="str">
            <v>4|1|60000|1,1|14003|2|1,1|14102|10|1</v>
          </cell>
        </row>
        <row r="7051">
          <cell r="A7051">
            <v>97212</v>
          </cell>
          <cell r="B7051">
            <v>0</v>
          </cell>
          <cell r="C7051" t="str">
            <v>4|1|80000,1|14003|2,4|4|570</v>
          </cell>
          <cell r="D7051" t="str">
            <v>精英副本宝箱奖励212</v>
          </cell>
          <cell r="E7051" t="str">
            <v>4|1|80000|1,1|14003|2|1,4|4|570|1</v>
          </cell>
        </row>
        <row r="7052">
          <cell r="A7052">
            <v>97213</v>
          </cell>
          <cell r="B7052">
            <v>0</v>
          </cell>
          <cell r="C7052" t="str">
            <v>4|1|100000,4|2|800,1|14107|500,4|45|2000</v>
          </cell>
          <cell r="D7052" t="str">
            <v>精英副本宝箱奖励213</v>
          </cell>
          <cell r="E7052" t="str">
            <v>4|1|100000|1,4|2|800|1,1|14107|500|1,4|45|2000|1</v>
          </cell>
        </row>
        <row r="7053">
          <cell r="A7053">
            <v>97214</v>
          </cell>
          <cell r="B7053">
            <v>0</v>
          </cell>
          <cell r="C7053" t="str">
            <v>4|1|60000,1|14003|2,1|14102|10</v>
          </cell>
          <cell r="D7053" t="str">
            <v>精英副本宝箱奖励214</v>
          </cell>
          <cell r="E7053" t="str">
            <v>4|1|60000|1,1|14003|2|1,1|14102|10|1</v>
          </cell>
        </row>
        <row r="7054">
          <cell r="A7054">
            <v>97215</v>
          </cell>
          <cell r="B7054">
            <v>0</v>
          </cell>
          <cell r="C7054" t="str">
            <v>4|1|80000,1|14003|2,4|4|570</v>
          </cell>
          <cell r="D7054" t="str">
            <v>精英副本宝箱奖励215</v>
          </cell>
          <cell r="E7054" t="str">
            <v>4|1|80000|1,1|14003|2|1,4|4|570|1</v>
          </cell>
        </row>
        <row r="7055">
          <cell r="A7055">
            <v>97216</v>
          </cell>
          <cell r="B7055">
            <v>0</v>
          </cell>
          <cell r="C7055" t="str">
            <v>4|1|100000,4|2|800,1|14107|500,4|45|2000</v>
          </cell>
          <cell r="D7055" t="str">
            <v>精英副本宝箱奖励216</v>
          </cell>
          <cell r="E7055" t="str">
            <v>4|1|100000|1,4|2|800|1,1|14107|500|1,4|45|2000|1</v>
          </cell>
        </row>
        <row r="7056">
          <cell r="A7056">
            <v>97217</v>
          </cell>
          <cell r="B7056">
            <v>0</v>
          </cell>
          <cell r="C7056" t="str">
            <v>4|1|60000,1|14003|2,1|14102|10</v>
          </cell>
          <cell r="D7056" t="str">
            <v>精英副本宝箱奖励217</v>
          </cell>
          <cell r="E7056" t="str">
            <v>4|1|60000|1,1|14003|2|1,1|14102|10|1</v>
          </cell>
        </row>
        <row r="7057">
          <cell r="A7057">
            <v>97218</v>
          </cell>
          <cell r="B7057">
            <v>0</v>
          </cell>
          <cell r="C7057" t="str">
            <v>4|1|80000,1|14003|2,4|4|580</v>
          </cell>
          <cell r="D7057" t="str">
            <v>精英副本宝箱奖励218</v>
          </cell>
          <cell r="E7057" t="str">
            <v>4|1|80000|1,1|14003|2|1,4|4|580|1</v>
          </cell>
        </row>
        <row r="7058">
          <cell r="A7058">
            <v>97219</v>
          </cell>
          <cell r="B7058">
            <v>0</v>
          </cell>
          <cell r="C7058" t="str">
            <v>4|1|100000,4|2|820,1|14107|510,4|45|2000</v>
          </cell>
          <cell r="D7058" t="str">
            <v>精英副本宝箱奖励219</v>
          </cell>
          <cell r="E7058" t="str">
            <v>4|1|100000|1,4|2|820|1,1|14107|510|1,4|45|2000|1</v>
          </cell>
        </row>
        <row r="7059">
          <cell r="A7059">
            <v>97220</v>
          </cell>
          <cell r="B7059">
            <v>0</v>
          </cell>
          <cell r="C7059" t="str">
            <v>4|1|60000,1|14003|2,1|14102|10</v>
          </cell>
          <cell r="D7059" t="str">
            <v>精英副本宝箱奖励220</v>
          </cell>
          <cell r="E7059" t="str">
            <v>4|1|60000|1,1|14003|2|1,1|14102|10|1</v>
          </cell>
        </row>
        <row r="7060">
          <cell r="A7060">
            <v>97221</v>
          </cell>
          <cell r="B7060">
            <v>0</v>
          </cell>
          <cell r="C7060" t="str">
            <v>4|1|80000,1|14003|2,4|4|580</v>
          </cell>
          <cell r="D7060" t="str">
            <v>精英副本宝箱奖励221</v>
          </cell>
          <cell r="E7060" t="str">
            <v>4|1|80000|1,1|14003|2|1,4|4|580|1</v>
          </cell>
        </row>
        <row r="7061">
          <cell r="A7061">
            <v>97222</v>
          </cell>
          <cell r="B7061">
            <v>0</v>
          </cell>
          <cell r="C7061" t="str">
            <v>4|1|100000,4|2|820,1|14107|510,4|45|2000</v>
          </cell>
          <cell r="D7061" t="str">
            <v>精英副本宝箱奖励222</v>
          </cell>
          <cell r="E7061" t="str">
            <v>4|1|100000|1,4|2|820|1,1|14107|510|1,4|45|2000|1</v>
          </cell>
        </row>
        <row r="7062">
          <cell r="A7062">
            <v>97223</v>
          </cell>
          <cell r="B7062">
            <v>0</v>
          </cell>
          <cell r="C7062" t="str">
            <v>4|1|60000,1|14003|2,1|14102|10</v>
          </cell>
          <cell r="D7062" t="str">
            <v>精英副本宝箱奖励223</v>
          </cell>
          <cell r="E7062" t="str">
            <v>4|1|60000|1,1|14003|2|1,1|14102|10|1</v>
          </cell>
        </row>
        <row r="7063">
          <cell r="A7063">
            <v>97224</v>
          </cell>
          <cell r="B7063">
            <v>0</v>
          </cell>
          <cell r="C7063" t="str">
            <v>4|1|80000,1|14003|2,4|4|590</v>
          </cell>
          <cell r="D7063" t="str">
            <v>精英副本宝箱奖励224</v>
          </cell>
          <cell r="E7063" t="str">
            <v>4|1|80000|1,1|14003|2|1,4|4|590|1</v>
          </cell>
        </row>
        <row r="7064">
          <cell r="A7064">
            <v>97225</v>
          </cell>
          <cell r="B7064">
            <v>0</v>
          </cell>
          <cell r="C7064" t="str">
            <v>4|1|100000,4|2|840,1|14107|520,4|45|2000</v>
          </cell>
          <cell r="D7064" t="str">
            <v>精英副本宝箱奖励225</v>
          </cell>
          <cell r="E7064" t="str">
            <v>4|1|100000|1,4|2|840|1,1|14107|520|1,4|45|2000|1</v>
          </cell>
        </row>
        <row r="7065">
          <cell r="A7065">
            <v>97226</v>
          </cell>
          <cell r="B7065">
            <v>0</v>
          </cell>
          <cell r="C7065" t="str">
            <v>4|1|60000,1|14003|2,1|14102|10</v>
          </cell>
          <cell r="D7065" t="str">
            <v>精英副本宝箱奖励226</v>
          </cell>
          <cell r="E7065" t="str">
            <v>4|1|60000|1,1|14003|2|1,1|14102|10|1</v>
          </cell>
        </row>
        <row r="7066">
          <cell r="A7066">
            <v>97227</v>
          </cell>
          <cell r="B7066">
            <v>0</v>
          </cell>
          <cell r="C7066" t="str">
            <v>4|1|80000,1|14003|2,4|4|590</v>
          </cell>
          <cell r="D7066" t="str">
            <v>精英副本宝箱奖励227</v>
          </cell>
          <cell r="E7066" t="str">
            <v>4|1|80000|1,1|14003|2|1,4|4|590|1</v>
          </cell>
        </row>
        <row r="7067">
          <cell r="A7067">
            <v>97228</v>
          </cell>
          <cell r="B7067">
            <v>0</v>
          </cell>
          <cell r="C7067" t="str">
            <v>4|1|100000,4|2|840,1|14107|520,4|45|2000</v>
          </cell>
          <cell r="D7067" t="str">
            <v>精英副本宝箱奖励228</v>
          </cell>
          <cell r="E7067" t="str">
            <v>4|1|100000|1,4|2|840|1,1|14107|520|1,4|45|2000|1</v>
          </cell>
        </row>
        <row r="7068">
          <cell r="A7068">
            <v>97229</v>
          </cell>
          <cell r="B7068">
            <v>0</v>
          </cell>
          <cell r="C7068" t="str">
            <v>4|1|60000,1|14003|2,1|14102|10</v>
          </cell>
          <cell r="D7068" t="str">
            <v>精英副本宝箱奖励229</v>
          </cell>
          <cell r="E7068" t="str">
            <v>4|1|60000|1,1|14003|2|1,1|14102|10|1</v>
          </cell>
        </row>
        <row r="7069">
          <cell r="A7069">
            <v>97230</v>
          </cell>
          <cell r="B7069">
            <v>0</v>
          </cell>
          <cell r="C7069" t="str">
            <v>4|1|80000,1|14003|2,4|4|600</v>
          </cell>
          <cell r="D7069" t="str">
            <v>精英副本宝箱奖励230</v>
          </cell>
          <cell r="E7069" t="str">
            <v>4|1|80000|1,1|14003|2|1,4|4|600|1</v>
          </cell>
        </row>
        <row r="7070">
          <cell r="A7070">
            <v>97231</v>
          </cell>
          <cell r="B7070">
            <v>0</v>
          </cell>
          <cell r="C7070" t="str">
            <v>4|1|100000,4|2|860,1|14107|530,4|45|2000</v>
          </cell>
          <cell r="D7070" t="str">
            <v>精英副本宝箱奖励231</v>
          </cell>
          <cell r="E7070" t="str">
            <v>4|1|100000|1,4|2|860|1,1|14107|530|1,4|45|2000|1</v>
          </cell>
        </row>
        <row r="7071">
          <cell r="A7071">
            <v>97232</v>
          </cell>
          <cell r="B7071">
            <v>0</v>
          </cell>
          <cell r="C7071" t="str">
            <v>4|1|60000,1|14003|2,1|14102|10</v>
          </cell>
          <cell r="D7071" t="str">
            <v>精英副本宝箱奖励232</v>
          </cell>
          <cell r="E7071" t="str">
            <v>4|1|60000|1,1|14003|2|1,1|14102|10|1</v>
          </cell>
        </row>
        <row r="7072">
          <cell r="A7072">
            <v>97233</v>
          </cell>
          <cell r="B7072">
            <v>0</v>
          </cell>
          <cell r="C7072" t="str">
            <v>4|1|80000,1|14003|2,4|4|600</v>
          </cell>
          <cell r="D7072" t="str">
            <v>精英副本宝箱奖励233</v>
          </cell>
          <cell r="E7072" t="str">
            <v>4|1|80000|1,1|14003|2|1,4|4|600|1</v>
          </cell>
        </row>
        <row r="7073">
          <cell r="A7073">
            <v>97234</v>
          </cell>
          <cell r="B7073">
            <v>0</v>
          </cell>
          <cell r="C7073" t="str">
            <v>4|1|100000,4|2|860,1|14107|530,4|45|2000</v>
          </cell>
          <cell r="D7073" t="str">
            <v>精英副本宝箱奖励234</v>
          </cell>
          <cell r="E7073" t="str">
            <v>4|1|100000|1,4|2|860|1,1|14107|530|1,4|45|2000|1</v>
          </cell>
        </row>
        <row r="7074">
          <cell r="A7074">
            <v>97235</v>
          </cell>
          <cell r="B7074">
            <v>0</v>
          </cell>
          <cell r="C7074" t="str">
            <v>4|1|60000,1|14003|2,1|14102|10</v>
          </cell>
          <cell r="D7074" t="str">
            <v>精英副本宝箱奖励235</v>
          </cell>
          <cell r="E7074" t="str">
            <v>4|1|60000|1,1|14003|2|1,1|14102|10|1</v>
          </cell>
        </row>
        <row r="7075">
          <cell r="A7075">
            <v>97236</v>
          </cell>
          <cell r="B7075">
            <v>0</v>
          </cell>
          <cell r="C7075" t="str">
            <v>4|1|80000,1|14003|2,4|4|610</v>
          </cell>
          <cell r="D7075" t="str">
            <v>精英副本宝箱奖励236</v>
          </cell>
          <cell r="E7075" t="str">
            <v>4|1|80000|1,1|14003|2|1,4|4|610|1</v>
          </cell>
        </row>
        <row r="7076">
          <cell r="A7076">
            <v>97237</v>
          </cell>
          <cell r="B7076">
            <v>0</v>
          </cell>
          <cell r="C7076" t="str">
            <v>4|1|100000,4|2|880,1|14107|540,4|45|2000</v>
          </cell>
          <cell r="D7076" t="str">
            <v>精英副本宝箱奖励237</v>
          </cell>
          <cell r="E7076" t="str">
            <v>4|1|100000|1,4|2|880|1,1|14107|540|1,4|45|2000|1</v>
          </cell>
        </row>
        <row r="7077">
          <cell r="A7077">
            <v>97238</v>
          </cell>
          <cell r="B7077">
            <v>0</v>
          </cell>
          <cell r="C7077" t="str">
            <v>4|1|60000,1|14003|2,1|14102|10</v>
          </cell>
          <cell r="D7077" t="str">
            <v>精英副本宝箱奖励238</v>
          </cell>
          <cell r="E7077" t="str">
            <v>4|1|60000|1,1|14003|2|1,1|14102|10|1</v>
          </cell>
        </row>
        <row r="7078">
          <cell r="A7078">
            <v>97239</v>
          </cell>
          <cell r="B7078">
            <v>0</v>
          </cell>
          <cell r="C7078" t="str">
            <v>4|1|80000,1|14003|2,4|4|610</v>
          </cell>
          <cell r="D7078" t="str">
            <v>精英副本宝箱奖励239</v>
          </cell>
          <cell r="E7078" t="str">
            <v>4|1|80000|1,1|14003|2|1,4|4|610|1</v>
          </cell>
        </row>
        <row r="7079">
          <cell r="A7079">
            <v>97240</v>
          </cell>
          <cell r="B7079">
            <v>0</v>
          </cell>
          <cell r="C7079" t="str">
            <v>4|1|100000,4|2|880,1|14107|540,4|45|2000</v>
          </cell>
          <cell r="D7079" t="str">
            <v>精英副本宝箱奖励240</v>
          </cell>
          <cell r="E7079" t="str">
            <v>4|1|100000|1,4|2|880|1,1|14107|540|1,4|45|2000|1</v>
          </cell>
        </row>
        <row r="7080">
          <cell r="A7080">
            <v>97241</v>
          </cell>
          <cell r="B7080">
            <v>0</v>
          </cell>
          <cell r="C7080" t="str">
            <v>4|1|60000,1|14003|2,1|14102|10</v>
          </cell>
          <cell r="D7080" t="str">
            <v>精英副本宝箱奖励241</v>
          </cell>
          <cell r="E7080" t="str">
            <v>4|1|60000|1,1|14003|2|1,1|14102|10|1</v>
          </cell>
        </row>
        <row r="7081">
          <cell r="A7081">
            <v>97242</v>
          </cell>
          <cell r="B7081">
            <v>0</v>
          </cell>
          <cell r="C7081" t="str">
            <v>4|1|80000,1|14003|2,4|4|620</v>
          </cell>
          <cell r="D7081" t="str">
            <v>精英副本宝箱奖励242</v>
          </cell>
          <cell r="E7081" t="str">
            <v>4|1|80000|1,1|14003|2|1,4|4|620|1</v>
          </cell>
        </row>
        <row r="7082">
          <cell r="A7082">
            <v>97243</v>
          </cell>
          <cell r="B7082">
            <v>0</v>
          </cell>
          <cell r="C7082" t="str">
            <v>4|1|100000,4|2|900,1|14107|550,4|45|2000</v>
          </cell>
          <cell r="D7082" t="str">
            <v>精英副本宝箱奖励243</v>
          </cell>
          <cell r="E7082" t="str">
            <v>4|1|100000|1,4|2|900|1,1|14107|550|1,4|45|2000|1</v>
          </cell>
        </row>
        <row r="7083">
          <cell r="A7083">
            <v>97244</v>
          </cell>
          <cell r="B7083">
            <v>0</v>
          </cell>
          <cell r="C7083" t="str">
            <v>4|1|60000,1|14003|2,1|14102|10</v>
          </cell>
          <cell r="D7083" t="str">
            <v>精英副本宝箱奖励244</v>
          </cell>
          <cell r="E7083" t="str">
            <v>4|1|60000|1,1|14003|2|1,1|14102|10|1</v>
          </cell>
        </row>
        <row r="7084">
          <cell r="A7084">
            <v>97245</v>
          </cell>
          <cell r="B7084">
            <v>0</v>
          </cell>
          <cell r="C7084" t="str">
            <v>4|1|80000,1|14003|2,4|4|620</v>
          </cell>
          <cell r="D7084" t="str">
            <v>精英副本宝箱奖励245</v>
          </cell>
          <cell r="E7084" t="str">
            <v>4|1|80000|1,1|14003|2|1,4|4|620|1</v>
          </cell>
        </row>
        <row r="7085">
          <cell r="A7085">
            <v>97246</v>
          </cell>
          <cell r="B7085">
            <v>0</v>
          </cell>
          <cell r="C7085" t="str">
            <v>4|1|100000,4|2|900,1|14107|550,4|45|2000</v>
          </cell>
          <cell r="D7085" t="str">
            <v>精英副本宝箱奖励246</v>
          </cell>
          <cell r="E7085" t="str">
            <v>4|1|100000|1,4|2|900|1,1|14107|550|1,4|45|2000|1</v>
          </cell>
        </row>
        <row r="7086">
          <cell r="A7086">
            <v>97247</v>
          </cell>
          <cell r="B7086">
            <v>0</v>
          </cell>
          <cell r="C7086" t="str">
            <v>4|1|60000,1|14003|2,1|14102|10</v>
          </cell>
          <cell r="D7086" t="str">
            <v>精英副本宝箱奖励247</v>
          </cell>
          <cell r="E7086" t="str">
            <v>4|1|60000|1,1|14003|2|1,1|14102|10|1</v>
          </cell>
        </row>
        <row r="7087">
          <cell r="A7087">
            <v>97248</v>
          </cell>
          <cell r="B7087">
            <v>0</v>
          </cell>
          <cell r="C7087" t="str">
            <v>4|1|80000,1|14003|2,4|4|630</v>
          </cell>
          <cell r="D7087" t="str">
            <v>精英副本宝箱奖励248</v>
          </cell>
          <cell r="E7087" t="str">
            <v>4|1|80000|1,1|14003|2|1,4|4|630|1</v>
          </cell>
        </row>
        <row r="7088">
          <cell r="A7088">
            <v>97249</v>
          </cell>
          <cell r="B7088">
            <v>0</v>
          </cell>
          <cell r="C7088" t="str">
            <v>4|1|100000,4|2|920,1|14107|560,4|45|2000</v>
          </cell>
          <cell r="D7088" t="str">
            <v>精英副本宝箱奖励249</v>
          </cell>
          <cell r="E7088" t="str">
            <v>4|1|100000|1,4|2|920|1,1|14107|560|1,4|45|2000|1</v>
          </cell>
        </row>
        <row r="7089">
          <cell r="A7089">
            <v>97250</v>
          </cell>
          <cell r="B7089">
            <v>0</v>
          </cell>
          <cell r="C7089" t="str">
            <v>4|1|60000,1|14003|2,1|14102|10</v>
          </cell>
          <cell r="D7089" t="str">
            <v>精英副本宝箱奖励250</v>
          </cell>
          <cell r="E7089" t="str">
            <v>4|1|60000|1,1|14003|2|1,1|14102|10|1</v>
          </cell>
        </row>
        <row r="7090">
          <cell r="A7090">
            <v>97251</v>
          </cell>
          <cell r="B7090">
            <v>0</v>
          </cell>
          <cell r="C7090" t="str">
            <v>4|1|80000,1|14003|2,4|4|630</v>
          </cell>
          <cell r="D7090" t="str">
            <v>精英副本宝箱奖励251</v>
          </cell>
          <cell r="E7090" t="str">
            <v>4|1|80000|1,1|14003|2|1,4|4|630|1</v>
          </cell>
        </row>
        <row r="7091">
          <cell r="A7091">
            <v>97252</v>
          </cell>
          <cell r="B7091">
            <v>0</v>
          </cell>
          <cell r="C7091" t="str">
            <v>4|1|100000,4|2|920,1|14107|560,4|45|2000</v>
          </cell>
          <cell r="D7091" t="str">
            <v>精英副本宝箱奖励252</v>
          </cell>
          <cell r="E7091" t="str">
            <v>4|1|100000|1,4|2|920|1,1|14107|560|1,4|45|2000|1</v>
          </cell>
        </row>
        <row r="7092">
          <cell r="A7092">
            <v>97253</v>
          </cell>
          <cell r="B7092">
            <v>0</v>
          </cell>
          <cell r="C7092" t="str">
            <v>4|1|60000,1|14003|2,1|14102|10</v>
          </cell>
          <cell r="D7092" t="str">
            <v>精英副本宝箱奖励253</v>
          </cell>
          <cell r="E7092" t="str">
            <v>4|1|60000|1,1|14003|2|1,1|14102|10|1</v>
          </cell>
        </row>
        <row r="7093">
          <cell r="A7093">
            <v>97254</v>
          </cell>
          <cell r="B7093">
            <v>0</v>
          </cell>
          <cell r="C7093" t="str">
            <v>4|1|80000,1|14003|2,4|4|640</v>
          </cell>
          <cell r="D7093" t="str">
            <v>精英副本宝箱奖励254</v>
          </cell>
          <cell r="E7093" t="str">
            <v>4|1|80000|1,1|14003|2|1,4|4|640|1</v>
          </cell>
        </row>
        <row r="7094">
          <cell r="A7094">
            <v>97255</v>
          </cell>
          <cell r="B7094">
            <v>0</v>
          </cell>
          <cell r="C7094" t="str">
            <v>4|1|100000,4|2|940,1|14107|570,4|45|2000</v>
          </cell>
          <cell r="D7094" t="str">
            <v>精英副本宝箱奖励255</v>
          </cell>
          <cell r="E7094" t="str">
            <v>4|1|100000|1,4|2|940|1,1|14107|570|1,4|45|2000|1</v>
          </cell>
        </row>
        <row r="7095">
          <cell r="A7095">
            <v>97256</v>
          </cell>
          <cell r="B7095">
            <v>0</v>
          </cell>
          <cell r="C7095" t="str">
            <v>4|1|60000,1|14003|2,1|14102|10</v>
          </cell>
          <cell r="D7095" t="str">
            <v>精英副本宝箱奖励256</v>
          </cell>
          <cell r="E7095" t="str">
            <v>4|1|60000|1,1|14003|2|1,1|14102|10|1</v>
          </cell>
        </row>
        <row r="7096">
          <cell r="A7096">
            <v>97257</v>
          </cell>
          <cell r="B7096">
            <v>0</v>
          </cell>
          <cell r="C7096" t="str">
            <v>4|1|80000,1|14003|2,4|4|640</v>
          </cell>
          <cell r="D7096" t="str">
            <v>精英副本宝箱奖励257</v>
          </cell>
          <cell r="E7096" t="str">
            <v>4|1|80000|1,1|14003|2|1,4|4|640|1</v>
          </cell>
        </row>
        <row r="7097">
          <cell r="A7097">
            <v>97258</v>
          </cell>
          <cell r="B7097">
            <v>0</v>
          </cell>
          <cell r="C7097" t="str">
            <v>4|1|100000,4|2|940,1|14107|570,4|45|2000</v>
          </cell>
          <cell r="D7097" t="str">
            <v>精英副本宝箱奖励258</v>
          </cell>
          <cell r="E7097" t="str">
            <v>4|1|100000|1,4|2|940|1,1|14107|570|1,4|45|2000|1</v>
          </cell>
        </row>
        <row r="7098">
          <cell r="A7098">
            <v>97259</v>
          </cell>
          <cell r="B7098">
            <v>0</v>
          </cell>
          <cell r="C7098" t="str">
            <v>4|1|60000,1|14003|2,1|14102|10</v>
          </cell>
          <cell r="D7098" t="str">
            <v>精英副本宝箱奖励259</v>
          </cell>
          <cell r="E7098" t="str">
            <v>4|1|60000|1,1|14003|2|1,1|14102|10|1</v>
          </cell>
        </row>
        <row r="7099">
          <cell r="A7099">
            <v>97260</v>
          </cell>
          <cell r="B7099">
            <v>0</v>
          </cell>
          <cell r="C7099" t="str">
            <v>4|1|80000,1|14003|2,4|4|650</v>
          </cell>
          <cell r="D7099" t="str">
            <v>精英副本宝箱奖励260</v>
          </cell>
          <cell r="E7099" t="str">
            <v>4|1|80000|1,1|14003|2|1,4|4|650|1</v>
          </cell>
        </row>
        <row r="7100">
          <cell r="A7100">
            <v>97261</v>
          </cell>
          <cell r="B7100">
            <v>0</v>
          </cell>
          <cell r="C7100" t="str">
            <v>4|1|100000,4|2|960,1|14107|580,4|45|2000</v>
          </cell>
          <cell r="D7100" t="str">
            <v>精英副本宝箱奖励261</v>
          </cell>
          <cell r="E7100" t="str">
            <v>4|1|100000|1,4|2|960|1,1|14107|580|1,4|45|2000|1</v>
          </cell>
        </row>
        <row r="7101">
          <cell r="A7101">
            <v>97262</v>
          </cell>
          <cell r="B7101">
            <v>0</v>
          </cell>
          <cell r="C7101" t="str">
            <v>4|1|60000,1|14003|2,1|14102|10</v>
          </cell>
          <cell r="D7101" t="str">
            <v>精英副本宝箱奖励262</v>
          </cell>
          <cell r="E7101" t="str">
            <v>4|1|60000|1,1|14003|2|1,1|14102|10|1</v>
          </cell>
        </row>
        <row r="7102">
          <cell r="A7102">
            <v>97263</v>
          </cell>
          <cell r="B7102">
            <v>0</v>
          </cell>
          <cell r="C7102" t="str">
            <v>4|1|80000,1|14003|2,4|4|650</v>
          </cell>
          <cell r="D7102" t="str">
            <v>精英副本宝箱奖励263</v>
          </cell>
          <cell r="E7102" t="str">
            <v>4|1|80000|1,1|14003|2|1,4|4|650|1</v>
          </cell>
        </row>
        <row r="7103">
          <cell r="A7103">
            <v>97264</v>
          </cell>
          <cell r="B7103">
            <v>0</v>
          </cell>
          <cell r="C7103" t="str">
            <v>4|1|100000,4|2|960,1|14107|580,4|45|2000</v>
          </cell>
          <cell r="D7103" t="str">
            <v>精英副本宝箱奖励264</v>
          </cell>
          <cell r="E7103" t="str">
            <v>4|1|100000|1,4|2|960|1,1|14107|580|1,4|45|2000|1</v>
          </cell>
        </row>
        <row r="7104">
          <cell r="A7104">
            <v>97265</v>
          </cell>
          <cell r="B7104">
            <v>0</v>
          </cell>
          <cell r="C7104" t="str">
            <v>4|1|60000,1|14003|2,1|14102|10</v>
          </cell>
          <cell r="D7104" t="str">
            <v>精英副本宝箱奖励265</v>
          </cell>
          <cell r="E7104" t="str">
            <v>4|1|60000|1,1|14003|2|1,1|14102|10|1</v>
          </cell>
        </row>
        <row r="7105">
          <cell r="A7105">
            <v>97266</v>
          </cell>
          <cell r="B7105">
            <v>0</v>
          </cell>
          <cell r="C7105" t="str">
            <v>4|1|80000,1|14003|2,4|4|660</v>
          </cell>
          <cell r="D7105" t="str">
            <v>精英副本宝箱奖励266</v>
          </cell>
          <cell r="E7105" t="str">
            <v>4|1|80000|1,1|14003|2|1,4|4|660|1</v>
          </cell>
        </row>
        <row r="7106">
          <cell r="A7106">
            <v>97267</v>
          </cell>
          <cell r="B7106">
            <v>0</v>
          </cell>
          <cell r="C7106" t="str">
            <v>4|1|100000,4|2|980,1|14107|590,4|45|2000</v>
          </cell>
          <cell r="D7106" t="str">
            <v>精英副本宝箱奖励267</v>
          </cell>
          <cell r="E7106" t="str">
            <v>4|1|100000|1,4|2|980|1,1|14107|590|1,4|45|2000|1</v>
          </cell>
        </row>
        <row r="7107">
          <cell r="A7107">
            <v>97268</v>
          </cell>
          <cell r="B7107">
            <v>0</v>
          </cell>
          <cell r="C7107" t="str">
            <v>4|1|60000,1|14003|2,1|14102|10</v>
          </cell>
          <cell r="D7107" t="str">
            <v>精英副本宝箱奖励268</v>
          </cell>
          <cell r="E7107" t="str">
            <v>4|1|60000|1,1|14003|2|1,1|14102|10|1</v>
          </cell>
        </row>
        <row r="7108">
          <cell r="A7108">
            <v>97269</v>
          </cell>
          <cell r="B7108">
            <v>0</v>
          </cell>
          <cell r="C7108" t="str">
            <v>4|1|80000,1|14003|2,4|4|660</v>
          </cell>
          <cell r="D7108" t="str">
            <v>精英副本宝箱奖励269</v>
          </cell>
          <cell r="E7108" t="str">
            <v>4|1|80000|1,1|14003|2|1,4|4|660|1</v>
          </cell>
        </row>
        <row r="7109">
          <cell r="A7109">
            <v>97270</v>
          </cell>
          <cell r="B7109">
            <v>0</v>
          </cell>
          <cell r="C7109" t="str">
            <v>4|1|100000,4|2|980,1|14107|590,4|45|2000</v>
          </cell>
          <cell r="D7109" t="str">
            <v>精英副本宝箱奖励270</v>
          </cell>
          <cell r="E7109" t="str">
            <v>4|1|100000|1,4|2|980|1,1|14107|590|1,4|45|2000|1</v>
          </cell>
        </row>
        <row r="7110">
          <cell r="A7110">
            <v>97271</v>
          </cell>
          <cell r="B7110">
            <v>0</v>
          </cell>
          <cell r="C7110" t="str">
            <v>4|1|60000,1|14003|2,1|14102|10</v>
          </cell>
          <cell r="D7110" t="str">
            <v>精英副本宝箱奖励271</v>
          </cell>
          <cell r="E7110" t="str">
            <v>4|1|60000|1,1|14003|2|1,1|14102|10|1</v>
          </cell>
        </row>
        <row r="7111">
          <cell r="A7111">
            <v>97272</v>
          </cell>
          <cell r="B7111">
            <v>0</v>
          </cell>
          <cell r="C7111" t="str">
            <v>4|1|80000,1|14003|2,4|4|670</v>
          </cell>
          <cell r="D7111" t="str">
            <v>精英副本宝箱奖励272</v>
          </cell>
          <cell r="E7111" t="str">
            <v>4|1|80000|1,1|14003|2|1,4|4|670|1</v>
          </cell>
        </row>
        <row r="7112">
          <cell r="A7112">
            <v>97273</v>
          </cell>
          <cell r="B7112">
            <v>0</v>
          </cell>
          <cell r="C7112" t="str">
            <v>4|1|100000,4|2|1000,1|14107|600,4|45|2000</v>
          </cell>
          <cell r="D7112" t="str">
            <v>精英副本宝箱奖励273</v>
          </cell>
          <cell r="E7112" t="str">
            <v>4|1|100000|1,4|2|1000|1,1|14107|600|1,4|45|2000|1</v>
          </cell>
        </row>
        <row r="7113">
          <cell r="A7113">
            <v>97274</v>
          </cell>
          <cell r="B7113">
            <v>0</v>
          </cell>
          <cell r="C7113" t="str">
            <v>4|1|60000,1|14003|2,1|14102|10</v>
          </cell>
          <cell r="D7113" t="str">
            <v>精英副本宝箱奖励274</v>
          </cell>
          <cell r="E7113" t="str">
            <v>4|1|60000|1,1|14003|2|1,1|14102|10|1</v>
          </cell>
        </row>
        <row r="7114">
          <cell r="A7114">
            <v>97275</v>
          </cell>
          <cell r="B7114">
            <v>0</v>
          </cell>
          <cell r="C7114" t="str">
            <v>4|1|80000,1|14003|2,4|4|670</v>
          </cell>
          <cell r="D7114" t="str">
            <v>精英副本宝箱奖励275</v>
          </cell>
          <cell r="E7114" t="str">
            <v>4|1|80000|1,1|14003|2|1,4|4|670|1</v>
          </cell>
        </row>
        <row r="7115">
          <cell r="A7115">
            <v>97276</v>
          </cell>
          <cell r="B7115">
            <v>0</v>
          </cell>
          <cell r="C7115" t="str">
            <v>4|1|100000,4|2|1000,1|14107|600,4|45|2000</v>
          </cell>
          <cell r="D7115" t="str">
            <v>精英副本宝箱奖励276</v>
          </cell>
          <cell r="E7115" t="str">
            <v>4|1|100000|1,4|2|1000|1,1|14107|600|1,4|45|2000|1</v>
          </cell>
        </row>
        <row r="7116">
          <cell r="A7116">
            <v>97277</v>
          </cell>
          <cell r="B7116">
            <v>0</v>
          </cell>
          <cell r="C7116" t="str">
            <v>4|1|60000,1|14003|2,1|14102|10</v>
          </cell>
          <cell r="D7116" t="str">
            <v>精英副本宝箱奖励277</v>
          </cell>
          <cell r="E7116" t="str">
            <v>4|1|60000|1,1|14003|2|1,1|14102|10|1</v>
          </cell>
        </row>
        <row r="7117">
          <cell r="A7117">
            <v>97278</v>
          </cell>
          <cell r="B7117">
            <v>0</v>
          </cell>
          <cell r="C7117" t="str">
            <v>4|1|80000,1|14003|2,4|4|680</v>
          </cell>
          <cell r="D7117" t="str">
            <v>精英副本宝箱奖励278</v>
          </cell>
          <cell r="E7117" t="str">
            <v>4|1|80000|1,1|14003|2|1,4|4|680|1</v>
          </cell>
        </row>
        <row r="7118">
          <cell r="A7118">
            <v>97279</v>
          </cell>
          <cell r="B7118">
            <v>0</v>
          </cell>
          <cell r="C7118" t="str">
            <v>4|1|100000,4|2|1000,1|14107|610,4|45|2000</v>
          </cell>
          <cell r="D7118" t="str">
            <v>精英副本宝箱奖励279</v>
          </cell>
          <cell r="E7118" t="str">
            <v>4|1|100000|1,4|2|1000|1,1|14107|610|1,4|45|2000|1</v>
          </cell>
        </row>
        <row r="7119">
          <cell r="A7119">
            <v>97280</v>
          </cell>
          <cell r="B7119">
            <v>0</v>
          </cell>
          <cell r="C7119" t="str">
            <v>4|1|60000,1|14003|2,1|14102|10</v>
          </cell>
          <cell r="D7119" t="str">
            <v>精英副本宝箱奖励280</v>
          </cell>
          <cell r="E7119" t="str">
            <v>4|1|60000|1,1|14003|2|1,1|14102|10|1</v>
          </cell>
        </row>
        <row r="7120">
          <cell r="A7120">
            <v>97281</v>
          </cell>
          <cell r="B7120">
            <v>0</v>
          </cell>
          <cell r="C7120" t="str">
            <v>4|1|80000,1|14003|2,4|4|680</v>
          </cell>
          <cell r="D7120" t="str">
            <v>精英副本宝箱奖励281</v>
          </cell>
          <cell r="E7120" t="str">
            <v>4|1|80000|1,1|14003|2|1,4|4|680|1</v>
          </cell>
        </row>
        <row r="7121">
          <cell r="A7121">
            <v>97282</v>
          </cell>
          <cell r="B7121">
            <v>0</v>
          </cell>
          <cell r="C7121" t="str">
            <v>4|1|100000,4|2|1000,1|14107|610,4|45|2000</v>
          </cell>
          <cell r="D7121" t="str">
            <v>精英副本宝箱奖励282</v>
          </cell>
          <cell r="E7121" t="str">
            <v>4|1|100000|1,4|2|1000|1,1|14107|610|1,4|45|2000|1</v>
          </cell>
        </row>
        <row r="7122">
          <cell r="A7122">
            <v>97283</v>
          </cell>
          <cell r="B7122">
            <v>0</v>
          </cell>
          <cell r="C7122" t="str">
            <v>4|1|60000,1|14003|2,1|14102|10</v>
          </cell>
          <cell r="D7122" t="str">
            <v>精英副本宝箱奖励283</v>
          </cell>
          <cell r="E7122" t="str">
            <v>4|1|60000|1,1|14003|2|1,1|14102|10|1</v>
          </cell>
        </row>
        <row r="7123">
          <cell r="A7123">
            <v>97284</v>
          </cell>
          <cell r="B7123">
            <v>0</v>
          </cell>
          <cell r="C7123" t="str">
            <v>4|1|80000,1|14003|2,4|4|690</v>
          </cell>
          <cell r="D7123" t="str">
            <v>精英副本宝箱奖励284</v>
          </cell>
          <cell r="E7123" t="str">
            <v>4|1|80000|1,1|14003|2|1,4|4|690|1</v>
          </cell>
        </row>
        <row r="7124">
          <cell r="A7124">
            <v>97285</v>
          </cell>
          <cell r="B7124">
            <v>0</v>
          </cell>
          <cell r="C7124" t="str">
            <v>4|1|100000,4|2|1000,1|14107|620,4|45|2000</v>
          </cell>
          <cell r="D7124" t="str">
            <v>精英副本宝箱奖励285</v>
          </cell>
          <cell r="E7124" t="str">
            <v>4|1|100000|1,4|2|1000|1,1|14107|620|1,4|45|2000|1</v>
          </cell>
        </row>
        <row r="7125">
          <cell r="A7125">
            <v>97286</v>
          </cell>
          <cell r="B7125">
            <v>0</v>
          </cell>
          <cell r="C7125" t="str">
            <v>4|1|60000,1|14003|2,1|14102|10</v>
          </cell>
          <cell r="D7125" t="str">
            <v>精英副本宝箱奖励286</v>
          </cell>
          <cell r="E7125" t="str">
            <v>4|1|60000|1,1|14003|2|1,1|14102|10|1</v>
          </cell>
        </row>
        <row r="7126">
          <cell r="A7126">
            <v>97287</v>
          </cell>
          <cell r="B7126">
            <v>0</v>
          </cell>
          <cell r="C7126" t="str">
            <v>4|1|80000,1|14003|2,4|4|690</v>
          </cell>
          <cell r="D7126" t="str">
            <v>精英副本宝箱奖励287</v>
          </cell>
          <cell r="E7126" t="str">
            <v>4|1|80000|1,1|14003|2|1,4|4|690|1</v>
          </cell>
        </row>
        <row r="7127">
          <cell r="A7127">
            <v>97288</v>
          </cell>
          <cell r="B7127">
            <v>0</v>
          </cell>
          <cell r="C7127" t="str">
            <v>4|1|100000,4|2|1000,1|14107|620,4|45|2000</v>
          </cell>
          <cell r="D7127" t="str">
            <v>精英副本宝箱奖励288</v>
          </cell>
          <cell r="E7127" t="str">
            <v>4|1|100000|1,4|2|1000|1,1|14107|620|1,4|45|2000|1</v>
          </cell>
        </row>
        <row r="7128">
          <cell r="A7128">
            <v>97289</v>
          </cell>
          <cell r="B7128">
            <v>0</v>
          </cell>
          <cell r="C7128" t="str">
            <v>4|1|60000,1|14003|2,1|14102|10</v>
          </cell>
          <cell r="D7128" t="str">
            <v>精英副本宝箱奖励289</v>
          </cell>
          <cell r="E7128" t="str">
            <v>4|1|60000|1,1|14003|2|1,1|14102|10|1</v>
          </cell>
        </row>
        <row r="7129">
          <cell r="A7129">
            <v>97290</v>
          </cell>
          <cell r="B7129">
            <v>0</v>
          </cell>
          <cell r="C7129" t="str">
            <v>4|1|80000,1|14003|2,4|4|700</v>
          </cell>
          <cell r="D7129" t="str">
            <v>精英副本宝箱奖励290</v>
          </cell>
          <cell r="E7129" t="str">
            <v>4|1|80000|1,1|14003|2|1,4|4|700|1</v>
          </cell>
        </row>
        <row r="7130">
          <cell r="A7130">
            <v>97291</v>
          </cell>
          <cell r="B7130">
            <v>0</v>
          </cell>
          <cell r="C7130" t="str">
            <v>4|1|100000,4|2|1000,1|14107|630,4|45|2000</v>
          </cell>
          <cell r="D7130" t="str">
            <v>精英副本宝箱奖励291</v>
          </cell>
          <cell r="E7130" t="str">
            <v>4|1|100000|1,4|2|1000|1,1|14107|630|1,4|45|2000|1</v>
          </cell>
        </row>
        <row r="7131">
          <cell r="A7131">
            <v>97292</v>
          </cell>
          <cell r="B7131">
            <v>0</v>
          </cell>
          <cell r="C7131" t="str">
            <v>4|1|60000,1|14003|2,1|14102|10</v>
          </cell>
          <cell r="D7131" t="str">
            <v>精英副本宝箱奖励292</v>
          </cell>
          <cell r="E7131" t="str">
            <v>4|1|60000|1,1|14003|2|1,1|14102|10|1</v>
          </cell>
        </row>
        <row r="7132">
          <cell r="A7132">
            <v>97293</v>
          </cell>
          <cell r="B7132">
            <v>0</v>
          </cell>
          <cell r="C7132" t="str">
            <v>4|1|80000,1|14003|2,4|4|700</v>
          </cell>
          <cell r="D7132" t="str">
            <v>精英副本宝箱奖励293</v>
          </cell>
          <cell r="E7132" t="str">
            <v>4|1|80000|1,1|14003|2|1,4|4|700|1</v>
          </cell>
        </row>
        <row r="7133">
          <cell r="A7133">
            <v>97294</v>
          </cell>
          <cell r="B7133">
            <v>0</v>
          </cell>
          <cell r="C7133" t="str">
            <v>4|1|100000,4|2|1000,1|14107|630,4|45|2000</v>
          </cell>
          <cell r="D7133" t="str">
            <v>精英副本宝箱奖励294</v>
          </cell>
          <cell r="E7133" t="str">
            <v>4|1|100000|1,4|2|1000|1,1|14107|630|1,4|45|2000|1</v>
          </cell>
        </row>
        <row r="7134">
          <cell r="A7134">
            <v>97295</v>
          </cell>
          <cell r="B7134">
            <v>0</v>
          </cell>
          <cell r="C7134" t="str">
            <v>4|1|60000,1|14003|2,1|14102|10</v>
          </cell>
          <cell r="D7134" t="str">
            <v>精英副本宝箱奖励295</v>
          </cell>
          <cell r="E7134" t="str">
            <v>4|1|60000|1,1|14003|2|1,1|14102|10|1</v>
          </cell>
        </row>
        <row r="7135">
          <cell r="A7135">
            <v>97296</v>
          </cell>
          <cell r="B7135">
            <v>0</v>
          </cell>
          <cell r="C7135" t="str">
            <v>4|1|80000,1|14003|2,4|4|710</v>
          </cell>
          <cell r="D7135" t="str">
            <v>精英副本宝箱奖励296</v>
          </cell>
          <cell r="E7135" t="str">
            <v>4|1|80000|1,1|14003|2|1,4|4|710|1</v>
          </cell>
        </row>
        <row r="7136">
          <cell r="A7136">
            <v>97297</v>
          </cell>
          <cell r="B7136">
            <v>0</v>
          </cell>
          <cell r="C7136" t="str">
            <v>4|1|100000,4|2|1000,1|14107|640,4|45|2000</v>
          </cell>
          <cell r="D7136" t="str">
            <v>精英副本宝箱奖励297</v>
          </cell>
          <cell r="E7136" t="str">
            <v>4|1|100000|1,4|2|1000|1,1|14107|640|1,4|45|2000|1</v>
          </cell>
        </row>
        <row r="7137">
          <cell r="A7137">
            <v>97298</v>
          </cell>
          <cell r="B7137">
            <v>0</v>
          </cell>
          <cell r="C7137" t="str">
            <v>4|1|60000,1|14003|2,1|14102|10</v>
          </cell>
          <cell r="D7137" t="str">
            <v>精英副本宝箱奖励298</v>
          </cell>
          <cell r="E7137" t="str">
            <v>4|1|60000|1,1|14003|2|1,1|14102|10|1</v>
          </cell>
        </row>
        <row r="7138">
          <cell r="A7138">
            <v>97299</v>
          </cell>
          <cell r="B7138">
            <v>0</v>
          </cell>
          <cell r="C7138" t="str">
            <v>4|1|80000,1|14003|2,4|4|710</v>
          </cell>
          <cell r="D7138" t="str">
            <v>精英副本宝箱奖励299</v>
          </cell>
          <cell r="E7138" t="str">
            <v>4|1|80000|1,1|14003|2|1,4|4|710|1</v>
          </cell>
        </row>
        <row r="7139">
          <cell r="A7139">
            <v>97300</v>
          </cell>
          <cell r="B7139">
            <v>0</v>
          </cell>
          <cell r="C7139" t="str">
            <v>4|1|100000,4|2|1000,1|14107|640,4|45|2000</v>
          </cell>
          <cell r="D7139" t="str">
            <v>精英副本宝箱奖励300</v>
          </cell>
          <cell r="E7139" t="str">
            <v>4|1|100000|1,4|2|1000|1,1|14107|640|1,4|45|2000|1</v>
          </cell>
        </row>
        <row r="7140">
          <cell r="A7140">
            <v>97301</v>
          </cell>
          <cell r="B7140">
            <v>0</v>
          </cell>
          <cell r="C7140" t="str">
            <v>4|1|60000,1|14003|2,1|14102|10</v>
          </cell>
          <cell r="D7140" t="str">
            <v>精英副本宝箱奖励301</v>
          </cell>
          <cell r="E7140" t="str">
            <v>4|1|60000|1,1|14003|2|1,1|14102|10|1</v>
          </cell>
        </row>
        <row r="7141">
          <cell r="A7141">
            <v>97302</v>
          </cell>
          <cell r="B7141">
            <v>0</v>
          </cell>
          <cell r="C7141" t="str">
            <v>4|1|80000,1|14003|2,4|4|720</v>
          </cell>
          <cell r="D7141" t="str">
            <v>精英副本宝箱奖励302</v>
          </cell>
          <cell r="E7141" t="str">
            <v>4|1|80000|1,1|14003|2|1,4|4|720|1</v>
          </cell>
        </row>
        <row r="7142">
          <cell r="A7142">
            <v>97303</v>
          </cell>
          <cell r="B7142">
            <v>0</v>
          </cell>
          <cell r="C7142" t="str">
            <v>4|1|100000,4|2|1000,1|14107|650,4|45|2000</v>
          </cell>
          <cell r="D7142" t="str">
            <v>精英副本宝箱奖励303</v>
          </cell>
          <cell r="E7142" t="str">
            <v>4|1|100000|1,4|2|1000|1,1|14107|650|1,4|45|2000|1</v>
          </cell>
        </row>
        <row r="7143">
          <cell r="A7143">
            <v>97304</v>
          </cell>
          <cell r="B7143">
            <v>0</v>
          </cell>
          <cell r="C7143" t="str">
            <v>4|1|60000,1|14003|2,1|14102|10</v>
          </cell>
          <cell r="D7143" t="str">
            <v>精英副本宝箱奖励304</v>
          </cell>
          <cell r="E7143" t="str">
            <v>4|1|60000|1,1|14003|2|1,1|14102|10|1</v>
          </cell>
        </row>
        <row r="7144">
          <cell r="A7144">
            <v>97305</v>
          </cell>
          <cell r="B7144">
            <v>0</v>
          </cell>
          <cell r="C7144" t="str">
            <v>4|1|80000,1|14003|2,4|4|720</v>
          </cell>
          <cell r="D7144" t="str">
            <v>精英副本宝箱奖励305</v>
          </cell>
          <cell r="E7144" t="str">
            <v>4|1|80000|1,1|14003|2|1,4|4|720|1</v>
          </cell>
        </row>
        <row r="7145">
          <cell r="A7145">
            <v>97306</v>
          </cell>
          <cell r="B7145">
            <v>0</v>
          </cell>
          <cell r="C7145" t="str">
            <v>4|1|100000,4|2|1000,1|14107|650,4|45|2000</v>
          </cell>
          <cell r="D7145" t="str">
            <v>精英副本宝箱奖励306</v>
          </cell>
          <cell r="E7145" t="str">
            <v>4|1|100000|1,4|2|1000|1,1|14107|650|1,4|45|2000|1</v>
          </cell>
        </row>
        <row r="7146">
          <cell r="A7146">
            <v>97307</v>
          </cell>
          <cell r="B7146">
            <v>0</v>
          </cell>
          <cell r="C7146" t="str">
            <v>4|1|60000,1|14003|2,1|14102|10</v>
          </cell>
          <cell r="D7146" t="str">
            <v>精英副本宝箱奖励307</v>
          </cell>
          <cell r="E7146" t="str">
            <v>4|1|60000|1,1|14003|2|1,1|14102|10|1</v>
          </cell>
        </row>
        <row r="7147">
          <cell r="A7147">
            <v>97308</v>
          </cell>
          <cell r="B7147">
            <v>0</v>
          </cell>
          <cell r="C7147" t="str">
            <v>4|1|80000,1|14003|2,4|4|730</v>
          </cell>
          <cell r="D7147" t="str">
            <v>精英副本宝箱奖励308</v>
          </cell>
          <cell r="E7147" t="str">
            <v>4|1|80000|1,1|14003|2|1,4|4|730|1</v>
          </cell>
        </row>
        <row r="7148">
          <cell r="A7148">
            <v>97309</v>
          </cell>
          <cell r="B7148">
            <v>0</v>
          </cell>
          <cell r="C7148" t="str">
            <v>4|1|100000,4|2|1000,1|14107|660,4|45|2000</v>
          </cell>
          <cell r="D7148" t="str">
            <v>精英副本宝箱奖励309</v>
          </cell>
          <cell r="E7148" t="str">
            <v>4|1|100000|1,4|2|1000|1,1|14107|660|1,4|45|2000|1</v>
          </cell>
        </row>
        <row r="7149">
          <cell r="A7149">
            <v>97310</v>
          </cell>
          <cell r="B7149">
            <v>0</v>
          </cell>
          <cell r="C7149" t="str">
            <v>4|1|60000,1|14003|2,1|14102|10</v>
          </cell>
          <cell r="D7149" t="str">
            <v>精英副本宝箱奖励310</v>
          </cell>
          <cell r="E7149" t="str">
            <v>4|1|60000|1,1|14003|2|1,1|14102|10|1</v>
          </cell>
        </row>
        <row r="7150">
          <cell r="A7150">
            <v>97311</v>
          </cell>
          <cell r="B7150">
            <v>0</v>
          </cell>
          <cell r="C7150" t="str">
            <v>4|1|80000,1|14003|2,4|4|730</v>
          </cell>
          <cell r="D7150" t="str">
            <v>精英副本宝箱奖励311</v>
          </cell>
          <cell r="E7150" t="str">
            <v>4|1|80000|1,1|14003|2|1,4|4|730|1</v>
          </cell>
        </row>
        <row r="7151">
          <cell r="A7151">
            <v>97312</v>
          </cell>
          <cell r="B7151">
            <v>0</v>
          </cell>
          <cell r="C7151" t="str">
            <v>4|1|100000,4|2|1000,1|14107|660,4|45|2000</v>
          </cell>
          <cell r="D7151" t="str">
            <v>精英副本宝箱奖励312</v>
          </cell>
          <cell r="E7151" t="str">
            <v>4|1|100000|1,4|2|1000|1,1|14107|660|1,4|45|2000|1</v>
          </cell>
        </row>
        <row r="7152">
          <cell r="A7152">
            <v>97313</v>
          </cell>
          <cell r="B7152">
            <v>0</v>
          </cell>
          <cell r="C7152" t="str">
            <v>4|1|60000,1|14003|2,1|14102|10</v>
          </cell>
          <cell r="D7152" t="str">
            <v>精英副本宝箱奖励313</v>
          </cell>
          <cell r="E7152" t="str">
            <v>4|1|60000|1,1|14003|2|1,1|14102|10|1</v>
          </cell>
        </row>
        <row r="7153">
          <cell r="A7153">
            <v>97314</v>
          </cell>
          <cell r="B7153">
            <v>0</v>
          </cell>
          <cell r="C7153" t="str">
            <v>4|1|80000,1|14003|2,4|4|740</v>
          </cell>
          <cell r="D7153" t="str">
            <v>精英副本宝箱奖励314</v>
          </cell>
          <cell r="E7153" t="str">
            <v>4|1|80000|1,1|14003|2|1,4|4|740|1</v>
          </cell>
        </row>
        <row r="7154">
          <cell r="A7154">
            <v>97315</v>
          </cell>
          <cell r="B7154">
            <v>0</v>
          </cell>
          <cell r="C7154" t="str">
            <v>4|1|100000,4|2|1000,1|14107|670,4|45|2000</v>
          </cell>
          <cell r="D7154" t="str">
            <v>精英副本宝箱奖励315</v>
          </cell>
          <cell r="E7154" t="str">
            <v>4|1|100000|1,4|2|1000|1,1|14107|670|1,4|45|2000|1</v>
          </cell>
        </row>
        <row r="7155">
          <cell r="A7155">
            <v>97316</v>
          </cell>
          <cell r="B7155">
            <v>0</v>
          </cell>
          <cell r="C7155" t="str">
            <v>4|1|60000,1|14003|2,1|14102|10</v>
          </cell>
          <cell r="D7155" t="str">
            <v>精英副本宝箱奖励316</v>
          </cell>
          <cell r="E7155" t="str">
            <v>4|1|60000|1,1|14003|2|1,1|14102|10|1</v>
          </cell>
        </row>
        <row r="7156">
          <cell r="A7156">
            <v>97317</v>
          </cell>
          <cell r="B7156">
            <v>0</v>
          </cell>
          <cell r="C7156" t="str">
            <v>4|1|80000,1|14003|2,4|4|740</v>
          </cell>
          <cell r="D7156" t="str">
            <v>精英副本宝箱奖励317</v>
          </cell>
          <cell r="E7156" t="str">
            <v>4|1|80000|1,1|14003|2|1,4|4|740|1</v>
          </cell>
        </row>
        <row r="7157">
          <cell r="A7157">
            <v>97318</v>
          </cell>
          <cell r="B7157">
            <v>0</v>
          </cell>
          <cell r="C7157" t="str">
            <v>4|1|100000,4|2|1000,1|14107|670,4|45|2000</v>
          </cell>
          <cell r="D7157" t="str">
            <v>精英副本宝箱奖励318</v>
          </cell>
          <cell r="E7157" t="str">
            <v>4|1|100000|1,4|2|1000|1,1|14107|670|1,4|45|2000|1</v>
          </cell>
        </row>
        <row r="7158">
          <cell r="A7158">
            <v>97319</v>
          </cell>
          <cell r="B7158">
            <v>0</v>
          </cell>
          <cell r="C7158" t="str">
            <v>4|1|60000,1|14003|2,1|14102|10</v>
          </cell>
          <cell r="D7158" t="str">
            <v>精英副本宝箱奖励319</v>
          </cell>
          <cell r="E7158" t="str">
            <v>4|1|60000|1,1|14003|2|1,1|14102|10|1</v>
          </cell>
        </row>
        <row r="7159">
          <cell r="A7159">
            <v>97320</v>
          </cell>
          <cell r="B7159">
            <v>0</v>
          </cell>
          <cell r="C7159" t="str">
            <v>4|1|80000,1|14003|2,4|4|750</v>
          </cell>
          <cell r="D7159" t="str">
            <v>精英副本宝箱奖励320</v>
          </cell>
          <cell r="E7159" t="str">
            <v>4|1|80000|1,1|14003|2|1,4|4|750|1</v>
          </cell>
        </row>
        <row r="7160">
          <cell r="A7160">
            <v>97321</v>
          </cell>
          <cell r="B7160">
            <v>0</v>
          </cell>
          <cell r="C7160" t="str">
            <v>4|1|100000,4|2|1000,1|14107|680,4|45|2000</v>
          </cell>
          <cell r="D7160" t="str">
            <v>精英副本宝箱奖励321</v>
          </cell>
          <cell r="E7160" t="str">
            <v>4|1|100000|1,4|2|1000|1,1|14107|680|1,4|45|2000|1</v>
          </cell>
        </row>
        <row r="7161">
          <cell r="A7161">
            <v>97322</v>
          </cell>
          <cell r="B7161">
            <v>0</v>
          </cell>
          <cell r="C7161" t="str">
            <v>4|1|60000,1|14003|2,1|14102|10</v>
          </cell>
          <cell r="D7161" t="str">
            <v>精英副本宝箱奖励322</v>
          </cell>
          <cell r="E7161" t="str">
            <v>4|1|60000|1,1|14003|2|1,1|14102|10|1</v>
          </cell>
        </row>
        <row r="7162">
          <cell r="A7162">
            <v>97323</v>
          </cell>
          <cell r="B7162">
            <v>0</v>
          </cell>
          <cell r="C7162" t="str">
            <v>4|1|80000,1|14003|2,4|4|750</v>
          </cell>
          <cell r="D7162" t="str">
            <v>精英副本宝箱奖励323</v>
          </cell>
          <cell r="E7162" t="str">
            <v>4|1|80000|1,1|14003|2|1,4|4|750|1</v>
          </cell>
        </row>
        <row r="7163">
          <cell r="A7163">
            <v>97324</v>
          </cell>
          <cell r="B7163">
            <v>0</v>
          </cell>
          <cell r="C7163" t="str">
            <v>4|1|100000,4|2|1000,1|14107|680,4|45|2000</v>
          </cell>
          <cell r="D7163" t="str">
            <v>精英副本宝箱奖励324</v>
          </cell>
          <cell r="E7163" t="str">
            <v>4|1|100000|1,4|2|1000|1,1|14107|680|1,4|45|2000|1</v>
          </cell>
        </row>
        <row r="7164">
          <cell r="A7164">
            <v>97325</v>
          </cell>
          <cell r="B7164">
            <v>0</v>
          </cell>
          <cell r="C7164" t="str">
            <v>4|1|60000,1|14003|2,1|14102|10</v>
          </cell>
          <cell r="D7164" t="str">
            <v>精英副本宝箱奖励325</v>
          </cell>
          <cell r="E7164" t="str">
            <v>4|1|60000|1,1|14003|2|1,1|14102|10|1</v>
          </cell>
        </row>
        <row r="7165">
          <cell r="A7165">
            <v>97326</v>
          </cell>
          <cell r="B7165">
            <v>0</v>
          </cell>
          <cell r="C7165" t="str">
            <v>4|1|80000,1|14003|2,4|4|760</v>
          </cell>
          <cell r="D7165" t="str">
            <v>精英副本宝箱奖励326</v>
          </cell>
          <cell r="E7165" t="str">
            <v>4|1|80000|1,1|14003|2|1,4|4|760|1</v>
          </cell>
        </row>
        <row r="7166">
          <cell r="A7166">
            <v>97327</v>
          </cell>
          <cell r="B7166">
            <v>0</v>
          </cell>
          <cell r="C7166" t="str">
            <v>4|1|100000,4|2|1000,1|14107|690,4|45|2000</v>
          </cell>
          <cell r="D7166" t="str">
            <v>精英副本宝箱奖励327</v>
          </cell>
          <cell r="E7166" t="str">
            <v>4|1|100000|1,4|2|1000|1,1|14107|690|1,4|45|2000|1</v>
          </cell>
        </row>
        <row r="7167">
          <cell r="A7167">
            <v>97328</v>
          </cell>
          <cell r="B7167">
            <v>0</v>
          </cell>
          <cell r="C7167" t="str">
            <v>4|1|60000,1|14003|2,1|14102|10</v>
          </cell>
          <cell r="D7167" t="str">
            <v>精英副本宝箱奖励328</v>
          </cell>
          <cell r="E7167" t="str">
            <v>4|1|60000|1,1|14003|2|1,1|14102|10|1</v>
          </cell>
        </row>
        <row r="7168">
          <cell r="A7168">
            <v>97329</v>
          </cell>
          <cell r="B7168">
            <v>0</v>
          </cell>
          <cell r="C7168" t="str">
            <v>4|1|80000,1|14003|2,4|4|760</v>
          </cell>
          <cell r="D7168" t="str">
            <v>精英副本宝箱奖励329</v>
          </cell>
          <cell r="E7168" t="str">
            <v>4|1|80000|1,1|14003|2|1,4|4|760|1</v>
          </cell>
        </row>
        <row r="7169">
          <cell r="A7169">
            <v>97330</v>
          </cell>
          <cell r="B7169">
            <v>0</v>
          </cell>
          <cell r="C7169" t="str">
            <v>4|1|100000,4|2|1000,1|14107|690,4|45|2000</v>
          </cell>
          <cell r="D7169" t="str">
            <v>精英副本宝箱奖励330</v>
          </cell>
          <cell r="E7169" t="str">
            <v>4|1|100000|1,4|2|1000|1,1|14107|690|1,4|45|2000|1</v>
          </cell>
        </row>
        <row r="7170">
          <cell r="A7170">
            <v>97331</v>
          </cell>
          <cell r="B7170">
            <v>0</v>
          </cell>
          <cell r="C7170" t="str">
            <v>4|1|60000,1|14003|2,1|14102|10</v>
          </cell>
          <cell r="D7170" t="str">
            <v>精英副本宝箱奖励331</v>
          </cell>
          <cell r="E7170" t="str">
            <v>4|1|60000|1,1|14003|2|1,1|14102|10|1</v>
          </cell>
        </row>
        <row r="7171">
          <cell r="A7171">
            <v>97332</v>
          </cell>
          <cell r="B7171">
            <v>0</v>
          </cell>
          <cell r="C7171" t="str">
            <v>4|1|80000,1|14003|2,4|4|770</v>
          </cell>
          <cell r="D7171" t="str">
            <v>精英副本宝箱奖励332</v>
          </cell>
          <cell r="E7171" t="str">
            <v>4|1|80000|1,1|14003|2|1,4|4|770|1</v>
          </cell>
        </row>
        <row r="7172">
          <cell r="A7172">
            <v>97333</v>
          </cell>
          <cell r="B7172">
            <v>0</v>
          </cell>
          <cell r="C7172" t="str">
            <v>4|1|100000,4|2|1000,1|14107|700,4|45|2000</v>
          </cell>
          <cell r="D7172" t="str">
            <v>精英副本宝箱奖励333</v>
          </cell>
          <cell r="E7172" t="str">
            <v>4|1|100000|1,4|2|1000|1,1|14107|700|1,4|45|2000|1</v>
          </cell>
        </row>
        <row r="7173">
          <cell r="A7173">
            <v>97334</v>
          </cell>
          <cell r="B7173">
            <v>0</v>
          </cell>
          <cell r="C7173" t="str">
            <v>4|1|60000,1|14003|2,1|14102|10</v>
          </cell>
          <cell r="D7173" t="str">
            <v>精英副本宝箱奖励334</v>
          </cell>
          <cell r="E7173" t="str">
            <v>4|1|60000|1,1|14003|2|1,1|14102|10|1</v>
          </cell>
        </row>
        <row r="7174">
          <cell r="A7174">
            <v>97335</v>
          </cell>
          <cell r="B7174">
            <v>0</v>
          </cell>
          <cell r="C7174" t="str">
            <v>4|1|80000,1|14003|2,4|4|770</v>
          </cell>
          <cell r="D7174" t="str">
            <v>精英副本宝箱奖励335</v>
          </cell>
          <cell r="E7174" t="str">
            <v>4|1|80000|1,1|14003|2|1,4|4|770|1</v>
          </cell>
        </row>
        <row r="7175">
          <cell r="A7175">
            <v>97336</v>
          </cell>
          <cell r="B7175">
            <v>0</v>
          </cell>
          <cell r="C7175" t="str">
            <v>4|1|100000,4|2|1000,1|14107|700,4|45|2000</v>
          </cell>
          <cell r="D7175" t="str">
            <v>精英副本宝箱奖励336</v>
          </cell>
          <cell r="E7175" t="str">
            <v>4|1|100000|1,4|2|1000|1,1|14107|700|1,4|45|2000|1</v>
          </cell>
        </row>
        <row r="7176">
          <cell r="A7176">
            <v>97337</v>
          </cell>
          <cell r="B7176">
            <v>0</v>
          </cell>
          <cell r="C7176" t="str">
            <v>4|1|60000,1|14003|2,1|14102|10</v>
          </cell>
          <cell r="D7176" t="str">
            <v>精英副本宝箱奖励337</v>
          </cell>
          <cell r="E7176" t="str">
            <v>4|1|60000|1,1|14003|2|1,1|14102|10|1</v>
          </cell>
        </row>
        <row r="7177">
          <cell r="A7177">
            <v>97338</v>
          </cell>
          <cell r="B7177">
            <v>0</v>
          </cell>
          <cell r="C7177" t="str">
            <v>4|1|80000,1|14003|2,4|4|780</v>
          </cell>
          <cell r="D7177" t="str">
            <v>精英副本宝箱奖励338</v>
          </cell>
          <cell r="E7177" t="str">
            <v>4|1|80000|1,1|14003|2|1,4|4|780|1</v>
          </cell>
        </row>
        <row r="7178">
          <cell r="A7178">
            <v>97339</v>
          </cell>
          <cell r="B7178">
            <v>0</v>
          </cell>
          <cell r="C7178" t="str">
            <v>4|1|100000,4|2|1000,1|14107|710,4|45|2000</v>
          </cell>
          <cell r="D7178" t="str">
            <v>精英副本宝箱奖励339</v>
          </cell>
          <cell r="E7178" t="str">
            <v>4|1|100000|1,4|2|1000|1,1|14107|710|1,4|45|2000|1</v>
          </cell>
        </row>
        <row r="7179">
          <cell r="A7179">
            <v>97340</v>
          </cell>
          <cell r="B7179">
            <v>0</v>
          </cell>
          <cell r="C7179" t="str">
            <v>4|1|60000,1|14003|2,1|14102|10</v>
          </cell>
          <cell r="D7179" t="str">
            <v>精英副本宝箱奖励340</v>
          </cell>
          <cell r="E7179" t="str">
            <v>4|1|60000|1,1|14003|2|1,1|14102|10|1</v>
          </cell>
        </row>
        <row r="7180">
          <cell r="A7180">
            <v>97341</v>
          </cell>
          <cell r="B7180">
            <v>0</v>
          </cell>
          <cell r="C7180" t="str">
            <v>4|1|80000,1|14003|2,4|4|780</v>
          </cell>
          <cell r="D7180" t="str">
            <v>精英副本宝箱奖励341</v>
          </cell>
          <cell r="E7180" t="str">
            <v>4|1|80000|1,1|14003|2|1,4|4|780|1</v>
          </cell>
        </row>
        <row r="7181">
          <cell r="A7181">
            <v>97342</v>
          </cell>
          <cell r="B7181">
            <v>0</v>
          </cell>
          <cell r="C7181" t="str">
            <v>4|1|100000,4|2|1000,1|14107|710,4|45|2000</v>
          </cell>
          <cell r="D7181" t="str">
            <v>精英副本宝箱奖励342</v>
          </cell>
          <cell r="E7181" t="str">
            <v>4|1|100000|1,4|2|1000|1,1|14107|710|1,4|45|2000|1</v>
          </cell>
        </row>
        <row r="7182">
          <cell r="A7182">
            <v>97343</v>
          </cell>
          <cell r="B7182">
            <v>0</v>
          </cell>
          <cell r="C7182" t="str">
            <v>4|1|60000,1|14003|2,1|14102|10</v>
          </cell>
          <cell r="D7182" t="str">
            <v>精英副本宝箱奖励343</v>
          </cell>
          <cell r="E7182" t="str">
            <v>4|1|60000|1,1|14003|2|1,1|14102|10|1</v>
          </cell>
        </row>
        <row r="7183">
          <cell r="A7183">
            <v>97344</v>
          </cell>
          <cell r="B7183">
            <v>0</v>
          </cell>
          <cell r="C7183" t="str">
            <v>4|1|80000,1|14003|2,4|4|790</v>
          </cell>
          <cell r="D7183" t="str">
            <v>精英副本宝箱奖励344</v>
          </cell>
          <cell r="E7183" t="str">
            <v>4|1|80000|1,1|14003|2|1,4|4|790|1</v>
          </cell>
        </row>
        <row r="7184">
          <cell r="A7184">
            <v>97345</v>
          </cell>
          <cell r="B7184">
            <v>0</v>
          </cell>
          <cell r="C7184" t="str">
            <v>4|1|100000,4|2|1000,1|14107|720,4|45|2000</v>
          </cell>
          <cell r="D7184" t="str">
            <v>精英副本宝箱奖励345</v>
          </cell>
          <cell r="E7184" t="str">
            <v>4|1|100000|1,4|2|1000|1,1|14107|720|1,4|45|2000|1</v>
          </cell>
        </row>
        <row r="7185">
          <cell r="A7185">
            <v>97346</v>
          </cell>
          <cell r="B7185">
            <v>0</v>
          </cell>
          <cell r="C7185" t="str">
            <v>4|1|60000,1|14003|2,1|14102|10</v>
          </cell>
          <cell r="D7185" t="str">
            <v>精英副本宝箱奖励346</v>
          </cell>
          <cell r="E7185" t="str">
            <v>4|1|60000|1,1|14003|2|1,1|14102|10|1</v>
          </cell>
        </row>
        <row r="7186">
          <cell r="A7186">
            <v>97347</v>
          </cell>
          <cell r="B7186">
            <v>0</v>
          </cell>
          <cell r="C7186" t="str">
            <v>4|1|80000,1|14003|2,4|4|790</v>
          </cell>
          <cell r="D7186" t="str">
            <v>精英副本宝箱奖励347</v>
          </cell>
          <cell r="E7186" t="str">
            <v>4|1|80000|1,1|14003|2|1,4|4|790|1</v>
          </cell>
        </row>
        <row r="7187">
          <cell r="A7187">
            <v>97348</v>
          </cell>
          <cell r="B7187">
            <v>0</v>
          </cell>
          <cell r="C7187" t="str">
            <v>4|1|100000,4|2|1000,1|14107|720,4|45|2000</v>
          </cell>
          <cell r="D7187" t="str">
            <v>精英副本宝箱奖励348</v>
          </cell>
          <cell r="E7187" t="str">
            <v>4|1|100000|1,4|2|1000|1,1|14107|720|1,4|45|2000|1</v>
          </cell>
        </row>
        <row r="7188">
          <cell r="A7188">
            <v>97349</v>
          </cell>
          <cell r="B7188">
            <v>0</v>
          </cell>
          <cell r="C7188" t="str">
            <v>4|1|60000,1|14003|2,1|14102|10</v>
          </cell>
          <cell r="D7188" t="str">
            <v>精英副本宝箱奖励349</v>
          </cell>
          <cell r="E7188" t="str">
            <v>4|1|60000|1,1|14003|2|1,1|14102|10|1</v>
          </cell>
        </row>
        <row r="7189">
          <cell r="A7189">
            <v>97350</v>
          </cell>
          <cell r="B7189">
            <v>0</v>
          </cell>
          <cell r="C7189" t="str">
            <v>4|1|80000,1|14003|2,4|4|800</v>
          </cell>
          <cell r="D7189" t="str">
            <v>精英副本宝箱奖励350</v>
          </cell>
          <cell r="E7189" t="str">
            <v>4|1|80000|1,1|14003|2|1,4|4|800|1</v>
          </cell>
        </row>
        <row r="7190">
          <cell r="A7190">
            <v>97351</v>
          </cell>
          <cell r="B7190">
            <v>0</v>
          </cell>
          <cell r="C7190" t="str">
            <v>4|1|100000,4|2|1000,1|14107|730,4|45|2000</v>
          </cell>
          <cell r="D7190" t="str">
            <v>精英副本宝箱奖励351</v>
          </cell>
          <cell r="E7190" t="str">
            <v>4|1|100000|1,4|2|1000|1,1|14107|730|1,4|45|2000|1</v>
          </cell>
        </row>
        <row r="7191">
          <cell r="A7191">
            <v>97352</v>
          </cell>
          <cell r="B7191">
            <v>0</v>
          </cell>
          <cell r="C7191" t="str">
            <v>4|1|60000,1|14003|2,1|14102|10</v>
          </cell>
          <cell r="D7191" t="str">
            <v>精英副本宝箱奖励352</v>
          </cell>
          <cell r="E7191" t="str">
            <v>4|1|60000|1,1|14003|2|1,1|14102|10|1</v>
          </cell>
        </row>
        <row r="7192">
          <cell r="A7192">
            <v>97353</v>
          </cell>
          <cell r="B7192">
            <v>0</v>
          </cell>
          <cell r="C7192" t="str">
            <v>4|1|80000,1|14003|2,4|4|800</v>
          </cell>
          <cell r="D7192" t="str">
            <v>精英副本宝箱奖励353</v>
          </cell>
          <cell r="E7192" t="str">
            <v>4|1|80000|1,1|14003|2|1,4|4|800|1</v>
          </cell>
        </row>
        <row r="7193">
          <cell r="A7193">
            <v>97354</v>
          </cell>
          <cell r="B7193">
            <v>0</v>
          </cell>
          <cell r="C7193" t="str">
            <v>4|1|100000,4|2|1000,1|14107|730,4|45|2000</v>
          </cell>
          <cell r="D7193" t="str">
            <v>精英副本宝箱奖励354</v>
          </cell>
          <cell r="E7193" t="str">
            <v>4|1|100000|1,4|2|1000|1,1|14107|730|1,4|45|2000|1</v>
          </cell>
        </row>
        <row r="7194">
          <cell r="A7194">
            <v>97355</v>
          </cell>
          <cell r="B7194">
            <v>0</v>
          </cell>
          <cell r="C7194" t="str">
            <v>4|1|60000,1|14003|2,1|14102|10</v>
          </cell>
          <cell r="D7194" t="str">
            <v>精英副本宝箱奖励355</v>
          </cell>
          <cell r="E7194" t="str">
            <v>4|1|60000|1,1|14003|2|1,1|14102|10|1</v>
          </cell>
        </row>
        <row r="7195">
          <cell r="A7195">
            <v>97356</v>
          </cell>
          <cell r="B7195">
            <v>0</v>
          </cell>
          <cell r="C7195" t="str">
            <v>4|1|80000,1|14003|2,4|4|810</v>
          </cell>
          <cell r="D7195" t="str">
            <v>精英副本宝箱奖励356</v>
          </cell>
          <cell r="E7195" t="str">
            <v>4|1|80000|1,1|14003|2|1,4|4|810|1</v>
          </cell>
        </row>
        <row r="7196">
          <cell r="A7196">
            <v>97357</v>
          </cell>
          <cell r="B7196">
            <v>0</v>
          </cell>
          <cell r="C7196" t="str">
            <v>4|1|100000,4|2|1000,1|14107|740,4|45|2000</v>
          </cell>
          <cell r="D7196" t="str">
            <v>精英副本宝箱奖励357</v>
          </cell>
          <cell r="E7196" t="str">
            <v>4|1|100000|1,4|2|1000|1,1|14107|740|1,4|45|2000|1</v>
          </cell>
        </row>
        <row r="7197">
          <cell r="A7197">
            <v>97358</v>
          </cell>
          <cell r="B7197">
            <v>0</v>
          </cell>
          <cell r="C7197" t="str">
            <v>4|1|60000,1|14003|2,1|14102|10</v>
          </cell>
          <cell r="D7197" t="str">
            <v>精英副本宝箱奖励358</v>
          </cell>
          <cell r="E7197" t="str">
            <v>4|1|60000|1,1|14003|2|1,1|14102|10|1</v>
          </cell>
        </row>
        <row r="7198">
          <cell r="A7198">
            <v>97359</v>
          </cell>
          <cell r="B7198">
            <v>0</v>
          </cell>
          <cell r="C7198" t="str">
            <v>4|1|80000,1|14003|2,4|4|810</v>
          </cell>
          <cell r="D7198" t="str">
            <v>精英副本宝箱奖励359</v>
          </cell>
          <cell r="E7198" t="str">
            <v>4|1|80000|1,1|14003|2|1,4|4|810|1</v>
          </cell>
        </row>
        <row r="7199">
          <cell r="A7199">
            <v>97360</v>
          </cell>
          <cell r="B7199">
            <v>0</v>
          </cell>
          <cell r="C7199" t="str">
            <v>4|1|100000,4|2|1000,1|14107|740,4|45|2000</v>
          </cell>
          <cell r="D7199" t="str">
            <v>精英副本宝箱奖励360</v>
          </cell>
          <cell r="E7199" t="str">
            <v>4|1|100000|1,4|2|1000|1,1|14107|740|1,4|45|2000|1</v>
          </cell>
        </row>
        <row r="7200">
          <cell r="A7200">
            <v>97361</v>
          </cell>
          <cell r="B7200">
            <v>0</v>
          </cell>
          <cell r="C7200" t="str">
            <v>4|1|60000,1|14003|2,1|14102|10</v>
          </cell>
          <cell r="D7200" t="str">
            <v>精英副本宝箱奖励361</v>
          </cell>
          <cell r="E7200" t="str">
            <v>4|1|60000|1,1|14003|2|1,1|14102|10|1</v>
          </cell>
        </row>
        <row r="7201">
          <cell r="A7201">
            <v>97362</v>
          </cell>
          <cell r="B7201">
            <v>0</v>
          </cell>
          <cell r="C7201" t="str">
            <v>4|1|80000,1|14003|2,4|4|820</v>
          </cell>
          <cell r="D7201" t="str">
            <v>精英副本宝箱奖励362</v>
          </cell>
          <cell r="E7201" t="str">
            <v>4|1|80000|1,1|14003|2|1,4|4|820|1</v>
          </cell>
        </row>
        <row r="7202">
          <cell r="A7202">
            <v>97363</v>
          </cell>
          <cell r="B7202">
            <v>0</v>
          </cell>
          <cell r="C7202" t="str">
            <v>4|1|100000,4|2|1000,1|14107|750,4|45|2000</v>
          </cell>
          <cell r="D7202" t="str">
            <v>精英副本宝箱奖励363</v>
          </cell>
          <cell r="E7202" t="str">
            <v>4|1|100000|1,4|2|1000|1,1|14107|750|1,4|45|2000|1</v>
          </cell>
        </row>
        <row r="7203">
          <cell r="A7203">
            <v>97364</v>
          </cell>
          <cell r="B7203">
            <v>0</v>
          </cell>
          <cell r="C7203" t="str">
            <v>4|1|60000,1|14003|2,1|14102|10</v>
          </cell>
          <cell r="D7203" t="str">
            <v>精英副本宝箱奖励364</v>
          </cell>
          <cell r="E7203" t="str">
            <v>4|1|60000|1,1|14003|2|1,1|14102|10|1</v>
          </cell>
        </row>
        <row r="7204">
          <cell r="A7204">
            <v>97365</v>
          </cell>
          <cell r="B7204">
            <v>0</v>
          </cell>
          <cell r="C7204" t="str">
            <v>4|1|80000,1|14003|2,4|4|820</v>
          </cell>
          <cell r="D7204" t="str">
            <v>精英副本宝箱奖励365</v>
          </cell>
          <cell r="E7204" t="str">
            <v>4|1|80000|1,1|14003|2|1,4|4|820|1</v>
          </cell>
        </row>
        <row r="7205">
          <cell r="A7205">
            <v>97366</v>
          </cell>
          <cell r="B7205">
            <v>0</v>
          </cell>
          <cell r="C7205" t="str">
            <v>4|1|100000,4|2|1000,1|14107|750,4|45|2000</v>
          </cell>
          <cell r="D7205" t="str">
            <v>精英副本宝箱奖励366</v>
          </cell>
          <cell r="E7205" t="str">
            <v>4|1|100000|1,4|2|1000|1,1|14107|750|1,4|45|2000|1</v>
          </cell>
        </row>
        <row r="7206">
          <cell r="A7206">
            <v>97367</v>
          </cell>
          <cell r="B7206">
            <v>0</v>
          </cell>
          <cell r="C7206" t="str">
            <v>4|1|60000,1|14003|2,1|14102|10</v>
          </cell>
          <cell r="D7206" t="str">
            <v>精英副本宝箱奖励367</v>
          </cell>
          <cell r="E7206" t="str">
            <v>4|1|60000|1,1|14003|2|1,1|14102|10|1</v>
          </cell>
        </row>
        <row r="7207">
          <cell r="A7207">
            <v>97368</v>
          </cell>
          <cell r="B7207">
            <v>0</v>
          </cell>
          <cell r="C7207" t="str">
            <v>4|1|80000,1|14003|2,4|4|830</v>
          </cell>
          <cell r="D7207" t="str">
            <v>精英副本宝箱奖励368</v>
          </cell>
          <cell r="E7207" t="str">
            <v>4|1|80000|1,1|14003|2|1,4|4|830|1</v>
          </cell>
        </row>
        <row r="7208">
          <cell r="A7208">
            <v>97369</v>
          </cell>
          <cell r="B7208">
            <v>0</v>
          </cell>
          <cell r="C7208" t="str">
            <v>4|1|100000,4|2|1000,1|14107|760,4|45|2000</v>
          </cell>
          <cell r="D7208" t="str">
            <v>精英副本宝箱奖励369</v>
          </cell>
          <cell r="E7208" t="str">
            <v>4|1|100000|1,4|2|1000|1,1|14107|760|1,4|45|2000|1</v>
          </cell>
        </row>
        <row r="7209">
          <cell r="A7209">
            <v>97370</v>
          </cell>
          <cell r="B7209">
            <v>0</v>
          </cell>
          <cell r="C7209" t="str">
            <v>4|1|60000,1|14003|2,1|14102|10</v>
          </cell>
          <cell r="D7209" t="str">
            <v>精英副本宝箱奖励370</v>
          </cell>
          <cell r="E7209" t="str">
            <v>4|1|60000|1,1|14003|2|1,1|14102|10|1</v>
          </cell>
        </row>
        <row r="7210">
          <cell r="A7210">
            <v>97371</v>
          </cell>
          <cell r="B7210">
            <v>0</v>
          </cell>
          <cell r="C7210" t="str">
            <v>4|1|80000,1|14003|2,4|4|830</v>
          </cell>
          <cell r="D7210" t="str">
            <v>精英副本宝箱奖励371</v>
          </cell>
          <cell r="E7210" t="str">
            <v>4|1|80000|1,1|14003|2|1,4|4|830|1</v>
          </cell>
        </row>
        <row r="7211">
          <cell r="A7211">
            <v>97372</v>
          </cell>
          <cell r="B7211">
            <v>0</v>
          </cell>
          <cell r="C7211" t="str">
            <v>4|1|100000,4|2|1000,1|14107|760,4|45|2000</v>
          </cell>
          <cell r="D7211" t="str">
            <v>精英副本宝箱奖励372</v>
          </cell>
          <cell r="E7211" t="str">
            <v>4|1|100000|1,4|2|1000|1,1|14107|760|1,4|45|2000|1</v>
          </cell>
        </row>
        <row r="7212">
          <cell r="A7212">
            <v>97373</v>
          </cell>
          <cell r="B7212">
            <v>0</v>
          </cell>
          <cell r="C7212" t="str">
            <v>4|1|60000,1|14003|2,1|14102|10</v>
          </cell>
          <cell r="D7212" t="str">
            <v>精英副本宝箱奖励373</v>
          </cell>
          <cell r="E7212" t="str">
            <v>4|1|60000|1,1|14003|2|1,1|14102|10|1</v>
          </cell>
        </row>
        <row r="7213">
          <cell r="A7213">
            <v>97374</v>
          </cell>
          <cell r="B7213">
            <v>0</v>
          </cell>
          <cell r="C7213" t="str">
            <v>4|1|80000,1|14003|2,4|4|840</v>
          </cell>
          <cell r="D7213" t="str">
            <v>精英副本宝箱奖励374</v>
          </cell>
          <cell r="E7213" t="str">
            <v>4|1|80000|1,1|14003|2|1,4|4|840|1</v>
          </cell>
        </row>
        <row r="7214">
          <cell r="A7214">
            <v>97375</v>
          </cell>
          <cell r="B7214">
            <v>0</v>
          </cell>
          <cell r="C7214" t="str">
            <v>4|1|100000,4|2|1000,1|14107|770,4|45|2000</v>
          </cell>
          <cell r="D7214" t="str">
            <v>精英副本宝箱奖励375</v>
          </cell>
          <cell r="E7214" t="str">
            <v>4|1|100000|1,4|2|1000|1,1|14107|770|1,4|45|2000|1</v>
          </cell>
        </row>
        <row r="7215">
          <cell r="A7215">
            <v>97376</v>
          </cell>
          <cell r="B7215">
            <v>0</v>
          </cell>
          <cell r="C7215" t="str">
            <v>4|1|60000,1|14003|2,1|14102|10</v>
          </cell>
          <cell r="D7215" t="str">
            <v>精英副本宝箱奖励376</v>
          </cell>
          <cell r="E7215" t="str">
            <v>4|1|60000|1,1|14003|2|1,1|14102|10|1</v>
          </cell>
        </row>
        <row r="7216">
          <cell r="A7216">
            <v>97377</v>
          </cell>
          <cell r="B7216">
            <v>0</v>
          </cell>
          <cell r="C7216" t="str">
            <v>4|1|80000,1|14003|2,4|4|840</v>
          </cell>
          <cell r="D7216" t="str">
            <v>精英副本宝箱奖励377</v>
          </cell>
          <cell r="E7216" t="str">
            <v>4|1|80000|1,1|14003|2|1,4|4|840|1</v>
          </cell>
        </row>
        <row r="7217">
          <cell r="A7217">
            <v>97378</v>
          </cell>
          <cell r="B7217">
            <v>0</v>
          </cell>
          <cell r="C7217" t="str">
            <v>4|1|100000,4|2|1000,1|14107|770,4|45|2000</v>
          </cell>
          <cell r="D7217" t="str">
            <v>精英副本宝箱奖励378</v>
          </cell>
          <cell r="E7217" t="str">
            <v>4|1|100000|1,4|2|1000|1,1|14107|770|1,4|45|2000|1</v>
          </cell>
        </row>
        <row r="7218">
          <cell r="A7218">
            <v>97379</v>
          </cell>
          <cell r="B7218">
            <v>0</v>
          </cell>
          <cell r="C7218" t="str">
            <v>4|1|60000,1|14003|2,1|14102|10</v>
          </cell>
          <cell r="D7218" t="str">
            <v>精英副本宝箱奖励379</v>
          </cell>
          <cell r="E7218" t="str">
            <v>4|1|60000|1,1|14003|2|1,1|14102|10|1</v>
          </cell>
        </row>
        <row r="7219">
          <cell r="A7219">
            <v>97380</v>
          </cell>
          <cell r="B7219">
            <v>0</v>
          </cell>
          <cell r="C7219" t="str">
            <v>4|1|80000,1|14003|2,4|4|850</v>
          </cell>
          <cell r="D7219" t="str">
            <v>精英副本宝箱奖励380</v>
          </cell>
          <cell r="E7219" t="str">
            <v>4|1|80000|1,1|14003|2|1,4|4|850|1</v>
          </cell>
        </row>
        <row r="7220">
          <cell r="A7220">
            <v>97381</v>
          </cell>
          <cell r="B7220">
            <v>0</v>
          </cell>
          <cell r="C7220" t="str">
            <v>4|1|100000,4|2|1000,1|14107|780,4|45|2000</v>
          </cell>
          <cell r="D7220" t="str">
            <v>精英副本宝箱奖励381</v>
          </cell>
          <cell r="E7220" t="str">
            <v>4|1|100000|1,4|2|1000|1,1|14107|780|1,4|45|2000|1</v>
          </cell>
        </row>
        <row r="7221">
          <cell r="A7221">
            <v>97382</v>
          </cell>
          <cell r="B7221">
            <v>0</v>
          </cell>
          <cell r="C7221" t="str">
            <v>4|1|60000,1|14003|2,1|14102|10</v>
          </cell>
          <cell r="D7221" t="str">
            <v>精英副本宝箱奖励382</v>
          </cell>
          <cell r="E7221" t="str">
            <v>4|1|60000|1,1|14003|2|1,1|14102|10|1</v>
          </cell>
        </row>
        <row r="7222">
          <cell r="A7222">
            <v>97383</v>
          </cell>
          <cell r="B7222">
            <v>0</v>
          </cell>
          <cell r="C7222" t="str">
            <v>4|1|80000,1|14003|2,4|4|850</v>
          </cell>
          <cell r="D7222" t="str">
            <v>精英副本宝箱奖励383</v>
          </cell>
          <cell r="E7222" t="str">
            <v>4|1|80000|1,1|14003|2|1,4|4|850|1</v>
          </cell>
        </row>
        <row r="7223">
          <cell r="A7223">
            <v>97384</v>
          </cell>
          <cell r="B7223">
            <v>0</v>
          </cell>
          <cell r="C7223" t="str">
            <v>4|1|100000,4|2|1000,1|14107|780,4|45|2000</v>
          </cell>
          <cell r="D7223" t="str">
            <v>精英副本宝箱奖励384</v>
          </cell>
          <cell r="E7223" t="str">
            <v>4|1|100000|1,4|2|1000|1,1|14107|780|1,4|45|2000|1</v>
          </cell>
        </row>
        <row r="7224">
          <cell r="A7224">
            <v>97385</v>
          </cell>
          <cell r="B7224">
            <v>0</v>
          </cell>
          <cell r="C7224" t="str">
            <v>4|1|60000,1|14003|2,1|14102|10</v>
          </cell>
          <cell r="D7224" t="str">
            <v>精英副本宝箱奖励385</v>
          </cell>
          <cell r="E7224" t="str">
            <v>4|1|60000|1,1|14003|2|1,1|14102|10|1</v>
          </cell>
        </row>
        <row r="7225">
          <cell r="A7225">
            <v>97386</v>
          </cell>
          <cell r="B7225">
            <v>0</v>
          </cell>
          <cell r="C7225" t="str">
            <v>4|1|80000,1|14003|2,4|4|860</v>
          </cell>
          <cell r="D7225" t="str">
            <v>精英副本宝箱奖励386</v>
          </cell>
          <cell r="E7225" t="str">
            <v>4|1|80000|1,1|14003|2|1,4|4|860|1</v>
          </cell>
        </row>
        <row r="7226">
          <cell r="A7226">
            <v>97387</v>
          </cell>
          <cell r="B7226">
            <v>0</v>
          </cell>
          <cell r="C7226" t="str">
            <v>4|1|100000,4|2|1000,1|14107|790,4|45|2000</v>
          </cell>
          <cell r="D7226" t="str">
            <v>精英副本宝箱奖励387</v>
          </cell>
          <cell r="E7226" t="str">
            <v>4|1|100000|1,4|2|1000|1,1|14107|790|1,4|45|2000|1</v>
          </cell>
        </row>
        <row r="7227">
          <cell r="A7227">
            <v>97388</v>
          </cell>
          <cell r="B7227">
            <v>0</v>
          </cell>
          <cell r="C7227" t="str">
            <v>4|1|60000,1|14003|2,1|14102|10</v>
          </cell>
          <cell r="D7227" t="str">
            <v>精英副本宝箱奖励388</v>
          </cell>
          <cell r="E7227" t="str">
            <v>4|1|60000|1,1|14003|2|1,1|14102|10|1</v>
          </cell>
        </row>
        <row r="7228">
          <cell r="A7228">
            <v>97389</v>
          </cell>
          <cell r="B7228">
            <v>0</v>
          </cell>
          <cell r="C7228" t="str">
            <v>4|1|80000,1|14003|2,4|4|860</v>
          </cell>
          <cell r="D7228" t="str">
            <v>精英副本宝箱奖励389</v>
          </cell>
          <cell r="E7228" t="str">
            <v>4|1|80000|1,1|14003|2|1,4|4|860|1</v>
          </cell>
        </row>
        <row r="7229">
          <cell r="A7229">
            <v>97390</v>
          </cell>
          <cell r="B7229">
            <v>0</v>
          </cell>
          <cell r="C7229" t="str">
            <v>4|1|100000,4|2|1000,1|14107|790,4|45|2000</v>
          </cell>
          <cell r="D7229" t="str">
            <v>精英副本宝箱奖励390</v>
          </cell>
          <cell r="E7229" t="str">
            <v>4|1|100000|1,4|2|1000|1,1|14107|790|1,4|45|2000|1</v>
          </cell>
        </row>
        <row r="7230">
          <cell r="A7230">
            <v>97391</v>
          </cell>
          <cell r="B7230">
            <v>0</v>
          </cell>
          <cell r="C7230" t="str">
            <v>4|1|60000,1|14003|2,1|14102|10</v>
          </cell>
          <cell r="D7230" t="str">
            <v>精英副本宝箱奖励391</v>
          </cell>
          <cell r="E7230" t="str">
            <v>4|1|60000|1,1|14003|2|1,1|14102|10|1</v>
          </cell>
        </row>
        <row r="7231">
          <cell r="A7231">
            <v>97392</v>
          </cell>
          <cell r="B7231">
            <v>0</v>
          </cell>
          <cell r="C7231" t="str">
            <v>4|1|80000,1|14003|2,4|4|870</v>
          </cell>
          <cell r="D7231" t="str">
            <v>精英副本宝箱奖励392</v>
          </cell>
          <cell r="E7231" t="str">
            <v>4|1|80000|1,1|14003|2|1,4|4|870|1</v>
          </cell>
        </row>
        <row r="7232">
          <cell r="A7232">
            <v>97393</v>
          </cell>
          <cell r="B7232">
            <v>0</v>
          </cell>
          <cell r="C7232" t="str">
            <v>4|1|100000,4|2|1000,1|14107|800,4|45|2000</v>
          </cell>
          <cell r="D7232" t="str">
            <v>精英副本宝箱奖励393</v>
          </cell>
          <cell r="E7232" t="str">
            <v>4|1|100000|1,4|2|1000|1,1|14107|800|1,4|45|2000|1</v>
          </cell>
        </row>
        <row r="7233">
          <cell r="A7233">
            <v>97394</v>
          </cell>
          <cell r="B7233">
            <v>0</v>
          </cell>
          <cell r="C7233" t="str">
            <v>4|1|60000,1|14003|2,1|14102|10</v>
          </cell>
          <cell r="D7233" t="str">
            <v>精英副本宝箱奖励394</v>
          </cell>
          <cell r="E7233" t="str">
            <v>4|1|60000|1,1|14003|2|1,1|14102|10|1</v>
          </cell>
        </row>
        <row r="7234">
          <cell r="A7234">
            <v>97395</v>
          </cell>
          <cell r="B7234">
            <v>0</v>
          </cell>
          <cell r="C7234" t="str">
            <v>4|1|80000,1|14003|2,4|4|870</v>
          </cell>
          <cell r="D7234" t="str">
            <v>精英副本宝箱奖励395</v>
          </cell>
          <cell r="E7234" t="str">
            <v>4|1|80000|1,1|14003|2|1,4|4|870|1</v>
          </cell>
        </row>
        <row r="7235">
          <cell r="A7235">
            <v>97396</v>
          </cell>
          <cell r="B7235">
            <v>0</v>
          </cell>
          <cell r="C7235" t="str">
            <v>4|1|100000,4|2|1000,1|14107|800,4|45|2000</v>
          </cell>
          <cell r="D7235" t="str">
            <v>精英副本宝箱奖励396</v>
          </cell>
          <cell r="E7235" t="str">
            <v>4|1|100000|1,4|2|1000|1,1|14107|800|1,4|45|2000|1</v>
          </cell>
        </row>
        <row r="7236">
          <cell r="A7236">
            <v>99000</v>
          </cell>
          <cell r="B7236">
            <v>0</v>
          </cell>
          <cell r="C7236" t="str">
            <v>4|1|250000,4|5|5000</v>
          </cell>
          <cell r="D7236" t="str">
            <v>竞技场排行榜奖励1</v>
          </cell>
          <cell r="E7236" t="str">
            <v>4|1|250000|1,4|5|5000|1</v>
          </cell>
        </row>
        <row r="7237">
          <cell r="A7237">
            <v>99001</v>
          </cell>
          <cell r="B7237">
            <v>0</v>
          </cell>
          <cell r="C7237" t="str">
            <v>4|1|225000,4|5|4800</v>
          </cell>
          <cell r="D7237" t="str">
            <v>竞技场排行榜奖励2</v>
          </cell>
          <cell r="E7237" t="str">
            <v>4|1|225000|1,4|5|4800|1</v>
          </cell>
        </row>
        <row r="7238">
          <cell r="A7238">
            <v>99002</v>
          </cell>
          <cell r="B7238">
            <v>0</v>
          </cell>
          <cell r="C7238" t="str">
            <v>4|1|200000,4|5|4500</v>
          </cell>
          <cell r="D7238" t="str">
            <v>竞技场排行榜奖励3</v>
          </cell>
          <cell r="E7238" t="str">
            <v>4|1|200000|1,4|5|4500|1</v>
          </cell>
        </row>
        <row r="7239">
          <cell r="A7239">
            <v>99003</v>
          </cell>
          <cell r="B7239">
            <v>0</v>
          </cell>
          <cell r="C7239" t="str">
            <v>4|1|180000,4|5|4200</v>
          </cell>
          <cell r="D7239" t="str">
            <v>竞技场排行榜奖励4</v>
          </cell>
          <cell r="E7239" t="str">
            <v>4|1|180000|1,4|5|4200|1</v>
          </cell>
        </row>
        <row r="7240">
          <cell r="A7240">
            <v>99004</v>
          </cell>
          <cell r="B7240">
            <v>0</v>
          </cell>
          <cell r="C7240" t="str">
            <v>4|1|160000,4|5|4000</v>
          </cell>
          <cell r="D7240" t="str">
            <v>竞技场排行榜奖励5</v>
          </cell>
          <cell r="E7240" t="str">
            <v>4|1|160000|1,4|5|4000|1</v>
          </cell>
        </row>
        <row r="7241">
          <cell r="A7241">
            <v>99005</v>
          </cell>
          <cell r="B7241">
            <v>0</v>
          </cell>
          <cell r="C7241" t="str">
            <v>4|1|140000,4|5|3600</v>
          </cell>
          <cell r="D7241" t="str">
            <v>竞技场排行榜奖励6</v>
          </cell>
          <cell r="E7241" t="str">
            <v>4|1|140000|1,4|5|3600|1</v>
          </cell>
        </row>
        <row r="7242">
          <cell r="A7242">
            <v>99006</v>
          </cell>
          <cell r="B7242">
            <v>0</v>
          </cell>
          <cell r="C7242" t="str">
            <v>4|1|120000,4|5|3300</v>
          </cell>
          <cell r="D7242" t="str">
            <v>竞技场排行榜奖励7</v>
          </cell>
          <cell r="E7242" t="str">
            <v>4|1|120000|1,4|5|3300|1</v>
          </cell>
        </row>
        <row r="7243">
          <cell r="A7243">
            <v>99007</v>
          </cell>
          <cell r="B7243">
            <v>0</v>
          </cell>
          <cell r="C7243" t="str">
            <v>4|1|100000,4|5|3000</v>
          </cell>
          <cell r="D7243" t="str">
            <v>竞技场排行榜奖励8</v>
          </cell>
          <cell r="E7243" t="str">
            <v>4|1|100000|1,4|5|3000|1</v>
          </cell>
        </row>
        <row r="7244">
          <cell r="A7244">
            <v>99008</v>
          </cell>
          <cell r="B7244">
            <v>0</v>
          </cell>
          <cell r="C7244" t="str">
            <v>4|1|75000,4|5|2500</v>
          </cell>
          <cell r="D7244" t="str">
            <v>竞技场排行榜奖励9</v>
          </cell>
          <cell r="E7244" t="str">
            <v>4|1|75000|1,4|5|2500|1</v>
          </cell>
        </row>
        <row r="7245">
          <cell r="A7245">
            <v>99009</v>
          </cell>
          <cell r="B7245">
            <v>0</v>
          </cell>
          <cell r="C7245" t="str">
            <v>4|1|50000,4|5|2000</v>
          </cell>
          <cell r="D7245" t="str">
            <v>竞技场排行榜奖励10</v>
          </cell>
          <cell r="E7245" t="str">
            <v>4|1|50000|1,4|5|2000|1</v>
          </cell>
        </row>
        <row r="7246">
          <cell r="A7246">
            <v>99100</v>
          </cell>
          <cell r="B7246">
            <v>0</v>
          </cell>
          <cell r="C7246" t="str">
            <v>4|29|5000</v>
          </cell>
          <cell r="D7246" t="str">
            <v>世界BOSS排行榜奖励1</v>
          </cell>
          <cell r="E7246" t="str">
            <v>4|29|5000|1</v>
          </cell>
        </row>
        <row r="7247">
          <cell r="A7247">
            <v>99101</v>
          </cell>
          <cell r="B7247">
            <v>0</v>
          </cell>
          <cell r="C7247" t="str">
            <v>4|29|4800</v>
          </cell>
          <cell r="D7247" t="str">
            <v>世界BOSS排行榜奖励2</v>
          </cell>
          <cell r="E7247" t="str">
            <v>4|29|4800|1</v>
          </cell>
        </row>
        <row r="7248">
          <cell r="A7248">
            <v>99102</v>
          </cell>
          <cell r="B7248">
            <v>0</v>
          </cell>
          <cell r="C7248" t="str">
            <v>4|29|4500</v>
          </cell>
          <cell r="D7248" t="str">
            <v>世界BOSS排行榜奖励3</v>
          </cell>
          <cell r="E7248" t="str">
            <v>4|29|4500|1</v>
          </cell>
        </row>
        <row r="7249">
          <cell r="A7249">
            <v>99103</v>
          </cell>
          <cell r="B7249">
            <v>0</v>
          </cell>
          <cell r="C7249" t="str">
            <v>4|29|4200</v>
          </cell>
          <cell r="D7249" t="str">
            <v>世界BOSS排行榜奖励4</v>
          </cell>
          <cell r="E7249" t="str">
            <v>4|29|4200|1</v>
          </cell>
        </row>
        <row r="7250">
          <cell r="A7250">
            <v>99104</v>
          </cell>
          <cell r="B7250">
            <v>0</v>
          </cell>
          <cell r="C7250" t="str">
            <v>4|29|4000</v>
          </cell>
          <cell r="D7250" t="str">
            <v>世界BOSS排行榜奖励5</v>
          </cell>
          <cell r="E7250" t="str">
            <v>4|29|4000|1</v>
          </cell>
        </row>
        <row r="7251">
          <cell r="A7251">
            <v>99105</v>
          </cell>
          <cell r="B7251">
            <v>0</v>
          </cell>
          <cell r="C7251" t="str">
            <v>4|29|3600</v>
          </cell>
          <cell r="D7251" t="str">
            <v>世界BOSS排行榜奖励6</v>
          </cell>
          <cell r="E7251" t="str">
            <v>4|29|3600|1</v>
          </cell>
        </row>
        <row r="7252">
          <cell r="A7252">
            <v>99106</v>
          </cell>
          <cell r="B7252">
            <v>0</v>
          </cell>
          <cell r="C7252" t="str">
            <v>4|29|3300</v>
          </cell>
          <cell r="D7252" t="str">
            <v>世界BOSS排行榜奖励7</v>
          </cell>
          <cell r="E7252" t="str">
            <v>4|29|3300|1</v>
          </cell>
        </row>
        <row r="7253">
          <cell r="A7253">
            <v>99107</v>
          </cell>
          <cell r="B7253">
            <v>0</v>
          </cell>
          <cell r="C7253" t="str">
            <v>4|29|3000</v>
          </cell>
          <cell r="D7253" t="str">
            <v>世界BOSS排行榜奖励8</v>
          </cell>
          <cell r="E7253" t="str">
            <v>4|29|3000|1</v>
          </cell>
        </row>
        <row r="7254">
          <cell r="A7254">
            <v>99108</v>
          </cell>
          <cell r="B7254">
            <v>0</v>
          </cell>
          <cell r="C7254" t="str">
            <v>4|29|2500</v>
          </cell>
          <cell r="D7254" t="str">
            <v>世界BOSS排行榜奖励9</v>
          </cell>
          <cell r="E7254" t="str">
            <v>4|29|2500|1</v>
          </cell>
        </row>
        <row r="7255">
          <cell r="A7255">
            <v>99109</v>
          </cell>
          <cell r="B7255">
            <v>0</v>
          </cell>
          <cell r="C7255" t="str">
            <v>4|29|2000</v>
          </cell>
          <cell r="D7255" t="str">
            <v>世界BOSS排行榜奖励10</v>
          </cell>
          <cell r="E7255" t="str">
            <v>4|29|2000|1</v>
          </cell>
        </row>
        <row r="7256">
          <cell r="A7256">
            <v>99200</v>
          </cell>
          <cell r="B7256">
            <v>0</v>
          </cell>
          <cell r="C7256" t="str">
            <v>4|29|5000</v>
          </cell>
          <cell r="D7256" t="str">
            <v>梦魇入侵排行榜奖励1</v>
          </cell>
          <cell r="E7256" t="str">
            <v>4|29|5000|1</v>
          </cell>
        </row>
        <row r="7257">
          <cell r="A7257">
            <v>99201</v>
          </cell>
          <cell r="B7257">
            <v>0</v>
          </cell>
          <cell r="C7257" t="str">
            <v>4|29|4800</v>
          </cell>
          <cell r="D7257" t="str">
            <v>梦魇入侵排行榜奖励2</v>
          </cell>
          <cell r="E7257" t="str">
            <v>4|29|4800|1</v>
          </cell>
        </row>
        <row r="7258">
          <cell r="A7258">
            <v>99202</v>
          </cell>
          <cell r="B7258">
            <v>0</v>
          </cell>
          <cell r="C7258" t="str">
            <v>4|29|4600</v>
          </cell>
          <cell r="D7258" t="str">
            <v>梦魇入侵排行榜奖励3</v>
          </cell>
          <cell r="E7258" t="str">
            <v>4|29|4600|1</v>
          </cell>
        </row>
        <row r="7259">
          <cell r="A7259">
            <v>99203</v>
          </cell>
          <cell r="B7259">
            <v>0</v>
          </cell>
          <cell r="C7259" t="str">
            <v>4|29|4300</v>
          </cell>
          <cell r="D7259" t="str">
            <v>梦魇入侵排行榜奖励4</v>
          </cell>
          <cell r="E7259" t="str">
            <v>4|29|4300|1</v>
          </cell>
        </row>
        <row r="7260">
          <cell r="A7260">
            <v>99204</v>
          </cell>
          <cell r="B7260">
            <v>0</v>
          </cell>
          <cell r="C7260" t="str">
            <v>4|29|4000</v>
          </cell>
          <cell r="D7260" t="str">
            <v>梦魇入侵排行榜奖励5</v>
          </cell>
          <cell r="E7260" t="str">
            <v>4|29|4000|1</v>
          </cell>
        </row>
        <row r="7261">
          <cell r="A7261">
            <v>99205</v>
          </cell>
          <cell r="B7261">
            <v>0</v>
          </cell>
          <cell r="C7261" t="str">
            <v>4|29|3800</v>
          </cell>
          <cell r="D7261" t="str">
            <v>梦魇入侵排行榜奖励6</v>
          </cell>
          <cell r="E7261" t="str">
            <v>4|29|3800|1</v>
          </cell>
        </row>
        <row r="7262">
          <cell r="A7262">
            <v>99206</v>
          </cell>
          <cell r="B7262">
            <v>0</v>
          </cell>
          <cell r="C7262" t="str">
            <v>4|29|3600</v>
          </cell>
          <cell r="D7262" t="str">
            <v>梦魇入侵排行榜奖励7</v>
          </cell>
          <cell r="E7262" t="str">
            <v>4|29|3600|1</v>
          </cell>
        </row>
        <row r="7263">
          <cell r="A7263">
            <v>99207</v>
          </cell>
          <cell r="B7263">
            <v>0</v>
          </cell>
          <cell r="C7263" t="str">
            <v>4|29|3400</v>
          </cell>
          <cell r="D7263" t="str">
            <v>梦魇入侵排行榜奖励8</v>
          </cell>
          <cell r="E7263" t="str">
            <v>4|29|3400|1</v>
          </cell>
        </row>
        <row r="7264">
          <cell r="A7264">
            <v>99208</v>
          </cell>
          <cell r="B7264">
            <v>0</v>
          </cell>
          <cell r="C7264" t="str">
            <v>4|29|3200</v>
          </cell>
          <cell r="D7264" t="str">
            <v>梦魇入侵排行榜奖励9</v>
          </cell>
          <cell r="E7264" t="str">
            <v>4|29|3200|1</v>
          </cell>
        </row>
        <row r="7265">
          <cell r="A7265">
            <v>99209</v>
          </cell>
          <cell r="B7265">
            <v>0</v>
          </cell>
          <cell r="C7265" t="str">
            <v>4|29|3000</v>
          </cell>
          <cell r="D7265" t="str">
            <v>梦魇入侵排行榜奖励10</v>
          </cell>
          <cell r="E7265" t="str">
            <v>4|29|3000|1</v>
          </cell>
        </row>
        <row r="7266">
          <cell r="A7266">
            <v>99210</v>
          </cell>
          <cell r="B7266">
            <v>0</v>
          </cell>
          <cell r="C7266" t="str">
            <v>4|29|2600</v>
          </cell>
          <cell r="D7266" t="str">
            <v>梦魇入侵排行榜奖励11</v>
          </cell>
          <cell r="E7266" t="str">
            <v>4|29|2600|1</v>
          </cell>
        </row>
        <row r="7267">
          <cell r="A7267">
            <v>99211</v>
          </cell>
          <cell r="B7267">
            <v>0</v>
          </cell>
          <cell r="C7267" t="str">
            <v>4|29|2300</v>
          </cell>
          <cell r="D7267" t="str">
            <v>梦魇入侵排行榜奖励12</v>
          </cell>
          <cell r="E7267" t="str">
            <v>4|29|2300|1</v>
          </cell>
        </row>
        <row r="7268">
          <cell r="A7268">
            <v>99212</v>
          </cell>
          <cell r="B7268">
            <v>0</v>
          </cell>
          <cell r="C7268" t="str">
            <v>4|29|2000</v>
          </cell>
          <cell r="D7268" t="str">
            <v>梦魇入侵排行榜奖励13</v>
          </cell>
          <cell r="E7268" t="str">
            <v>4|29|2000|1</v>
          </cell>
        </row>
        <row r="7269">
          <cell r="A7269">
            <v>99300</v>
          </cell>
          <cell r="B7269">
            <v>0</v>
          </cell>
          <cell r="C7269" t="str">
            <v>4|38|3000</v>
          </cell>
          <cell r="D7269" t="str">
            <v>夜探无底洞排名奖励1</v>
          </cell>
          <cell r="E7269" t="str">
            <v>4|38|3000|1</v>
          </cell>
        </row>
        <row r="7270">
          <cell r="A7270">
            <v>99301</v>
          </cell>
          <cell r="B7270">
            <v>0</v>
          </cell>
          <cell r="C7270" t="str">
            <v>4|38|2800</v>
          </cell>
          <cell r="D7270" t="str">
            <v>夜探无底洞排名奖励2</v>
          </cell>
          <cell r="E7270" t="str">
            <v>4|38|2800|1</v>
          </cell>
        </row>
        <row r="7271">
          <cell r="A7271">
            <v>99302</v>
          </cell>
          <cell r="B7271">
            <v>0</v>
          </cell>
          <cell r="C7271" t="str">
            <v>4|38|2600</v>
          </cell>
          <cell r="D7271" t="str">
            <v>夜探无底洞排名奖励3</v>
          </cell>
          <cell r="E7271" t="str">
            <v>4|38|2600|1</v>
          </cell>
        </row>
        <row r="7272">
          <cell r="A7272">
            <v>99303</v>
          </cell>
          <cell r="B7272">
            <v>0</v>
          </cell>
          <cell r="C7272" t="str">
            <v>4|38|2400</v>
          </cell>
          <cell r="D7272" t="str">
            <v>夜探无底洞排名奖励4</v>
          </cell>
          <cell r="E7272" t="str">
            <v>4|38|2400|1</v>
          </cell>
        </row>
        <row r="7273">
          <cell r="A7273">
            <v>99304</v>
          </cell>
          <cell r="B7273">
            <v>0</v>
          </cell>
          <cell r="C7273" t="str">
            <v>4|38|2200</v>
          </cell>
          <cell r="D7273" t="str">
            <v>夜探无底洞排名奖励5</v>
          </cell>
          <cell r="E7273" t="str">
            <v>4|38|2200|1</v>
          </cell>
        </row>
        <row r="7274">
          <cell r="A7274">
            <v>99305</v>
          </cell>
          <cell r="B7274">
            <v>0</v>
          </cell>
          <cell r="C7274" t="str">
            <v>4|38|2000</v>
          </cell>
          <cell r="D7274" t="str">
            <v>夜探无底洞排名奖励6</v>
          </cell>
          <cell r="E7274" t="str">
            <v>4|38|2000|1</v>
          </cell>
        </row>
        <row r="7275">
          <cell r="A7275">
            <v>99306</v>
          </cell>
          <cell r="B7275">
            <v>0</v>
          </cell>
          <cell r="C7275" t="str">
            <v>4|38|1750</v>
          </cell>
          <cell r="D7275" t="str">
            <v>夜探无底洞排名奖励7</v>
          </cell>
          <cell r="E7275" t="str">
            <v>4|38|1750|1</v>
          </cell>
        </row>
        <row r="7276">
          <cell r="A7276">
            <v>99307</v>
          </cell>
          <cell r="B7276">
            <v>0</v>
          </cell>
          <cell r="C7276" t="str">
            <v>4|38|1500</v>
          </cell>
          <cell r="D7276" t="str">
            <v>夜探无底洞排名奖励8</v>
          </cell>
          <cell r="E7276" t="str">
            <v>4|38|1500|1</v>
          </cell>
        </row>
        <row r="7277">
          <cell r="A7277">
            <v>99308</v>
          </cell>
          <cell r="B7277">
            <v>0</v>
          </cell>
          <cell r="C7277" t="str">
            <v>4|38|1250</v>
          </cell>
          <cell r="D7277" t="str">
            <v>夜探无底洞排名奖励9</v>
          </cell>
          <cell r="E7277" t="str">
            <v>4|38|1250|1</v>
          </cell>
        </row>
        <row r="7278">
          <cell r="A7278">
            <v>99309</v>
          </cell>
          <cell r="B7278">
            <v>0</v>
          </cell>
          <cell r="C7278" t="str">
            <v>4|38|1000</v>
          </cell>
          <cell r="D7278" t="str">
            <v>夜探无底洞排名奖励10</v>
          </cell>
          <cell r="E7278" t="str">
            <v>4|38|1000|1</v>
          </cell>
        </row>
        <row r="7279">
          <cell r="A7279">
            <v>99400</v>
          </cell>
          <cell r="B7279">
            <v>0</v>
          </cell>
          <cell r="C7279" t="str">
            <v>1|16005|1000,1|14201|1000,1|17001|1000,1|16010|500,4|1|5000000</v>
          </cell>
          <cell r="D7279" t="str">
            <v>开服战力第8天排名奖励1</v>
          </cell>
          <cell r="E7279" t="str">
            <v>1|16005|1000|1,1|14201|1000|1,1|17001|1000|1,1|16010|500|1,4|1|5000000|1</v>
          </cell>
        </row>
        <row r="7280">
          <cell r="A7280">
            <v>99401</v>
          </cell>
          <cell r="B7280">
            <v>0</v>
          </cell>
          <cell r="C7280" t="str">
            <v>1|16005|900,1|14201|900,1|17001|900,1|16010|450,4|1|4500000</v>
          </cell>
          <cell r="D7280" t="str">
            <v>开服战力第8天排名奖励2</v>
          </cell>
          <cell r="E7280" t="str">
            <v>1|16005|900|1,1|14201|900|1,1|17001|900|1,1|16010|450|1,4|1|4500000|1</v>
          </cell>
        </row>
        <row r="7281">
          <cell r="A7281">
            <v>99402</v>
          </cell>
          <cell r="B7281">
            <v>0</v>
          </cell>
          <cell r="C7281" t="str">
            <v>1|16005|800,1|14201|800,1|17001|800,1|16010|400,4|1|4000000</v>
          </cell>
          <cell r="D7281" t="str">
            <v>开服战力第8天排名奖励3</v>
          </cell>
          <cell r="E7281" t="str">
            <v>1|16005|800|1,1|14201|800|1,1|17001|800|1,1|16010|400|1,4|1|4000000|1</v>
          </cell>
        </row>
        <row r="7282">
          <cell r="A7282">
            <v>99403</v>
          </cell>
          <cell r="B7282">
            <v>0</v>
          </cell>
          <cell r="C7282" t="str">
            <v>1|16005|700,1|14201|700,1|17001|700,1|16010|350,4|1|3500000</v>
          </cell>
          <cell r="D7282" t="str">
            <v>开服战力第8天排名奖励4</v>
          </cell>
          <cell r="E7282" t="str">
            <v>1|16005|700|1,1|14201|700|1,1|17001|700|1,1|16010|350|1,4|1|3500000|1</v>
          </cell>
        </row>
        <row r="7283">
          <cell r="A7283">
            <v>99404</v>
          </cell>
          <cell r="B7283">
            <v>0</v>
          </cell>
          <cell r="C7283" t="str">
            <v>1|16005|600,1|14201|600,1|17001|600,1|16010|300,4|1|3000000</v>
          </cell>
          <cell r="D7283" t="str">
            <v>开服战力第8天排名奖励5</v>
          </cell>
          <cell r="E7283" t="str">
            <v>1|16005|600|1,1|14201|600|1,1|17001|600|1,1|16010|300|1,4|1|3000000|1</v>
          </cell>
        </row>
        <row r="7284">
          <cell r="A7284">
            <v>99405</v>
          </cell>
          <cell r="B7284">
            <v>0</v>
          </cell>
          <cell r="C7284" t="str">
            <v>1|16005|500,1|14201|500,1|17001|500,1|16010|250,4|1|2500000</v>
          </cell>
          <cell r="D7284" t="str">
            <v>开服战力第8天排名奖励6</v>
          </cell>
          <cell r="E7284" t="str">
            <v>1|16005|500|1,1|14201|500|1,1|17001|500|1,1|16010|250|1,4|1|2500000|1</v>
          </cell>
        </row>
        <row r="7285">
          <cell r="A7285">
            <v>99406</v>
          </cell>
          <cell r="B7285">
            <v>0</v>
          </cell>
          <cell r="C7285" t="str">
            <v>1|16005|400,1|14201|400,1|17001|400,1|16010|200,4|1|2000000</v>
          </cell>
          <cell r="D7285" t="str">
            <v>开服战力第8天排名奖励7</v>
          </cell>
          <cell r="E7285" t="str">
            <v>1|16005|400|1,1|14201|400|1,1|17001|400|1,1|16010|200|1,4|1|2000000|1</v>
          </cell>
        </row>
        <row r="7286">
          <cell r="A7286">
            <v>99407</v>
          </cell>
          <cell r="B7286">
            <v>0</v>
          </cell>
          <cell r="C7286" t="str">
            <v>1|16005|300,1|14201|300,1|17001|300,1|16010|150,4|1|1500000</v>
          </cell>
          <cell r="D7286" t="str">
            <v>开服战力第8天排名奖励8</v>
          </cell>
          <cell r="E7286" t="str">
            <v>1|16005|300|1,1|14201|300|1,1|17001|300|1,1|16010|150|1,4|1|1500000|1</v>
          </cell>
        </row>
        <row r="7287">
          <cell r="A7287">
            <v>99408</v>
          </cell>
          <cell r="B7287">
            <v>0</v>
          </cell>
          <cell r="C7287" t="str">
            <v>1|16005|200,1|14201|200,1|17001|200,1|16010|100,4|1|1000000</v>
          </cell>
          <cell r="D7287" t="str">
            <v>开服战力第8天排名奖励9</v>
          </cell>
          <cell r="E7287" t="str">
            <v>1|16005|200|1,1|14201|200|1,1|17001|200|1,1|16010|100|1,4|1|1000000|1</v>
          </cell>
        </row>
        <row r="7288">
          <cell r="A7288">
            <v>99409</v>
          </cell>
          <cell r="B7288">
            <v>0</v>
          </cell>
          <cell r="C7288" t="str">
            <v>1|16005|200,1|14201|200,1|17001|200,1|16010|100,4|1|1000000</v>
          </cell>
          <cell r="D7288" t="str">
            <v>开服战力第8天排名奖励10</v>
          </cell>
          <cell r="E7288" t="str">
            <v>1|16005|200|1,1|14201|200|1,1|17001|200|1,1|16010|100|1,4|1|1000000|1</v>
          </cell>
        </row>
        <row r="7289">
          <cell r="A7289">
            <v>100001</v>
          </cell>
          <cell r="B7289">
            <v>0</v>
          </cell>
          <cell r="C7289" t="str">
            <v>4|1|40000</v>
          </cell>
          <cell r="D7289" t="str">
            <v>主角达到5级</v>
          </cell>
          <cell r="E7289" t="str">
            <v>4|1|40000|1</v>
          </cell>
        </row>
        <row r="7290">
          <cell r="A7290">
            <v>100002</v>
          </cell>
          <cell r="B7290">
            <v>0</v>
          </cell>
          <cell r="C7290" t="str">
            <v>4|1|40000</v>
          </cell>
          <cell r="D7290" t="str">
            <v>主角达到10级</v>
          </cell>
          <cell r="E7290" t="str">
            <v>4|1|40000|1</v>
          </cell>
        </row>
        <row r="7291">
          <cell r="A7291">
            <v>100003</v>
          </cell>
          <cell r="B7291">
            <v>0</v>
          </cell>
          <cell r="C7291" t="str">
            <v>4|1|40000</v>
          </cell>
          <cell r="D7291" t="str">
            <v>主角达到15级</v>
          </cell>
          <cell r="E7291" t="str">
            <v>4|1|40000|1</v>
          </cell>
        </row>
        <row r="7292">
          <cell r="A7292">
            <v>100004</v>
          </cell>
          <cell r="B7292">
            <v>0</v>
          </cell>
          <cell r="C7292" t="str">
            <v>4|1|40000</v>
          </cell>
          <cell r="D7292" t="str">
            <v>主角达到20级</v>
          </cell>
          <cell r="E7292" t="str">
            <v>4|1|40000|1</v>
          </cell>
        </row>
        <row r="7293">
          <cell r="A7293">
            <v>100005</v>
          </cell>
          <cell r="B7293">
            <v>0</v>
          </cell>
          <cell r="C7293" t="str">
            <v>4|1|40000</v>
          </cell>
          <cell r="D7293" t="str">
            <v>主角达到25级</v>
          </cell>
          <cell r="E7293" t="str">
            <v>4|1|40000|1</v>
          </cell>
        </row>
        <row r="7294">
          <cell r="A7294">
            <v>100006</v>
          </cell>
          <cell r="B7294">
            <v>0</v>
          </cell>
          <cell r="C7294" t="str">
            <v>4|1|40000</v>
          </cell>
          <cell r="D7294" t="str">
            <v>主角达到30级</v>
          </cell>
          <cell r="E7294" t="str">
            <v>4|1|40000|1</v>
          </cell>
        </row>
        <row r="7295">
          <cell r="A7295">
            <v>100007</v>
          </cell>
          <cell r="B7295">
            <v>0</v>
          </cell>
          <cell r="C7295" t="str">
            <v>4|1|40000</v>
          </cell>
          <cell r="D7295" t="str">
            <v>主角达到35级</v>
          </cell>
          <cell r="E7295" t="str">
            <v>4|1|40000|1</v>
          </cell>
        </row>
        <row r="7296">
          <cell r="A7296">
            <v>100008</v>
          </cell>
          <cell r="B7296">
            <v>0</v>
          </cell>
          <cell r="C7296" t="str">
            <v>4|1|40000</v>
          </cell>
          <cell r="D7296" t="str">
            <v>主角达到40级</v>
          </cell>
          <cell r="E7296" t="str">
            <v>4|1|40000|1</v>
          </cell>
        </row>
        <row r="7297">
          <cell r="A7297">
            <v>100009</v>
          </cell>
          <cell r="B7297">
            <v>0</v>
          </cell>
          <cell r="C7297" t="str">
            <v>4|1|60000</v>
          </cell>
          <cell r="D7297" t="str">
            <v>主角达到45级</v>
          </cell>
          <cell r="E7297" t="str">
            <v>4|1|60000|1</v>
          </cell>
        </row>
        <row r="7298">
          <cell r="A7298">
            <v>100010</v>
          </cell>
          <cell r="B7298">
            <v>0</v>
          </cell>
          <cell r="C7298" t="str">
            <v>4|1|60000</v>
          </cell>
          <cell r="D7298" t="str">
            <v>主角达到50级</v>
          </cell>
          <cell r="E7298" t="str">
            <v>4|1|60000|1</v>
          </cell>
        </row>
        <row r="7299">
          <cell r="A7299">
            <v>100011</v>
          </cell>
          <cell r="B7299">
            <v>0</v>
          </cell>
          <cell r="C7299" t="str">
            <v>4|1|80000</v>
          </cell>
          <cell r="D7299" t="str">
            <v>主角达到55级</v>
          </cell>
          <cell r="E7299" t="str">
            <v>4|1|80000|1</v>
          </cell>
        </row>
        <row r="7300">
          <cell r="A7300">
            <v>100012</v>
          </cell>
          <cell r="B7300">
            <v>0</v>
          </cell>
          <cell r="C7300" t="str">
            <v>4|1|80000</v>
          </cell>
          <cell r="D7300" t="str">
            <v>主角达到60级</v>
          </cell>
          <cell r="E7300" t="str">
            <v>4|1|80000|1</v>
          </cell>
        </row>
        <row r="7301">
          <cell r="A7301">
            <v>100013</v>
          </cell>
          <cell r="B7301">
            <v>0</v>
          </cell>
          <cell r="C7301" t="str">
            <v>4|1|100000</v>
          </cell>
          <cell r="D7301" t="str">
            <v>主角达到65级</v>
          </cell>
          <cell r="E7301" t="str">
            <v>4|1|100000|1</v>
          </cell>
        </row>
        <row r="7302">
          <cell r="A7302">
            <v>100014</v>
          </cell>
          <cell r="B7302">
            <v>0</v>
          </cell>
          <cell r="C7302" t="str">
            <v>4|1|100000</v>
          </cell>
          <cell r="D7302" t="str">
            <v>主角达到70级</v>
          </cell>
          <cell r="E7302" t="str">
            <v>4|1|100000|1</v>
          </cell>
        </row>
        <row r="7303">
          <cell r="A7303">
            <v>100015</v>
          </cell>
          <cell r="B7303">
            <v>0</v>
          </cell>
          <cell r="C7303" t="str">
            <v>4|1|100000</v>
          </cell>
          <cell r="D7303" t="str">
            <v>主角达到75级</v>
          </cell>
          <cell r="E7303" t="str">
            <v>4|1|100000|1</v>
          </cell>
        </row>
        <row r="7304">
          <cell r="A7304">
            <v>100016</v>
          </cell>
          <cell r="B7304">
            <v>0</v>
          </cell>
          <cell r="C7304" t="str">
            <v>4|1|100000</v>
          </cell>
          <cell r="D7304" t="str">
            <v>主角达到80级</v>
          </cell>
          <cell r="E7304" t="str">
            <v>4|1|100000|1</v>
          </cell>
        </row>
        <row r="7305">
          <cell r="A7305">
            <v>100017</v>
          </cell>
          <cell r="B7305">
            <v>0</v>
          </cell>
          <cell r="C7305" t="str">
            <v>4|1|100000</v>
          </cell>
          <cell r="D7305" t="str">
            <v>主角达到85级</v>
          </cell>
          <cell r="E7305" t="str">
            <v>4|1|100000|1</v>
          </cell>
        </row>
        <row r="7306">
          <cell r="A7306">
            <v>100018</v>
          </cell>
          <cell r="B7306">
            <v>0</v>
          </cell>
          <cell r="C7306" t="str">
            <v>4|1|100000</v>
          </cell>
          <cell r="D7306" t="str">
            <v>主角达到90级</v>
          </cell>
          <cell r="E7306" t="str">
            <v>4|1|100000|1</v>
          </cell>
        </row>
        <row r="7307">
          <cell r="A7307">
            <v>100019</v>
          </cell>
          <cell r="B7307">
            <v>0</v>
          </cell>
          <cell r="C7307" t="str">
            <v>4|1|100000</v>
          </cell>
          <cell r="D7307" t="str">
            <v>主角达到95级</v>
          </cell>
          <cell r="E7307" t="str">
            <v>4|1|100000|1</v>
          </cell>
        </row>
        <row r="7308">
          <cell r="A7308">
            <v>100020</v>
          </cell>
          <cell r="B7308">
            <v>0</v>
          </cell>
          <cell r="C7308" t="str">
            <v>4|1|100000</v>
          </cell>
          <cell r="D7308" t="str">
            <v>主角达到100级</v>
          </cell>
          <cell r="E7308" t="str">
            <v>4|1|100000|1</v>
          </cell>
        </row>
        <row r="7309">
          <cell r="A7309">
            <v>100021</v>
          </cell>
          <cell r="B7309">
            <v>0</v>
          </cell>
          <cell r="C7309" t="str">
            <v>4|1|100000</v>
          </cell>
          <cell r="D7309" t="str">
            <v>主角达到105级</v>
          </cell>
          <cell r="E7309" t="str">
            <v>4|1|100000|1</v>
          </cell>
        </row>
        <row r="7310">
          <cell r="A7310">
            <v>100022</v>
          </cell>
          <cell r="B7310">
            <v>0</v>
          </cell>
          <cell r="C7310" t="str">
            <v>4|1|100000</v>
          </cell>
          <cell r="D7310" t="str">
            <v>主角达到110级</v>
          </cell>
          <cell r="E7310" t="str">
            <v>4|1|100000|1</v>
          </cell>
        </row>
        <row r="7311">
          <cell r="A7311">
            <v>100023</v>
          </cell>
          <cell r="B7311">
            <v>0</v>
          </cell>
          <cell r="C7311" t="str">
            <v>4|1|100000</v>
          </cell>
          <cell r="D7311" t="str">
            <v>主角达到115级</v>
          </cell>
          <cell r="E7311" t="str">
            <v>4|1|100000|1</v>
          </cell>
        </row>
        <row r="7312">
          <cell r="A7312">
            <v>100024</v>
          </cell>
          <cell r="B7312">
            <v>0</v>
          </cell>
          <cell r="C7312" t="str">
            <v>4|1|100000</v>
          </cell>
          <cell r="D7312" t="str">
            <v>主角达到120级</v>
          </cell>
          <cell r="E7312" t="str">
            <v>4|1|100000|1</v>
          </cell>
        </row>
        <row r="7313">
          <cell r="A7313">
            <v>100025</v>
          </cell>
          <cell r="B7313">
            <v>0</v>
          </cell>
          <cell r="C7313" t="str">
            <v>4|1|100000</v>
          </cell>
          <cell r="D7313" t="str">
            <v>主角达到125级</v>
          </cell>
          <cell r="E7313" t="str">
            <v>4|1|100000|1</v>
          </cell>
        </row>
        <row r="7314">
          <cell r="A7314">
            <v>100026</v>
          </cell>
          <cell r="B7314">
            <v>0</v>
          </cell>
          <cell r="C7314" t="str">
            <v>4|1|100000</v>
          </cell>
          <cell r="D7314" t="str">
            <v>主角达到130级</v>
          </cell>
          <cell r="E7314" t="str">
            <v>4|1|100000|1</v>
          </cell>
        </row>
        <row r="7315">
          <cell r="A7315">
            <v>100027</v>
          </cell>
          <cell r="B7315">
            <v>0</v>
          </cell>
          <cell r="C7315" t="str">
            <v>4|1|100000</v>
          </cell>
          <cell r="D7315" t="str">
            <v>主角达到135级</v>
          </cell>
          <cell r="E7315" t="str">
            <v>4|1|100000|1</v>
          </cell>
        </row>
        <row r="7316">
          <cell r="A7316">
            <v>100028</v>
          </cell>
          <cell r="B7316">
            <v>0</v>
          </cell>
          <cell r="C7316" t="str">
            <v>4|1|100000</v>
          </cell>
          <cell r="D7316" t="str">
            <v>主角达到140级</v>
          </cell>
          <cell r="E7316" t="str">
            <v>4|1|100000|1</v>
          </cell>
        </row>
        <row r="7317">
          <cell r="A7317">
            <v>100029</v>
          </cell>
          <cell r="B7317">
            <v>0</v>
          </cell>
          <cell r="C7317" t="str">
            <v>4|1|100000</v>
          </cell>
          <cell r="D7317" t="str">
            <v>主角达到145级</v>
          </cell>
          <cell r="E7317" t="str">
            <v>4|1|100000|1</v>
          </cell>
        </row>
        <row r="7318">
          <cell r="A7318">
            <v>100030</v>
          </cell>
          <cell r="B7318">
            <v>0</v>
          </cell>
          <cell r="C7318" t="str">
            <v>4|1|100000</v>
          </cell>
          <cell r="D7318" t="str">
            <v>主角达到150级</v>
          </cell>
          <cell r="E7318" t="str">
            <v>4|1|100000|1</v>
          </cell>
        </row>
        <row r="7319">
          <cell r="A7319">
            <v>100031</v>
          </cell>
          <cell r="B7319">
            <v>0</v>
          </cell>
          <cell r="C7319" t="str">
            <v>4|1|100000</v>
          </cell>
          <cell r="D7319" t="str">
            <v>主角达到155级</v>
          </cell>
          <cell r="E7319" t="str">
            <v>4|1|100000|1</v>
          </cell>
        </row>
        <row r="7320">
          <cell r="A7320">
            <v>100032</v>
          </cell>
          <cell r="B7320">
            <v>0</v>
          </cell>
          <cell r="C7320" t="str">
            <v>4|1|100000</v>
          </cell>
          <cell r="D7320" t="str">
            <v>主角达到160级</v>
          </cell>
          <cell r="E7320" t="str">
            <v>4|1|100000|1</v>
          </cell>
        </row>
        <row r="7321">
          <cell r="A7321">
            <v>100033</v>
          </cell>
          <cell r="B7321">
            <v>0</v>
          </cell>
          <cell r="C7321" t="str">
            <v>4|1|100000</v>
          </cell>
          <cell r="D7321" t="str">
            <v>主角达到165级</v>
          </cell>
          <cell r="E7321" t="str">
            <v>4|1|100000|1</v>
          </cell>
        </row>
        <row r="7322">
          <cell r="A7322">
            <v>100034</v>
          </cell>
          <cell r="B7322">
            <v>0</v>
          </cell>
          <cell r="C7322" t="str">
            <v>4|1|100000</v>
          </cell>
          <cell r="D7322" t="str">
            <v>主角达到170级</v>
          </cell>
          <cell r="E7322" t="str">
            <v>4|1|100000|1</v>
          </cell>
        </row>
        <row r="7323">
          <cell r="A7323">
            <v>100035</v>
          </cell>
          <cell r="B7323">
            <v>0</v>
          </cell>
          <cell r="C7323" t="str">
            <v>4|1|100000</v>
          </cell>
          <cell r="D7323" t="str">
            <v>主角达到175级</v>
          </cell>
          <cell r="E7323" t="str">
            <v>4|1|100000|1</v>
          </cell>
        </row>
        <row r="7324">
          <cell r="A7324">
            <v>100036</v>
          </cell>
          <cell r="B7324">
            <v>0</v>
          </cell>
          <cell r="C7324" t="str">
            <v>4|1|100000</v>
          </cell>
          <cell r="D7324" t="str">
            <v>主角达到180级</v>
          </cell>
          <cell r="E7324" t="str">
            <v>4|1|100000|1</v>
          </cell>
        </row>
        <row r="7325">
          <cell r="A7325">
            <v>100037</v>
          </cell>
          <cell r="B7325">
            <v>0</v>
          </cell>
          <cell r="C7325" t="str">
            <v>4|1|100000</v>
          </cell>
          <cell r="D7325" t="str">
            <v>主角达到185级</v>
          </cell>
          <cell r="E7325" t="str">
            <v>4|1|100000|1</v>
          </cell>
        </row>
        <row r="7326">
          <cell r="A7326">
            <v>100038</v>
          </cell>
          <cell r="B7326">
            <v>0</v>
          </cell>
          <cell r="C7326" t="str">
            <v>4|1|100000</v>
          </cell>
          <cell r="D7326" t="str">
            <v>主角达到190级</v>
          </cell>
          <cell r="E7326" t="str">
            <v>4|1|100000|1</v>
          </cell>
        </row>
        <row r="7327">
          <cell r="A7327">
            <v>100039</v>
          </cell>
          <cell r="B7327">
            <v>0</v>
          </cell>
          <cell r="C7327" t="str">
            <v>4|1|100000</v>
          </cell>
          <cell r="D7327" t="str">
            <v>主角达到195级</v>
          </cell>
          <cell r="E7327" t="str">
            <v>4|1|100000|1</v>
          </cell>
        </row>
        <row r="7328">
          <cell r="A7328">
            <v>100040</v>
          </cell>
          <cell r="B7328">
            <v>0</v>
          </cell>
          <cell r="C7328" t="str">
            <v>4|1|100000</v>
          </cell>
          <cell r="D7328" t="str">
            <v>主角达到200级</v>
          </cell>
          <cell r="E7328" t="str">
            <v>4|1|100000|1</v>
          </cell>
        </row>
        <row r="7329">
          <cell r="A7329">
            <v>100041</v>
          </cell>
          <cell r="B7329">
            <v>0</v>
          </cell>
          <cell r="C7329" t="str">
            <v>4|1|100000</v>
          </cell>
          <cell r="D7329" t="str">
            <v>主角达到205级</v>
          </cell>
          <cell r="E7329" t="str">
            <v>4|1|100000|1</v>
          </cell>
        </row>
        <row r="7330">
          <cell r="A7330">
            <v>100042</v>
          </cell>
          <cell r="B7330">
            <v>0</v>
          </cell>
          <cell r="C7330" t="str">
            <v>4|1|100000</v>
          </cell>
          <cell r="D7330" t="str">
            <v>主角达到210级</v>
          </cell>
          <cell r="E7330" t="str">
            <v>4|1|100000|1</v>
          </cell>
        </row>
        <row r="7331">
          <cell r="A7331">
            <v>100043</v>
          </cell>
          <cell r="B7331">
            <v>0</v>
          </cell>
          <cell r="C7331" t="str">
            <v>4|1|100000</v>
          </cell>
          <cell r="D7331" t="str">
            <v>主角达到215级</v>
          </cell>
          <cell r="E7331" t="str">
            <v>4|1|100000|1</v>
          </cell>
        </row>
        <row r="7332">
          <cell r="A7332">
            <v>100044</v>
          </cell>
          <cell r="B7332">
            <v>0</v>
          </cell>
          <cell r="C7332" t="str">
            <v>4|1|100000</v>
          </cell>
          <cell r="D7332" t="str">
            <v>主角达到220级</v>
          </cell>
          <cell r="E7332" t="str">
            <v>4|1|100000|1</v>
          </cell>
        </row>
        <row r="7333">
          <cell r="A7333">
            <v>100045</v>
          </cell>
          <cell r="B7333">
            <v>0</v>
          </cell>
          <cell r="C7333" t="str">
            <v>4|1|100000</v>
          </cell>
          <cell r="D7333" t="str">
            <v>主角达到225级</v>
          </cell>
          <cell r="E7333" t="str">
            <v>4|1|100000|1</v>
          </cell>
        </row>
        <row r="7334">
          <cell r="A7334">
            <v>100046</v>
          </cell>
          <cell r="B7334">
            <v>0</v>
          </cell>
          <cell r="C7334" t="str">
            <v>4|1|100000</v>
          </cell>
          <cell r="D7334" t="str">
            <v>主角达到230级</v>
          </cell>
          <cell r="E7334" t="str">
            <v>4|1|100000|1</v>
          </cell>
        </row>
        <row r="7335">
          <cell r="A7335">
            <v>100047</v>
          </cell>
          <cell r="B7335">
            <v>0</v>
          </cell>
          <cell r="C7335" t="str">
            <v>4|1|100000</v>
          </cell>
          <cell r="D7335" t="str">
            <v>主角达到235级</v>
          </cell>
          <cell r="E7335" t="str">
            <v>4|1|100000|1</v>
          </cell>
        </row>
        <row r="7336">
          <cell r="A7336">
            <v>100048</v>
          </cell>
          <cell r="B7336">
            <v>0</v>
          </cell>
          <cell r="C7336" t="str">
            <v>4|1|100000</v>
          </cell>
          <cell r="D7336" t="str">
            <v>主角达到240级</v>
          </cell>
          <cell r="E7336" t="str">
            <v>4|1|100000|1</v>
          </cell>
        </row>
        <row r="7337">
          <cell r="A7337">
            <v>100049</v>
          </cell>
          <cell r="B7337">
            <v>0</v>
          </cell>
          <cell r="C7337" t="str">
            <v>4|1|100000</v>
          </cell>
          <cell r="D7337" t="str">
            <v>主角达到245级</v>
          </cell>
          <cell r="E7337" t="str">
            <v>4|1|100000|1</v>
          </cell>
        </row>
        <row r="7338">
          <cell r="A7338">
            <v>100050</v>
          </cell>
          <cell r="B7338">
            <v>0</v>
          </cell>
          <cell r="C7338" t="str">
            <v>4|1|100000</v>
          </cell>
          <cell r="D7338" t="str">
            <v>主角达到250级</v>
          </cell>
          <cell r="E7338" t="str">
            <v>4|1|100000|1</v>
          </cell>
        </row>
        <row r="7339">
          <cell r="A7339">
            <v>100051</v>
          </cell>
          <cell r="B7339">
            <v>0</v>
          </cell>
          <cell r="C7339" t="str">
            <v>4|1|100000</v>
          </cell>
          <cell r="D7339" t="str">
            <v>主角达到255级</v>
          </cell>
          <cell r="E7339" t="str">
            <v>4|1|100000|1</v>
          </cell>
        </row>
        <row r="7340">
          <cell r="A7340">
            <v>100052</v>
          </cell>
          <cell r="B7340">
            <v>0</v>
          </cell>
          <cell r="C7340" t="str">
            <v>4|1|100000</v>
          </cell>
          <cell r="D7340" t="str">
            <v>主角达到260级</v>
          </cell>
          <cell r="E7340" t="str">
            <v>4|1|100000|1</v>
          </cell>
        </row>
        <row r="7341">
          <cell r="A7341">
            <v>100053</v>
          </cell>
          <cell r="B7341">
            <v>0</v>
          </cell>
          <cell r="C7341" t="str">
            <v>4|1|100000</v>
          </cell>
          <cell r="D7341" t="str">
            <v>主角达到265级</v>
          </cell>
          <cell r="E7341" t="str">
            <v>4|1|100000|1</v>
          </cell>
        </row>
        <row r="7342">
          <cell r="A7342">
            <v>100054</v>
          </cell>
          <cell r="B7342">
            <v>0</v>
          </cell>
          <cell r="C7342" t="str">
            <v>4|1|100000</v>
          </cell>
          <cell r="D7342" t="str">
            <v>主角达到270级</v>
          </cell>
          <cell r="E7342" t="str">
            <v>4|1|100000|1</v>
          </cell>
        </row>
        <row r="7343">
          <cell r="A7343">
            <v>100055</v>
          </cell>
          <cell r="B7343">
            <v>0</v>
          </cell>
          <cell r="C7343" t="str">
            <v>4|1|100000</v>
          </cell>
          <cell r="D7343" t="str">
            <v>主角达到275级</v>
          </cell>
          <cell r="E7343" t="str">
            <v>4|1|100000|1</v>
          </cell>
        </row>
        <row r="7344">
          <cell r="A7344">
            <v>100056</v>
          </cell>
          <cell r="B7344">
            <v>0</v>
          </cell>
          <cell r="C7344" t="str">
            <v>4|1|100000</v>
          </cell>
          <cell r="D7344" t="str">
            <v>主角达到280级</v>
          </cell>
          <cell r="E7344" t="str">
            <v>4|1|100000|1</v>
          </cell>
        </row>
        <row r="7345">
          <cell r="A7345">
            <v>100057</v>
          </cell>
          <cell r="B7345">
            <v>0</v>
          </cell>
          <cell r="C7345" t="str">
            <v>4|1|100000</v>
          </cell>
          <cell r="D7345" t="str">
            <v>主角达到285级</v>
          </cell>
          <cell r="E7345" t="str">
            <v>4|1|100000|1</v>
          </cell>
        </row>
        <row r="7346">
          <cell r="A7346">
            <v>100058</v>
          </cell>
          <cell r="B7346">
            <v>0</v>
          </cell>
          <cell r="C7346" t="str">
            <v>4|1|100000</v>
          </cell>
          <cell r="D7346" t="str">
            <v>主角达到290级</v>
          </cell>
          <cell r="E7346" t="str">
            <v>4|1|100000|1</v>
          </cell>
        </row>
        <row r="7347">
          <cell r="A7347">
            <v>100059</v>
          </cell>
          <cell r="B7347">
            <v>0</v>
          </cell>
          <cell r="C7347" t="str">
            <v>4|1|100000</v>
          </cell>
          <cell r="D7347" t="str">
            <v>主角达到295级</v>
          </cell>
          <cell r="E7347" t="str">
            <v>4|1|100000|1</v>
          </cell>
        </row>
        <row r="7348">
          <cell r="A7348">
            <v>100060</v>
          </cell>
          <cell r="B7348">
            <v>0</v>
          </cell>
          <cell r="C7348" t="str">
            <v>4|1|100000</v>
          </cell>
          <cell r="D7348" t="str">
            <v>主角达到300级</v>
          </cell>
          <cell r="E7348" t="str">
            <v>4|1|100000|1</v>
          </cell>
        </row>
        <row r="7349">
          <cell r="A7349">
            <v>100061</v>
          </cell>
          <cell r="B7349">
            <v>0</v>
          </cell>
          <cell r="C7349" t="str">
            <v>4|1|100000</v>
          </cell>
          <cell r="D7349" t="str">
            <v>主角达到305级</v>
          </cell>
          <cell r="E7349" t="str">
            <v>4|1|100000|1</v>
          </cell>
        </row>
        <row r="7350">
          <cell r="A7350">
            <v>100062</v>
          </cell>
          <cell r="B7350">
            <v>0</v>
          </cell>
          <cell r="C7350" t="str">
            <v>4|1|100000</v>
          </cell>
          <cell r="D7350" t="str">
            <v>主角达到310级</v>
          </cell>
          <cell r="E7350" t="str">
            <v>4|1|100000|1</v>
          </cell>
        </row>
        <row r="7351">
          <cell r="A7351">
            <v>100063</v>
          </cell>
          <cell r="B7351">
            <v>0</v>
          </cell>
          <cell r="C7351" t="str">
            <v>4|1|100000</v>
          </cell>
          <cell r="D7351" t="str">
            <v>主角达到315级</v>
          </cell>
          <cell r="E7351" t="str">
            <v>4|1|100000|1</v>
          </cell>
        </row>
        <row r="7352">
          <cell r="A7352">
            <v>100064</v>
          </cell>
          <cell r="B7352">
            <v>0</v>
          </cell>
          <cell r="C7352" t="str">
            <v>4|1|100000</v>
          </cell>
          <cell r="D7352" t="str">
            <v>主角达到320级</v>
          </cell>
          <cell r="E7352" t="str">
            <v>4|1|100000|1</v>
          </cell>
        </row>
        <row r="7353">
          <cell r="A7353">
            <v>100065</v>
          </cell>
          <cell r="B7353">
            <v>0</v>
          </cell>
          <cell r="C7353" t="str">
            <v>4|1|100000</v>
          </cell>
          <cell r="D7353" t="str">
            <v>主角达到325级</v>
          </cell>
          <cell r="E7353" t="str">
            <v>4|1|100000|1</v>
          </cell>
        </row>
        <row r="7354">
          <cell r="A7354">
            <v>100066</v>
          </cell>
          <cell r="B7354">
            <v>0</v>
          </cell>
          <cell r="C7354" t="str">
            <v>4|1|100000</v>
          </cell>
          <cell r="D7354" t="str">
            <v>主角达到330级</v>
          </cell>
          <cell r="E7354" t="str">
            <v>4|1|100000|1</v>
          </cell>
        </row>
        <row r="7355">
          <cell r="A7355">
            <v>100067</v>
          </cell>
          <cell r="B7355">
            <v>0</v>
          </cell>
          <cell r="C7355" t="str">
            <v>4|1|100000</v>
          </cell>
          <cell r="D7355" t="str">
            <v>主角达到335级</v>
          </cell>
          <cell r="E7355" t="str">
            <v>4|1|100000|1</v>
          </cell>
        </row>
        <row r="7356">
          <cell r="A7356">
            <v>100068</v>
          </cell>
          <cell r="B7356">
            <v>0</v>
          </cell>
          <cell r="C7356" t="str">
            <v>4|1|100000</v>
          </cell>
          <cell r="D7356" t="str">
            <v>主角达到340级</v>
          </cell>
          <cell r="E7356" t="str">
            <v>4|1|100000|1</v>
          </cell>
        </row>
        <row r="7357">
          <cell r="A7357">
            <v>100069</v>
          </cell>
          <cell r="B7357">
            <v>0</v>
          </cell>
          <cell r="C7357" t="str">
            <v>4|1|100000</v>
          </cell>
          <cell r="D7357" t="str">
            <v>主角达到345级</v>
          </cell>
          <cell r="E7357" t="str">
            <v>4|1|100000|1</v>
          </cell>
        </row>
        <row r="7358">
          <cell r="A7358">
            <v>100070</v>
          </cell>
          <cell r="B7358">
            <v>0</v>
          </cell>
          <cell r="C7358" t="str">
            <v>4|1|100000</v>
          </cell>
          <cell r="D7358" t="str">
            <v>主角达到350级</v>
          </cell>
          <cell r="E7358" t="str">
            <v>4|1|100000|1</v>
          </cell>
        </row>
        <row r="7359">
          <cell r="A7359">
            <v>100071</v>
          </cell>
          <cell r="B7359">
            <v>0</v>
          </cell>
          <cell r="C7359" t="str">
            <v>4|1|100000</v>
          </cell>
          <cell r="D7359" t="str">
            <v>主角达到355级</v>
          </cell>
          <cell r="E7359" t="str">
            <v>4|1|100000|1</v>
          </cell>
        </row>
        <row r="7360">
          <cell r="A7360">
            <v>100072</v>
          </cell>
          <cell r="B7360">
            <v>0</v>
          </cell>
          <cell r="C7360" t="str">
            <v>4|1|100000</v>
          </cell>
          <cell r="D7360" t="str">
            <v>主角达到360级</v>
          </cell>
          <cell r="E7360" t="str">
            <v>4|1|100000|1</v>
          </cell>
        </row>
        <row r="7361">
          <cell r="A7361">
            <v>100073</v>
          </cell>
          <cell r="B7361">
            <v>0</v>
          </cell>
          <cell r="C7361" t="str">
            <v>4|1|100000</v>
          </cell>
          <cell r="D7361" t="str">
            <v>主角达到365级</v>
          </cell>
          <cell r="E7361" t="str">
            <v>4|1|100000|1</v>
          </cell>
        </row>
        <row r="7362">
          <cell r="A7362">
            <v>100074</v>
          </cell>
          <cell r="B7362">
            <v>0</v>
          </cell>
          <cell r="C7362" t="str">
            <v>4|1|100000</v>
          </cell>
          <cell r="D7362" t="str">
            <v>主角达到370级</v>
          </cell>
          <cell r="E7362" t="str">
            <v>4|1|100000|1</v>
          </cell>
        </row>
        <row r="7363">
          <cell r="A7363">
            <v>100075</v>
          </cell>
          <cell r="B7363">
            <v>0</v>
          </cell>
          <cell r="C7363" t="str">
            <v>4|1|100000</v>
          </cell>
          <cell r="D7363" t="str">
            <v>主角达到375级</v>
          </cell>
          <cell r="E7363" t="str">
            <v>4|1|100000|1</v>
          </cell>
        </row>
        <row r="7364">
          <cell r="A7364">
            <v>100501</v>
          </cell>
          <cell r="B7364">
            <v>0</v>
          </cell>
          <cell r="C7364" t="str">
            <v>4|1|40000</v>
          </cell>
          <cell r="D7364" t="str">
            <v>通关主线副本第1章</v>
          </cell>
          <cell r="E7364" t="str">
            <v>4|1|40000|1</v>
          </cell>
        </row>
        <row r="7365">
          <cell r="A7365">
            <v>100502</v>
          </cell>
          <cell r="B7365">
            <v>0</v>
          </cell>
          <cell r="C7365" t="str">
            <v>4|1|40000</v>
          </cell>
          <cell r="D7365" t="str">
            <v>通关主线副本第2章</v>
          </cell>
          <cell r="E7365" t="str">
            <v>4|1|40000|1</v>
          </cell>
        </row>
        <row r="7366">
          <cell r="A7366">
            <v>100503</v>
          </cell>
          <cell r="B7366">
            <v>0</v>
          </cell>
          <cell r="C7366" t="str">
            <v>4|1|40000</v>
          </cell>
          <cell r="D7366" t="str">
            <v>通关主线副本第3章</v>
          </cell>
          <cell r="E7366" t="str">
            <v>4|1|40000|1</v>
          </cell>
        </row>
        <row r="7367">
          <cell r="A7367">
            <v>100504</v>
          </cell>
          <cell r="B7367">
            <v>0</v>
          </cell>
          <cell r="C7367" t="str">
            <v>4|1|40000</v>
          </cell>
          <cell r="D7367" t="str">
            <v>通关主线副本第4章</v>
          </cell>
          <cell r="E7367" t="str">
            <v>4|1|40000|1</v>
          </cell>
        </row>
        <row r="7368">
          <cell r="A7368">
            <v>100505</v>
          </cell>
          <cell r="B7368">
            <v>0</v>
          </cell>
          <cell r="C7368" t="str">
            <v>4|1|40000</v>
          </cell>
          <cell r="D7368" t="str">
            <v>通关主线副本第5章</v>
          </cell>
          <cell r="E7368" t="str">
            <v>4|1|40000|1</v>
          </cell>
        </row>
        <row r="7369">
          <cell r="A7369">
            <v>100506</v>
          </cell>
          <cell r="B7369">
            <v>0</v>
          </cell>
          <cell r="C7369" t="str">
            <v>4|1|40000</v>
          </cell>
          <cell r="D7369" t="str">
            <v>通关主线副本第6章</v>
          </cell>
          <cell r="E7369" t="str">
            <v>4|1|40000|1</v>
          </cell>
        </row>
        <row r="7370">
          <cell r="A7370">
            <v>100507</v>
          </cell>
          <cell r="B7370">
            <v>0</v>
          </cell>
          <cell r="C7370" t="str">
            <v>4|1|40000</v>
          </cell>
          <cell r="D7370" t="str">
            <v>通关主线副本第7章</v>
          </cell>
          <cell r="E7370" t="str">
            <v>4|1|40000|1</v>
          </cell>
        </row>
        <row r="7371">
          <cell r="A7371">
            <v>100508</v>
          </cell>
          <cell r="B7371">
            <v>0</v>
          </cell>
          <cell r="C7371" t="str">
            <v>4|1|40000</v>
          </cell>
          <cell r="D7371" t="str">
            <v>通关主线副本第8章</v>
          </cell>
          <cell r="E7371" t="str">
            <v>4|1|40000|1</v>
          </cell>
        </row>
        <row r="7372">
          <cell r="A7372">
            <v>100509</v>
          </cell>
          <cell r="B7372">
            <v>0</v>
          </cell>
          <cell r="C7372" t="str">
            <v>4|1|40000</v>
          </cell>
          <cell r="D7372" t="str">
            <v>通关主线副本第9章</v>
          </cell>
          <cell r="E7372" t="str">
            <v>4|1|40000|1</v>
          </cell>
        </row>
        <row r="7373">
          <cell r="A7373">
            <v>100510</v>
          </cell>
          <cell r="B7373">
            <v>0</v>
          </cell>
          <cell r="C7373" t="str">
            <v>4|1|40000</v>
          </cell>
          <cell r="D7373" t="str">
            <v>通关主线副本第10章</v>
          </cell>
          <cell r="E7373" t="str">
            <v>4|1|40000|1</v>
          </cell>
        </row>
        <row r="7374">
          <cell r="A7374">
            <v>100511</v>
          </cell>
          <cell r="B7374">
            <v>0</v>
          </cell>
          <cell r="C7374" t="str">
            <v>4|1|40000</v>
          </cell>
          <cell r="D7374" t="str">
            <v>通关主线副本第11章</v>
          </cell>
          <cell r="E7374" t="str">
            <v>4|1|40000|1</v>
          </cell>
        </row>
        <row r="7375">
          <cell r="A7375">
            <v>100512</v>
          </cell>
          <cell r="B7375">
            <v>0</v>
          </cell>
          <cell r="C7375" t="str">
            <v>4|1|40000</v>
          </cell>
          <cell r="D7375" t="str">
            <v>通关主线副本第12章</v>
          </cell>
          <cell r="E7375" t="str">
            <v>4|1|40000|1</v>
          </cell>
        </row>
        <row r="7376">
          <cell r="A7376">
            <v>100513</v>
          </cell>
          <cell r="B7376">
            <v>0</v>
          </cell>
          <cell r="C7376" t="str">
            <v>4|1|40000</v>
          </cell>
          <cell r="D7376" t="str">
            <v>通关主线副本第13章</v>
          </cell>
          <cell r="E7376" t="str">
            <v>4|1|40000|1</v>
          </cell>
        </row>
        <row r="7377">
          <cell r="A7377">
            <v>100514</v>
          </cell>
          <cell r="B7377">
            <v>0</v>
          </cell>
          <cell r="C7377" t="str">
            <v>4|1|40000</v>
          </cell>
          <cell r="D7377" t="str">
            <v>通关主线副本第14章</v>
          </cell>
          <cell r="E7377" t="str">
            <v>4|1|40000|1</v>
          </cell>
        </row>
        <row r="7378">
          <cell r="A7378">
            <v>100515</v>
          </cell>
          <cell r="B7378">
            <v>0</v>
          </cell>
          <cell r="C7378" t="str">
            <v>4|1|40000</v>
          </cell>
          <cell r="D7378" t="str">
            <v>通关主线副本第15章</v>
          </cell>
          <cell r="E7378" t="str">
            <v>4|1|40000|1</v>
          </cell>
        </row>
        <row r="7379">
          <cell r="A7379">
            <v>100516</v>
          </cell>
          <cell r="B7379">
            <v>0</v>
          </cell>
          <cell r="C7379" t="str">
            <v>4|1|40000</v>
          </cell>
          <cell r="D7379" t="str">
            <v>通关主线副本第16章</v>
          </cell>
          <cell r="E7379" t="str">
            <v>4|1|40000|1</v>
          </cell>
        </row>
        <row r="7380">
          <cell r="A7380">
            <v>100517</v>
          </cell>
          <cell r="B7380">
            <v>0</v>
          </cell>
          <cell r="C7380" t="str">
            <v>4|1|40000</v>
          </cell>
          <cell r="D7380" t="str">
            <v>通关主线副本第17章</v>
          </cell>
          <cell r="E7380" t="str">
            <v>4|1|40000|1</v>
          </cell>
        </row>
        <row r="7381">
          <cell r="A7381">
            <v>100518</v>
          </cell>
          <cell r="B7381">
            <v>0</v>
          </cell>
          <cell r="C7381" t="str">
            <v>4|1|40000</v>
          </cell>
          <cell r="D7381" t="str">
            <v>通关主线副本第18章</v>
          </cell>
          <cell r="E7381" t="str">
            <v>4|1|40000|1</v>
          </cell>
        </row>
        <row r="7382">
          <cell r="A7382">
            <v>100519</v>
          </cell>
          <cell r="B7382">
            <v>0</v>
          </cell>
          <cell r="C7382" t="str">
            <v>4|1|40000</v>
          </cell>
          <cell r="D7382" t="str">
            <v>通关主线副本第19章</v>
          </cell>
          <cell r="E7382" t="str">
            <v>4|1|40000|1</v>
          </cell>
        </row>
        <row r="7383">
          <cell r="A7383">
            <v>100520</v>
          </cell>
          <cell r="B7383">
            <v>0</v>
          </cell>
          <cell r="C7383" t="str">
            <v>4|1|40000</v>
          </cell>
          <cell r="D7383" t="str">
            <v>通关主线副本第20章</v>
          </cell>
          <cell r="E7383" t="str">
            <v>4|1|40000|1</v>
          </cell>
        </row>
        <row r="7384">
          <cell r="A7384">
            <v>100521</v>
          </cell>
          <cell r="B7384">
            <v>0</v>
          </cell>
          <cell r="C7384" t="str">
            <v>4|1|40000</v>
          </cell>
          <cell r="D7384" t="str">
            <v>通关主线副本第21章</v>
          </cell>
          <cell r="E7384" t="str">
            <v>4|1|40000|1</v>
          </cell>
        </row>
        <row r="7385">
          <cell r="A7385">
            <v>100522</v>
          </cell>
          <cell r="B7385">
            <v>0</v>
          </cell>
          <cell r="C7385" t="str">
            <v>4|1|40000</v>
          </cell>
          <cell r="D7385" t="str">
            <v>通关主线副本第22章</v>
          </cell>
          <cell r="E7385" t="str">
            <v>4|1|40000|1</v>
          </cell>
        </row>
        <row r="7386">
          <cell r="A7386">
            <v>100523</v>
          </cell>
          <cell r="B7386">
            <v>0</v>
          </cell>
          <cell r="C7386" t="str">
            <v>4|1|60000</v>
          </cell>
          <cell r="D7386" t="str">
            <v>通关主线副本第23章</v>
          </cell>
          <cell r="E7386" t="str">
            <v>4|1|60000|1</v>
          </cell>
        </row>
        <row r="7387">
          <cell r="A7387">
            <v>100524</v>
          </cell>
          <cell r="B7387">
            <v>0</v>
          </cell>
          <cell r="C7387" t="str">
            <v>4|1|60000</v>
          </cell>
          <cell r="D7387" t="str">
            <v>通关主线副本第24章</v>
          </cell>
          <cell r="E7387" t="str">
            <v>4|1|60000|1</v>
          </cell>
        </row>
        <row r="7388">
          <cell r="A7388">
            <v>100525</v>
          </cell>
          <cell r="B7388">
            <v>0</v>
          </cell>
          <cell r="C7388" t="str">
            <v>4|1|60000</v>
          </cell>
          <cell r="D7388" t="str">
            <v>通关主线副本第25章</v>
          </cell>
          <cell r="E7388" t="str">
            <v>4|1|60000|1</v>
          </cell>
        </row>
        <row r="7389">
          <cell r="A7389">
            <v>100526</v>
          </cell>
          <cell r="B7389">
            <v>0</v>
          </cell>
          <cell r="C7389" t="str">
            <v>4|1|60000</v>
          </cell>
          <cell r="D7389" t="str">
            <v>通关主线副本第26章</v>
          </cell>
          <cell r="E7389" t="str">
            <v>4|1|60000|1</v>
          </cell>
        </row>
        <row r="7390">
          <cell r="A7390">
            <v>100527</v>
          </cell>
          <cell r="B7390">
            <v>0</v>
          </cell>
          <cell r="C7390" t="str">
            <v>4|1|60000</v>
          </cell>
          <cell r="D7390" t="str">
            <v>通关主线副本第27章</v>
          </cell>
          <cell r="E7390" t="str">
            <v>4|1|60000|1</v>
          </cell>
        </row>
        <row r="7391">
          <cell r="A7391">
            <v>100528</v>
          </cell>
          <cell r="B7391">
            <v>0</v>
          </cell>
          <cell r="C7391" t="str">
            <v>4|1|60000</v>
          </cell>
          <cell r="D7391" t="str">
            <v>通关主线副本第28章</v>
          </cell>
          <cell r="E7391" t="str">
            <v>4|1|60000|1</v>
          </cell>
        </row>
        <row r="7392">
          <cell r="A7392">
            <v>100529</v>
          </cell>
          <cell r="B7392">
            <v>0</v>
          </cell>
          <cell r="C7392" t="str">
            <v>4|1|60000</v>
          </cell>
          <cell r="D7392" t="str">
            <v>通关主线副本第29章</v>
          </cell>
          <cell r="E7392" t="str">
            <v>4|1|60000|1</v>
          </cell>
        </row>
        <row r="7393">
          <cell r="A7393">
            <v>100530</v>
          </cell>
          <cell r="B7393">
            <v>0</v>
          </cell>
          <cell r="C7393" t="str">
            <v>4|1|60000</v>
          </cell>
          <cell r="D7393" t="str">
            <v>通关主线副本第30章</v>
          </cell>
          <cell r="E7393" t="str">
            <v>4|1|60000|1</v>
          </cell>
        </row>
        <row r="7394">
          <cell r="A7394">
            <v>100531</v>
          </cell>
          <cell r="B7394">
            <v>0</v>
          </cell>
          <cell r="C7394" t="str">
            <v>4|1|60000</v>
          </cell>
          <cell r="D7394" t="str">
            <v>通关主线副本第31章</v>
          </cell>
          <cell r="E7394" t="str">
            <v>4|1|60000|1</v>
          </cell>
        </row>
        <row r="7395">
          <cell r="A7395">
            <v>100532</v>
          </cell>
          <cell r="B7395">
            <v>0</v>
          </cell>
          <cell r="C7395" t="str">
            <v>4|1|60000</v>
          </cell>
          <cell r="D7395" t="str">
            <v>通关主线副本第32章</v>
          </cell>
          <cell r="E7395" t="str">
            <v>4|1|60000|1</v>
          </cell>
        </row>
        <row r="7396">
          <cell r="A7396">
            <v>100533</v>
          </cell>
          <cell r="B7396">
            <v>0</v>
          </cell>
          <cell r="C7396" t="str">
            <v>4|1|80000</v>
          </cell>
          <cell r="D7396" t="str">
            <v>通关主线副本第33章</v>
          </cell>
          <cell r="E7396" t="str">
            <v>4|1|80000|1</v>
          </cell>
        </row>
        <row r="7397">
          <cell r="A7397">
            <v>100534</v>
          </cell>
          <cell r="B7397">
            <v>0</v>
          </cell>
          <cell r="C7397" t="str">
            <v>4|1|80000</v>
          </cell>
          <cell r="D7397" t="str">
            <v>通关主线副本第34章</v>
          </cell>
          <cell r="E7397" t="str">
            <v>4|1|80000|1</v>
          </cell>
        </row>
        <row r="7398">
          <cell r="A7398">
            <v>100535</v>
          </cell>
          <cell r="B7398">
            <v>0</v>
          </cell>
          <cell r="C7398" t="str">
            <v>4|1|80000</v>
          </cell>
          <cell r="D7398" t="str">
            <v>通关主线副本第35章</v>
          </cell>
          <cell r="E7398" t="str">
            <v>4|1|80000|1</v>
          </cell>
        </row>
        <row r="7399">
          <cell r="A7399">
            <v>100536</v>
          </cell>
          <cell r="B7399">
            <v>0</v>
          </cell>
          <cell r="C7399" t="str">
            <v>4|1|80000</v>
          </cell>
          <cell r="D7399" t="str">
            <v>通关主线副本第36章</v>
          </cell>
          <cell r="E7399" t="str">
            <v>4|1|80000|1</v>
          </cell>
        </row>
        <row r="7400">
          <cell r="A7400">
            <v>100537</v>
          </cell>
          <cell r="B7400">
            <v>0</v>
          </cell>
          <cell r="C7400" t="str">
            <v>4|1|80000</v>
          </cell>
          <cell r="D7400" t="str">
            <v>通关主线副本第37章</v>
          </cell>
          <cell r="E7400" t="str">
            <v>4|1|80000|1</v>
          </cell>
        </row>
        <row r="7401">
          <cell r="A7401">
            <v>100538</v>
          </cell>
          <cell r="B7401">
            <v>0</v>
          </cell>
          <cell r="C7401" t="str">
            <v>4|1|80000</v>
          </cell>
          <cell r="D7401" t="str">
            <v>通关主线副本第38章</v>
          </cell>
          <cell r="E7401" t="str">
            <v>4|1|80000|1</v>
          </cell>
        </row>
        <row r="7402">
          <cell r="A7402">
            <v>100539</v>
          </cell>
          <cell r="B7402">
            <v>0</v>
          </cell>
          <cell r="C7402" t="str">
            <v>4|1|80000</v>
          </cell>
          <cell r="D7402" t="str">
            <v>通关主线副本第39章</v>
          </cell>
          <cell r="E7402" t="str">
            <v>4|1|80000|1</v>
          </cell>
        </row>
        <row r="7403">
          <cell r="A7403">
            <v>100540</v>
          </cell>
          <cell r="B7403">
            <v>0</v>
          </cell>
          <cell r="C7403" t="str">
            <v>4|1|80000</v>
          </cell>
          <cell r="D7403" t="str">
            <v>通关主线副本第40章</v>
          </cell>
          <cell r="E7403" t="str">
            <v>4|1|80000|1</v>
          </cell>
        </row>
        <row r="7404">
          <cell r="A7404">
            <v>100541</v>
          </cell>
          <cell r="B7404">
            <v>0</v>
          </cell>
          <cell r="C7404" t="str">
            <v>4|1|80000</v>
          </cell>
          <cell r="D7404" t="str">
            <v>通关主线副本第41章</v>
          </cell>
          <cell r="E7404" t="str">
            <v>4|1|80000|1</v>
          </cell>
        </row>
        <row r="7405">
          <cell r="A7405">
            <v>100542</v>
          </cell>
          <cell r="B7405">
            <v>0</v>
          </cell>
          <cell r="C7405" t="str">
            <v>4|1|80000</v>
          </cell>
          <cell r="D7405" t="str">
            <v>通关主线副本第42章</v>
          </cell>
          <cell r="E7405" t="str">
            <v>4|1|80000|1</v>
          </cell>
        </row>
        <row r="7406">
          <cell r="A7406">
            <v>100543</v>
          </cell>
          <cell r="B7406">
            <v>0</v>
          </cell>
          <cell r="C7406" t="str">
            <v>4|1|100000</v>
          </cell>
          <cell r="D7406" t="str">
            <v>通关主线副本第43章</v>
          </cell>
          <cell r="E7406" t="str">
            <v>4|1|100000|1</v>
          </cell>
        </row>
        <row r="7407">
          <cell r="A7407">
            <v>100544</v>
          </cell>
          <cell r="B7407">
            <v>0</v>
          </cell>
          <cell r="C7407" t="str">
            <v>4|1|100000</v>
          </cell>
          <cell r="D7407" t="str">
            <v>通关主线副本第44章</v>
          </cell>
          <cell r="E7407" t="str">
            <v>4|1|100000|1</v>
          </cell>
        </row>
        <row r="7408">
          <cell r="A7408">
            <v>100545</v>
          </cell>
          <cell r="B7408">
            <v>0</v>
          </cell>
          <cell r="C7408" t="str">
            <v>4|1|100000</v>
          </cell>
          <cell r="D7408" t="str">
            <v>通关主线副本第45章</v>
          </cell>
          <cell r="E7408" t="str">
            <v>4|1|100000|1</v>
          </cell>
        </row>
        <row r="7409">
          <cell r="A7409">
            <v>100546</v>
          </cell>
          <cell r="B7409">
            <v>0</v>
          </cell>
          <cell r="C7409" t="str">
            <v>4|1|100000</v>
          </cell>
          <cell r="D7409" t="str">
            <v>通关主线副本第46章</v>
          </cell>
          <cell r="E7409" t="str">
            <v>4|1|100000|1</v>
          </cell>
        </row>
        <row r="7410">
          <cell r="A7410">
            <v>100547</v>
          </cell>
          <cell r="B7410">
            <v>0</v>
          </cell>
          <cell r="C7410" t="str">
            <v>4|1|100000</v>
          </cell>
          <cell r="D7410" t="str">
            <v>通关主线副本第47章</v>
          </cell>
          <cell r="E7410" t="str">
            <v>4|1|100000|1</v>
          </cell>
        </row>
        <row r="7411">
          <cell r="A7411">
            <v>100548</v>
          </cell>
          <cell r="B7411">
            <v>0</v>
          </cell>
          <cell r="C7411" t="str">
            <v>4|1|100000</v>
          </cell>
          <cell r="D7411" t="str">
            <v>通关主线副本第48章</v>
          </cell>
          <cell r="E7411" t="str">
            <v>4|1|100000|1</v>
          </cell>
        </row>
        <row r="7412">
          <cell r="A7412">
            <v>100549</v>
          </cell>
          <cell r="B7412">
            <v>0</v>
          </cell>
          <cell r="C7412" t="str">
            <v>4|1|100000</v>
          </cell>
          <cell r="D7412" t="str">
            <v>通关主线副本第49章</v>
          </cell>
          <cell r="E7412" t="str">
            <v>4|1|100000|1</v>
          </cell>
        </row>
        <row r="7413">
          <cell r="A7413">
            <v>100550</v>
          </cell>
          <cell r="B7413">
            <v>0</v>
          </cell>
          <cell r="C7413" t="str">
            <v>4|1|100000</v>
          </cell>
          <cell r="D7413" t="str">
            <v>通关主线副本第50章</v>
          </cell>
          <cell r="E7413" t="str">
            <v>4|1|100000|1</v>
          </cell>
        </row>
        <row r="7414">
          <cell r="A7414">
            <v>100551</v>
          </cell>
          <cell r="B7414">
            <v>0</v>
          </cell>
          <cell r="C7414" t="str">
            <v>4|1|100000</v>
          </cell>
          <cell r="D7414" t="str">
            <v>通关主线副本第51章</v>
          </cell>
          <cell r="E7414" t="str">
            <v>4|1|100000|1</v>
          </cell>
        </row>
        <row r="7415">
          <cell r="A7415">
            <v>100552</v>
          </cell>
          <cell r="B7415">
            <v>0</v>
          </cell>
          <cell r="C7415" t="str">
            <v>4|1|100000</v>
          </cell>
          <cell r="D7415" t="str">
            <v>通关主线副本第52章</v>
          </cell>
          <cell r="E7415" t="str">
            <v>4|1|100000|1</v>
          </cell>
        </row>
        <row r="7416">
          <cell r="A7416">
            <v>100553</v>
          </cell>
          <cell r="B7416">
            <v>0</v>
          </cell>
          <cell r="C7416" t="str">
            <v>4|1|100000</v>
          </cell>
          <cell r="D7416" t="str">
            <v>通关主线副本第53章</v>
          </cell>
          <cell r="E7416" t="str">
            <v>4|1|100000|1</v>
          </cell>
        </row>
        <row r="7417">
          <cell r="A7417">
            <v>100554</v>
          </cell>
          <cell r="B7417">
            <v>0</v>
          </cell>
          <cell r="C7417" t="str">
            <v>4|1|100000</v>
          </cell>
          <cell r="D7417" t="str">
            <v>通关主线副本第54章</v>
          </cell>
          <cell r="E7417" t="str">
            <v>4|1|100000|1</v>
          </cell>
        </row>
        <row r="7418">
          <cell r="A7418">
            <v>100555</v>
          </cell>
          <cell r="B7418">
            <v>0</v>
          </cell>
          <cell r="C7418" t="str">
            <v>4|1|100000</v>
          </cell>
          <cell r="D7418" t="str">
            <v>通关主线副本第55章</v>
          </cell>
          <cell r="E7418" t="str">
            <v>4|1|100000|1</v>
          </cell>
        </row>
        <row r="7419">
          <cell r="A7419">
            <v>100556</v>
          </cell>
          <cell r="B7419">
            <v>0</v>
          </cell>
          <cell r="C7419" t="str">
            <v>4|1|100000</v>
          </cell>
          <cell r="D7419" t="str">
            <v>通关主线副本第56章</v>
          </cell>
          <cell r="E7419" t="str">
            <v>4|1|100000|1</v>
          </cell>
        </row>
        <row r="7420">
          <cell r="A7420">
            <v>100557</v>
          </cell>
          <cell r="B7420">
            <v>0</v>
          </cell>
          <cell r="C7420" t="str">
            <v>4|1|100000</v>
          </cell>
          <cell r="D7420" t="str">
            <v>通关主线副本第57章</v>
          </cell>
          <cell r="E7420" t="str">
            <v>4|1|100000|1</v>
          </cell>
        </row>
        <row r="7421">
          <cell r="A7421">
            <v>100558</v>
          </cell>
          <cell r="B7421">
            <v>0</v>
          </cell>
          <cell r="C7421" t="str">
            <v>4|1|100000</v>
          </cell>
          <cell r="D7421" t="str">
            <v>通关主线副本第58章</v>
          </cell>
          <cell r="E7421" t="str">
            <v>4|1|100000|1</v>
          </cell>
        </row>
        <row r="7422">
          <cell r="A7422">
            <v>100559</v>
          </cell>
          <cell r="B7422">
            <v>0</v>
          </cell>
          <cell r="C7422" t="str">
            <v>4|1|100000</v>
          </cell>
          <cell r="D7422" t="str">
            <v>通关主线副本第59章</v>
          </cell>
          <cell r="E7422" t="str">
            <v>4|1|100000|1</v>
          </cell>
        </row>
        <row r="7423">
          <cell r="A7423">
            <v>100560</v>
          </cell>
          <cell r="B7423">
            <v>0</v>
          </cell>
          <cell r="C7423" t="str">
            <v>4|1|100000</v>
          </cell>
          <cell r="D7423" t="str">
            <v>通关主线副本第60章</v>
          </cell>
          <cell r="E7423" t="str">
            <v>4|1|100000|1</v>
          </cell>
        </row>
        <row r="7424">
          <cell r="A7424">
            <v>100561</v>
          </cell>
          <cell r="B7424">
            <v>0</v>
          </cell>
          <cell r="C7424" t="str">
            <v>4|1|100000</v>
          </cell>
          <cell r="D7424" t="str">
            <v>通关主线副本第61章</v>
          </cell>
          <cell r="E7424" t="str">
            <v>4|1|100000|1</v>
          </cell>
        </row>
        <row r="7425">
          <cell r="A7425">
            <v>100562</v>
          </cell>
          <cell r="B7425">
            <v>0</v>
          </cell>
          <cell r="C7425" t="str">
            <v>4|1|100000</v>
          </cell>
          <cell r="D7425" t="str">
            <v>通关主线副本第62章</v>
          </cell>
          <cell r="E7425" t="str">
            <v>4|1|100000|1</v>
          </cell>
        </row>
        <row r="7426">
          <cell r="A7426">
            <v>100563</v>
          </cell>
          <cell r="B7426">
            <v>0</v>
          </cell>
          <cell r="C7426" t="str">
            <v>4|1|100000</v>
          </cell>
          <cell r="D7426" t="str">
            <v>通关主线副本第63章</v>
          </cell>
          <cell r="E7426" t="str">
            <v>4|1|100000|1</v>
          </cell>
        </row>
        <row r="7427">
          <cell r="A7427">
            <v>100564</v>
          </cell>
          <cell r="B7427">
            <v>0</v>
          </cell>
          <cell r="C7427" t="str">
            <v>4|1|100000</v>
          </cell>
          <cell r="D7427" t="str">
            <v>通关主线副本第64章</v>
          </cell>
          <cell r="E7427" t="str">
            <v>4|1|100000|1</v>
          </cell>
        </row>
        <row r="7428">
          <cell r="A7428">
            <v>100565</v>
          </cell>
          <cell r="B7428">
            <v>0</v>
          </cell>
          <cell r="C7428" t="str">
            <v>4|1|100000</v>
          </cell>
          <cell r="D7428" t="str">
            <v>通关主线副本第65章</v>
          </cell>
          <cell r="E7428" t="str">
            <v>4|1|100000|1</v>
          </cell>
        </row>
        <row r="7429">
          <cell r="A7429">
            <v>100566</v>
          </cell>
          <cell r="B7429">
            <v>0</v>
          </cell>
          <cell r="C7429" t="str">
            <v>4|1|100000</v>
          </cell>
          <cell r="D7429" t="str">
            <v>通关主线副本第66章</v>
          </cell>
          <cell r="E7429" t="str">
            <v>4|1|100000|1</v>
          </cell>
        </row>
        <row r="7430">
          <cell r="A7430">
            <v>100567</v>
          </cell>
          <cell r="B7430">
            <v>0</v>
          </cell>
          <cell r="C7430" t="str">
            <v>4|1|100000</v>
          </cell>
          <cell r="D7430" t="str">
            <v>通关主线副本第67章</v>
          </cell>
          <cell r="E7430" t="str">
            <v>4|1|100000|1</v>
          </cell>
        </row>
        <row r="7431">
          <cell r="A7431">
            <v>100568</v>
          </cell>
          <cell r="B7431">
            <v>0</v>
          </cell>
          <cell r="C7431" t="str">
            <v>4|1|100000</v>
          </cell>
          <cell r="D7431" t="str">
            <v>通关主线副本第68章</v>
          </cell>
          <cell r="E7431" t="str">
            <v>4|1|100000|1</v>
          </cell>
        </row>
        <row r="7432">
          <cell r="A7432">
            <v>100569</v>
          </cell>
          <cell r="B7432">
            <v>0</v>
          </cell>
          <cell r="C7432" t="str">
            <v>4|1|100000</v>
          </cell>
          <cell r="D7432" t="str">
            <v>通关主线副本第69章</v>
          </cell>
          <cell r="E7432" t="str">
            <v>4|1|100000|1</v>
          </cell>
        </row>
        <row r="7433">
          <cell r="A7433">
            <v>100570</v>
          </cell>
          <cell r="B7433">
            <v>0</v>
          </cell>
          <cell r="C7433" t="str">
            <v>4|1|100000</v>
          </cell>
          <cell r="D7433" t="str">
            <v>通关主线副本第70章</v>
          </cell>
          <cell r="E7433" t="str">
            <v>4|1|100000|1</v>
          </cell>
        </row>
        <row r="7434">
          <cell r="A7434">
            <v>100571</v>
          </cell>
          <cell r="B7434">
            <v>0</v>
          </cell>
          <cell r="C7434" t="str">
            <v>4|1|100000</v>
          </cell>
          <cell r="D7434" t="str">
            <v>通关主线副本第71章</v>
          </cell>
          <cell r="E7434" t="str">
            <v>4|1|100000|1</v>
          </cell>
        </row>
        <row r="7435">
          <cell r="A7435">
            <v>100572</v>
          </cell>
          <cell r="B7435">
            <v>0</v>
          </cell>
          <cell r="C7435" t="str">
            <v>4|1|100000</v>
          </cell>
          <cell r="D7435" t="str">
            <v>通关主线副本第72章</v>
          </cell>
          <cell r="E7435" t="str">
            <v>4|1|100000|1</v>
          </cell>
        </row>
        <row r="7436">
          <cell r="A7436">
            <v>100573</v>
          </cell>
          <cell r="B7436">
            <v>0</v>
          </cell>
          <cell r="C7436" t="str">
            <v>4|1|100000</v>
          </cell>
          <cell r="D7436" t="str">
            <v>通关主线副本第73章</v>
          </cell>
          <cell r="E7436" t="str">
            <v>4|1|100000|1</v>
          </cell>
        </row>
        <row r="7437">
          <cell r="A7437">
            <v>100574</v>
          </cell>
          <cell r="B7437">
            <v>0</v>
          </cell>
          <cell r="C7437" t="str">
            <v>4|1|100000</v>
          </cell>
          <cell r="D7437" t="str">
            <v>通关主线副本第74章</v>
          </cell>
          <cell r="E7437" t="str">
            <v>4|1|100000|1</v>
          </cell>
        </row>
        <row r="7438">
          <cell r="A7438">
            <v>100575</v>
          </cell>
          <cell r="B7438">
            <v>0</v>
          </cell>
          <cell r="C7438" t="str">
            <v>4|1|100000</v>
          </cell>
          <cell r="D7438" t="str">
            <v>通关主线副本第75章</v>
          </cell>
          <cell r="E7438" t="str">
            <v>4|1|100000|1</v>
          </cell>
        </row>
        <row r="7439">
          <cell r="A7439">
            <v>100576</v>
          </cell>
          <cell r="B7439">
            <v>0</v>
          </cell>
          <cell r="C7439" t="str">
            <v>4|1|100000</v>
          </cell>
          <cell r="D7439" t="str">
            <v>通关主线副本第76章</v>
          </cell>
          <cell r="E7439" t="str">
            <v>4|1|100000|1</v>
          </cell>
        </row>
        <row r="7440">
          <cell r="A7440">
            <v>100577</v>
          </cell>
          <cell r="B7440">
            <v>0</v>
          </cell>
          <cell r="C7440" t="str">
            <v>4|1|100000</v>
          </cell>
          <cell r="D7440" t="str">
            <v>通关主线副本第77章</v>
          </cell>
          <cell r="E7440" t="str">
            <v>4|1|100000|1</v>
          </cell>
        </row>
        <row r="7441">
          <cell r="A7441">
            <v>100578</v>
          </cell>
          <cell r="B7441">
            <v>0</v>
          </cell>
          <cell r="C7441" t="str">
            <v>4|1|100000</v>
          </cell>
          <cell r="D7441" t="str">
            <v>通关主线副本第78章</v>
          </cell>
          <cell r="E7441" t="str">
            <v>4|1|100000|1</v>
          </cell>
        </row>
        <row r="7442">
          <cell r="A7442">
            <v>100579</v>
          </cell>
          <cell r="B7442">
            <v>0</v>
          </cell>
          <cell r="C7442" t="str">
            <v>4|1|100000</v>
          </cell>
          <cell r="D7442" t="str">
            <v>通关主线副本第79章</v>
          </cell>
          <cell r="E7442" t="str">
            <v>4|1|100000|1</v>
          </cell>
        </row>
        <row r="7443">
          <cell r="A7443">
            <v>100580</v>
          </cell>
          <cell r="B7443">
            <v>0</v>
          </cell>
          <cell r="C7443" t="str">
            <v>4|1|100000</v>
          </cell>
          <cell r="D7443" t="str">
            <v>通关主线副本第80章</v>
          </cell>
          <cell r="E7443" t="str">
            <v>4|1|100000|1</v>
          </cell>
        </row>
        <row r="7444">
          <cell r="A7444">
            <v>100581</v>
          </cell>
          <cell r="B7444">
            <v>0</v>
          </cell>
          <cell r="C7444" t="str">
            <v>4|1|100000</v>
          </cell>
          <cell r="D7444" t="str">
            <v>通关主线副本第81章</v>
          </cell>
          <cell r="E7444" t="str">
            <v>4|1|100000|1</v>
          </cell>
        </row>
        <row r="7445">
          <cell r="A7445">
            <v>100582</v>
          </cell>
          <cell r="B7445">
            <v>0</v>
          </cell>
          <cell r="C7445" t="str">
            <v>4|1|100000</v>
          </cell>
          <cell r="D7445" t="str">
            <v>通关主线副本第82章</v>
          </cell>
          <cell r="E7445" t="str">
            <v>4|1|100000|1</v>
          </cell>
        </row>
        <row r="7446">
          <cell r="A7446">
            <v>100583</v>
          </cell>
          <cell r="B7446">
            <v>0</v>
          </cell>
          <cell r="C7446" t="str">
            <v>4|1|100000</v>
          </cell>
          <cell r="D7446" t="str">
            <v>通关主线副本第83章</v>
          </cell>
          <cell r="E7446" t="str">
            <v>4|1|100000|1</v>
          </cell>
        </row>
        <row r="7447">
          <cell r="A7447">
            <v>100584</v>
          </cell>
          <cell r="B7447">
            <v>0</v>
          </cell>
          <cell r="C7447" t="str">
            <v>4|1|100000</v>
          </cell>
          <cell r="D7447" t="str">
            <v>通关主线副本第84章</v>
          </cell>
          <cell r="E7447" t="str">
            <v>4|1|100000|1</v>
          </cell>
        </row>
        <row r="7448">
          <cell r="A7448">
            <v>100585</v>
          </cell>
          <cell r="B7448">
            <v>0</v>
          </cell>
          <cell r="C7448" t="str">
            <v>4|1|100000</v>
          </cell>
          <cell r="D7448" t="str">
            <v>通关主线副本第85章</v>
          </cell>
          <cell r="E7448" t="str">
            <v>4|1|100000|1</v>
          </cell>
        </row>
        <row r="7449">
          <cell r="A7449">
            <v>100586</v>
          </cell>
          <cell r="B7449">
            <v>0</v>
          </cell>
          <cell r="C7449" t="str">
            <v>4|1|100000</v>
          </cell>
          <cell r="D7449" t="str">
            <v>通关主线副本第86章</v>
          </cell>
          <cell r="E7449" t="str">
            <v>4|1|100000|1</v>
          </cell>
        </row>
        <row r="7450">
          <cell r="A7450">
            <v>100587</v>
          </cell>
          <cell r="B7450">
            <v>0</v>
          </cell>
          <cell r="C7450" t="str">
            <v>4|1|100000</v>
          </cell>
          <cell r="D7450" t="str">
            <v>通关主线副本第87章</v>
          </cell>
          <cell r="E7450" t="str">
            <v>4|1|100000|1</v>
          </cell>
        </row>
        <row r="7451">
          <cell r="A7451">
            <v>100588</v>
          </cell>
          <cell r="B7451">
            <v>0</v>
          </cell>
          <cell r="C7451" t="str">
            <v>4|1|100000</v>
          </cell>
          <cell r="D7451" t="str">
            <v>通关主线副本第88章</v>
          </cell>
          <cell r="E7451" t="str">
            <v>4|1|100000|1</v>
          </cell>
        </row>
        <row r="7452">
          <cell r="A7452">
            <v>100589</v>
          </cell>
          <cell r="B7452">
            <v>0</v>
          </cell>
          <cell r="C7452" t="str">
            <v>4|1|100000</v>
          </cell>
          <cell r="D7452" t="str">
            <v>通关主线副本第89章</v>
          </cell>
          <cell r="E7452" t="str">
            <v>4|1|100000|1</v>
          </cell>
        </row>
        <row r="7453">
          <cell r="A7453">
            <v>100590</v>
          </cell>
          <cell r="B7453">
            <v>0</v>
          </cell>
          <cell r="C7453" t="str">
            <v>4|1|100000</v>
          </cell>
          <cell r="D7453" t="str">
            <v>通关主线副本第90章</v>
          </cell>
          <cell r="E7453" t="str">
            <v>4|1|100000|1</v>
          </cell>
        </row>
        <row r="7454">
          <cell r="A7454">
            <v>100591</v>
          </cell>
          <cell r="B7454">
            <v>0</v>
          </cell>
          <cell r="C7454" t="str">
            <v>4|1|100000</v>
          </cell>
          <cell r="D7454" t="str">
            <v>通关主线副本第91章</v>
          </cell>
          <cell r="E7454" t="str">
            <v>4|1|100000|1</v>
          </cell>
        </row>
        <row r="7455">
          <cell r="A7455">
            <v>100592</v>
          </cell>
          <cell r="B7455">
            <v>0</v>
          </cell>
          <cell r="C7455" t="str">
            <v>4|1|100000</v>
          </cell>
          <cell r="D7455" t="str">
            <v>通关主线副本第92章</v>
          </cell>
          <cell r="E7455" t="str">
            <v>4|1|100000|1</v>
          </cell>
        </row>
        <row r="7456">
          <cell r="A7456">
            <v>100593</v>
          </cell>
          <cell r="B7456">
            <v>0</v>
          </cell>
          <cell r="C7456" t="str">
            <v>4|1|100000</v>
          </cell>
          <cell r="D7456" t="str">
            <v>通关主线副本第93章</v>
          </cell>
          <cell r="E7456" t="str">
            <v>4|1|100000|1</v>
          </cell>
        </row>
        <row r="7457">
          <cell r="A7457">
            <v>100594</v>
          </cell>
          <cell r="B7457">
            <v>0</v>
          </cell>
          <cell r="C7457" t="str">
            <v>4|1|100000</v>
          </cell>
          <cell r="D7457" t="str">
            <v>通关主线副本第94章</v>
          </cell>
          <cell r="E7457" t="str">
            <v>4|1|100000|1</v>
          </cell>
        </row>
        <row r="7458">
          <cell r="A7458">
            <v>100595</v>
          </cell>
          <cell r="B7458">
            <v>0</v>
          </cell>
          <cell r="C7458" t="str">
            <v>4|1|100000</v>
          </cell>
          <cell r="D7458" t="str">
            <v>通关主线副本第95章</v>
          </cell>
          <cell r="E7458" t="str">
            <v>4|1|100000|1</v>
          </cell>
        </row>
        <row r="7459">
          <cell r="A7459">
            <v>100596</v>
          </cell>
          <cell r="B7459">
            <v>0</v>
          </cell>
          <cell r="C7459" t="str">
            <v>4|1|100000</v>
          </cell>
          <cell r="D7459" t="str">
            <v>通关主线副本第96章</v>
          </cell>
          <cell r="E7459" t="str">
            <v>4|1|100000|1</v>
          </cell>
        </row>
        <row r="7460">
          <cell r="A7460">
            <v>100597</v>
          </cell>
          <cell r="B7460">
            <v>0</v>
          </cell>
          <cell r="C7460" t="str">
            <v>4|1|100000</v>
          </cell>
          <cell r="D7460" t="str">
            <v>通关主线副本第97章</v>
          </cell>
          <cell r="E7460" t="str">
            <v>4|1|100000|1</v>
          </cell>
        </row>
        <row r="7461">
          <cell r="A7461">
            <v>100598</v>
          </cell>
          <cell r="B7461">
            <v>0</v>
          </cell>
          <cell r="C7461" t="str">
            <v>4|1|100000</v>
          </cell>
          <cell r="D7461" t="str">
            <v>通关主线副本第98章</v>
          </cell>
          <cell r="E7461" t="str">
            <v>4|1|100000|1</v>
          </cell>
        </row>
        <row r="7462">
          <cell r="A7462">
            <v>100599</v>
          </cell>
          <cell r="B7462">
            <v>0</v>
          </cell>
          <cell r="C7462" t="str">
            <v>4|1|100000</v>
          </cell>
          <cell r="D7462" t="str">
            <v>通关主线副本第99章</v>
          </cell>
          <cell r="E7462" t="str">
            <v>4|1|100000|1</v>
          </cell>
        </row>
        <row r="7463">
          <cell r="A7463">
            <v>100600</v>
          </cell>
          <cell r="B7463">
            <v>0</v>
          </cell>
          <cell r="C7463" t="str">
            <v>4|1|100000</v>
          </cell>
          <cell r="D7463" t="str">
            <v>通关主线副本第100章</v>
          </cell>
          <cell r="E7463" t="str">
            <v>4|1|100000|1</v>
          </cell>
        </row>
        <row r="7464">
          <cell r="A7464">
            <v>101001</v>
          </cell>
          <cell r="B7464">
            <v>0</v>
          </cell>
          <cell r="C7464" t="str">
            <v>4|2|100</v>
          </cell>
          <cell r="D7464" t="str">
            <v>主线副本达到50星</v>
          </cell>
          <cell r="E7464" t="str">
            <v>4|2|100|1</v>
          </cell>
        </row>
        <row r="7465">
          <cell r="A7465">
            <v>101002</v>
          </cell>
          <cell r="B7465">
            <v>0</v>
          </cell>
          <cell r="C7465" t="str">
            <v>4|2|100</v>
          </cell>
          <cell r="D7465" t="str">
            <v>主线副本达到100星</v>
          </cell>
          <cell r="E7465" t="str">
            <v>4|2|100|1</v>
          </cell>
        </row>
        <row r="7466">
          <cell r="A7466">
            <v>101003</v>
          </cell>
          <cell r="B7466">
            <v>0</v>
          </cell>
          <cell r="C7466" t="str">
            <v>4|2|100</v>
          </cell>
          <cell r="D7466" t="str">
            <v>主线副本达到150星</v>
          </cell>
          <cell r="E7466" t="str">
            <v>4|2|100|1</v>
          </cell>
        </row>
        <row r="7467">
          <cell r="A7467">
            <v>101004</v>
          </cell>
          <cell r="B7467">
            <v>0</v>
          </cell>
          <cell r="C7467" t="str">
            <v>4|2|150</v>
          </cell>
          <cell r="D7467" t="str">
            <v>主线副本达到200星</v>
          </cell>
          <cell r="E7467" t="str">
            <v>4|2|150|1</v>
          </cell>
        </row>
        <row r="7468">
          <cell r="A7468">
            <v>101005</v>
          </cell>
          <cell r="B7468">
            <v>0</v>
          </cell>
          <cell r="C7468" t="str">
            <v>4|2|150</v>
          </cell>
          <cell r="D7468" t="str">
            <v>主线副本达到250星</v>
          </cell>
          <cell r="E7468" t="str">
            <v>4|2|150|1</v>
          </cell>
        </row>
        <row r="7469">
          <cell r="A7469">
            <v>101006</v>
          </cell>
          <cell r="B7469">
            <v>0</v>
          </cell>
          <cell r="C7469" t="str">
            <v>4|2|150</v>
          </cell>
          <cell r="D7469" t="str">
            <v>主线副本达到300星</v>
          </cell>
          <cell r="E7469" t="str">
            <v>4|2|150|1</v>
          </cell>
        </row>
        <row r="7470">
          <cell r="A7470">
            <v>101007</v>
          </cell>
          <cell r="B7470">
            <v>0</v>
          </cell>
          <cell r="C7470" t="str">
            <v>4|2|150</v>
          </cell>
          <cell r="D7470" t="str">
            <v>主线副本达到350星</v>
          </cell>
          <cell r="E7470" t="str">
            <v>4|2|150|1</v>
          </cell>
        </row>
        <row r="7471">
          <cell r="A7471">
            <v>101008</v>
          </cell>
          <cell r="B7471">
            <v>0</v>
          </cell>
          <cell r="C7471" t="str">
            <v>4|2|150</v>
          </cell>
          <cell r="D7471" t="str">
            <v>主线副本达到400星</v>
          </cell>
          <cell r="E7471" t="str">
            <v>4|2|150|1</v>
          </cell>
        </row>
        <row r="7472">
          <cell r="A7472">
            <v>101009</v>
          </cell>
          <cell r="B7472">
            <v>0</v>
          </cell>
          <cell r="C7472" t="str">
            <v>4|2|150</v>
          </cell>
          <cell r="D7472" t="str">
            <v>主线副本达到450星</v>
          </cell>
          <cell r="E7472" t="str">
            <v>4|2|150|1</v>
          </cell>
        </row>
        <row r="7473">
          <cell r="A7473">
            <v>101010</v>
          </cell>
          <cell r="B7473">
            <v>0</v>
          </cell>
          <cell r="C7473" t="str">
            <v>4|2|150</v>
          </cell>
          <cell r="D7473" t="str">
            <v>主线副本达到500星</v>
          </cell>
          <cell r="E7473" t="str">
            <v>4|2|150|1</v>
          </cell>
        </row>
        <row r="7474">
          <cell r="A7474">
            <v>101011</v>
          </cell>
          <cell r="B7474">
            <v>0</v>
          </cell>
          <cell r="C7474" t="str">
            <v>4|2|150</v>
          </cell>
          <cell r="D7474" t="str">
            <v>主线副本达到550星</v>
          </cell>
          <cell r="E7474" t="str">
            <v>4|2|150|1</v>
          </cell>
        </row>
        <row r="7475">
          <cell r="A7475">
            <v>101012</v>
          </cell>
          <cell r="B7475">
            <v>0</v>
          </cell>
          <cell r="C7475" t="str">
            <v>4|2|150</v>
          </cell>
          <cell r="D7475" t="str">
            <v>主线副本达到600星</v>
          </cell>
          <cell r="E7475" t="str">
            <v>4|2|150|1</v>
          </cell>
        </row>
        <row r="7476">
          <cell r="A7476">
            <v>101013</v>
          </cell>
          <cell r="B7476">
            <v>0</v>
          </cell>
          <cell r="C7476" t="str">
            <v>4|2|150</v>
          </cell>
          <cell r="D7476" t="str">
            <v>主线副本达到650星</v>
          </cell>
          <cell r="E7476" t="str">
            <v>4|2|150|1</v>
          </cell>
        </row>
        <row r="7477">
          <cell r="A7477">
            <v>101014</v>
          </cell>
          <cell r="B7477">
            <v>0</v>
          </cell>
          <cell r="C7477" t="str">
            <v>4|2|200</v>
          </cell>
          <cell r="D7477" t="str">
            <v>主线副本达到700星</v>
          </cell>
          <cell r="E7477" t="str">
            <v>4|2|200|1</v>
          </cell>
        </row>
        <row r="7478">
          <cell r="A7478">
            <v>101015</v>
          </cell>
          <cell r="B7478">
            <v>0</v>
          </cell>
          <cell r="C7478" t="str">
            <v>4|2|200</v>
          </cell>
          <cell r="D7478" t="str">
            <v>主线副本达到750星</v>
          </cell>
          <cell r="E7478" t="str">
            <v>4|2|200|1</v>
          </cell>
        </row>
        <row r="7479">
          <cell r="A7479">
            <v>101016</v>
          </cell>
          <cell r="B7479">
            <v>0</v>
          </cell>
          <cell r="C7479" t="str">
            <v>4|2|200</v>
          </cell>
          <cell r="D7479" t="str">
            <v>主线副本达到800星</v>
          </cell>
          <cell r="E7479" t="str">
            <v>4|2|200|1</v>
          </cell>
        </row>
        <row r="7480">
          <cell r="A7480">
            <v>101017</v>
          </cell>
          <cell r="B7480">
            <v>0</v>
          </cell>
          <cell r="C7480" t="str">
            <v>4|2|200</v>
          </cell>
          <cell r="D7480" t="str">
            <v>主线副本达到850星</v>
          </cell>
          <cell r="E7480" t="str">
            <v>4|2|200|1</v>
          </cell>
        </row>
        <row r="7481">
          <cell r="A7481">
            <v>101018</v>
          </cell>
          <cell r="B7481">
            <v>0</v>
          </cell>
          <cell r="C7481" t="str">
            <v>4|2|200</v>
          </cell>
          <cell r="D7481" t="str">
            <v>主线副本达到900星</v>
          </cell>
          <cell r="E7481" t="str">
            <v>4|2|200|1</v>
          </cell>
        </row>
        <row r="7482">
          <cell r="A7482">
            <v>101019</v>
          </cell>
          <cell r="B7482">
            <v>0</v>
          </cell>
          <cell r="C7482" t="str">
            <v>4|2|200</v>
          </cell>
          <cell r="D7482" t="str">
            <v>主线副本达到950星</v>
          </cell>
          <cell r="E7482" t="str">
            <v>4|2|200|1</v>
          </cell>
        </row>
        <row r="7483">
          <cell r="A7483">
            <v>101020</v>
          </cell>
          <cell r="B7483">
            <v>0</v>
          </cell>
          <cell r="C7483" t="str">
            <v>4|2|200</v>
          </cell>
          <cell r="D7483" t="str">
            <v>主线副本达到1000星</v>
          </cell>
          <cell r="E7483" t="str">
            <v>4|2|200|1</v>
          </cell>
        </row>
        <row r="7484">
          <cell r="A7484">
            <v>101021</v>
          </cell>
          <cell r="B7484">
            <v>0</v>
          </cell>
          <cell r="C7484" t="str">
            <v>4|2|200</v>
          </cell>
          <cell r="D7484" t="str">
            <v>主线副本达到1050星</v>
          </cell>
          <cell r="E7484" t="str">
            <v>4|2|200|1</v>
          </cell>
        </row>
        <row r="7485">
          <cell r="A7485">
            <v>101022</v>
          </cell>
          <cell r="B7485">
            <v>0</v>
          </cell>
          <cell r="C7485" t="str">
            <v>4|2|200</v>
          </cell>
          <cell r="D7485" t="str">
            <v>主线副本达到1100星</v>
          </cell>
          <cell r="E7485" t="str">
            <v>4|2|200|1</v>
          </cell>
        </row>
        <row r="7486">
          <cell r="A7486">
            <v>101023</v>
          </cell>
          <cell r="B7486">
            <v>0</v>
          </cell>
          <cell r="C7486" t="str">
            <v>4|2|200</v>
          </cell>
          <cell r="D7486" t="str">
            <v>主线副本达到1150星</v>
          </cell>
          <cell r="E7486" t="str">
            <v>4|2|200|1</v>
          </cell>
        </row>
        <row r="7487">
          <cell r="A7487">
            <v>101024</v>
          </cell>
          <cell r="B7487">
            <v>0</v>
          </cell>
          <cell r="C7487" t="str">
            <v>4|2|200</v>
          </cell>
          <cell r="D7487" t="str">
            <v>主线副本达到1200星</v>
          </cell>
          <cell r="E7487" t="str">
            <v>4|2|200|1</v>
          </cell>
        </row>
        <row r="7488">
          <cell r="A7488">
            <v>101025</v>
          </cell>
          <cell r="B7488">
            <v>0</v>
          </cell>
          <cell r="C7488" t="str">
            <v>4|2|200</v>
          </cell>
          <cell r="D7488" t="str">
            <v>主线副本达到1250星</v>
          </cell>
          <cell r="E7488" t="str">
            <v>4|2|200|1</v>
          </cell>
        </row>
        <row r="7489">
          <cell r="A7489">
            <v>101026</v>
          </cell>
          <cell r="B7489">
            <v>0</v>
          </cell>
          <cell r="C7489" t="str">
            <v>4|2|250</v>
          </cell>
          <cell r="D7489" t="str">
            <v>主线副本达到1300星</v>
          </cell>
          <cell r="E7489" t="str">
            <v>4|2|250|1</v>
          </cell>
        </row>
        <row r="7490">
          <cell r="A7490">
            <v>101027</v>
          </cell>
          <cell r="B7490">
            <v>0</v>
          </cell>
          <cell r="C7490" t="str">
            <v>4|2|250</v>
          </cell>
          <cell r="D7490" t="str">
            <v>主线副本达到1350星</v>
          </cell>
          <cell r="E7490" t="str">
            <v>4|2|250|1</v>
          </cell>
        </row>
        <row r="7491">
          <cell r="A7491">
            <v>101028</v>
          </cell>
          <cell r="B7491">
            <v>0</v>
          </cell>
          <cell r="C7491" t="str">
            <v>4|2|250</v>
          </cell>
          <cell r="D7491" t="str">
            <v>主线副本达到1400星</v>
          </cell>
          <cell r="E7491" t="str">
            <v>4|2|250|1</v>
          </cell>
        </row>
        <row r="7492">
          <cell r="A7492">
            <v>101029</v>
          </cell>
          <cell r="B7492">
            <v>0</v>
          </cell>
          <cell r="C7492" t="str">
            <v>4|2|250</v>
          </cell>
          <cell r="D7492" t="str">
            <v>主线副本达到1450星</v>
          </cell>
          <cell r="E7492" t="str">
            <v>4|2|250|1</v>
          </cell>
        </row>
        <row r="7493">
          <cell r="A7493">
            <v>101030</v>
          </cell>
          <cell r="B7493">
            <v>0</v>
          </cell>
          <cell r="C7493" t="str">
            <v>4|2|250</v>
          </cell>
          <cell r="D7493" t="str">
            <v>主线副本达到1500星</v>
          </cell>
          <cell r="E7493" t="str">
            <v>4|2|250|1</v>
          </cell>
        </row>
        <row r="7494">
          <cell r="A7494">
            <v>101031</v>
          </cell>
          <cell r="B7494">
            <v>0</v>
          </cell>
          <cell r="C7494" t="str">
            <v>4|2|250</v>
          </cell>
          <cell r="D7494" t="str">
            <v>主线副本达到1550星</v>
          </cell>
          <cell r="E7494" t="str">
            <v>4|2|250|1</v>
          </cell>
        </row>
        <row r="7495">
          <cell r="A7495">
            <v>101032</v>
          </cell>
          <cell r="B7495">
            <v>0</v>
          </cell>
          <cell r="C7495" t="str">
            <v>4|2|250</v>
          </cell>
          <cell r="D7495" t="str">
            <v>主线副本达到1600星</v>
          </cell>
          <cell r="E7495" t="str">
            <v>4|2|250|1</v>
          </cell>
        </row>
        <row r="7496">
          <cell r="A7496">
            <v>101033</v>
          </cell>
          <cell r="B7496">
            <v>0</v>
          </cell>
          <cell r="C7496" t="str">
            <v>4|2|250</v>
          </cell>
          <cell r="D7496" t="str">
            <v>主线副本达到1650星</v>
          </cell>
          <cell r="E7496" t="str">
            <v>4|2|250|1</v>
          </cell>
        </row>
        <row r="7497">
          <cell r="A7497">
            <v>101034</v>
          </cell>
          <cell r="B7497">
            <v>0</v>
          </cell>
          <cell r="C7497" t="str">
            <v>4|2|250</v>
          </cell>
          <cell r="D7497" t="str">
            <v>主线副本达到1700星</v>
          </cell>
          <cell r="E7497" t="str">
            <v>4|2|250|1</v>
          </cell>
        </row>
        <row r="7498">
          <cell r="A7498">
            <v>101035</v>
          </cell>
          <cell r="B7498">
            <v>0</v>
          </cell>
          <cell r="C7498" t="str">
            <v>4|2|250</v>
          </cell>
          <cell r="D7498" t="str">
            <v>主线副本达到1750星</v>
          </cell>
          <cell r="E7498" t="str">
            <v>4|2|250|1</v>
          </cell>
        </row>
        <row r="7499">
          <cell r="A7499">
            <v>101036</v>
          </cell>
          <cell r="B7499">
            <v>0</v>
          </cell>
          <cell r="C7499" t="str">
            <v>4|2|250</v>
          </cell>
          <cell r="D7499" t="str">
            <v>主线副本达到1800星</v>
          </cell>
          <cell r="E7499" t="str">
            <v>4|2|250|1</v>
          </cell>
        </row>
        <row r="7500">
          <cell r="A7500">
            <v>101037</v>
          </cell>
          <cell r="B7500">
            <v>0</v>
          </cell>
          <cell r="C7500" t="str">
            <v>4|2|250</v>
          </cell>
          <cell r="D7500" t="str">
            <v>主线副本达到1850星</v>
          </cell>
          <cell r="E7500" t="str">
            <v>4|2|250|1</v>
          </cell>
        </row>
        <row r="7501">
          <cell r="A7501">
            <v>101038</v>
          </cell>
          <cell r="B7501">
            <v>0</v>
          </cell>
          <cell r="C7501" t="str">
            <v>4|2|300</v>
          </cell>
          <cell r="D7501" t="str">
            <v>主线副本达到1900星</v>
          </cell>
          <cell r="E7501" t="str">
            <v>4|2|300|1</v>
          </cell>
        </row>
        <row r="7502">
          <cell r="A7502">
            <v>101039</v>
          </cell>
          <cell r="B7502">
            <v>0</v>
          </cell>
          <cell r="C7502" t="str">
            <v>4|2|300</v>
          </cell>
          <cell r="D7502" t="str">
            <v>主线副本达到1950星</v>
          </cell>
          <cell r="E7502" t="str">
            <v>4|2|300|1</v>
          </cell>
        </row>
        <row r="7503">
          <cell r="A7503">
            <v>101040</v>
          </cell>
          <cell r="B7503">
            <v>0</v>
          </cell>
          <cell r="C7503" t="str">
            <v>4|2|300</v>
          </cell>
          <cell r="D7503" t="str">
            <v>主线副本达到2000星</v>
          </cell>
          <cell r="E7503" t="str">
            <v>4|2|300|1</v>
          </cell>
        </row>
        <row r="7504">
          <cell r="A7504">
            <v>101041</v>
          </cell>
          <cell r="B7504">
            <v>0</v>
          </cell>
          <cell r="C7504" t="str">
            <v>4|2|300</v>
          </cell>
          <cell r="D7504" t="str">
            <v>主线副本达到2050星</v>
          </cell>
          <cell r="E7504" t="str">
            <v>4|2|300|1</v>
          </cell>
        </row>
        <row r="7505">
          <cell r="A7505">
            <v>101042</v>
          </cell>
          <cell r="B7505">
            <v>0</v>
          </cell>
          <cell r="C7505" t="str">
            <v>4|2|300</v>
          </cell>
          <cell r="D7505" t="str">
            <v>主线副本达到2100星</v>
          </cell>
          <cell r="E7505" t="str">
            <v>4|2|300|1</v>
          </cell>
        </row>
        <row r="7506">
          <cell r="A7506">
            <v>101043</v>
          </cell>
          <cell r="B7506">
            <v>0</v>
          </cell>
          <cell r="C7506" t="str">
            <v>4|2|300</v>
          </cell>
          <cell r="D7506" t="str">
            <v>主线副本达到2150星</v>
          </cell>
          <cell r="E7506" t="str">
            <v>4|2|300|1</v>
          </cell>
        </row>
        <row r="7507">
          <cell r="A7507">
            <v>101044</v>
          </cell>
          <cell r="B7507">
            <v>0</v>
          </cell>
          <cell r="C7507" t="str">
            <v>4|2|300</v>
          </cell>
          <cell r="D7507" t="str">
            <v>主线副本达到2200星</v>
          </cell>
          <cell r="E7507" t="str">
            <v>4|2|300|1</v>
          </cell>
        </row>
        <row r="7508">
          <cell r="A7508">
            <v>101045</v>
          </cell>
          <cell r="B7508">
            <v>0</v>
          </cell>
          <cell r="C7508" t="str">
            <v>4|2|300</v>
          </cell>
          <cell r="D7508" t="str">
            <v>主线副本达到2250星</v>
          </cell>
          <cell r="E7508" t="str">
            <v>4|2|300|1</v>
          </cell>
        </row>
        <row r="7509">
          <cell r="A7509">
            <v>101046</v>
          </cell>
          <cell r="B7509">
            <v>0</v>
          </cell>
          <cell r="C7509" t="str">
            <v>4|2|300</v>
          </cell>
          <cell r="D7509" t="str">
            <v>主线副本达到2300星</v>
          </cell>
          <cell r="E7509" t="str">
            <v>4|2|300|1</v>
          </cell>
        </row>
        <row r="7510">
          <cell r="A7510">
            <v>101047</v>
          </cell>
          <cell r="B7510">
            <v>0</v>
          </cell>
          <cell r="C7510" t="str">
            <v>4|2|300</v>
          </cell>
          <cell r="D7510" t="str">
            <v>主线副本达到2350星</v>
          </cell>
          <cell r="E7510" t="str">
            <v>4|2|300|1</v>
          </cell>
        </row>
        <row r="7511">
          <cell r="A7511">
            <v>101048</v>
          </cell>
          <cell r="B7511">
            <v>0</v>
          </cell>
          <cell r="C7511" t="str">
            <v>4|2|300</v>
          </cell>
          <cell r="D7511" t="str">
            <v>主线副本达到2400星</v>
          </cell>
          <cell r="E7511" t="str">
            <v>4|2|300|1</v>
          </cell>
        </row>
        <row r="7512">
          <cell r="A7512">
            <v>101049</v>
          </cell>
          <cell r="B7512">
            <v>0</v>
          </cell>
          <cell r="C7512" t="str">
            <v>4|2|300</v>
          </cell>
          <cell r="D7512" t="str">
            <v>主线副本达到2450星</v>
          </cell>
          <cell r="E7512" t="str">
            <v>4|2|300|1</v>
          </cell>
        </row>
        <row r="7513">
          <cell r="A7513">
            <v>101050</v>
          </cell>
          <cell r="B7513">
            <v>0</v>
          </cell>
          <cell r="C7513" t="str">
            <v>4|2|300</v>
          </cell>
          <cell r="D7513" t="str">
            <v>主线副本达到2500星</v>
          </cell>
          <cell r="E7513" t="str">
            <v>4|2|300|1</v>
          </cell>
        </row>
        <row r="7514">
          <cell r="A7514">
            <v>101501</v>
          </cell>
          <cell r="B7514">
            <v>0</v>
          </cell>
          <cell r="C7514" t="str">
            <v>4|2|100</v>
          </cell>
          <cell r="D7514" t="str">
            <v>通关精英副本第1章</v>
          </cell>
          <cell r="E7514" t="str">
            <v>4|2|100|1</v>
          </cell>
        </row>
        <row r="7515">
          <cell r="A7515">
            <v>101502</v>
          </cell>
          <cell r="B7515">
            <v>0</v>
          </cell>
          <cell r="C7515" t="str">
            <v>4|2|150</v>
          </cell>
          <cell r="D7515" t="str">
            <v>通关精英副本第2章</v>
          </cell>
          <cell r="E7515" t="str">
            <v>4|2|150|1</v>
          </cell>
        </row>
        <row r="7516">
          <cell r="A7516">
            <v>101503</v>
          </cell>
          <cell r="B7516">
            <v>0</v>
          </cell>
          <cell r="C7516" t="str">
            <v>4|2|150</v>
          </cell>
          <cell r="D7516" t="str">
            <v>通关精英副本第3章</v>
          </cell>
          <cell r="E7516" t="str">
            <v>4|2|150|1</v>
          </cell>
        </row>
        <row r="7517">
          <cell r="A7517">
            <v>101504</v>
          </cell>
          <cell r="B7517">
            <v>0</v>
          </cell>
          <cell r="C7517" t="str">
            <v>4|2|150</v>
          </cell>
          <cell r="D7517" t="str">
            <v>通关精英副本第4章</v>
          </cell>
          <cell r="E7517" t="str">
            <v>4|2|150|1</v>
          </cell>
        </row>
        <row r="7518">
          <cell r="A7518">
            <v>101505</v>
          </cell>
          <cell r="B7518">
            <v>0</v>
          </cell>
          <cell r="C7518" t="str">
            <v>4|2|150</v>
          </cell>
          <cell r="D7518" t="str">
            <v>通关精英副本第5章</v>
          </cell>
          <cell r="E7518" t="str">
            <v>4|2|150|1</v>
          </cell>
        </row>
        <row r="7519">
          <cell r="A7519">
            <v>101506</v>
          </cell>
          <cell r="B7519">
            <v>0</v>
          </cell>
          <cell r="C7519" t="str">
            <v>4|2|150</v>
          </cell>
          <cell r="D7519" t="str">
            <v>通关精英副本第6章</v>
          </cell>
          <cell r="E7519" t="str">
            <v>4|2|150|1</v>
          </cell>
        </row>
        <row r="7520">
          <cell r="A7520">
            <v>101507</v>
          </cell>
          <cell r="B7520">
            <v>0</v>
          </cell>
          <cell r="C7520" t="str">
            <v>4|2|150</v>
          </cell>
          <cell r="D7520" t="str">
            <v>通关精英副本第7章</v>
          </cell>
          <cell r="E7520" t="str">
            <v>4|2|150|1</v>
          </cell>
        </row>
        <row r="7521">
          <cell r="A7521">
            <v>101508</v>
          </cell>
          <cell r="B7521">
            <v>0</v>
          </cell>
          <cell r="C7521" t="str">
            <v>4|2|150</v>
          </cell>
          <cell r="D7521" t="str">
            <v>通关精英副本第8章</v>
          </cell>
          <cell r="E7521" t="str">
            <v>4|2|150|1</v>
          </cell>
        </row>
        <row r="7522">
          <cell r="A7522">
            <v>101509</v>
          </cell>
          <cell r="B7522">
            <v>0</v>
          </cell>
          <cell r="C7522" t="str">
            <v>4|2|150</v>
          </cell>
          <cell r="D7522" t="str">
            <v>通关精英副本第9章</v>
          </cell>
          <cell r="E7522" t="str">
            <v>4|2|150|1</v>
          </cell>
        </row>
        <row r="7523">
          <cell r="A7523">
            <v>101510</v>
          </cell>
          <cell r="B7523">
            <v>0</v>
          </cell>
          <cell r="C7523" t="str">
            <v>4|2|150</v>
          </cell>
          <cell r="D7523" t="str">
            <v>通关精英副本第10章</v>
          </cell>
          <cell r="E7523" t="str">
            <v>4|2|150|1</v>
          </cell>
        </row>
        <row r="7524">
          <cell r="A7524">
            <v>101511</v>
          </cell>
          <cell r="B7524">
            <v>0</v>
          </cell>
          <cell r="C7524" t="str">
            <v>4|2|150</v>
          </cell>
          <cell r="D7524" t="str">
            <v>通关精英副本第11章</v>
          </cell>
          <cell r="E7524" t="str">
            <v>4|2|150|1</v>
          </cell>
        </row>
        <row r="7525">
          <cell r="A7525">
            <v>101512</v>
          </cell>
          <cell r="B7525">
            <v>0</v>
          </cell>
          <cell r="C7525" t="str">
            <v>4|2|200</v>
          </cell>
          <cell r="D7525" t="str">
            <v>通关精英副本第12章</v>
          </cell>
          <cell r="E7525" t="str">
            <v>4|2|200|1</v>
          </cell>
        </row>
        <row r="7526">
          <cell r="A7526">
            <v>101513</v>
          </cell>
          <cell r="B7526">
            <v>0</v>
          </cell>
          <cell r="C7526" t="str">
            <v>4|2|200</v>
          </cell>
          <cell r="D7526" t="str">
            <v>通关精英副本第13章</v>
          </cell>
          <cell r="E7526" t="str">
            <v>4|2|200|1</v>
          </cell>
        </row>
        <row r="7527">
          <cell r="A7527">
            <v>101514</v>
          </cell>
          <cell r="B7527">
            <v>0</v>
          </cell>
          <cell r="C7527" t="str">
            <v>4|2|200</v>
          </cell>
          <cell r="D7527" t="str">
            <v>通关精英副本第14章</v>
          </cell>
          <cell r="E7527" t="str">
            <v>4|2|200|1</v>
          </cell>
        </row>
        <row r="7528">
          <cell r="A7528">
            <v>101515</v>
          </cell>
          <cell r="B7528">
            <v>0</v>
          </cell>
          <cell r="C7528" t="str">
            <v>4|2|200</v>
          </cell>
          <cell r="D7528" t="str">
            <v>通关精英副本第15章</v>
          </cell>
          <cell r="E7528" t="str">
            <v>4|2|200|1</v>
          </cell>
        </row>
        <row r="7529">
          <cell r="A7529">
            <v>101516</v>
          </cell>
          <cell r="B7529">
            <v>0</v>
          </cell>
          <cell r="C7529" t="str">
            <v>4|2|200</v>
          </cell>
          <cell r="D7529" t="str">
            <v>通关精英副本第16章</v>
          </cell>
          <cell r="E7529" t="str">
            <v>4|2|200|1</v>
          </cell>
        </row>
        <row r="7530">
          <cell r="A7530">
            <v>101517</v>
          </cell>
          <cell r="B7530">
            <v>0</v>
          </cell>
          <cell r="C7530" t="str">
            <v>4|2|200</v>
          </cell>
          <cell r="D7530" t="str">
            <v>通关精英副本第17章</v>
          </cell>
          <cell r="E7530" t="str">
            <v>4|2|200|1</v>
          </cell>
        </row>
        <row r="7531">
          <cell r="A7531">
            <v>101518</v>
          </cell>
          <cell r="B7531">
            <v>0</v>
          </cell>
          <cell r="C7531" t="str">
            <v>4|2|200</v>
          </cell>
          <cell r="D7531" t="str">
            <v>通关精英副本第18章</v>
          </cell>
          <cell r="E7531" t="str">
            <v>4|2|200|1</v>
          </cell>
        </row>
        <row r="7532">
          <cell r="A7532">
            <v>101519</v>
          </cell>
          <cell r="B7532">
            <v>0</v>
          </cell>
          <cell r="C7532" t="str">
            <v>4|2|200</v>
          </cell>
          <cell r="D7532" t="str">
            <v>通关精英副本第19章</v>
          </cell>
          <cell r="E7532" t="str">
            <v>4|2|200|1</v>
          </cell>
        </row>
        <row r="7533">
          <cell r="A7533">
            <v>101520</v>
          </cell>
          <cell r="B7533">
            <v>0</v>
          </cell>
          <cell r="C7533" t="str">
            <v>4|2|200</v>
          </cell>
          <cell r="D7533" t="str">
            <v>通关精英副本第20章</v>
          </cell>
          <cell r="E7533" t="str">
            <v>4|2|200|1</v>
          </cell>
        </row>
        <row r="7534">
          <cell r="A7534">
            <v>101521</v>
          </cell>
          <cell r="B7534">
            <v>0</v>
          </cell>
          <cell r="C7534" t="str">
            <v>4|2|200</v>
          </cell>
          <cell r="D7534" t="str">
            <v>通关精英副本第21章</v>
          </cell>
          <cell r="E7534" t="str">
            <v>4|2|200|1</v>
          </cell>
        </row>
        <row r="7535">
          <cell r="A7535">
            <v>101522</v>
          </cell>
          <cell r="B7535">
            <v>0</v>
          </cell>
          <cell r="C7535" t="str">
            <v>4|2|250</v>
          </cell>
          <cell r="D7535" t="str">
            <v>通关精英副本第22章</v>
          </cell>
          <cell r="E7535" t="str">
            <v>4|2|250|1</v>
          </cell>
        </row>
        <row r="7536">
          <cell r="A7536">
            <v>101523</v>
          </cell>
          <cell r="B7536">
            <v>0</v>
          </cell>
          <cell r="C7536" t="str">
            <v>4|2|250</v>
          </cell>
          <cell r="D7536" t="str">
            <v>通关精英副本第23章</v>
          </cell>
          <cell r="E7536" t="str">
            <v>4|2|250|1</v>
          </cell>
        </row>
        <row r="7537">
          <cell r="A7537">
            <v>101524</v>
          </cell>
          <cell r="B7537">
            <v>0</v>
          </cell>
          <cell r="C7537" t="str">
            <v>4|2|250</v>
          </cell>
          <cell r="D7537" t="str">
            <v>通关精英副本第24章</v>
          </cell>
          <cell r="E7537" t="str">
            <v>4|2|250|1</v>
          </cell>
        </row>
        <row r="7538">
          <cell r="A7538">
            <v>101525</v>
          </cell>
          <cell r="B7538">
            <v>0</v>
          </cell>
          <cell r="C7538" t="str">
            <v>4|2|250</v>
          </cell>
          <cell r="D7538" t="str">
            <v>通关精英副本第25章</v>
          </cell>
          <cell r="E7538" t="str">
            <v>4|2|250|1</v>
          </cell>
        </row>
        <row r="7539">
          <cell r="A7539">
            <v>101526</v>
          </cell>
          <cell r="B7539">
            <v>0</v>
          </cell>
          <cell r="C7539" t="str">
            <v>4|2|250</v>
          </cell>
          <cell r="D7539" t="str">
            <v>通关精英副本第26章</v>
          </cell>
          <cell r="E7539" t="str">
            <v>4|2|250|1</v>
          </cell>
        </row>
        <row r="7540">
          <cell r="A7540">
            <v>101527</v>
          </cell>
          <cell r="B7540">
            <v>0</v>
          </cell>
          <cell r="C7540" t="str">
            <v>4|2|250</v>
          </cell>
          <cell r="D7540" t="str">
            <v>通关精英副本第27章</v>
          </cell>
          <cell r="E7540" t="str">
            <v>4|2|250|1</v>
          </cell>
        </row>
        <row r="7541">
          <cell r="A7541">
            <v>101528</v>
          </cell>
          <cell r="B7541">
            <v>0</v>
          </cell>
          <cell r="C7541" t="str">
            <v>4|2|250</v>
          </cell>
          <cell r="D7541" t="str">
            <v>通关精英副本第28章</v>
          </cell>
          <cell r="E7541" t="str">
            <v>4|2|250|1</v>
          </cell>
        </row>
        <row r="7542">
          <cell r="A7542">
            <v>101529</v>
          </cell>
          <cell r="B7542">
            <v>0</v>
          </cell>
          <cell r="C7542" t="str">
            <v>4|2|250</v>
          </cell>
          <cell r="D7542" t="str">
            <v>通关精英副本第29章</v>
          </cell>
          <cell r="E7542" t="str">
            <v>4|2|250|1</v>
          </cell>
        </row>
        <row r="7543">
          <cell r="A7543">
            <v>101530</v>
          </cell>
          <cell r="B7543">
            <v>0</v>
          </cell>
          <cell r="C7543" t="str">
            <v>4|2|250</v>
          </cell>
          <cell r="D7543" t="str">
            <v>通关精英副本第30章</v>
          </cell>
          <cell r="E7543" t="str">
            <v>4|2|250|1</v>
          </cell>
        </row>
        <row r="7544">
          <cell r="A7544">
            <v>101531</v>
          </cell>
          <cell r="B7544">
            <v>0</v>
          </cell>
          <cell r="C7544" t="str">
            <v>4|2|250</v>
          </cell>
          <cell r="D7544" t="str">
            <v>通关精英副本第31章</v>
          </cell>
          <cell r="E7544" t="str">
            <v>4|2|250|1</v>
          </cell>
        </row>
        <row r="7545">
          <cell r="A7545">
            <v>101532</v>
          </cell>
          <cell r="B7545">
            <v>0</v>
          </cell>
          <cell r="C7545" t="str">
            <v>4|2|300</v>
          </cell>
          <cell r="D7545" t="str">
            <v>通关精英副本第32章</v>
          </cell>
          <cell r="E7545" t="str">
            <v>4|2|300|1</v>
          </cell>
        </row>
        <row r="7546">
          <cell r="A7546">
            <v>101533</v>
          </cell>
          <cell r="B7546">
            <v>0</v>
          </cell>
          <cell r="C7546" t="str">
            <v>4|2|300</v>
          </cell>
          <cell r="D7546" t="str">
            <v>通关精英副本第33章</v>
          </cell>
          <cell r="E7546" t="str">
            <v>4|2|300|1</v>
          </cell>
        </row>
        <row r="7547">
          <cell r="A7547">
            <v>101534</v>
          </cell>
          <cell r="B7547">
            <v>0</v>
          </cell>
          <cell r="C7547" t="str">
            <v>4|2|300</v>
          </cell>
          <cell r="D7547" t="str">
            <v>通关精英副本第34章</v>
          </cell>
          <cell r="E7547" t="str">
            <v>4|2|300|1</v>
          </cell>
        </row>
        <row r="7548">
          <cell r="A7548">
            <v>101535</v>
          </cell>
          <cell r="B7548">
            <v>0</v>
          </cell>
          <cell r="C7548" t="str">
            <v>4|2|300</v>
          </cell>
          <cell r="D7548" t="str">
            <v>通关精英副本第35章</v>
          </cell>
          <cell r="E7548" t="str">
            <v>4|2|300|1</v>
          </cell>
        </row>
        <row r="7549">
          <cell r="A7549">
            <v>101536</v>
          </cell>
          <cell r="B7549">
            <v>0</v>
          </cell>
          <cell r="C7549" t="str">
            <v>4|2|300</v>
          </cell>
          <cell r="D7549" t="str">
            <v>通关精英副本第36章</v>
          </cell>
          <cell r="E7549" t="str">
            <v>4|2|300|1</v>
          </cell>
        </row>
        <row r="7550">
          <cell r="A7550">
            <v>101537</v>
          </cell>
          <cell r="B7550">
            <v>0</v>
          </cell>
          <cell r="C7550" t="str">
            <v>4|2|300</v>
          </cell>
          <cell r="D7550" t="str">
            <v>通关精英副本第37章</v>
          </cell>
          <cell r="E7550" t="str">
            <v>4|2|300|1</v>
          </cell>
        </row>
        <row r="7551">
          <cell r="A7551">
            <v>101538</v>
          </cell>
          <cell r="B7551">
            <v>0</v>
          </cell>
          <cell r="C7551" t="str">
            <v>4|2|300</v>
          </cell>
          <cell r="D7551" t="str">
            <v>通关精英副本第38章</v>
          </cell>
          <cell r="E7551" t="str">
            <v>4|2|300|1</v>
          </cell>
        </row>
        <row r="7552">
          <cell r="A7552">
            <v>101539</v>
          </cell>
          <cell r="B7552">
            <v>0</v>
          </cell>
          <cell r="C7552" t="str">
            <v>4|2|300</v>
          </cell>
          <cell r="D7552" t="str">
            <v>通关精英副本第39章</v>
          </cell>
          <cell r="E7552" t="str">
            <v>4|2|300|1</v>
          </cell>
        </row>
        <row r="7553">
          <cell r="A7553">
            <v>101540</v>
          </cell>
          <cell r="B7553">
            <v>0</v>
          </cell>
          <cell r="C7553" t="str">
            <v>4|2|300</v>
          </cell>
          <cell r="D7553" t="str">
            <v>通关精英副本第40章</v>
          </cell>
          <cell r="E7553" t="str">
            <v>4|2|300|1</v>
          </cell>
        </row>
        <row r="7554">
          <cell r="A7554">
            <v>101541</v>
          </cell>
          <cell r="B7554">
            <v>0</v>
          </cell>
          <cell r="C7554" t="str">
            <v>4|2|300</v>
          </cell>
          <cell r="D7554" t="str">
            <v>通关精英副本第41章</v>
          </cell>
          <cell r="E7554" t="str">
            <v>4|2|300|1</v>
          </cell>
        </row>
        <row r="7555">
          <cell r="A7555">
            <v>101542</v>
          </cell>
          <cell r="B7555">
            <v>0</v>
          </cell>
          <cell r="C7555" t="str">
            <v>4|2|350</v>
          </cell>
          <cell r="D7555" t="str">
            <v>通关精英副本第42章</v>
          </cell>
          <cell r="E7555" t="str">
            <v>4|2|350|1</v>
          </cell>
        </row>
        <row r="7556">
          <cell r="A7556">
            <v>101543</v>
          </cell>
          <cell r="B7556">
            <v>0</v>
          </cell>
          <cell r="C7556" t="str">
            <v>4|2|350</v>
          </cell>
          <cell r="D7556" t="str">
            <v>通关精英副本第43章</v>
          </cell>
          <cell r="E7556" t="str">
            <v>4|2|350|1</v>
          </cell>
        </row>
        <row r="7557">
          <cell r="A7557">
            <v>101544</v>
          </cell>
          <cell r="B7557">
            <v>0</v>
          </cell>
          <cell r="C7557" t="str">
            <v>4|2|350</v>
          </cell>
          <cell r="D7557" t="str">
            <v>通关精英副本第44章</v>
          </cell>
          <cell r="E7557" t="str">
            <v>4|2|350|1</v>
          </cell>
        </row>
        <row r="7558">
          <cell r="A7558">
            <v>101545</v>
          </cell>
          <cell r="B7558">
            <v>0</v>
          </cell>
          <cell r="C7558" t="str">
            <v>4|2|350</v>
          </cell>
          <cell r="D7558" t="str">
            <v>通关精英副本第45章</v>
          </cell>
          <cell r="E7558" t="str">
            <v>4|2|350|1</v>
          </cell>
        </row>
        <row r="7559">
          <cell r="A7559">
            <v>101546</v>
          </cell>
          <cell r="B7559">
            <v>0</v>
          </cell>
          <cell r="C7559" t="str">
            <v>4|2|350</v>
          </cell>
          <cell r="D7559" t="str">
            <v>通关精英副本第46章</v>
          </cell>
          <cell r="E7559" t="str">
            <v>4|2|350|1</v>
          </cell>
        </row>
        <row r="7560">
          <cell r="A7560">
            <v>101547</v>
          </cell>
          <cell r="B7560">
            <v>0</v>
          </cell>
          <cell r="C7560" t="str">
            <v>4|2|350</v>
          </cell>
          <cell r="D7560" t="str">
            <v>通关精英副本第47章</v>
          </cell>
          <cell r="E7560" t="str">
            <v>4|2|350|1</v>
          </cell>
        </row>
        <row r="7561">
          <cell r="A7561">
            <v>101548</v>
          </cell>
          <cell r="B7561">
            <v>0</v>
          </cell>
          <cell r="C7561" t="str">
            <v>4|2|350</v>
          </cell>
          <cell r="D7561" t="str">
            <v>通关精英副本第48章</v>
          </cell>
          <cell r="E7561" t="str">
            <v>4|2|350|1</v>
          </cell>
        </row>
        <row r="7562">
          <cell r="A7562">
            <v>101549</v>
          </cell>
          <cell r="B7562">
            <v>0</v>
          </cell>
          <cell r="C7562" t="str">
            <v>4|2|350</v>
          </cell>
          <cell r="D7562" t="str">
            <v>通关精英副本第49章</v>
          </cell>
          <cell r="E7562" t="str">
            <v>4|2|350|1</v>
          </cell>
        </row>
        <row r="7563">
          <cell r="A7563">
            <v>101550</v>
          </cell>
          <cell r="B7563">
            <v>0</v>
          </cell>
          <cell r="C7563" t="str">
            <v>4|2|350</v>
          </cell>
          <cell r="D7563" t="str">
            <v>通关精英副本第50章</v>
          </cell>
          <cell r="E7563" t="str">
            <v>4|2|350|1</v>
          </cell>
        </row>
        <row r="7564">
          <cell r="A7564">
            <v>101551</v>
          </cell>
          <cell r="B7564">
            <v>0</v>
          </cell>
          <cell r="C7564" t="str">
            <v>4|2|350</v>
          </cell>
          <cell r="D7564" t="str">
            <v>通关精英副本第51章</v>
          </cell>
          <cell r="E7564" t="str">
            <v>4|2|350|1</v>
          </cell>
        </row>
        <row r="7565">
          <cell r="A7565">
            <v>101552</v>
          </cell>
          <cell r="B7565">
            <v>0</v>
          </cell>
          <cell r="C7565" t="str">
            <v>4|2|400</v>
          </cell>
          <cell r="D7565" t="str">
            <v>通关精英副本第52章</v>
          </cell>
          <cell r="E7565" t="str">
            <v>4|2|400|1</v>
          </cell>
        </row>
        <row r="7566">
          <cell r="A7566">
            <v>101553</v>
          </cell>
          <cell r="B7566">
            <v>0</v>
          </cell>
          <cell r="C7566" t="str">
            <v>4|2|400</v>
          </cell>
          <cell r="D7566" t="str">
            <v>通关精英副本第53章</v>
          </cell>
          <cell r="E7566" t="str">
            <v>4|2|400|1</v>
          </cell>
        </row>
        <row r="7567">
          <cell r="A7567">
            <v>101554</v>
          </cell>
          <cell r="B7567">
            <v>0</v>
          </cell>
          <cell r="C7567" t="str">
            <v>4|2|400</v>
          </cell>
          <cell r="D7567" t="str">
            <v>通关精英副本第54章</v>
          </cell>
          <cell r="E7567" t="str">
            <v>4|2|400|1</v>
          </cell>
        </row>
        <row r="7568">
          <cell r="A7568">
            <v>101555</v>
          </cell>
          <cell r="B7568">
            <v>0</v>
          </cell>
          <cell r="C7568" t="str">
            <v>4|2|400</v>
          </cell>
          <cell r="D7568" t="str">
            <v>通关精英副本第55章</v>
          </cell>
          <cell r="E7568" t="str">
            <v>4|2|400|1</v>
          </cell>
        </row>
        <row r="7569">
          <cell r="A7569">
            <v>101556</v>
          </cell>
          <cell r="B7569">
            <v>0</v>
          </cell>
          <cell r="C7569" t="str">
            <v>4|2|400</v>
          </cell>
          <cell r="D7569" t="str">
            <v>通关精英副本第56章</v>
          </cell>
          <cell r="E7569" t="str">
            <v>4|2|400|1</v>
          </cell>
        </row>
        <row r="7570">
          <cell r="A7570">
            <v>101557</v>
          </cell>
          <cell r="B7570">
            <v>0</v>
          </cell>
          <cell r="C7570" t="str">
            <v>4|2|400</v>
          </cell>
          <cell r="D7570" t="str">
            <v>通关精英副本第57章</v>
          </cell>
          <cell r="E7570" t="str">
            <v>4|2|400|1</v>
          </cell>
        </row>
        <row r="7571">
          <cell r="A7571">
            <v>101558</v>
          </cell>
          <cell r="B7571">
            <v>0</v>
          </cell>
          <cell r="C7571" t="str">
            <v>4|2|400</v>
          </cell>
          <cell r="D7571" t="str">
            <v>通关精英副本第58章</v>
          </cell>
          <cell r="E7571" t="str">
            <v>4|2|400|1</v>
          </cell>
        </row>
        <row r="7572">
          <cell r="A7572">
            <v>101559</v>
          </cell>
          <cell r="B7572">
            <v>0</v>
          </cell>
          <cell r="C7572" t="str">
            <v>4|2|400</v>
          </cell>
          <cell r="D7572" t="str">
            <v>通关精英副本第59章</v>
          </cell>
          <cell r="E7572" t="str">
            <v>4|2|400|1</v>
          </cell>
        </row>
        <row r="7573">
          <cell r="A7573">
            <v>101560</v>
          </cell>
          <cell r="B7573">
            <v>0</v>
          </cell>
          <cell r="C7573" t="str">
            <v>4|2|400</v>
          </cell>
          <cell r="D7573" t="str">
            <v>通关精英副本第60章</v>
          </cell>
          <cell r="E7573" t="str">
            <v>4|2|400|1</v>
          </cell>
        </row>
        <row r="7574">
          <cell r="A7574">
            <v>101561</v>
          </cell>
          <cell r="B7574">
            <v>0</v>
          </cell>
          <cell r="C7574" t="str">
            <v>4|2|400</v>
          </cell>
          <cell r="D7574" t="str">
            <v>通关精英副本第61章</v>
          </cell>
          <cell r="E7574" t="str">
            <v>4|2|400|1</v>
          </cell>
        </row>
        <row r="7575">
          <cell r="A7575">
            <v>101562</v>
          </cell>
          <cell r="B7575">
            <v>0</v>
          </cell>
          <cell r="C7575" t="str">
            <v>4|2|450</v>
          </cell>
          <cell r="D7575" t="str">
            <v>通关精英副本第62章</v>
          </cell>
          <cell r="E7575" t="str">
            <v>4|2|450|1</v>
          </cell>
        </row>
        <row r="7576">
          <cell r="A7576">
            <v>101563</v>
          </cell>
          <cell r="B7576">
            <v>0</v>
          </cell>
          <cell r="C7576" t="str">
            <v>4|2|450</v>
          </cell>
          <cell r="D7576" t="str">
            <v>通关精英副本第63章</v>
          </cell>
          <cell r="E7576" t="str">
            <v>4|2|450|1</v>
          </cell>
        </row>
        <row r="7577">
          <cell r="A7577">
            <v>101564</v>
          </cell>
          <cell r="B7577">
            <v>0</v>
          </cell>
          <cell r="C7577" t="str">
            <v>4|2|450</v>
          </cell>
          <cell r="D7577" t="str">
            <v>通关精英副本第64章</v>
          </cell>
          <cell r="E7577" t="str">
            <v>4|2|450|1</v>
          </cell>
        </row>
        <row r="7578">
          <cell r="A7578">
            <v>101565</v>
          </cell>
          <cell r="B7578">
            <v>0</v>
          </cell>
          <cell r="C7578" t="str">
            <v>4|2|450</v>
          </cell>
          <cell r="D7578" t="str">
            <v>通关精英副本第65章</v>
          </cell>
          <cell r="E7578" t="str">
            <v>4|2|450|1</v>
          </cell>
        </row>
        <row r="7579">
          <cell r="A7579">
            <v>101566</v>
          </cell>
          <cell r="B7579">
            <v>0</v>
          </cell>
          <cell r="C7579" t="str">
            <v>4|2|450</v>
          </cell>
          <cell r="D7579" t="str">
            <v>通关精英副本第66章</v>
          </cell>
          <cell r="E7579" t="str">
            <v>4|2|450|1</v>
          </cell>
        </row>
        <row r="7580">
          <cell r="A7580">
            <v>101567</v>
          </cell>
          <cell r="B7580">
            <v>0</v>
          </cell>
          <cell r="C7580" t="str">
            <v>4|2|450</v>
          </cell>
          <cell r="D7580" t="str">
            <v>通关精英副本第67章</v>
          </cell>
          <cell r="E7580" t="str">
            <v>4|2|450|1</v>
          </cell>
        </row>
        <row r="7581">
          <cell r="A7581">
            <v>101568</v>
          </cell>
          <cell r="B7581">
            <v>0</v>
          </cell>
          <cell r="C7581" t="str">
            <v>4|2|450</v>
          </cell>
          <cell r="D7581" t="str">
            <v>通关精英副本第68章</v>
          </cell>
          <cell r="E7581" t="str">
            <v>4|2|450|1</v>
          </cell>
        </row>
        <row r="7582">
          <cell r="A7582">
            <v>101569</v>
          </cell>
          <cell r="B7582">
            <v>0</v>
          </cell>
          <cell r="C7582" t="str">
            <v>4|2|450</v>
          </cell>
          <cell r="D7582" t="str">
            <v>通关精英副本第69章</v>
          </cell>
          <cell r="E7582" t="str">
            <v>4|2|450|1</v>
          </cell>
        </row>
        <row r="7583">
          <cell r="A7583">
            <v>101570</v>
          </cell>
          <cell r="B7583">
            <v>0</v>
          </cell>
          <cell r="C7583" t="str">
            <v>4|2|450</v>
          </cell>
          <cell r="D7583" t="str">
            <v>通关精英副本第70章</v>
          </cell>
          <cell r="E7583" t="str">
            <v>4|2|450|1</v>
          </cell>
        </row>
        <row r="7584">
          <cell r="A7584">
            <v>101571</v>
          </cell>
          <cell r="B7584">
            <v>0</v>
          </cell>
          <cell r="C7584" t="str">
            <v>4|2|450</v>
          </cell>
          <cell r="D7584" t="str">
            <v>通关精英副本第71章</v>
          </cell>
          <cell r="E7584" t="str">
            <v>4|2|450|1</v>
          </cell>
        </row>
        <row r="7585">
          <cell r="A7585">
            <v>101572</v>
          </cell>
          <cell r="B7585">
            <v>0</v>
          </cell>
          <cell r="C7585" t="str">
            <v>4|2|450</v>
          </cell>
          <cell r="D7585" t="str">
            <v>通关精英副本第72章</v>
          </cell>
          <cell r="E7585" t="str">
            <v>4|2|450|1</v>
          </cell>
        </row>
        <row r="7586">
          <cell r="A7586">
            <v>101573</v>
          </cell>
          <cell r="B7586">
            <v>0</v>
          </cell>
          <cell r="C7586" t="str">
            <v>4|2|450</v>
          </cell>
          <cell r="D7586" t="str">
            <v>通关精英副本第73章</v>
          </cell>
          <cell r="E7586" t="str">
            <v>4|2|450|1</v>
          </cell>
        </row>
        <row r="7587">
          <cell r="A7587">
            <v>101574</v>
          </cell>
          <cell r="B7587">
            <v>0</v>
          </cell>
          <cell r="C7587" t="str">
            <v>4|2|450</v>
          </cell>
          <cell r="D7587" t="str">
            <v>通关精英副本第74章</v>
          </cell>
          <cell r="E7587" t="str">
            <v>4|2|450|1</v>
          </cell>
        </row>
        <row r="7588">
          <cell r="A7588">
            <v>101575</v>
          </cell>
          <cell r="B7588">
            <v>0</v>
          </cell>
          <cell r="C7588" t="str">
            <v>4|2|450</v>
          </cell>
          <cell r="D7588" t="str">
            <v>通关精英副本第75章</v>
          </cell>
          <cell r="E7588" t="str">
            <v>4|2|450|1</v>
          </cell>
        </row>
        <row r="7589">
          <cell r="A7589">
            <v>101576</v>
          </cell>
          <cell r="B7589">
            <v>0</v>
          </cell>
          <cell r="C7589" t="str">
            <v>4|2|450</v>
          </cell>
          <cell r="D7589" t="str">
            <v>通关精英副本第76章</v>
          </cell>
          <cell r="E7589" t="str">
            <v>4|2|450|1</v>
          </cell>
        </row>
        <row r="7590">
          <cell r="A7590">
            <v>101577</v>
          </cell>
          <cell r="B7590">
            <v>0</v>
          </cell>
          <cell r="C7590" t="str">
            <v>4|2|450</v>
          </cell>
          <cell r="D7590" t="str">
            <v>通关精英副本第77章</v>
          </cell>
          <cell r="E7590" t="str">
            <v>4|2|450|1</v>
          </cell>
        </row>
        <row r="7591">
          <cell r="A7591">
            <v>101578</v>
          </cell>
          <cell r="B7591">
            <v>0</v>
          </cell>
          <cell r="C7591" t="str">
            <v>4|2|450</v>
          </cell>
          <cell r="D7591" t="str">
            <v>通关精英副本第78章</v>
          </cell>
          <cell r="E7591" t="str">
            <v>4|2|450|1</v>
          </cell>
        </row>
        <row r="7592">
          <cell r="A7592">
            <v>101579</v>
          </cell>
          <cell r="B7592">
            <v>0</v>
          </cell>
          <cell r="C7592" t="str">
            <v>4|2|450</v>
          </cell>
          <cell r="D7592" t="str">
            <v>通关精英副本第79章</v>
          </cell>
          <cell r="E7592" t="str">
            <v>4|2|450|1</v>
          </cell>
        </row>
        <row r="7593">
          <cell r="A7593">
            <v>101580</v>
          </cell>
          <cell r="B7593">
            <v>0</v>
          </cell>
          <cell r="C7593" t="str">
            <v>4|2|450</v>
          </cell>
          <cell r="D7593" t="str">
            <v>通关精英副本第80章</v>
          </cell>
          <cell r="E7593" t="str">
            <v>4|2|450|1</v>
          </cell>
        </row>
        <row r="7594">
          <cell r="A7594">
            <v>101581</v>
          </cell>
          <cell r="B7594">
            <v>0</v>
          </cell>
          <cell r="C7594" t="str">
            <v>4|2|450</v>
          </cell>
          <cell r="D7594" t="str">
            <v>通关精英副本第81章</v>
          </cell>
          <cell r="E7594" t="str">
            <v>4|2|450|1</v>
          </cell>
        </row>
        <row r="7595">
          <cell r="A7595">
            <v>101582</v>
          </cell>
          <cell r="B7595">
            <v>0</v>
          </cell>
          <cell r="C7595" t="str">
            <v>4|2|450</v>
          </cell>
          <cell r="D7595" t="str">
            <v>通关精英副本第82章</v>
          </cell>
          <cell r="E7595" t="str">
            <v>4|2|450|1</v>
          </cell>
        </row>
        <row r="7596">
          <cell r="A7596">
            <v>101583</v>
          </cell>
          <cell r="B7596">
            <v>0</v>
          </cell>
          <cell r="C7596" t="str">
            <v>4|2|450</v>
          </cell>
          <cell r="D7596" t="str">
            <v>通关精英副本第83章</v>
          </cell>
          <cell r="E7596" t="str">
            <v>4|2|450|1</v>
          </cell>
        </row>
        <row r="7597">
          <cell r="A7597">
            <v>101584</v>
          </cell>
          <cell r="B7597">
            <v>0</v>
          </cell>
          <cell r="C7597" t="str">
            <v>4|2|450</v>
          </cell>
          <cell r="D7597" t="str">
            <v>通关精英副本第84章</v>
          </cell>
          <cell r="E7597" t="str">
            <v>4|2|450|1</v>
          </cell>
        </row>
        <row r="7598">
          <cell r="A7598">
            <v>101585</v>
          </cell>
          <cell r="B7598">
            <v>0</v>
          </cell>
          <cell r="C7598" t="str">
            <v>4|2|450</v>
          </cell>
          <cell r="D7598" t="str">
            <v>通关精英副本第85章</v>
          </cell>
          <cell r="E7598" t="str">
            <v>4|2|450|1</v>
          </cell>
        </row>
        <row r="7599">
          <cell r="A7599">
            <v>101586</v>
          </cell>
          <cell r="B7599">
            <v>0</v>
          </cell>
          <cell r="C7599" t="str">
            <v>4|2|450</v>
          </cell>
          <cell r="D7599" t="str">
            <v>通关精英副本第86章</v>
          </cell>
          <cell r="E7599" t="str">
            <v>4|2|450|1</v>
          </cell>
        </row>
        <row r="7600">
          <cell r="A7600">
            <v>101587</v>
          </cell>
          <cell r="B7600">
            <v>0</v>
          </cell>
          <cell r="C7600" t="str">
            <v>4|2|450</v>
          </cell>
          <cell r="D7600" t="str">
            <v>通关精英副本第87章</v>
          </cell>
          <cell r="E7600" t="str">
            <v>4|2|450|1</v>
          </cell>
        </row>
        <row r="7601">
          <cell r="A7601">
            <v>101588</v>
          </cell>
          <cell r="B7601">
            <v>0</v>
          </cell>
          <cell r="C7601" t="str">
            <v>4|2|450</v>
          </cell>
          <cell r="D7601" t="str">
            <v>通关精英副本第88章</v>
          </cell>
          <cell r="E7601" t="str">
            <v>4|2|450|1</v>
          </cell>
        </row>
        <row r="7602">
          <cell r="A7602">
            <v>101589</v>
          </cell>
          <cell r="B7602">
            <v>0</v>
          </cell>
          <cell r="C7602" t="str">
            <v>4|2|450</v>
          </cell>
          <cell r="D7602" t="str">
            <v>通关精英副本第89章</v>
          </cell>
          <cell r="E7602" t="str">
            <v>4|2|450|1</v>
          </cell>
        </row>
        <row r="7603">
          <cell r="A7603">
            <v>101590</v>
          </cell>
          <cell r="B7603">
            <v>0</v>
          </cell>
          <cell r="C7603" t="str">
            <v>4|2|450</v>
          </cell>
          <cell r="D7603" t="str">
            <v>通关精英副本第90章</v>
          </cell>
          <cell r="E7603" t="str">
            <v>4|2|450|1</v>
          </cell>
        </row>
        <row r="7604">
          <cell r="A7604">
            <v>101591</v>
          </cell>
          <cell r="B7604">
            <v>0</v>
          </cell>
          <cell r="C7604" t="str">
            <v>4|2|450</v>
          </cell>
          <cell r="D7604" t="str">
            <v>通关精英副本第91章</v>
          </cell>
          <cell r="E7604" t="str">
            <v>4|2|450|1</v>
          </cell>
        </row>
        <row r="7605">
          <cell r="A7605">
            <v>101592</v>
          </cell>
          <cell r="B7605">
            <v>0</v>
          </cell>
          <cell r="C7605" t="str">
            <v>4|2|450</v>
          </cell>
          <cell r="D7605" t="str">
            <v>通关精英副本第92章</v>
          </cell>
          <cell r="E7605" t="str">
            <v>4|2|450|1</v>
          </cell>
        </row>
        <row r="7606">
          <cell r="A7606">
            <v>101593</v>
          </cell>
          <cell r="B7606">
            <v>0</v>
          </cell>
          <cell r="C7606" t="str">
            <v>4|2|450</v>
          </cell>
          <cell r="D7606" t="str">
            <v>通关精英副本第93章</v>
          </cell>
          <cell r="E7606" t="str">
            <v>4|2|450|1</v>
          </cell>
        </row>
        <row r="7607">
          <cell r="A7607">
            <v>101594</v>
          </cell>
          <cell r="B7607">
            <v>0</v>
          </cell>
          <cell r="C7607" t="str">
            <v>4|2|450</v>
          </cell>
          <cell r="D7607" t="str">
            <v>通关精英副本第94章</v>
          </cell>
          <cell r="E7607" t="str">
            <v>4|2|450|1</v>
          </cell>
        </row>
        <row r="7608">
          <cell r="A7608">
            <v>101595</v>
          </cell>
          <cell r="B7608">
            <v>0</v>
          </cell>
          <cell r="C7608" t="str">
            <v>4|2|450</v>
          </cell>
          <cell r="D7608" t="str">
            <v>通关精英副本第95章</v>
          </cell>
          <cell r="E7608" t="str">
            <v>4|2|450|1</v>
          </cell>
        </row>
        <row r="7609">
          <cell r="A7609">
            <v>101596</v>
          </cell>
          <cell r="B7609">
            <v>0</v>
          </cell>
          <cell r="C7609" t="str">
            <v>4|2|450</v>
          </cell>
          <cell r="D7609" t="str">
            <v>通关精英副本第96章</v>
          </cell>
          <cell r="E7609" t="str">
            <v>4|2|450|1</v>
          </cell>
        </row>
        <row r="7610">
          <cell r="A7610">
            <v>101597</v>
          </cell>
          <cell r="B7610">
            <v>0</v>
          </cell>
          <cell r="C7610" t="str">
            <v>4|2|450</v>
          </cell>
          <cell r="D7610" t="str">
            <v>通关精英副本第97章</v>
          </cell>
          <cell r="E7610" t="str">
            <v>4|2|450|1</v>
          </cell>
        </row>
        <row r="7611">
          <cell r="A7611">
            <v>101598</v>
          </cell>
          <cell r="B7611">
            <v>0</v>
          </cell>
          <cell r="C7611" t="str">
            <v>4|2|450</v>
          </cell>
          <cell r="D7611" t="str">
            <v>通关精英副本第98章</v>
          </cell>
          <cell r="E7611" t="str">
            <v>4|2|450|1</v>
          </cell>
        </row>
        <row r="7612">
          <cell r="A7612">
            <v>101599</v>
          </cell>
          <cell r="B7612">
            <v>0</v>
          </cell>
          <cell r="C7612" t="str">
            <v>4|2|450</v>
          </cell>
          <cell r="D7612" t="str">
            <v>通关精英副本第99章</v>
          </cell>
          <cell r="E7612" t="str">
            <v>4|2|450|1</v>
          </cell>
        </row>
        <row r="7613">
          <cell r="A7613">
            <v>101600</v>
          </cell>
          <cell r="B7613">
            <v>0</v>
          </cell>
          <cell r="C7613" t="str">
            <v>4|2|450</v>
          </cell>
          <cell r="D7613" t="str">
            <v>通关精英副本第100章</v>
          </cell>
          <cell r="E7613" t="str">
            <v>4|2|450|1</v>
          </cell>
        </row>
        <row r="7614">
          <cell r="A7614">
            <v>101601</v>
          </cell>
          <cell r="B7614">
            <v>0</v>
          </cell>
          <cell r="C7614" t="str">
            <v>4|2|450</v>
          </cell>
          <cell r="D7614" t="str">
            <v>通关精英副本第101章</v>
          </cell>
          <cell r="E7614" t="str">
            <v>4|2|450|1</v>
          </cell>
        </row>
        <row r="7615">
          <cell r="A7615">
            <v>101602</v>
          </cell>
          <cell r="B7615">
            <v>0</v>
          </cell>
          <cell r="C7615" t="str">
            <v>4|2|450</v>
          </cell>
          <cell r="D7615" t="str">
            <v>通关精英副本第102章</v>
          </cell>
          <cell r="E7615" t="str">
            <v>4|2|450|1</v>
          </cell>
        </row>
        <row r="7616">
          <cell r="A7616">
            <v>101603</v>
          </cell>
          <cell r="B7616">
            <v>0</v>
          </cell>
          <cell r="C7616" t="str">
            <v>4|2|450</v>
          </cell>
          <cell r="D7616" t="str">
            <v>通关精英副本第103章</v>
          </cell>
          <cell r="E7616" t="str">
            <v>4|2|450|1</v>
          </cell>
        </row>
        <row r="7617">
          <cell r="A7617">
            <v>101604</v>
          </cell>
          <cell r="B7617">
            <v>0</v>
          </cell>
          <cell r="C7617" t="str">
            <v>4|2|450</v>
          </cell>
          <cell r="D7617" t="str">
            <v>通关精英副本第104章</v>
          </cell>
          <cell r="E7617" t="str">
            <v>4|2|450|1</v>
          </cell>
        </row>
        <row r="7618">
          <cell r="A7618">
            <v>101605</v>
          </cell>
          <cell r="B7618">
            <v>0</v>
          </cell>
          <cell r="C7618" t="str">
            <v>4|2|450</v>
          </cell>
          <cell r="D7618" t="str">
            <v>通关精英副本第105章</v>
          </cell>
          <cell r="E7618" t="str">
            <v>4|2|450|1</v>
          </cell>
        </row>
        <row r="7619">
          <cell r="A7619">
            <v>101606</v>
          </cell>
          <cell r="B7619">
            <v>0</v>
          </cell>
          <cell r="C7619" t="str">
            <v>4|2|450</v>
          </cell>
          <cell r="D7619" t="str">
            <v>通关精英副本第106章</v>
          </cell>
          <cell r="E7619" t="str">
            <v>4|2|450|1</v>
          </cell>
        </row>
        <row r="7620">
          <cell r="A7620">
            <v>101607</v>
          </cell>
          <cell r="B7620">
            <v>0</v>
          </cell>
          <cell r="C7620" t="str">
            <v>4|2|450</v>
          </cell>
          <cell r="D7620" t="str">
            <v>通关精英副本第107章</v>
          </cell>
          <cell r="E7620" t="str">
            <v>4|2|450|1</v>
          </cell>
        </row>
        <row r="7621">
          <cell r="A7621">
            <v>101608</v>
          </cell>
          <cell r="B7621">
            <v>0</v>
          </cell>
          <cell r="C7621" t="str">
            <v>4|2|450</v>
          </cell>
          <cell r="D7621" t="str">
            <v>通关精英副本第108章</v>
          </cell>
          <cell r="E7621" t="str">
            <v>4|2|450|1</v>
          </cell>
        </row>
        <row r="7622">
          <cell r="A7622">
            <v>101609</v>
          </cell>
          <cell r="B7622">
            <v>0</v>
          </cell>
          <cell r="C7622" t="str">
            <v>4|2|450</v>
          </cell>
          <cell r="D7622" t="str">
            <v>通关精英副本第109章</v>
          </cell>
          <cell r="E7622" t="str">
            <v>4|2|450|1</v>
          </cell>
        </row>
        <row r="7623">
          <cell r="A7623">
            <v>101610</v>
          </cell>
          <cell r="B7623">
            <v>0</v>
          </cell>
          <cell r="C7623" t="str">
            <v>4|2|450</v>
          </cell>
          <cell r="D7623" t="str">
            <v>通关精英副本第110章</v>
          </cell>
          <cell r="E7623" t="str">
            <v>4|2|450|1</v>
          </cell>
        </row>
        <row r="7624">
          <cell r="A7624">
            <v>101611</v>
          </cell>
          <cell r="B7624">
            <v>0</v>
          </cell>
          <cell r="C7624" t="str">
            <v>4|2|450</v>
          </cell>
          <cell r="D7624" t="str">
            <v>通关精英副本第111章</v>
          </cell>
          <cell r="E7624" t="str">
            <v>4|2|450|1</v>
          </cell>
        </row>
        <row r="7625">
          <cell r="A7625">
            <v>101612</v>
          </cell>
          <cell r="B7625">
            <v>0</v>
          </cell>
          <cell r="C7625" t="str">
            <v>4|2|450</v>
          </cell>
          <cell r="D7625" t="str">
            <v>通关精英副本第112章</v>
          </cell>
          <cell r="E7625" t="str">
            <v>4|2|450|1</v>
          </cell>
        </row>
        <row r="7626">
          <cell r="A7626">
            <v>101613</v>
          </cell>
          <cell r="B7626">
            <v>0</v>
          </cell>
          <cell r="C7626" t="str">
            <v>4|2|450</v>
          </cell>
          <cell r="D7626" t="str">
            <v>通关精英副本第113章</v>
          </cell>
          <cell r="E7626" t="str">
            <v>4|2|450|1</v>
          </cell>
        </row>
        <row r="7627">
          <cell r="A7627">
            <v>101614</v>
          </cell>
          <cell r="B7627">
            <v>0</v>
          </cell>
          <cell r="C7627" t="str">
            <v>4|2|450</v>
          </cell>
          <cell r="D7627" t="str">
            <v>通关精英副本第114章</v>
          </cell>
          <cell r="E7627" t="str">
            <v>4|2|450|1</v>
          </cell>
        </row>
        <row r="7628">
          <cell r="A7628">
            <v>101615</v>
          </cell>
          <cell r="B7628">
            <v>0</v>
          </cell>
          <cell r="C7628" t="str">
            <v>4|2|450</v>
          </cell>
          <cell r="D7628" t="str">
            <v>通关精英副本第115章</v>
          </cell>
          <cell r="E7628" t="str">
            <v>4|2|450|1</v>
          </cell>
        </row>
        <row r="7629">
          <cell r="A7629">
            <v>101616</v>
          </cell>
          <cell r="B7629">
            <v>0</v>
          </cell>
          <cell r="C7629" t="str">
            <v>4|2|450</v>
          </cell>
          <cell r="D7629" t="str">
            <v>通关精英副本第116章</v>
          </cell>
          <cell r="E7629" t="str">
            <v>4|2|450|1</v>
          </cell>
        </row>
        <row r="7630">
          <cell r="A7630">
            <v>101617</v>
          </cell>
          <cell r="B7630">
            <v>0</v>
          </cell>
          <cell r="C7630" t="str">
            <v>4|2|450</v>
          </cell>
          <cell r="D7630" t="str">
            <v>通关精英副本第117章</v>
          </cell>
          <cell r="E7630" t="str">
            <v>4|2|450|1</v>
          </cell>
        </row>
        <row r="7631">
          <cell r="A7631">
            <v>101618</v>
          </cell>
          <cell r="B7631">
            <v>0</v>
          </cell>
          <cell r="C7631" t="str">
            <v>4|2|450</v>
          </cell>
          <cell r="D7631" t="str">
            <v>通关精英副本第118章</v>
          </cell>
          <cell r="E7631" t="str">
            <v>4|2|450|1</v>
          </cell>
        </row>
        <row r="7632">
          <cell r="A7632">
            <v>101619</v>
          </cell>
          <cell r="B7632">
            <v>0</v>
          </cell>
          <cell r="C7632" t="str">
            <v>4|2|450</v>
          </cell>
          <cell r="D7632" t="str">
            <v>通关精英副本第119章</v>
          </cell>
          <cell r="E7632" t="str">
            <v>4|2|450|1</v>
          </cell>
        </row>
        <row r="7633">
          <cell r="A7633">
            <v>101620</v>
          </cell>
          <cell r="B7633">
            <v>0</v>
          </cell>
          <cell r="C7633" t="str">
            <v>4|2|450</v>
          </cell>
          <cell r="D7633" t="str">
            <v>通关精英副本第120章</v>
          </cell>
          <cell r="E7633" t="str">
            <v>4|2|450|1</v>
          </cell>
        </row>
        <row r="7634">
          <cell r="A7634">
            <v>101621</v>
          </cell>
          <cell r="B7634">
            <v>0</v>
          </cell>
          <cell r="C7634" t="str">
            <v>4|2|450</v>
          </cell>
          <cell r="D7634" t="str">
            <v>通关精英副本第121章</v>
          </cell>
          <cell r="E7634" t="str">
            <v>4|2|450|1</v>
          </cell>
        </row>
        <row r="7635">
          <cell r="A7635">
            <v>101622</v>
          </cell>
          <cell r="B7635">
            <v>0</v>
          </cell>
          <cell r="C7635" t="str">
            <v>4|2|450</v>
          </cell>
          <cell r="D7635" t="str">
            <v>通关精英副本第122章</v>
          </cell>
          <cell r="E7635" t="str">
            <v>4|2|450|1</v>
          </cell>
        </row>
        <row r="7636">
          <cell r="A7636">
            <v>101623</v>
          </cell>
          <cell r="B7636">
            <v>0</v>
          </cell>
          <cell r="C7636" t="str">
            <v>4|2|450</v>
          </cell>
          <cell r="D7636" t="str">
            <v>通关精英副本第123章</v>
          </cell>
          <cell r="E7636" t="str">
            <v>4|2|450|1</v>
          </cell>
        </row>
        <row r="7637">
          <cell r="A7637">
            <v>101624</v>
          </cell>
          <cell r="B7637">
            <v>0</v>
          </cell>
          <cell r="C7637" t="str">
            <v>4|2|450</v>
          </cell>
          <cell r="D7637" t="str">
            <v>通关精英副本第124章</v>
          </cell>
          <cell r="E7637" t="str">
            <v>4|2|450|1</v>
          </cell>
        </row>
        <row r="7638">
          <cell r="A7638">
            <v>101625</v>
          </cell>
          <cell r="B7638">
            <v>0</v>
          </cell>
          <cell r="C7638" t="str">
            <v>4|2|450</v>
          </cell>
          <cell r="D7638" t="str">
            <v>通关精英副本第125章</v>
          </cell>
          <cell r="E7638" t="str">
            <v>4|2|450|1</v>
          </cell>
        </row>
        <row r="7639">
          <cell r="A7639">
            <v>101626</v>
          </cell>
          <cell r="B7639">
            <v>0</v>
          </cell>
          <cell r="C7639" t="str">
            <v>4|2|450</v>
          </cell>
          <cell r="D7639" t="str">
            <v>通关精英副本第126章</v>
          </cell>
          <cell r="E7639" t="str">
            <v>4|2|450|1</v>
          </cell>
        </row>
        <row r="7640">
          <cell r="A7640">
            <v>101627</v>
          </cell>
          <cell r="B7640">
            <v>0</v>
          </cell>
          <cell r="C7640" t="str">
            <v>4|2|450</v>
          </cell>
          <cell r="D7640" t="str">
            <v>通关精英副本第127章</v>
          </cell>
          <cell r="E7640" t="str">
            <v>4|2|450|1</v>
          </cell>
        </row>
        <row r="7641">
          <cell r="A7641">
            <v>101628</v>
          </cell>
          <cell r="B7641">
            <v>0</v>
          </cell>
          <cell r="C7641" t="str">
            <v>4|2|450</v>
          </cell>
          <cell r="D7641" t="str">
            <v>通关精英副本第128章</v>
          </cell>
          <cell r="E7641" t="str">
            <v>4|2|450|1</v>
          </cell>
        </row>
        <row r="7642">
          <cell r="A7642">
            <v>101629</v>
          </cell>
          <cell r="B7642">
            <v>0</v>
          </cell>
          <cell r="C7642" t="str">
            <v>4|2|450</v>
          </cell>
          <cell r="D7642" t="str">
            <v>通关精英副本第129章</v>
          </cell>
          <cell r="E7642" t="str">
            <v>4|2|450|1</v>
          </cell>
        </row>
        <row r="7643">
          <cell r="A7643">
            <v>101630</v>
          </cell>
          <cell r="B7643">
            <v>0</v>
          </cell>
          <cell r="C7643" t="str">
            <v>4|2|450</v>
          </cell>
          <cell r="D7643" t="str">
            <v>通关精英副本第130章</v>
          </cell>
          <cell r="E7643" t="str">
            <v>4|2|450|1</v>
          </cell>
        </row>
        <row r="7644">
          <cell r="A7644">
            <v>102001</v>
          </cell>
          <cell r="B7644">
            <v>0</v>
          </cell>
          <cell r="C7644" t="str">
            <v>4|2|150</v>
          </cell>
          <cell r="D7644" t="str">
            <v>精英副本达到20星</v>
          </cell>
          <cell r="E7644" t="str">
            <v>4|2|150|1</v>
          </cell>
        </row>
        <row r="7645">
          <cell r="A7645">
            <v>102002</v>
          </cell>
          <cell r="B7645">
            <v>0</v>
          </cell>
          <cell r="C7645" t="str">
            <v>4|2|150</v>
          </cell>
          <cell r="D7645" t="str">
            <v>精英副本达到40星</v>
          </cell>
          <cell r="E7645" t="str">
            <v>4|2|150|1</v>
          </cell>
        </row>
        <row r="7646">
          <cell r="A7646">
            <v>102003</v>
          </cell>
          <cell r="B7646">
            <v>0</v>
          </cell>
          <cell r="C7646" t="str">
            <v>4|2|150</v>
          </cell>
          <cell r="D7646" t="str">
            <v>精英副本达到60星</v>
          </cell>
          <cell r="E7646" t="str">
            <v>4|2|150|1</v>
          </cell>
        </row>
        <row r="7647">
          <cell r="A7647">
            <v>102004</v>
          </cell>
          <cell r="B7647">
            <v>0</v>
          </cell>
          <cell r="C7647" t="str">
            <v>4|2|150</v>
          </cell>
          <cell r="D7647" t="str">
            <v>精英副本达到80星</v>
          </cell>
          <cell r="E7647" t="str">
            <v>4|2|150|1</v>
          </cell>
        </row>
        <row r="7648">
          <cell r="A7648">
            <v>102005</v>
          </cell>
          <cell r="B7648">
            <v>0</v>
          </cell>
          <cell r="C7648" t="str">
            <v>4|2|150</v>
          </cell>
          <cell r="D7648" t="str">
            <v>精英副本达到100星</v>
          </cell>
          <cell r="E7648" t="str">
            <v>4|2|150|1</v>
          </cell>
        </row>
        <row r="7649">
          <cell r="A7649">
            <v>102006</v>
          </cell>
          <cell r="B7649">
            <v>0</v>
          </cell>
          <cell r="C7649" t="str">
            <v>4|2|150</v>
          </cell>
          <cell r="D7649" t="str">
            <v>精英副本达到120星</v>
          </cell>
          <cell r="E7649" t="str">
            <v>4|2|150|1</v>
          </cell>
        </row>
        <row r="7650">
          <cell r="A7650">
            <v>102007</v>
          </cell>
          <cell r="B7650">
            <v>0</v>
          </cell>
          <cell r="C7650" t="str">
            <v>4|2|150</v>
          </cell>
          <cell r="D7650" t="str">
            <v>精英副本达到140星</v>
          </cell>
          <cell r="E7650" t="str">
            <v>4|2|150|1</v>
          </cell>
        </row>
        <row r="7651">
          <cell r="A7651">
            <v>102008</v>
          </cell>
          <cell r="B7651">
            <v>0</v>
          </cell>
          <cell r="C7651" t="str">
            <v>4|2|150</v>
          </cell>
          <cell r="D7651" t="str">
            <v>精英副本达到160星</v>
          </cell>
          <cell r="E7651" t="str">
            <v>4|2|150|1</v>
          </cell>
        </row>
        <row r="7652">
          <cell r="A7652">
            <v>102009</v>
          </cell>
          <cell r="B7652">
            <v>0</v>
          </cell>
          <cell r="C7652" t="str">
            <v>4|2|150</v>
          </cell>
          <cell r="D7652" t="str">
            <v>精英副本达到180星</v>
          </cell>
          <cell r="E7652" t="str">
            <v>4|2|150|1</v>
          </cell>
        </row>
        <row r="7653">
          <cell r="A7653">
            <v>102010</v>
          </cell>
          <cell r="B7653">
            <v>0</v>
          </cell>
          <cell r="C7653" t="str">
            <v>4|2|150</v>
          </cell>
          <cell r="D7653" t="str">
            <v>精英副本达到200星</v>
          </cell>
          <cell r="E7653" t="str">
            <v>4|2|150|1</v>
          </cell>
        </row>
        <row r="7654">
          <cell r="A7654">
            <v>102011</v>
          </cell>
          <cell r="B7654">
            <v>0</v>
          </cell>
          <cell r="C7654" t="str">
            <v>4|2|200</v>
          </cell>
          <cell r="D7654" t="str">
            <v>精英副本达到220星</v>
          </cell>
          <cell r="E7654" t="str">
            <v>4|2|200|1</v>
          </cell>
        </row>
        <row r="7655">
          <cell r="A7655">
            <v>102012</v>
          </cell>
          <cell r="B7655">
            <v>0</v>
          </cell>
          <cell r="C7655" t="str">
            <v>4|2|200</v>
          </cell>
          <cell r="D7655" t="str">
            <v>精英副本达到240星</v>
          </cell>
          <cell r="E7655" t="str">
            <v>4|2|200|1</v>
          </cell>
        </row>
        <row r="7656">
          <cell r="A7656">
            <v>102013</v>
          </cell>
          <cell r="B7656">
            <v>0</v>
          </cell>
          <cell r="C7656" t="str">
            <v>4|2|200</v>
          </cell>
          <cell r="D7656" t="str">
            <v>精英副本达到260星</v>
          </cell>
          <cell r="E7656" t="str">
            <v>4|2|200|1</v>
          </cell>
        </row>
        <row r="7657">
          <cell r="A7657">
            <v>102014</v>
          </cell>
          <cell r="B7657">
            <v>0</v>
          </cell>
          <cell r="C7657" t="str">
            <v>4|2|200</v>
          </cell>
          <cell r="D7657" t="str">
            <v>精英副本达到280星</v>
          </cell>
          <cell r="E7657" t="str">
            <v>4|2|200|1</v>
          </cell>
        </row>
        <row r="7658">
          <cell r="A7658">
            <v>102015</v>
          </cell>
          <cell r="B7658">
            <v>0</v>
          </cell>
          <cell r="C7658" t="str">
            <v>4|2|200</v>
          </cell>
          <cell r="D7658" t="str">
            <v>精英副本达到300星</v>
          </cell>
          <cell r="E7658" t="str">
            <v>4|2|200|1</v>
          </cell>
        </row>
        <row r="7659">
          <cell r="A7659">
            <v>102016</v>
          </cell>
          <cell r="B7659">
            <v>0</v>
          </cell>
          <cell r="C7659" t="str">
            <v>4|2|200</v>
          </cell>
          <cell r="D7659" t="str">
            <v>精英副本达到320星</v>
          </cell>
          <cell r="E7659" t="str">
            <v>4|2|200|1</v>
          </cell>
        </row>
        <row r="7660">
          <cell r="A7660">
            <v>102017</v>
          </cell>
          <cell r="B7660">
            <v>0</v>
          </cell>
          <cell r="C7660" t="str">
            <v>4|2|200</v>
          </cell>
          <cell r="D7660" t="str">
            <v>精英副本达到340星</v>
          </cell>
          <cell r="E7660" t="str">
            <v>4|2|200|1</v>
          </cell>
        </row>
        <row r="7661">
          <cell r="A7661">
            <v>102018</v>
          </cell>
          <cell r="B7661">
            <v>0</v>
          </cell>
          <cell r="C7661" t="str">
            <v>4|2|200</v>
          </cell>
          <cell r="D7661" t="str">
            <v>精英副本达到360星</v>
          </cell>
          <cell r="E7661" t="str">
            <v>4|2|200|1</v>
          </cell>
        </row>
        <row r="7662">
          <cell r="A7662">
            <v>102019</v>
          </cell>
          <cell r="B7662">
            <v>0</v>
          </cell>
          <cell r="C7662" t="str">
            <v>4|2|200</v>
          </cell>
          <cell r="D7662" t="str">
            <v>精英副本达到380星</v>
          </cell>
          <cell r="E7662" t="str">
            <v>4|2|200|1</v>
          </cell>
        </row>
        <row r="7663">
          <cell r="A7663">
            <v>102020</v>
          </cell>
          <cell r="B7663">
            <v>0</v>
          </cell>
          <cell r="C7663" t="str">
            <v>4|2|200</v>
          </cell>
          <cell r="D7663" t="str">
            <v>精英副本达到400星</v>
          </cell>
          <cell r="E7663" t="str">
            <v>4|2|200|1</v>
          </cell>
        </row>
        <row r="7664">
          <cell r="A7664">
            <v>102021</v>
          </cell>
          <cell r="B7664">
            <v>0</v>
          </cell>
          <cell r="C7664" t="str">
            <v>4|2|250</v>
          </cell>
          <cell r="D7664" t="str">
            <v>精英副本达到420星</v>
          </cell>
          <cell r="E7664" t="str">
            <v>4|2|250|1</v>
          </cell>
        </row>
        <row r="7665">
          <cell r="A7665">
            <v>102022</v>
          </cell>
          <cell r="B7665">
            <v>0</v>
          </cell>
          <cell r="C7665" t="str">
            <v>4|2|250</v>
          </cell>
          <cell r="D7665" t="str">
            <v>精英副本达到440星</v>
          </cell>
          <cell r="E7665" t="str">
            <v>4|2|250|1</v>
          </cell>
        </row>
        <row r="7666">
          <cell r="A7666">
            <v>102023</v>
          </cell>
          <cell r="B7666">
            <v>0</v>
          </cell>
          <cell r="C7666" t="str">
            <v>4|2|250</v>
          </cell>
          <cell r="D7666" t="str">
            <v>精英副本达到460星</v>
          </cell>
          <cell r="E7666" t="str">
            <v>4|2|250|1</v>
          </cell>
        </row>
        <row r="7667">
          <cell r="A7667">
            <v>102024</v>
          </cell>
          <cell r="B7667">
            <v>0</v>
          </cell>
          <cell r="C7667" t="str">
            <v>4|2|250</v>
          </cell>
          <cell r="D7667" t="str">
            <v>精英副本达到480星</v>
          </cell>
          <cell r="E7667" t="str">
            <v>4|2|250|1</v>
          </cell>
        </row>
        <row r="7668">
          <cell r="A7668">
            <v>102025</v>
          </cell>
          <cell r="B7668">
            <v>0</v>
          </cell>
          <cell r="C7668" t="str">
            <v>4|2|250</v>
          </cell>
          <cell r="D7668" t="str">
            <v>精英副本达到500星</v>
          </cell>
          <cell r="E7668" t="str">
            <v>4|2|250|1</v>
          </cell>
        </row>
        <row r="7669">
          <cell r="A7669">
            <v>102026</v>
          </cell>
          <cell r="B7669">
            <v>0</v>
          </cell>
          <cell r="C7669" t="str">
            <v>4|2|250</v>
          </cell>
          <cell r="D7669" t="str">
            <v>精英副本达到520星</v>
          </cell>
          <cell r="E7669" t="str">
            <v>4|2|250|1</v>
          </cell>
        </row>
        <row r="7670">
          <cell r="A7670">
            <v>102027</v>
          </cell>
          <cell r="B7670">
            <v>0</v>
          </cell>
          <cell r="C7670" t="str">
            <v>4|2|250</v>
          </cell>
          <cell r="D7670" t="str">
            <v>精英副本达到540星</v>
          </cell>
          <cell r="E7670" t="str">
            <v>4|2|250|1</v>
          </cell>
        </row>
        <row r="7671">
          <cell r="A7671">
            <v>102028</v>
          </cell>
          <cell r="B7671">
            <v>0</v>
          </cell>
          <cell r="C7671" t="str">
            <v>4|2|250</v>
          </cell>
          <cell r="D7671" t="str">
            <v>精英副本达到560星</v>
          </cell>
          <cell r="E7671" t="str">
            <v>4|2|250|1</v>
          </cell>
        </row>
        <row r="7672">
          <cell r="A7672">
            <v>102029</v>
          </cell>
          <cell r="B7672">
            <v>0</v>
          </cell>
          <cell r="C7672" t="str">
            <v>4|2|250</v>
          </cell>
          <cell r="D7672" t="str">
            <v>精英副本达到580星</v>
          </cell>
          <cell r="E7672" t="str">
            <v>4|2|250|1</v>
          </cell>
        </row>
        <row r="7673">
          <cell r="A7673">
            <v>102030</v>
          </cell>
          <cell r="B7673">
            <v>0</v>
          </cell>
          <cell r="C7673" t="str">
            <v>4|2|250</v>
          </cell>
          <cell r="D7673" t="str">
            <v>精英副本达到600星</v>
          </cell>
          <cell r="E7673" t="str">
            <v>4|2|250|1</v>
          </cell>
        </row>
        <row r="7674">
          <cell r="A7674">
            <v>102031</v>
          </cell>
          <cell r="B7674">
            <v>0</v>
          </cell>
          <cell r="C7674" t="str">
            <v>4|2|300</v>
          </cell>
          <cell r="D7674" t="str">
            <v>精英副本达到620星</v>
          </cell>
          <cell r="E7674" t="str">
            <v>4|2|300|1</v>
          </cell>
        </row>
        <row r="7675">
          <cell r="A7675">
            <v>102032</v>
          </cell>
          <cell r="B7675">
            <v>0</v>
          </cell>
          <cell r="C7675" t="str">
            <v>4|2|300</v>
          </cell>
          <cell r="D7675" t="str">
            <v>精英副本达到640星</v>
          </cell>
          <cell r="E7675" t="str">
            <v>4|2|300|1</v>
          </cell>
        </row>
        <row r="7676">
          <cell r="A7676">
            <v>102033</v>
          </cell>
          <cell r="B7676">
            <v>0</v>
          </cell>
          <cell r="C7676" t="str">
            <v>4|2|300</v>
          </cell>
          <cell r="D7676" t="str">
            <v>精英副本达到660星</v>
          </cell>
          <cell r="E7676" t="str">
            <v>4|2|300|1</v>
          </cell>
        </row>
        <row r="7677">
          <cell r="A7677">
            <v>102034</v>
          </cell>
          <cell r="B7677">
            <v>0</v>
          </cell>
          <cell r="C7677" t="str">
            <v>4|2|300</v>
          </cell>
          <cell r="D7677" t="str">
            <v>精英副本达到680星</v>
          </cell>
          <cell r="E7677" t="str">
            <v>4|2|300|1</v>
          </cell>
        </row>
        <row r="7678">
          <cell r="A7678">
            <v>102035</v>
          </cell>
          <cell r="B7678">
            <v>0</v>
          </cell>
          <cell r="C7678" t="str">
            <v>4|2|300</v>
          </cell>
          <cell r="D7678" t="str">
            <v>精英副本达到700星</v>
          </cell>
          <cell r="E7678" t="str">
            <v>4|2|300|1</v>
          </cell>
        </row>
        <row r="7679">
          <cell r="A7679">
            <v>102036</v>
          </cell>
          <cell r="B7679">
            <v>0</v>
          </cell>
          <cell r="C7679" t="str">
            <v>4|2|300</v>
          </cell>
          <cell r="D7679" t="str">
            <v>精英副本达到720星</v>
          </cell>
          <cell r="E7679" t="str">
            <v>4|2|300|1</v>
          </cell>
        </row>
        <row r="7680">
          <cell r="A7680">
            <v>102037</v>
          </cell>
          <cell r="B7680">
            <v>0</v>
          </cell>
          <cell r="C7680" t="str">
            <v>4|2|300</v>
          </cell>
          <cell r="D7680" t="str">
            <v>精英副本达到740星</v>
          </cell>
          <cell r="E7680" t="str">
            <v>4|2|300|1</v>
          </cell>
        </row>
        <row r="7681">
          <cell r="A7681">
            <v>102038</v>
          </cell>
          <cell r="B7681">
            <v>0</v>
          </cell>
          <cell r="C7681" t="str">
            <v>4|2|300</v>
          </cell>
          <cell r="D7681" t="str">
            <v>精英副本达到760星</v>
          </cell>
          <cell r="E7681" t="str">
            <v>4|2|300|1</v>
          </cell>
        </row>
        <row r="7682">
          <cell r="A7682">
            <v>102039</v>
          </cell>
          <cell r="B7682">
            <v>0</v>
          </cell>
          <cell r="C7682" t="str">
            <v>4|2|300</v>
          </cell>
          <cell r="D7682" t="str">
            <v>精英副本达到780星</v>
          </cell>
          <cell r="E7682" t="str">
            <v>4|2|300|1</v>
          </cell>
        </row>
        <row r="7683">
          <cell r="A7683">
            <v>102040</v>
          </cell>
          <cell r="B7683">
            <v>0</v>
          </cell>
          <cell r="C7683" t="str">
            <v>4|2|300</v>
          </cell>
          <cell r="D7683" t="str">
            <v>精英副本达到800星</v>
          </cell>
          <cell r="E7683" t="str">
            <v>4|2|300|1</v>
          </cell>
        </row>
        <row r="7684">
          <cell r="A7684">
            <v>102041</v>
          </cell>
          <cell r="B7684">
            <v>0</v>
          </cell>
          <cell r="C7684" t="str">
            <v>4|2|350</v>
          </cell>
          <cell r="D7684" t="str">
            <v>精英副本达到820星</v>
          </cell>
          <cell r="E7684" t="str">
            <v>4|2|350|1</v>
          </cell>
        </row>
        <row r="7685">
          <cell r="A7685">
            <v>102042</v>
          </cell>
          <cell r="B7685">
            <v>0</v>
          </cell>
          <cell r="C7685" t="str">
            <v>4|2|350</v>
          </cell>
          <cell r="D7685" t="str">
            <v>精英副本达到840星</v>
          </cell>
          <cell r="E7685" t="str">
            <v>4|2|350|1</v>
          </cell>
        </row>
        <row r="7686">
          <cell r="A7686">
            <v>102043</v>
          </cell>
          <cell r="B7686">
            <v>0</v>
          </cell>
          <cell r="C7686" t="str">
            <v>4|2|350</v>
          </cell>
          <cell r="D7686" t="str">
            <v>精英副本达到860星</v>
          </cell>
          <cell r="E7686" t="str">
            <v>4|2|350|1</v>
          </cell>
        </row>
        <row r="7687">
          <cell r="A7687">
            <v>102044</v>
          </cell>
          <cell r="B7687">
            <v>0</v>
          </cell>
          <cell r="C7687" t="str">
            <v>4|2|350</v>
          </cell>
          <cell r="D7687" t="str">
            <v>精英副本达到880星</v>
          </cell>
          <cell r="E7687" t="str">
            <v>4|2|350|1</v>
          </cell>
        </row>
        <row r="7688">
          <cell r="A7688">
            <v>102045</v>
          </cell>
          <cell r="B7688">
            <v>0</v>
          </cell>
          <cell r="C7688" t="str">
            <v>4|2|350</v>
          </cell>
          <cell r="D7688" t="str">
            <v>精英副本达到900星</v>
          </cell>
          <cell r="E7688" t="str">
            <v>4|2|350|1</v>
          </cell>
        </row>
        <row r="7689">
          <cell r="A7689">
            <v>102046</v>
          </cell>
          <cell r="B7689">
            <v>0</v>
          </cell>
          <cell r="C7689" t="str">
            <v>4|2|350</v>
          </cell>
          <cell r="D7689" t="str">
            <v>精英副本达到920星</v>
          </cell>
          <cell r="E7689" t="str">
            <v>4|2|350|1</v>
          </cell>
        </row>
        <row r="7690">
          <cell r="A7690">
            <v>102047</v>
          </cell>
          <cell r="B7690">
            <v>0</v>
          </cell>
          <cell r="C7690" t="str">
            <v>4|2|350</v>
          </cell>
          <cell r="D7690" t="str">
            <v>精英副本达到940星</v>
          </cell>
          <cell r="E7690" t="str">
            <v>4|2|350|1</v>
          </cell>
        </row>
        <row r="7691">
          <cell r="A7691">
            <v>102048</v>
          </cell>
          <cell r="B7691">
            <v>0</v>
          </cell>
          <cell r="C7691" t="str">
            <v>4|2|350</v>
          </cell>
          <cell r="D7691" t="str">
            <v>精英副本达到960星</v>
          </cell>
          <cell r="E7691" t="str">
            <v>4|2|350|1</v>
          </cell>
        </row>
        <row r="7692">
          <cell r="A7692">
            <v>102049</v>
          </cell>
          <cell r="B7692">
            <v>0</v>
          </cell>
          <cell r="C7692" t="str">
            <v>4|2|350</v>
          </cell>
          <cell r="D7692" t="str">
            <v>精英副本达到980星</v>
          </cell>
          <cell r="E7692" t="str">
            <v>4|2|350|1</v>
          </cell>
        </row>
        <row r="7693">
          <cell r="A7693">
            <v>102050</v>
          </cell>
          <cell r="B7693">
            <v>0</v>
          </cell>
          <cell r="C7693" t="str">
            <v>4|2|350</v>
          </cell>
          <cell r="D7693" t="str">
            <v>精英副本达到1000星</v>
          </cell>
          <cell r="E7693" t="str">
            <v>4|2|350|1</v>
          </cell>
        </row>
        <row r="7694">
          <cell r="A7694">
            <v>102051</v>
          </cell>
          <cell r="B7694">
            <v>0</v>
          </cell>
          <cell r="C7694" t="str">
            <v>4|2|100</v>
          </cell>
          <cell r="D7694" t="str">
            <v>精英副本达到1020星</v>
          </cell>
          <cell r="E7694" t="str">
            <v>4|2|100|1</v>
          </cell>
        </row>
        <row r="7695">
          <cell r="A7695">
            <v>102052</v>
          </cell>
          <cell r="B7695">
            <v>0</v>
          </cell>
          <cell r="C7695" t="str">
            <v>4|2|100</v>
          </cell>
          <cell r="D7695" t="str">
            <v>精英副本达到1040星</v>
          </cell>
          <cell r="E7695" t="str">
            <v>4|2|100|1</v>
          </cell>
        </row>
        <row r="7696">
          <cell r="A7696">
            <v>102053</v>
          </cell>
          <cell r="B7696">
            <v>0</v>
          </cell>
          <cell r="C7696" t="str">
            <v>4|2|100</v>
          </cell>
          <cell r="D7696" t="str">
            <v>精英副本达到1060星</v>
          </cell>
          <cell r="E7696" t="str">
            <v>4|2|100|1</v>
          </cell>
        </row>
        <row r="7697">
          <cell r="A7697">
            <v>102054</v>
          </cell>
          <cell r="B7697">
            <v>0</v>
          </cell>
          <cell r="C7697" t="str">
            <v>4|2|150</v>
          </cell>
          <cell r="D7697" t="str">
            <v>精英副本达到1080星</v>
          </cell>
          <cell r="E7697" t="str">
            <v>4|2|150|1</v>
          </cell>
        </row>
        <row r="7698">
          <cell r="A7698">
            <v>102055</v>
          </cell>
          <cell r="B7698">
            <v>0</v>
          </cell>
          <cell r="C7698" t="str">
            <v>4|2|150</v>
          </cell>
          <cell r="D7698" t="str">
            <v>精英副本达到1100星</v>
          </cell>
          <cell r="E7698" t="str">
            <v>4|2|150|1</v>
          </cell>
        </row>
        <row r="7699">
          <cell r="A7699">
            <v>102056</v>
          </cell>
          <cell r="B7699">
            <v>0</v>
          </cell>
          <cell r="C7699" t="str">
            <v>4|2|150</v>
          </cell>
          <cell r="D7699" t="str">
            <v>精英副本达到1120星</v>
          </cell>
          <cell r="E7699" t="str">
            <v>4|2|150|1</v>
          </cell>
        </row>
        <row r="7700">
          <cell r="A7700">
            <v>102057</v>
          </cell>
          <cell r="B7700">
            <v>0</v>
          </cell>
          <cell r="C7700" t="str">
            <v>4|2|150</v>
          </cell>
          <cell r="D7700" t="str">
            <v>精英副本达到1140星</v>
          </cell>
          <cell r="E7700" t="str">
            <v>4|2|150|1</v>
          </cell>
        </row>
        <row r="7701">
          <cell r="A7701">
            <v>102058</v>
          </cell>
          <cell r="B7701">
            <v>0</v>
          </cell>
          <cell r="C7701" t="str">
            <v>4|2|150</v>
          </cell>
          <cell r="D7701" t="str">
            <v>精英副本达到1160星</v>
          </cell>
          <cell r="E7701" t="str">
            <v>4|2|150|1</v>
          </cell>
        </row>
        <row r="7702">
          <cell r="A7702">
            <v>102059</v>
          </cell>
          <cell r="B7702">
            <v>0</v>
          </cell>
          <cell r="C7702" t="str">
            <v>4|2|150</v>
          </cell>
          <cell r="D7702" t="str">
            <v>精英副本达到1180星</v>
          </cell>
          <cell r="E7702" t="str">
            <v>4|2|150|1</v>
          </cell>
        </row>
        <row r="7703">
          <cell r="A7703">
            <v>102060</v>
          </cell>
          <cell r="B7703">
            <v>0</v>
          </cell>
          <cell r="C7703" t="str">
            <v>4|2|150</v>
          </cell>
          <cell r="D7703" t="str">
            <v>精英副本达到1200星</v>
          </cell>
          <cell r="E7703" t="str">
            <v>4|2|150|1</v>
          </cell>
        </row>
        <row r="7704">
          <cell r="A7704">
            <v>102061</v>
          </cell>
          <cell r="B7704">
            <v>0</v>
          </cell>
          <cell r="C7704" t="str">
            <v>4|2|150</v>
          </cell>
          <cell r="D7704" t="str">
            <v>精英副本达到1220星</v>
          </cell>
          <cell r="E7704" t="str">
            <v>4|2|150|1</v>
          </cell>
        </row>
        <row r="7705">
          <cell r="A7705">
            <v>102062</v>
          </cell>
          <cell r="B7705">
            <v>0</v>
          </cell>
          <cell r="C7705" t="str">
            <v>4|2|150</v>
          </cell>
          <cell r="D7705" t="str">
            <v>精英副本达到1240星</v>
          </cell>
          <cell r="E7705" t="str">
            <v>4|2|150|1</v>
          </cell>
        </row>
        <row r="7706">
          <cell r="A7706">
            <v>102063</v>
          </cell>
          <cell r="B7706">
            <v>0</v>
          </cell>
          <cell r="C7706" t="str">
            <v>4|2|150</v>
          </cell>
          <cell r="D7706" t="str">
            <v>精英副本达到1260星</v>
          </cell>
          <cell r="E7706" t="str">
            <v>4|2|150|1</v>
          </cell>
        </row>
        <row r="7707">
          <cell r="A7707">
            <v>102064</v>
          </cell>
          <cell r="B7707">
            <v>0</v>
          </cell>
          <cell r="C7707" t="str">
            <v>4|2|150</v>
          </cell>
          <cell r="D7707" t="str">
            <v>精英副本达到1280星</v>
          </cell>
          <cell r="E7707" t="str">
            <v>4|2|150|1</v>
          </cell>
        </row>
        <row r="7708">
          <cell r="A7708">
            <v>102065</v>
          </cell>
          <cell r="B7708">
            <v>0</v>
          </cell>
          <cell r="C7708" t="str">
            <v>4|2|150</v>
          </cell>
          <cell r="D7708" t="str">
            <v>精英副本达到1300星</v>
          </cell>
          <cell r="E7708" t="str">
            <v>4|2|150|1</v>
          </cell>
        </row>
        <row r="7709">
          <cell r="A7709">
            <v>102066</v>
          </cell>
          <cell r="B7709">
            <v>0</v>
          </cell>
          <cell r="C7709" t="str">
            <v>4|2|150</v>
          </cell>
          <cell r="D7709" t="str">
            <v>精英副本达到1320星</v>
          </cell>
          <cell r="E7709" t="str">
            <v>4|2|150|1</v>
          </cell>
        </row>
        <row r="7710">
          <cell r="A7710">
            <v>102067</v>
          </cell>
          <cell r="B7710">
            <v>0</v>
          </cell>
          <cell r="C7710" t="str">
            <v>4|2|200</v>
          </cell>
          <cell r="D7710" t="str">
            <v>精英副本达到1340星</v>
          </cell>
          <cell r="E7710" t="str">
            <v>4|2|200|1</v>
          </cell>
        </row>
        <row r="7711">
          <cell r="A7711">
            <v>102068</v>
          </cell>
          <cell r="B7711">
            <v>0</v>
          </cell>
          <cell r="C7711" t="str">
            <v>4|2|200</v>
          </cell>
          <cell r="D7711" t="str">
            <v>精英副本达到1360星</v>
          </cell>
          <cell r="E7711" t="str">
            <v>4|2|200|1</v>
          </cell>
        </row>
        <row r="7712">
          <cell r="A7712">
            <v>102069</v>
          </cell>
          <cell r="B7712">
            <v>0</v>
          </cell>
          <cell r="C7712" t="str">
            <v>4|2|200</v>
          </cell>
          <cell r="D7712" t="str">
            <v>精英副本达到1380星</v>
          </cell>
          <cell r="E7712" t="str">
            <v>4|2|200|1</v>
          </cell>
        </row>
        <row r="7713">
          <cell r="A7713">
            <v>102070</v>
          </cell>
          <cell r="B7713">
            <v>0</v>
          </cell>
          <cell r="C7713" t="str">
            <v>4|2|200</v>
          </cell>
          <cell r="D7713" t="str">
            <v>精英副本达到1400星</v>
          </cell>
          <cell r="E7713" t="str">
            <v>4|2|200|1</v>
          </cell>
        </row>
        <row r="7714">
          <cell r="A7714">
            <v>102071</v>
          </cell>
          <cell r="B7714">
            <v>0</v>
          </cell>
          <cell r="C7714" t="str">
            <v>4|2|200</v>
          </cell>
          <cell r="D7714" t="str">
            <v>精英副本达到1420星</v>
          </cell>
          <cell r="E7714" t="str">
            <v>4|2|200|1</v>
          </cell>
        </row>
        <row r="7715">
          <cell r="A7715">
            <v>102072</v>
          </cell>
          <cell r="B7715">
            <v>0</v>
          </cell>
          <cell r="C7715" t="str">
            <v>4|2|250</v>
          </cell>
          <cell r="D7715" t="str">
            <v>精英副本达到1440星</v>
          </cell>
          <cell r="E7715" t="str">
            <v>4|2|250|1</v>
          </cell>
        </row>
        <row r="7716">
          <cell r="A7716">
            <v>102073</v>
          </cell>
          <cell r="B7716">
            <v>0</v>
          </cell>
          <cell r="C7716" t="str">
            <v>4|2|250</v>
          </cell>
          <cell r="D7716" t="str">
            <v>精英副本达到1460星</v>
          </cell>
          <cell r="E7716" t="str">
            <v>4|2|250|1</v>
          </cell>
        </row>
        <row r="7717">
          <cell r="A7717">
            <v>102074</v>
          </cell>
          <cell r="B7717">
            <v>0</v>
          </cell>
          <cell r="C7717" t="str">
            <v>4|2|250</v>
          </cell>
          <cell r="D7717" t="str">
            <v>精英副本达到1480星</v>
          </cell>
          <cell r="E7717" t="str">
            <v>4|2|250|1</v>
          </cell>
        </row>
        <row r="7718">
          <cell r="A7718">
            <v>102075</v>
          </cell>
          <cell r="B7718">
            <v>0</v>
          </cell>
          <cell r="C7718" t="str">
            <v>4|2|250</v>
          </cell>
          <cell r="D7718" t="str">
            <v>精英副本达到1500星</v>
          </cell>
          <cell r="E7718" t="str">
            <v>4|2|250|1</v>
          </cell>
        </row>
        <row r="7719">
          <cell r="A7719">
            <v>102076</v>
          </cell>
          <cell r="B7719">
            <v>0</v>
          </cell>
          <cell r="C7719" t="str">
            <v>4|2|250</v>
          </cell>
          <cell r="D7719" t="str">
            <v>精英副本达到1520星</v>
          </cell>
          <cell r="E7719" t="str">
            <v>4|2|250|1</v>
          </cell>
        </row>
        <row r="7720">
          <cell r="A7720">
            <v>102077</v>
          </cell>
          <cell r="B7720">
            <v>0</v>
          </cell>
          <cell r="C7720" t="str">
            <v>4|2|250</v>
          </cell>
          <cell r="D7720" t="str">
            <v>精英副本达到1540星</v>
          </cell>
          <cell r="E7720" t="str">
            <v>4|2|250|1</v>
          </cell>
        </row>
        <row r="7721">
          <cell r="A7721">
            <v>102078</v>
          </cell>
          <cell r="B7721">
            <v>0</v>
          </cell>
          <cell r="C7721" t="str">
            <v>4|2|300</v>
          </cell>
          <cell r="D7721" t="str">
            <v>精英副本达到1560星</v>
          </cell>
          <cell r="E7721" t="str">
            <v>4|2|300|1</v>
          </cell>
        </row>
        <row r="7722">
          <cell r="A7722">
            <v>102079</v>
          </cell>
          <cell r="B7722">
            <v>0</v>
          </cell>
          <cell r="C7722" t="str">
            <v>4|2|300</v>
          </cell>
          <cell r="D7722" t="str">
            <v>精英副本达到1580星</v>
          </cell>
          <cell r="E7722" t="str">
            <v>4|2|300|1</v>
          </cell>
        </row>
        <row r="7723">
          <cell r="A7723">
            <v>102080</v>
          </cell>
          <cell r="B7723">
            <v>0</v>
          </cell>
          <cell r="C7723" t="str">
            <v>4|2|300</v>
          </cell>
          <cell r="D7723" t="str">
            <v>精英副本达到1600星</v>
          </cell>
          <cell r="E7723" t="str">
            <v>4|2|300|1</v>
          </cell>
        </row>
        <row r="7724">
          <cell r="A7724">
            <v>102501</v>
          </cell>
          <cell r="B7724">
            <v>0</v>
          </cell>
          <cell r="C7724" t="str">
            <v>4|2|100</v>
          </cell>
          <cell r="D7724" t="str">
            <v>队伍战斗力达到10000</v>
          </cell>
          <cell r="E7724" t="str">
            <v>4|2|100|1</v>
          </cell>
        </row>
        <row r="7725">
          <cell r="A7725">
            <v>102502</v>
          </cell>
          <cell r="B7725">
            <v>0</v>
          </cell>
          <cell r="C7725" t="str">
            <v>4|2|100</v>
          </cell>
          <cell r="D7725" t="str">
            <v>队伍战斗力达到20000</v>
          </cell>
          <cell r="E7725" t="str">
            <v>4|2|100|1</v>
          </cell>
        </row>
        <row r="7726">
          <cell r="A7726">
            <v>102503</v>
          </cell>
          <cell r="B7726">
            <v>0</v>
          </cell>
          <cell r="C7726" t="str">
            <v>4|2|100</v>
          </cell>
          <cell r="D7726" t="str">
            <v>队伍战斗力达到30000</v>
          </cell>
          <cell r="E7726" t="str">
            <v>4|2|100|1</v>
          </cell>
        </row>
        <row r="7727">
          <cell r="A7727">
            <v>102504</v>
          </cell>
          <cell r="B7727">
            <v>0</v>
          </cell>
          <cell r="C7727" t="str">
            <v>4|2|150</v>
          </cell>
          <cell r="D7727" t="str">
            <v>队伍战斗力达到35000</v>
          </cell>
          <cell r="E7727" t="str">
            <v>4|2|150|1</v>
          </cell>
        </row>
        <row r="7728">
          <cell r="A7728">
            <v>102505</v>
          </cell>
          <cell r="B7728">
            <v>0</v>
          </cell>
          <cell r="C7728" t="str">
            <v>4|2|150</v>
          </cell>
          <cell r="D7728" t="str">
            <v>队伍战斗力达到40000</v>
          </cell>
          <cell r="E7728" t="str">
            <v>4|2|150|1</v>
          </cell>
        </row>
        <row r="7729">
          <cell r="A7729">
            <v>102506</v>
          </cell>
          <cell r="B7729">
            <v>0</v>
          </cell>
          <cell r="C7729" t="str">
            <v>4|2|150</v>
          </cell>
          <cell r="D7729" t="str">
            <v>队伍战斗力达到45000</v>
          </cell>
          <cell r="E7729" t="str">
            <v>4|2|150|1</v>
          </cell>
        </row>
        <row r="7730">
          <cell r="A7730">
            <v>102507</v>
          </cell>
          <cell r="B7730">
            <v>0</v>
          </cell>
          <cell r="C7730" t="str">
            <v>4|2|150</v>
          </cell>
          <cell r="D7730" t="str">
            <v>队伍战斗力达到50000</v>
          </cell>
          <cell r="E7730" t="str">
            <v>4|2|150|1</v>
          </cell>
        </row>
        <row r="7731">
          <cell r="A7731">
            <v>102508</v>
          </cell>
          <cell r="B7731">
            <v>0</v>
          </cell>
          <cell r="C7731" t="str">
            <v>4|2|150</v>
          </cell>
          <cell r="D7731" t="str">
            <v>队伍战斗力达到55000</v>
          </cell>
          <cell r="E7731" t="str">
            <v>4|2|150|1</v>
          </cell>
        </row>
        <row r="7732">
          <cell r="A7732">
            <v>102509</v>
          </cell>
          <cell r="B7732">
            <v>0</v>
          </cell>
          <cell r="C7732" t="str">
            <v>4|2|150</v>
          </cell>
          <cell r="D7732" t="str">
            <v>队伍战斗力达到60000</v>
          </cell>
          <cell r="E7732" t="str">
            <v>4|2|150|1</v>
          </cell>
        </row>
        <row r="7733">
          <cell r="A7733">
            <v>102510</v>
          </cell>
          <cell r="B7733">
            <v>0</v>
          </cell>
          <cell r="C7733" t="str">
            <v>4|2|150</v>
          </cell>
          <cell r="D7733" t="str">
            <v>队伍战斗力达到65000</v>
          </cell>
          <cell r="E7733" t="str">
            <v>4|2|150|1</v>
          </cell>
        </row>
        <row r="7734">
          <cell r="A7734">
            <v>102511</v>
          </cell>
          <cell r="B7734">
            <v>0</v>
          </cell>
          <cell r="C7734" t="str">
            <v>4|2|150</v>
          </cell>
          <cell r="D7734" t="str">
            <v>队伍战斗力达到70000</v>
          </cell>
          <cell r="E7734" t="str">
            <v>4|2|150|1</v>
          </cell>
        </row>
        <row r="7735">
          <cell r="A7735">
            <v>102512</v>
          </cell>
          <cell r="B7735">
            <v>0</v>
          </cell>
          <cell r="C7735" t="str">
            <v>4|2|150</v>
          </cell>
          <cell r="D7735" t="str">
            <v>队伍战斗力达到75000</v>
          </cell>
          <cell r="E7735" t="str">
            <v>4|2|150|1</v>
          </cell>
        </row>
        <row r="7736">
          <cell r="A7736">
            <v>102513</v>
          </cell>
          <cell r="B7736">
            <v>0</v>
          </cell>
          <cell r="C7736" t="str">
            <v>4|2|150</v>
          </cell>
          <cell r="D7736" t="str">
            <v>队伍战斗力达到80000</v>
          </cell>
          <cell r="E7736" t="str">
            <v>4|2|150|1</v>
          </cell>
        </row>
        <row r="7737">
          <cell r="A7737">
            <v>102514</v>
          </cell>
          <cell r="B7737">
            <v>0</v>
          </cell>
          <cell r="C7737" t="str">
            <v>4|2|150</v>
          </cell>
          <cell r="D7737" t="str">
            <v>队伍战斗力达到85000</v>
          </cell>
          <cell r="E7737" t="str">
            <v>4|2|150|1</v>
          </cell>
        </row>
        <row r="7738">
          <cell r="A7738">
            <v>102515</v>
          </cell>
          <cell r="B7738">
            <v>0</v>
          </cell>
          <cell r="C7738" t="str">
            <v>4|2|150</v>
          </cell>
          <cell r="D7738" t="str">
            <v>队伍战斗力达到90000</v>
          </cell>
          <cell r="E7738" t="str">
            <v>4|2|150|1</v>
          </cell>
        </row>
        <row r="7739">
          <cell r="A7739">
            <v>102516</v>
          </cell>
          <cell r="B7739">
            <v>0</v>
          </cell>
          <cell r="C7739" t="str">
            <v>4|2|150</v>
          </cell>
          <cell r="D7739" t="str">
            <v>队伍战斗力达到95000</v>
          </cell>
          <cell r="E7739" t="str">
            <v>4|2|150|1</v>
          </cell>
        </row>
        <row r="7740">
          <cell r="A7740">
            <v>102517</v>
          </cell>
          <cell r="B7740">
            <v>0</v>
          </cell>
          <cell r="C7740" t="str">
            <v>4|2|200</v>
          </cell>
          <cell r="D7740" t="str">
            <v>队伍战斗力达到100000</v>
          </cell>
          <cell r="E7740" t="str">
            <v>4|2|200|1</v>
          </cell>
        </row>
        <row r="7741">
          <cell r="A7741">
            <v>102518</v>
          </cell>
          <cell r="B7741">
            <v>0</v>
          </cell>
          <cell r="C7741" t="str">
            <v>4|2|200</v>
          </cell>
          <cell r="D7741" t="str">
            <v>队伍战斗力达到150000</v>
          </cell>
          <cell r="E7741" t="str">
            <v>4|2|200|1</v>
          </cell>
        </row>
        <row r="7742">
          <cell r="A7742">
            <v>102519</v>
          </cell>
          <cell r="B7742">
            <v>0</v>
          </cell>
          <cell r="C7742" t="str">
            <v>4|2|200</v>
          </cell>
          <cell r="D7742" t="str">
            <v>队伍战斗力达到200000</v>
          </cell>
          <cell r="E7742" t="str">
            <v>4|2|200|1</v>
          </cell>
        </row>
        <row r="7743">
          <cell r="A7743">
            <v>102520</v>
          </cell>
          <cell r="B7743">
            <v>0</v>
          </cell>
          <cell r="C7743" t="str">
            <v>4|2|200</v>
          </cell>
          <cell r="D7743" t="str">
            <v>队伍战斗力达到250000</v>
          </cell>
          <cell r="E7743" t="str">
            <v>4|2|200|1</v>
          </cell>
        </row>
        <row r="7744">
          <cell r="A7744">
            <v>102521</v>
          </cell>
          <cell r="B7744">
            <v>0</v>
          </cell>
          <cell r="C7744" t="str">
            <v>4|2|200</v>
          </cell>
          <cell r="D7744" t="str">
            <v>队伍战斗力达到300000</v>
          </cell>
          <cell r="E7744" t="str">
            <v>4|2|200|1</v>
          </cell>
        </row>
        <row r="7745">
          <cell r="A7745">
            <v>102522</v>
          </cell>
          <cell r="B7745">
            <v>0</v>
          </cell>
          <cell r="C7745" t="str">
            <v>4|2|250</v>
          </cell>
          <cell r="D7745" t="str">
            <v>队伍战斗力达到350000</v>
          </cell>
          <cell r="E7745" t="str">
            <v>4|2|250|1</v>
          </cell>
        </row>
        <row r="7746">
          <cell r="A7746">
            <v>102523</v>
          </cell>
          <cell r="B7746">
            <v>0</v>
          </cell>
          <cell r="C7746" t="str">
            <v>4|2|250</v>
          </cell>
          <cell r="D7746" t="str">
            <v>队伍战斗力达到400000</v>
          </cell>
          <cell r="E7746" t="str">
            <v>4|2|250|1</v>
          </cell>
        </row>
        <row r="7747">
          <cell r="A7747">
            <v>102524</v>
          </cell>
          <cell r="B7747">
            <v>0</v>
          </cell>
          <cell r="C7747" t="str">
            <v>4|2|250</v>
          </cell>
          <cell r="D7747" t="str">
            <v>队伍战斗力达到450000</v>
          </cell>
          <cell r="E7747" t="str">
            <v>4|2|250|1</v>
          </cell>
        </row>
        <row r="7748">
          <cell r="A7748">
            <v>102525</v>
          </cell>
          <cell r="B7748">
            <v>0</v>
          </cell>
          <cell r="C7748" t="str">
            <v>4|2|250</v>
          </cell>
          <cell r="D7748" t="str">
            <v>队伍战斗力达到500000</v>
          </cell>
          <cell r="E7748" t="str">
            <v>4|2|250|1</v>
          </cell>
        </row>
        <row r="7749">
          <cell r="A7749">
            <v>102526</v>
          </cell>
          <cell r="B7749">
            <v>0</v>
          </cell>
          <cell r="C7749" t="str">
            <v>4|2|250</v>
          </cell>
          <cell r="D7749" t="str">
            <v>队伍战斗力达到550000</v>
          </cell>
          <cell r="E7749" t="str">
            <v>4|2|250|1</v>
          </cell>
        </row>
        <row r="7750">
          <cell r="A7750">
            <v>102527</v>
          </cell>
          <cell r="B7750">
            <v>0</v>
          </cell>
          <cell r="C7750" t="str">
            <v>4|2|250</v>
          </cell>
          <cell r="D7750" t="str">
            <v>队伍战斗力达到600000</v>
          </cell>
          <cell r="E7750" t="str">
            <v>4|2|250|1</v>
          </cell>
        </row>
        <row r="7751">
          <cell r="A7751">
            <v>102528</v>
          </cell>
          <cell r="B7751">
            <v>0</v>
          </cell>
          <cell r="C7751" t="str">
            <v>4|2|300</v>
          </cell>
          <cell r="D7751" t="str">
            <v>队伍战斗力达到650000</v>
          </cell>
          <cell r="E7751" t="str">
            <v>4|2|300|1</v>
          </cell>
        </row>
        <row r="7752">
          <cell r="A7752">
            <v>102529</v>
          </cell>
          <cell r="B7752">
            <v>0</v>
          </cell>
          <cell r="C7752" t="str">
            <v>4|2|300</v>
          </cell>
          <cell r="D7752" t="str">
            <v>队伍战斗力达到700000</v>
          </cell>
          <cell r="E7752" t="str">
            <v>4|2|300|1</v>
          </cell>
        </row>
        <row r="7753">
          <cell r="A7753">
            <v>102530</v>
          </cell>
          <cell r="B7753">
            <v>0</v>
          </cell>
          <cell r="C7753" t="str">
            <v>4|2|300</v>
          </cell>
          <cell r="D7753" t="str">
            <v>队伍战斗力达到750000</v>
          </cell>
          <cell r="E7753" t="str">
            <v>4|2|300|1</v>
          </cell>
        </row>
        <row r="7754">
          <cell r="A7754">
            <v>102531</v>
          </cell>
          <cell r="B7754">
            <v>0</v>
          </cell>
          <cell r="C7754" t="str">
            <v>4|2|300</v>
          </cell>
          <cell r="D7754" t="str">
            <v>队伍战斗力达到800000</v>
          </cell>
          <cell r="E7754" t="str">
            <v>4|2|300|1</v>
          </cell>
        </row>
        <row r="7755">
          <cell r="A7755">
            <v>102532</v>
          </cell>
          <cell r="B7755">
            <v>0</v>
          </cell>
          <cell r="C7755" t="str">
            <v>4|2|300</v>
          </cell>
          <cell r="D7755" t="str">
            <v>队伍战斗力达到850000</v>
          </cell>
          <cell r="E7755" t="str">
            <v>4|2|300|1</v>
          </cell>
        </row>
        <row r="7756">
          <cell r="A7756">
            <v>102533</v>
          </cell>
          <cell r="B7756">
            <v>0</v>
          </cell>
          <cell r="C7756" t="str">
            <v>4|2|300</v>
          </cell>
          <cell r="D7756" t="str">
            <v>队伍战斗力达到900000</v>
          </cell>
          <cell r="E7756" t="str">
            <v>4|2|300|1</v>
          </cell>
        </row>
        <row r="7757">
          <cell r="A7757">
            <v>102534</v>
          </cell>
          <cell r="B7757">
            <v>0</v>
          </cell>
          <cell r="C7757" t="str">
            <v>4|2|300</v>
          </cell>
          <cell r="D7757" t="str">
            <v>队伍战斗力达到950000</v>
          </cell>
          <cell r="E7757" t="str">
            <v>4|2|300|1</v>
          </cell>
        </row>
        <row r="7758">
          <cell r="A7758">
            <v>102535</v>
          </cell>
          <cell r="B7758">
            <v>0</v>
          </cell>
          <cell r="C7758" t="str">
            <v>4|2|300</v>
          </cell>
          <cell r="D7758" t="str">
            <v>队伍战斗力达到1000000</v>
          </cell>
          <cell r="E7758" t="str">
            <v>4|2|300|1</v>
          </cell>
        </row>
        <row r="7759">
          <cell r="A7759">
            <v>102536</v>
          </cell>
          <cell r="B7759">
            <v>0</v>
          </cell>
          <cell r="C7759" t="str">
            <v>4|2|300</v>
          </cell>
          <cell r="D7759" t="str">
            <v>队伍战斗力达到1100000</v>
          </cell>
          <cell r="E7759" t="str">
            <v>4|2|300|1</v>
          </cell>
        </row>
        <row r="7760">
          <cell r="A7760">
            <v>102537</v>
          </cell>
          <cell r="B7760">
            <v>0</v>
          </cell>
          <cell r="C7760" t="str">
            <v>4|2|350</v>
          </cell>
          <cell r="D7760" t="str">
            <v>队伍战斗力达到1200000</v>
          </cell>
          <cell r="E7760" t="str">
            <v>4|2|350|1</v>
          </cell>
        </row>
        <row r="7761">
          <cell r="A7761">
            <v>102538</v>
          </cell>
          <cell r="B7761">
            <v>0</v>
          </cell>
          <cell r="C7761" t="str">
            <v>4|2|350</v>
          </cell>
          <cell r="D7761" t="str">
            <v>队伍战斗力达到1300000</v>
          </cell>
          <cell r="E7761" t="str">
            <v>4|2|350|1</v>
          </cell>
        </row>
        <row r="7762">
          <cell r="A7762">
            <v>102539</v>
          </cell>
          <cell r="B7762">
            <v>0</v>
          </cell>
          <cell r="C7762" t="str">
            <v>4|2|350</v>
          </cell>
          <cell r="D7762" t="str">
            <v>队伍战斗力达到1400000</v>
          </cell>
          <cell r="E7762" t="str">
            <v>4|2|350|1</v>
          </cell>
        </row>
        <row r="7763">
          <cell r="A7763">
            <v>102540</v>
          </cell>
          <cell r="B7763">
            <v>0</v>
          </cell>
          <cell r="C7763" t="str">
            <v>4|2|350</v>
          </cell>
          <cell r="D7763" t="str">
            <v>队伍战斗力达到1500000</v>
          </cell>
          <cell r="E7763" t="str">
            <v>4|2|350|1</v>
          </cell>
        </row>
        <row r="7764">
          <cell r="A7764">
            <v>102541</v>
          </cell>
          <cell r="B7764">
            <v>0</v>
          </cell>
          <cell r="C7764" t="str">
            <v>4|2|350</v>
          </cell>
          <cell r="D7764" t="str">
            <v>队伍战斗力达到1600000</v>
          </cell>
          <cell r="E7764" t="str">
            <v>4|2|350|1</v>
          </cell>
        </row>
        <row r="7765">
          <cell r="A7765">
            <v>102542</v>
          </cell>
          <cell r="B7765">
            <v>0</v>
          </cell>
          <cell r="C7765" t="str">
            <v>4|2|350</v>
          </cell>
          <cell r="D7765" t="str">
            <v>队伍战斗力达到1700000</v>
          </cell>
          <cell r="E7765" t="str">
            <v>4|2|350|1</v>
          </cell>
        </row>
        <row r="7766">
          <cell r="A7766">
            <v>102543</v>
          </cell>
          <cell r="B7766">
            <v>0</v>
          </cell>
          <cell r="C7766" t="str">
            <v>4|2|400</v>
          </cell>
          <cell r="D7766" t="str">
            <v>队伍战斗力达到1800000</v>
          </cell>
          <cell r="E7766" t="str">
            <v>4|2|400|1</v>
          </cell>
        </row>
        <row r="7767">
          <cell r="A7767">
            <v>102544</v>
          </cell>
          <cell r="B7767">
            <v>0</v>
          </cell>
          <cell r="C7767" t="str">
            <v>4|2|400</v>
          </cell>
          <cell r="D7767" t="str">
            <v>队伍战斗力达到1900000</v>
          </cell>
          <cell r="E7767" t="str">
            <v>4|2|400|1</v>
          </cell>
        </row>
        <row r="7768">
          <cell r="A7768">
            <v>102545</v>
          </cell>
          <cell r="B7768">
            <v>0</v>
          </cell>
          <cell r="C7768" t="str">
            <v>4|2|400</v>
          </cell>
          <cell r="D7768" t="str">
            <v>队伍战斗力达到2000000</v>
          </cell>
          <cell r="E7768" t="str">
            <v>4|2|400|1</v>
          </cell>
        </row>
        <row r="7769">
          <cell r="A7769">
            <v>102546</v>
          </cell>
          <cell r="B7769">
            <v>0</v>
          </cell>
          <cell r="C7769" t="str">
            <v>4|2|400</v>
          </cell>
          <cell r="D7769" t="str">
            <v>队伍战斗力达到2100000</v>
          </cell>
          <cell r="E7769" t="str">
            <v>4|2|400|1</v>
          </cell>
        </row>
        <row r="7770">
          <cell r="A7770">
            <v>102547</v>
          </cell>
          <cell r="B7770">
            <v>0</v>
          </cell>
          <cell r="C7770" t="str">
            <v>4|2|400</v>
          </cell>
          <cell r="D7770" t="str">
            <v>队伍战斗力达到2200000</v>
          </cell>
          <cell r="E7770" t="str">
            <v>4|2|400|1</v>
          </cell>
        </row>
        <row r="7771">
          <cell r="A7771">
            <v>102548</v>
          </cell>
          <cell r="B7771">
            <v>0</v>
          </cell>
          <cell r="C7771" t="str">
            <v>4|2|400</v>
          </cell>
          <cell r="D7771" t="str">
            <v>队伍战斗力达到2300000</v>
          </cell>
          <cell r="E7771" t="str">
            <v>4|2|400|1</v>
          </cell>
        </row>
        <row r="7772">
          <cell r="A7772">
            <v>102549</v>
          </cell>
          <cell r="B7772">
            <v>0</v>
          </cell>
          <cell r="C7772" t="str">
            <v>4|2|400</v>
          </cell>
          <cell r="D7772" t="str">
            <v>队伍战斗力达到2400000</v>
          </cell>
          <cell r="E7772" t="str">
            <v>4|2|400|1</v>
          </cell>
        </row>
        <row r="7773">
          <cell r="A7773">
            <v>102550</v>
          </cell>
          <cell r="B7773">
            <v>0</v>
          </cell>
          <cell r="C7773" t="str">
            <v>4|2|400</v>
          </cell>
          <cell r="D7773" t="str">
            <v>队伍战斗力达到2500000</v>
          </cell>
          <cell r="E7773" t="str">
            <v>4|2|400|1</v>
          </cell>
        </row>
        <row r="7774">
          <cell r="A7774">
            <v>102551</v>
          </cell>
          <cell r="B7774">
            <v>0</v>
          </cell>
          <cell r="C7774" t="str">
            <v>4|2|400</v>
          </cell>
          <cell r="D7774" t="str">
            <v>队伍战斗力达到2600000</v>
          </cell>
          <cell r="E7774" t="str">
            <v>4|2|400|1</v>
          </cell>
        </row>
        <row r="7775">
          <cell r="A7775">
            <v>102552</v>
          </cell>
          <cell r="B7775">
            <v>0</v>
          </cell>
          <cell r="C7775" t="str">
            <v>4|2|400</v>
          </cell>
          <cell r="D7775" t="str">
            <v>队伍战斗力达到2700000</v>
          </cell>
          <cell r="E7775" t="str">
            <v>4|2|400|1</v>
          </cell>
        </row>
        <row r="7776">
          <cell r="A7776">
            <v>102553</v>
          </cell>
          <cell r="B7776">
            <v>0</v>
          </cell>
          <cell r="C7776" t="str">
            <v>4|2|450</v>
          </cell>
          <cell r="D7776" t="str">
            <v>队伍战斗力达到2800000</v>
          </cell>
          <cell r="E7776" t="str">
            <v>4|2|450|1</v>
          </cell>
        </row>
        <row r="7777">
          <cell r="A7777">
            <v>102554</v>
          </cell>
          <cell r="B7777">
            <v>0</v>
          </cell>
          <cell r="C7777" t="str">
            <v>4|2|450</v>
          </cell>
          <cell r="D7777" t="str">
            <v>队伍战斗力达到2900000</v>
          </cell>
          <cell r="E7777" t="str">
            <v>4|2|450|1</v>
          </cell>
        </row>
        <row r="7778">
          <cell r="A7778">
            <v>102555</v>
          </cell>
          <cell r="B7778">
            <v>0</v>
          </cell>
          <cell r="C7778" t="str">
            <v>4|2|450</v>
          </cell>
          <cell r="D7778" t="str">
            <v>队伍战斗力达到3000000</v>
          </cell>
          <cell r="E7778" t="str">
            <v>4|2|450|1</v>
          </cell>
        </row>
        <row r="7779">
          <cell r="A7779">
            <v>102556</v>
          </cell>
          <cell r="B7779">
            <v>0</v>
          </cell>
          <cell r="C7779" t="str">
            <v>4|2|450</v>
          </cell>
          <cell r="D7779" t="str">
            <v>队伍战斗力达到3100000</v>
          </cell>
          <cell r="E7779" t="str">
            <v>4|2|450|1</v>
          </cell>
        </row>
        <row r="7780">
          <cell r="A7780">
            <v>102557</v>
          </cell>
          <cell r="B7780">
            <v>0</v>
          </cell>
          <cell r="C7780" t="str">
            <v>4|2|450</v>
          </cell>
          <cell r="D7780" t="str">
            <v>队伍战斗力达到3200000</v>
          </cell>
          <cell r="E7780" t="str">
            <v>4|2|450|1</v>
          </cell>
        </row>
        <row r="7781">
          <cell r="A7781">
            <v>102558</v>
          </cell>
          <cell r="B7781">
            <v>0</v>
          </cell>
          <cell r="C7781" t="str">
            <v>4|2|450</v>
          </cell>
          <cell r="D7781" t="str">
            <v>队伍战斗力达到3300000</v>
          </cell>
          <cell r="E7781" t="str">
            <v>4|2|450|1</v>
          </cell>
        </row>
        <row r="7782">
          <cell r="A7782">
            <v>102559</v>
          </cell>
          <cell r="B7782">
            <v>0</v>
          </cell>
          <cell r="C7782" t="str">
            <v>4|2|450</v>
          </cell>
          <cell r="D7782" t="str">
            <v>队伍战斗力达到3400000</v>
          </cell>
          <cell r="E7782" t="str">
            <v>4|2|450|1</v>
          </cell>
        </row>
        <row r="7783">
          <cell r="A7783">
            <v>102560</v>
          </cell>
          <cell r="B7783">
            <v>0</v>
          </cell>
          <cell r="C7783" t="str">
            <v>4|2|450</v>
          </cell>
          <cell r="D7783" t="str">
            <v>队伍战斗力达到3500000</v>
          </cell>
          <cell r="E7783" t="str">
            <v>4|2|450|1</v>
          </cell>
        </row>
        <row r="7784">
          <cell r="A7784">
            <v>103001</v>
          </cell>
          <cell r="B7784">
            <v>0</v>
          </cell>
          <cell r="C7784" t="str">
            <v>4|1|100000</v>
          </cell>
          <cell r="D7784" t="str">
            <v>累计登陆2天</v>
          </cell>
          <cell r="E7784" t="str">
            <v>4|1|100000|1</v>
          </cell>
        </row>
        <row r="7785">
          <cell r="A7785">
            <v>103002</v>
          </cell>
          <cell r="B7785">
            <v>0</v>
          </cell>
          <cell r="C7785" t="str">
            <v>4|1|100000</v>
          </cell>
          <cell r="D7785" t="str">
            <v>累计登陆3天</v>
          </cell>
          <cell r="E7785" t="str">
            <v>4|1|100000|1</v>
          </cell>
        </row>
        <row r="7786">
          <cell r="A7786">
            <v>103003</v>
          </cell>
          <cell r="B7786">
            <v>0</v>
          </cell>
          <cell r="C7786" t="str">
            <v>4|1|100000</v>
          </cell>
          <cell r="D7786" t="str">
            <v>累计登陆4天</v>
          </cell>
          <cell r="E7786" t="str">
            <v>4|1|100000|1</v>
          </cell>
        </row>
        <row r="7787">
          <cell r="A7787">
            <v>103004</v>
          </cell>
          <cell r="B7787">
            <v>0</v>
          </cell>
          <cell r="C7787" t="str">
            <v>4|1|100000</v>
          </cell>
          <cell r="D7787" t="str">
            <v>累计登陆5天</v>
          </cell>
          <cell r="E7787" t="str">
            <v>4|1|100000|1</v>
          </cell>
        </row>
        <row r="7788">
          <cell r="A7788">
            <v>103005</v>
          </cell>
          <cell r="B7788">
            <v>0</v>
          </cell>
          <cell r="C7788" t="str">
            <v>4|1|100000</v>
          </cell>
          <cell r="D7788" t="str">
            <v>累计登陆6天</v>
          </cell>
          <cell r="E7788" t="str">
            <v>4|1|100000|1</v>
          </cell>
        </row>
        <row r="7789">
          <cell r="A7789">
            <v>103006</v>
          </cell>
          <cell r="B7789">
            <v>0</v>
          </cell>
          <cell r="C7789" t="str">
            <v>4|1|100000</v>
          </cell>
          <cell r="D7789" t="str">
            <v>累计登陆7天</v>
          </cell>
          <cell r="E7789" t="str">
            <v>4|1|100000|1</v>
          </cell>
        </row>
        <row r="7790">
          <cell r="A7790">
            <v>103007</v>
          </cell>
          <cell r="B7790">
            <v>0</v>
          </cell>
          <cell r="C7790" t="str">
            <v>4|1|100000</v>
          </cell>
          <cell r="D7790" t="str">
            <v>累计登陆8天</v>
          </cell>
          <cell r="E7790" t="str">
            <v>4|1|100000|1</v>
          </cell>
        </row>
        <row r="7791">
          <cell r="A7791">
            <v>103008</v>
          </cell>
          <cell r="B7791">
            <v>0</v>
          </cell>
          <cell r="C7791" t="str">
            <v>4|1|100000</v>
          </cell>
          <cell r="D7791" t="str">
            <v>累计登陆9天</v>
          </cell>
          <cell r="E7791" t="str">
            <v>4|1|100000|1</v>
          </cell>
        </row>
        <row r="7792">
          <cell r="A7792">
            <v>103009</v>
          </cell>
          <cell r="B7792">
            <v>0</v>
          </cell>
          <cell r="C7792" t="str">
            <v>4|1|100000</v>
          </cell>
          <cell r="D7792" t="str">
            <v>累计登陆10天</v>
          </cell>
          <cell r="E7792" t="str">
            <v>4|1|100000|1</v>
          </cell>
        </row>
        <row r="7793">
          <cell r="A7793">
            <v>103010</v>
          </cell>
          <cell r="B7793">
            <v>0</v>
          </cell>
          <cell r="C7793" t="str">
            <v>4|1|100000</v>
          </cell>
          <cell r="D7793" t="str">
            <v>累计登陆11天</v>
          </cell>
          <cell r="E7793" t="str">
            <v>4|1|100000|1</v>
          </cell>
        </row>
        <row r="7794">
          <cell r="A7794">
            <v>103011</v>
          </cell>
          <cell r="B7794">
            <v>0</v>
          </cell>
          <cell r="C7794" t="str">
            <v>4|1|100000</v>
          </cell>
          <cell r="D7794" t="str">
            <v>累计登陆12天</v>
          </cell>
          <cell r="E7794" t="str">
            <v>4|1|100000|1</v>
          </cell>
        </row>
        <row r="7795">
          <cell r="A7795">
            <v>103012</v>
          </cell>
          <cell r="B7795">
            <v>0</v>
          </cell>
          <cell r="C7795" t="str">
            <v>4|1|100000</v>
          </cell>
          <cell r="D7795" t="str">
            <v>累计登陆13天</v>
          </cell>
          <cell r="E7795" t="str">
            <v>4|1|100000|1</v>
          </cell>
        </row>
        <row r="7796">
          <cell r="A7796">
            <v>103013</v>
          </cell>
          <cell r="B7796">
            <v>0</v>
          </cell>
          <cell r="C7796" t="str">
            <v>4|1|100000</v>
          </cell>
          <cell r="D7796" t="str">
            <v>累计登陆14天</v>
          </cell>
          <cell r="E7796" t="str">
            <v>4|1|100000|1</v>
          </cell>
        </row>
        <row r="7797">
          <cell r="A7797">
            <v>103014</v>
          </cell>
          <cell r="B7797">
            <v>0</v>
          </cell>
          <cell r="C7797" t="str">
            <v>4|1|100000</v>
          </cell>
          <cell r="D7797" t="str">
            <v>累计登陆15天</v>
          </cell>
          <cell r="E7797" t="str">
            <v>4|1|100000|1</v>
          </cell>
        </row>
        <row r="7798">
          <cell r="A7798">
            <v>103015</v>
          </cell>
          <cell r="B7798">
            <v>0</v>
          </cell>
          <cell r="C7798" t="str">
            <v>4|1|100000</v>
          </cell>
          <cell r="D7798" t="str">
            <v>累计登陆16天</v>
          </cell>
          <cell r="E7798" t="str">
            <v>4|1|100000|1</v>
          </cell>
        </row>
        <row r="7799">
          <cell r="A7799">
            <v>103016</v>
          </cell>
          <cell r="B7799">
            <v>0</v>
          </cell>
          <cell r="C7799" t="str">
            <v>4|1|100000</v>
          </cell>
          <cell r="D7799" t="str">
            <v>累计登陆17天</v>
          </cell>
          <cell r="E7799" t="str">
            <v>4|1|100000|1</v>
          </cell>
        </row>
        <row r="7800">
          <cell r="A7800">
            <v>103017</v>
          </cell>
          <cell r="B7800">
            <v>0</v>
          </cell>
          <cell r="C7800" t="str">
            <v>4|1|100000</v>
          </cell>
          <cell r="D7800" t="str">
            <v>累计登陆18天</v>
          </cell>
          <cell r="E7800" t="str">
            <v>4|1|100000|1</v>
          </cell>
        </row>
        <row r="7801">
          <cell r="A7801">
            <v>103018</v>
          </cell>
          <cell r="B7801">
            <v>0</v>
          </cell>
          <cell r="C7801" t="str">
            <v>4|1|100000</v>
          </cell>
          <cell r="D7801" t="str">
            <v>累计登陆19天</v>
          </cell>
          <cell r="E7801" t="str">
            <v>4|1|100000|1</v>
          </cell>
        </row>
        <row r="7802">
          <cell r="A7802">
            <v>103019</v>
          </cell>
          <cell r="B7802">
            <v>0</v>
          </cell>
          <cell r="C7802" t="str">
            <v>4|1|100000</v>
          </cell>
          <cell r="D7802" t="str">
            <v>累计登陆20天</v>
          </cell>
          <cell r="E7802" t="str">
            <v>4|1|100000|1</v>
          </cell>
        </row>
        <row r="7803">
          <cell r="A7803">
            <v>103020</v>
          </cell>
          <cell r="B7803">
            <v>0</v>
          </cell>
          <cell r="C7803" t="str">
            <v>4|1|100000</v>
          </cell>
          <cell r="D7803" t="str">
            <v>累计登陆21天</v>
          </cell>
          <cell r="E7803" t="str">
            <v>4|1|100000|1</v>
          </cell>
        </row>
        <row r="7804">
          <cell r="A7804">
            <v>103021</v>
          </cell>
          <cell r="B7804">
            <v>0</v>
          </cell>
          <cell r="C7804" t="str">
            <v>4|1|100000</v>
          </cell>
          <cell r="D7804" t="str">
            <v>累计登陆22天</v>
          </cell>
          <cell r="E7804" t="str">
            <v>4|1|100000|1</v>
          </cell>
        </row>
        <row r="7805">
          <cell r="A7805">
            <v>103022</v>
          </cell>
          <cell r="B7805">
            <v>0</v>
          </cell>
          <cell r="C7805" t="str">
            <v>4|1|100000</v>
          </cell>
          <cell r="D7805" t="str">
            <v>累计登陆23天</v>
          </cell>
          <cell r="E7805" t="str">
            <v>4|1|100000|1</v>
          </cell>
        </row>
        <row r="7806">
          <cell r="A7806">
            <v>103023</v>
          </cell>
          <cell r="B7806">
            <v>0</v>
          </cell>
          <cell r="C7806" t="str">
            <v>4|1|100000</v>
          </cell>
          <cell r="D7806" t="str">
            <v>累计登陆24天</v>
          </cell>
          <cell r="E7806" t="str">
            <v>4|1|100000|1</v>
          </cell>
        </row>
        <row r="7807">
          <cell r="A7807">
            <v>103024</v>
          </cell>
          <cell r="B7807">
            <v>0</v>
          </cell>
          <cell r="C7807" t="str">
            <v>4|1|100000</v>
          </cell>
          <cell r="D7807" t="str">
            <v>累计登陆25天</v>
          </cell>
          <cell r="E7807" t="str">
            <v>4|1|100000|1</v>
          </cell>
        </row>
        <row r="7808">
          <cell r="A7808">
            <v>103025</v>
          </cell>
          <cell r="B7808">
            <v>0</v>
          </cell>
          <cell r="C7808" t="str">
            <v>4|1|100000</v>
          </cell>
          <cell r="D7808" t="str">
            <v>累计登陆26天</v>
          </cell>
          <cell r="E7808" t="str">
            <v>4|1|100000|1</v>
          </cell>
        </row>
        <row r="7809">
          <cell r="A7809">
            <v>103026</v>
          </cell>
          <cell r="B7809">
            <v>0</v>
          </cell>
          <cell r="C7809" t="str">
            <v>4|1|100000</v>
          </cell>
          <cell r="D7809" t="str">
            <v>累计登陆27天</v>
          </cell>
          <cell r="E7809" t="str">
            <v>4|1|100000|1</v>
          </cell>
        </row>
        <row r="7810">
          <cell r="A7810">
            <v>103027</v>
          </cell>
          <cell r="B7810">
            <v>0</v>
          </cell>
          <cell r="C7810" t="str">
            <v>4|1|100000</v>
          </cell>
          <cell r="D7810" t="str">
            <v>累计登陆28天</v>
          </cell>
          <cell r="E7810" t="str">
            <v>4|1|100000|1</v>
          </cell>
        </row>
        <row r="7811">
          <cell r="A7811">
            <v>103028</v>
          </cell>
          <cell r="B7811">
            <v>0</v>
          </cell>
          <cell r="C7811" t="str">
            <v>4|1|100000</v>
          </cell>
          <cell r="D7811" t="str">
            <v>累计登陆29天</v>
          </cell>
          <cell r="E7811" t="str">
            <v>4|1|100000|1</v>
          </cell>
        </row>
        <row r="7812">
          <cell r="A7812">
            <v>103029</v>
          </cell>
          <cell r="B7812">
            <v>0</v>
          </cell>
          <cell r="C7812" t="str">
            <v>4|1|100000</v>
          </cell>
          <cell r="D7812" t="str">
            <v>累计登陆30天</v>
          </cell>
          <cell r="E7812" t="str">
            <v>4|1|100000|1</v>
          </cell>
        </row>
        <row r="7813">
          <cell r="A7813">
            <v>103030</v>
          </cell>
          <cell r="B7813">
            <v>0</v>
          </cell>
          <cell r="C7813" t="str">
            <v>4|1|100000</v>
          </cell>
          <cell r="D7813" t="str">
            <v>累计登陆32天</v>
          </cell>
          <cell r="E7813" t="str">
            <v>4|1|100000|1</v>
          </cell>
        </row>
        <row r="7814">
          <cell r="A7814">
            <v>103031</v>
          </cell>
          <cell r="B7814">
            <v>0</v>
          </cell>
          <cell r="C7814" t="str">
            <v>4|1|100000</v>
          </cell>
          <cell r="D7814" t="str">
            <v>累计登陆34天</v>
          </cell>
          <cell r="E7814" t="str">
            <v>4|1|100000|1</v>
          </cell>
        </row>
        <row r="7815">
          <cell r="A7815">
            <v>103032</v>
          </cell>
          <cell r="B7815">
            <v>0</v>
          </cell>
          <cell r="C7815" t="str">
            <v>4|1|100000</v>
          </cell>
          <cell r="D7815" t="str">
            <v>累计登陆36天</v>
          </cell>
          <cell r="E7815" t="str">
            <v>4|1|100000|1</v>
          </cell>
        </row>
        <row r="7816">
          <cell r="A7816">
            <v>103033</v>
          </cell>
          <cell r="B7816">
            <v>0</v>
          </cell>
          <cell r="C7816" t="str">
            <v>4|1|100000</v>
          </cell>
          <cell r="D7816" t="str">
            <v>累计登陆38天</v>
          </cell>
          <cell r="E7816" t="str">
            <v>4|1|100000|1</v>
          </cell>
        </row>
        <row r="7817">
          <cell r="A7817">
            <v>103034</v>
          </cell>
          <cell r="B7817">
            <v>0</v>
          </cell>
          <cell r="C7817" t="str">
            <v>4|1|100000</v>
          </cell>
          <cell r="D7817" t="str">
            <v>累计登陆40天</v>
          </cell>
          <cell r="E7817" t="str">
            <v>4|1|100000|1</v>
          </cell>
        </row>
        <row r="7818">
          <cell r="A7818">
            <v>103035</v>
          </cell>
          <cell r="B7818">
            <v>0</v>
          </cell>
          <cell r="C7818" t="str">
            <v>4|1|100000</v>
          </cell>
          <cell r="D7818" t="str">
            <v>累计登陆42天</v>
          </cell>
          <cell r="E7818" t="str">
            <v>4|1|100000|1</v>
          </cell>
        </row>
        <row r="7819">
          <cell r="A7819">
            <v>103036</v>
          </cell>
          <cell r="B7819">
            <v>0</v>
          </cell>
          <cell r="C7819" t="str">
            <v>4|1|100000</v>
          </cell>
          <cell r="D7819" t="str">
            <v>累计登陆44天</v>
          </cell>
          <cell r="E7819" t="str">
            <v>4|1|100000|1</v>
          </cell>
        </row>
        <row r="7820">
          <cell r="A7820">
            <v>103037</v>
          </cell>
          <cell r="B7820">
            <v>0</v>
          </cell>
          <cell r="C7820" t="str">
            <v>4|1|100000</v>
          </cell>
          <cell r="D7820" t="str">
            <v>累计登陆46天</v>
          </cell>
          <cell r="E7820" t="str">
            <v>4|1|100000|1</v>
          </cell>
        </row>
        <row r="7821">
          <cell r="A7821">
            <v>103038</v>
          </cell>
          <cell r="B7821">
            <v>0</v>
          </cell>
          <cell r="C7821" t="str">
            <v>4|1|100000</v>
          </cell>
          <cell r="D7821" t="str">
            <v>累计登陆48天</v>
          </cell>
          <cell r="E7821" t="str">
            <v>4|1|100000|1</v>
          </cell>
        </row>
        <row r="7822">
          <cell r="A7822">
            <v>103039</v>
          </cell>
          <cell r="B7822">
            <v>0</v>
          </cell>
          <cell r="C7822" t="str">
            <v>4|1|100000</v>
          </cell>
          <cell r="D7822" t="str">
            <v>累计登陆50天</v>
          </cell>
          <cell r="E7822" t="str">
            <v>4|1|100000|1</v>
          </cell>
        </row>
        <row r="7823">
          <cell r="A7823">
            <v>103040</v>
          </cell>
          <cell r="B7823">
            <v>0</v>
          </cell>
          <cell r="C7823" t="str">
            <v>4|1|100000</v>
          </cell>
          <cell r="D7823" t="str">
            <v>累计登陆52天</v>
          </cell>
          <cell r="E7823" t="str">
            <v>4|1|100000|1</v>
          </cell>
        </row>
        <row r="7824">
          <cell r="A7824">
            <v>103041</v>
          </cell>
          <cell r="B7824">
            <v>0</v>
          </cell>
          <cell r="C7824" t="str">
            <v>4|1|100000</v>
          </cell>
          <cell r="D7824" t="str">
            <v>累计登陆54天</v>
          </cell>
          <cell r="E7824" t="str">
            <v>4|1|100000|1</v>
          </cell>
        </row>
        <row r="7825">
          <cell r="A7825">
            <v>103042</v>
          </cell>
          <cell r="B7825">
            <v>0</v>
          </cell>
          <cell r="C7825" t="str">
            <v>4|1|100000</v>
          </cell>
          <cell r="D7825" t="str">
            <v>累计登陆56天</v>
          </cell>
          <cell r="E7825" t="str">
            <v>4|1|100000|1</v>
          </cell>
        </row>
        <row r="7826">
          <cell r="A7826">
            <v>103043</v>
          </cell>
          <cell r="B7826">
            <v>0</v>
          </cell>
          <cell r="C7826" t="str">
            <v>4|1|100000</v>
          </cell>
          <cell r="D7826" t="str">
            <v>累计登陆58天</v>
          </cell>
          <cell r="E7826" t="str">
            <v>4|1|100000|1</v>
          </cell>
        </row>
        <row r="7827">
          <cell r="A7827">
            <v>103044</v>
          </cell>
          <cell r="B7827">
            <v>0</v>
          </cell>
          <cell r="C7827" t="str">
            <v>4|1|100000</v>
          </cell>
          <cell r="D7827" t="str">
            <v>累计登陆60天</v>
          </cell>
          <cell r="E7827" t="str">
            <v>4|1|100000|1</v>
          </cell>
        </row>
        <row r="7828">
          <cell r="A7828">
            <v>103045</v>
          </cell>
          <cell r="B7828">
            <v>0</v>
          </cell>
          <cell r="C7828" t="str">
            <v>4|1|100000</v>
          </cell>
          <cell r="D7828" t="str">
            <v>累计登陆65天</v>
          </cell>
          <cell r="E7828" t="str">
            <v>4|1|100000|1</v>
          </cell>
        </row>
        <row r="7829">
          <cell r="A7829">
            <v>103046</v>
          </cell>
          <cell r="B7829">
            <v>0</v>
          </cell>
          <cell r="C7829" t="str">
            <v>4|1|100000</v>
          </cell>
          <cell r="D7829" t="str">
            <v>累计登陆70天</v>
          </cell>
          <cell r="E7829" t="str">
            <v>4|1|100000|1</v>
          </cell>
        </row>
        <row r="7830">
          <cell r="A7830">
            <v>103047</v>
          </cell>
          <cell r="B7830">
            <v>0</v>
          </cell>
          <cell r="C7830" t="str">
            <v>4|1|100000</v>
          </cell>
          <cell r="D7830" t="str">
            <v>累计登陆75天</v>
          </cell>
          <cell r="E7830" t="str">
            <v>4|1|100000|1</v>
          </cell>
        </row>
        <row r="7831">
          <cell r="A7831">
            <v>103048</v>
          </cell>
          <cell r="B7831">
            <v>0</v>
          </cell>
          <cell r="C7831" t="str">
            <v>4|1|100000</v>
          </cell>
          <cell r="D7831" t="str">
            <v>累计登陆80天</v>
          </cell>
          <cell r="E7831" t="str">
            <v>4|1|100000|1</v>
          </cell>
        </row>
        <row r="7832">
          <cell r="A7832">
            <v>103049</v>
          </cell>
          <cell r="B7832">
            <v>0</v>
          </cell>
          <cell r="C7832" t="str">
            <v>4|1|100000</v>
          </cell>
          <cell r="D7832" t="str">
            <v>累计登陆85天</v>
          </cell>
          <cell r="E7832" t="str">
            <v>4|1|100000|1</v>
          </cell>
        </row>
        <row r="7833">
          <cell r="A7833">
            <v>103050</v>
          </cell>
          <cell r="B7833">
            <v>0</v>
          </cell>
          <cell r="C7833" t="str">
            <v>4|1|100000</v>
          </cell>
          <cell r="D7833" t="str">
            <v>累计登陆90天</v>
          </cell>
          <cell r="E7833" t="str">
            <v>4|1|100000|1</v>
          </cell>
        </row>
        <row r="7834">
          <cell r="A7834">
            <v>103051</v>
          </cell>
          <cell r="B7834">
            <v>0</v>
          </cell>
          <cell r="C7834" t="str">
            <v>4|1|100000</v>
          </cell>
          <cell r="D7834" t="str">
            <v>累计登陆95天</v>
          </cell>
          <cell r="E7834" t="str">
            <v>4|1|100000|1</v>
          </cell>
        </row>
        <row r="7835">
          <cell r="A7835">
            <v>103052</v>
          </cell>
          <cell r="B7835">
            <v>0</v>
          </cell>
          <cell r="C7835" t="str">
            <v>4|1|100000</v>
          </cell>
          <cell r="D7835" t="str">
            <v>累计登陆100天</v>
          </cell>
          <cell r="E7835" t="str">
            <v>4|1|100000|1</v>
          </cell>
        </row>
        <row r="7836">
          <cell r="A7836">
            <v>103053</v>
          </cell>
          <cell r="B7836">
            <v>0</v>
          </cell>
          <cell r="C7836" t="str">
            <v>4|1|100000</v>
          </cell>
          <cell r="D7836" t="str">
            <v>累计登陆105天</v>
          </cell>
          <cell r="E7836" t="str">
            <v>4|1|100000|1</v>
          </cell>
        </row>
        <row r="7837">
          <cell r="A7837">
            <v>103054</v>
          </cell>
          <cell r="B7837">
            <v>0</v>
          </cell>
          <cell r="C7837" t="str">
            <v>4|1|100000</v>
          </cell>
          <cell r="D7837" t="str">
            <v>累计登陆110天</v>
          </cell>
          <cell r="E7837" t="str">
            <v>4|1|100000|1</v>
          </cell>
        </row>
        <row r="7838">
          <cell r="A7838">
            <v>103055</v>
          </cell>
          <cell r="B7838">
            <v>0</v>
          </cell>
          <cell r="C7838" t="str">
            <v>4|1|100000</v>
          </cell>
          <cell r="D7838" t="str">
            <v>累计登陆115天</v>
          </cell>
          <cell r="E7838" t="str">
            <v>4|1|100000|1</v>
          </cell>
        </row>
        <row r="7839">
          <cell r="A7839">
            <v>103056</v>
          </cell>
          <cell r="B7839">
            <v>0</v>
          </cell>
          <cell r="C7839" t="str">
            <v>4|1|100000</v>
          </cell>
          <cell r="D7839" t="str">
            <v>累计登陆120天</v>
          </cell>
          <cell r="E7839" t="str">
            <v>4|1|100000|1</v>
          </cell>
        </row>
        <row r="7840">
          <cell r="A7840">
            <v>103057</v>
          </cell>
          <cell r="B7840">
            <v>0</v>
          </cell>
          <cell r="C7840" t="str">
            <v>4|1|100000</v>
          </cell>
          <cell r="D7840" t="str">
            <v>累计登陆125天</v>
          </cell>
          <cell r="E7840" t="str">
            <v>4|1|100000|1</v>
          </cell>
        </row>
        <row r="7841">
          <cell r="A7841">
            <v>103058</v>
          </cell>
          <cell r="B7841">
            <v>0</v>
          </cell>
          <cell r="C7841" t="str">
            <v>4|1|100000</v>
          </cell>
          <cell r="D7841" t="str">
            <v>累计登陆130天</v>
          </cell>
          <cell r="E7841" t="str">
            <v>4|1|100000|1</v>
          </cell>
        </row>
        <row r="7842">
          <cell r="A7842">
            <v>103059</v>
          </cell>
          <cell r="B7842">
            <v>0</v>
          </cell>
          <cell r="C7842" t="str">
            <v>4|1|100000</v>
          </cell>
          <cell r="D7842" t="str">
            <v>累计登陆135天</v>
          </cell>
          <cell r="E7842" t="str">
            <v>4|1|100000|1</v>
          </cell>
        </row>
        <row r="7843">
          <cell r="A7843">
            <v>103060</v>
          </cell>
          <cell r="B7843">
            <v>0</v>
          </cell>
          <cell r="C7843" t="str">
            <v>4|1|100000</v>
          </cell>
          <cell r="D7843" t="str">
            <v>累计登陆140天</v>
          </cell>
          <cell r="E7843" t="str">
            <v>4|1|100000|1</v>
          </cell>
        </row>
        <row r="7844">
          <cell r="A7844">
            <v>103061</v>
          </cell>
          <cell r="B7844">
            <v>0</v>
          </cell>
          <cell r="C7844" t="str">
            <v>4|1|100000</v>
          </cell>
          <cell r="D7844" t="str">
            <v>累计登陆145天</v>
          </cell>
          <cell r="E7844" t="str">
            <v>4|1|100000|1</v>
          </cell>
        </row>
        <row r="7845">
          <cell r="A7845">
            <v>103062</v>
          </cell>
          <cell r="B7845">
            <v>0</v>
          </cell>
          <cell r="C7845" t="str">
            <v>4|1|100000</v>
          </cell>
          <cell r="D7845" t="str">
            <v>累计登陆150天</v>
          </cell>
          <cell r="E7845" t="str">
            <v>4|1|100000|1</v>
          </cell>
        </row>
        <row r="7846">
          <cell r="A7846">
            <v>103063</v>
          </cell>
          <cell r="B7846">
            <v>0</v>
          </cell>
          <cell r="C7846" t="str">
            <v>4|1|100000</v>
          </cell>
          <cell r="D7846" t="str">
            <v>累计登陆155天</v>
          </cell>
          <cell r="E7846" t="str">
            <v>4|1|100000|1</v>
          </cell>
        </row>
        <row r="7847">
          <cell r="A7847">
            <v>103064</v>
          </cell>
          <cell r="B7847">
            <v>0</v>
          </cell>
          <cell r="C7847" t="str">
            <v>4|1|100000</v>
          </cell>
          <cell r="D7847" t="str">
            <v>累计登陆160天</v>
          </cell>
          <cell r="E7847" t="str">
            <v>4|1|100000|1</v>
          </cell>
        </row>
        <row r="7848">
          <cell r="A7848">
            <v>103065</v>
          </cell>
          <cell r="B7848">
            <v>0</v>
          </cell>
          <cell r="C7848" t="str">
            <v>4|1|100000</v>
          </cell>
          <cell r="D7848" t="str">
            <v>累计登陆165天</v>
          </cell>
          <cell r="E7848" t="str">
            <v>4|1|100000|1</v>
          </cell>
        </row>
        <row r="7849">
          <cell r="A7849">
            <v>103066</v>
          </cell>
          <cell r="B7849">
            <v>0</v>
          </cell>
          <cell r="C7849" t="str">
            <v>4|1|100000</v>
          </cell>
          <cell r="D7849" t="str">
            <v>累计登陆170天</v>
          </cell>
          <cell r="E7849" t="str">
            <v>4|1|100000|1</v>
          </cell>
        </row>
        <row r="7850">
          <cell r="A7850">
            <v>103067</v>
          </cell>
          <cell r="B7850">
            <v>0</v>
          </cell>
          <cell r="C7850" t="str">
            <v>4|1|100000</v>
          </cell>
          <cell r="D7850" t="str">
            <v>累计登陆175天</v>
          </cell>
          <cell r="E7850" t="str">
            <v>4|1|100000|1</v>
          </cell>
        </row>
        <row r="7851">
          <cell r="A7851">
            <v>103068</v>
          </cell>
          <cell r="B7851">
            <v>0</v>
          </cell>
          <cell r="C7851" t="str">
            <v>4|1|100000</v>
          </cell>
          <cell r="D7851" t="str">
            <v>累计登陆180天</v>
          </cell>
          <cell r="E7851" t="str">
            <v>4|1|100000|1</v>
          </cell>
        </row>
        <row r="7852">
          <cell r="A7852">
            <v>103069</v>
          </cell>
          <cell r="B7852">
            <v>0</v>
          </cell>
          <cell r="C7852" t="str">
            <v>4|1|100000</v>
          </cell>
          <cell r="D7852" t="str">
            <v>累计登陆185天</v>
          </cell>
          <cell r="E7852" t="str">
            <v>4|1|100000|1</v>
          </cell>
        </row>
        <row r="7853">
          <cell r="A7853">
            <v>103070</v>
          </cell>
          <cell r="B7853">
            <v>0</v>
          </cell>
          <cell r="C7853" t="str">
            <v>4|1|100000</v>
          </cell>
          <cell r="D7853" t="str">
            <v>累计登陆190天</v>
          </cell>
          <cell r="E7853" t="str">
            <v>4|1|100000|1</v>
          </cell>
        </row>
        <row r="7854">
          <cell r="A7854">
            <v>103071</v>
          </cell>
          <cell r="B7854">
            <v>0</v>
          </cell>
          <cell r="C7854" t="str">
            <v>4|1|100000</v>
          </cell>
          <cell r="D7854" t="str">
            <v>累计登陆195天</v>
          </cell>
          <cell r="E7854" t="str">
            <v>4|1|100000|1</v>
          </cell>
        </row>
        <row r="7855">
          <cell r="A7855">
            <v>103072</v>
          </cell>
          <cell r="B7855">
            <v>0</v>
          </cell>
          <cell r="C7855" t="str">
            <v>4|1|100000</v>
          </cell>
          <cell r="D7855" t="str">
            <v>累计登陆200天</v>
          </cell>
          <cell r="E7855" t="str">
            <v>4|1|100000|1</v>
          </cell>
        </row>
        <row r="7856">
          <cell r="A7856">
            <v>103073</v>
          </cell>
          <cell r="B7856">
            <v>0</v>
          </cell>
          <cell r="C7856" t="str">
            <v>4|1|100000</v>
          </cell>
          <cell r="D7856" t="str">
            <v>累计登陆205天</v>
          </cell>
          <cell r="E7856" t="str">
            <v>4|1|100000|1</v>
          </cell>
        </row>
        <row r="7857">
          <cell r="A7857">
            <v>103074</v>
          </cell>
          <cell r="B7857">
            <v>0</v>
          </cell>
          <cell r="C7857" t="str">
            <v>4|1|100000</v>
          </cell>
          <cell r="D7857" t="str">
            <v>累计登陆210天</v>
          </cell>
          <cell r="E7857" t="str">
            <v>4|1|100000|1</v>
          </cell>
        </row>
        <row r="7858">
          <cell r="A7858">
            <v>103075</v>
          </cell>
          <cell r="B7858">
            <v>0</v>
          </cell>
          <cell r="C7858" t="str">
            <v>4|1|100000</v>
          </cell>
          <cell r="D7858" t="str">
            <v>累计登陆215天</v>
          </cell>
          <cell r="E7858" t="str">
            <v>4|1|100000|1</v>
          </cell>
        </row>
        <row r="7859">
          <cell r="A7859">
            <v>103076</v>
          </cell>
          <cell r="B7859">
            <v>0</v>
          </cell>
          <cell r="C7859" t="str">
            <v>4|1|100000</v>
          </cell>
          <cell r="D7859" t="str">
            <v>累计登陆220天</v>
          </cell>
          <cell r="E7859" t="str">
            <v>4|1|100000|1</v>
          </cell>
        </row>
        <row r="7860">
          <cell r="A7860">
            <v>103077</v>
          </cell>
          <cell r="B7860">
            <v>0</v>
          </cell>
          <cell r="C7860" t="str">
            <v>4|1|100000</v>
          </cell>
          <cell r="D7860" t="str">
            <v>累计登陆225天</v>
          </cell>
          <cell r="E7860" t="str">
            <v>4|1|100000|1</v>
          </cell>
        </row>
        <row r="7861">
          <cell r="A7861">
            <v>103078</v>
          </cell>
          <cell r="B7861">
            <v>0</v>
          </cell>
          <cell r="C7861" t="str">
            <v>4|1|100000</v>
          </cell>
          <cell r="D7861" t="str">
            <v>累计登陆230天</v>
          </cell>
          <cell r="E7861" t="str">
            <v>4|1|100000|1</v>
          </cell>
        </row>
        <row r="7862">
          <cell r="A7862">
            <v>103079</v>
          </cell>
          <cell r="B7862">
            <v>0</v>
          </cell>
          <cell r="C7862" t="str">
            <v>4|1|100000</v>
          </cell>
          <cell r="D7862" t="str">
            <v>累计登陆235天</v>
          </cell>
          <cell r="E7862" t="str">
            <v>4|1|100000|1</v>
          </cell>
        </row>
        <row r="7863">
          <cell r="A7863">
            <v>103080</v>
          </cell>
          <cell r="B7863">
            <v>0</v>
          </cell>
          <cell r="C7863" t="str">
            <v>4|1|100000</v>
          </cell>
          <cell r="D7863" t="str">
            <v>累计登陆240天</v>
          </cell>
          <cell r="E7863" t="str">
            <v>4|1|100000|1</v>
          </cell>
        </row>
        <row r="7864">
          <cell r="A7864">
            <v>103081</v>
          </cell>
          <cell r="B7864">
            <v>0</v>
          </cell>
          <cell r="C7864" t="str">
            <v>4|1|100000</v>
          </cell>
          <cell r="D7864" t="str">
            <v>累计登陆245天</v>
          </cell>
          <cell r="E7864" t="str">
            <v>4|1|100000|1</v>
          </cell>
        </row>
        <row r="7865">
          <cell r="A7865">
            <v>103082</v>
          </cell>
          <cell r="B7865">
            <v>0</v>
          </cell>
          <cell r="C7865" t="str">
            <v>4|1|100000</v>
          </cell>
          <cell r="D7865" t="str">
            <v>累计登陆250天</v>
          </cell>
          <cell r="E7865" t="str">
            <v>4|1|100000|1</v>
          </cell>
        </row>
        <row r="7866">
          <cell r="A7866">
            <v>103083</v>
          </cell>
          <cell r="B7866">
            <v>0</v>
          </cell>
          <cell r="C7866" t="str">
            <v>4|1|100000</v>
          </cell>
          <cell r="D7866" t="str">
            <v>累计登陆255天</v>
          </cell>
          <cell r="E7866" t="str">
            <v>4|1|100000|1</v>
          </cell>
        </row>
        <row r="7867">
          <cell r="A7867">
            <v>103084</v>
          </cell>
          <cell r="B7867">
            <v>0</v>
          </cell>
          <cell r="C7867" t="str">
            <v>4|1|100000</v>
          </cell>
          <cell r="D7867" t="str">
            <v>累计登陆260天</v>
          </cell>
          <cell r="E7867" t="str">
            <v>4|1|100000|1</v>
          </cell>
        </row>
        <row r="7868">
          <cell r="A7868">
            <v>103085</v>
          </cell>
          <cell r="B7868">
            <v>0</v>
          </cell>
          <cell r="C7868" t="str">
            <v>4|1|100000</v>
          </cell>
          <cell r="D7868" t="str">
            <v>累计登陆265天</v>
          </cell>
          <cell r="E7868" t="str">
            <v>4|1|100000|1</v>
          </cell>
        </row>
        <row r="7869">
          <cell r="A7869">
            <v>103086</v>
          </cell>
          <cell r="B7869">
            <v>0</v>
          </cell>
          <cell r="C7869" t="str">
            <v>4|1|100000</v>
          </cell>
          <cell r="D7869" t="str">
            <v>累计登陆270天</v>
          </cell>
          <cell r="E7869" t="str">
            <v>4|1|100000|1</v>
          </cell>
        </row>
        <row r="7870">
          <cell r="A7870">
            <v>103087</v>
          </cell>
          <cell r="B7870">
            <v>0</v>
          </cell>
          <cell r="C7870" t="str">
            <v>4|1|100000</v>
          </cell>
          <cell r="D7870" t="str">
            <v>累计登陆275天</v>
          </cell>
          <cell r="E7870" t="str">
            <v>4|1|100000|1</v>
          </cell>
        </row>
        <row r="7871">
          <cell r="A7871">
            <v>103088</v>
          </cell>
          <cell r="B7871">
            <v>0</v>
          </cell>
          <cell r="C7871" t="str">
            <v>4|1|100000</v>
          </cell>
          <cell r="D7871" t="str">
            <v>累计登陆280天</v>
          </cell>
          <cell r="E7871" t="str">
            <v>4|1|100000|1</v>
          </cell>
        </row>
        <row r="7872">
          <cell r="A7872">
            <v>103089</v>
          </cell>
          <cell r="B7872">
            <v>0</v>
          </cell>
          <cell r="C7872" t="str">
            <v>4|1|100000</v>
          </cell>
          <cell r="D7872" t="str">
            <v>累计登陆285天</v>
          </cell>
          <cell r="E7872" t="str">
            <v>4|1|100000|1</v>
          </cell>
        </row>
        <row r="7873">
          <cell r="A7873">
            <v>103090</v>
          </cell>
          <cell r="B7873">
            <v>0</v>
          </cell>
          <cell r="C7873" t="str">
            <v>4|1|100000</v>
          </cell>
          <cell r="D7873" t="str">
            <v>累计登陆290天</v>
          </cell>
          <cell r="E7873" t="str">
            <v>4|1|100000|1</v>
          </cell>
        </row>
        <row r="7874">
          <cell r="A7874">
            <v>103091</v>
          </cell>
          <cell r="B7874">
            <v>0</v>
          </cell>
          <cell r="C7874" t="str">
            <v>4|1|100000</v>
          </cell>
          <cell r="D7874" t="str">
            <v>累计登陆295天</v>
          </cell>
          <cell r="E7874" t="str">
            <v>4|1|100000|1</v>
          </cell>
        </row>
        <row r="7875">
          <cell r="A7875">
            <v>103092</v>
          </cell>
          <cell r="B7875">
            <v>0</v>
          </cell>
          <cell r="C7875" t="str">
            <v>4|1|100000</v>
          </cell>
          <cell r="D7875" t="str">
            <v>累计登陆300天</v>
          </cell>
          <cell r="E7875" t="str">
            <v>4|1|100000|1</v>
          </cell>
        </row>
        <row r="7876">
          <cell r="A7876">
            <v>103093</v>
          </cell>
          <cell r="B7876">
            <v>0</v>
          </cell>
          <cell r="C7876" t="str">
            <v>4|1|100000</v>
          </cell>
          <cell r="D7876" t="str">
            <v>累计登陆305天</v>
          </cell>
          <cell r="E7876" t="str">
            <v>4|1|100000|1</v>
          </cell>
        </row>
        <row r="7877">
          <cell r="A7877">
            <v>103094</v>
          </cell>
          <cell r="B7877">
            <v>0</v>
          </cell>
          <cell r="C7877" t="str">
            <v>4|1|100000</v>
          </cell>
          <cell r="D7877" t="str">
            <v>累计登陆310天</v>
          </cell>
          <cell r="E7877" t="str">
            <v>4|1|100000|1</v>
          </cell>
        </row>
        <row r="7878">
          <cell r="A7878">
            <v>103095</v>
          </cell>
          <cell r="B7878">
            <v>0</v>
          </cell>
          <cell r="C7878" t="str">
            <v>4|1|100000</v>
          </cell>
          <cell r="D7878" t="str">
            <v>累计登陆315天</v>
          </cell>
          <cell r="E7878" t="str">
            <v>4|1|100000|1</v>
          </cell>
        </row>
        <row r="7879">
          <cell r="A7879">
            <v>103096</v>
          </cell>
          <cell r="B7879">
            <v>0</v>
          </cell>
          <cell r="C7879" t="str">
            <v>4|1|100000</v>
          </cell>
          <cell r="D7879" t="str">
            <v>累计登陆320天</v>
          </cell>
          <cell r="E7879" t="str">
            <v>4|1|100000|1</v>
          </cell>
        </row>
        <row r="7880">
          <cell r="A7880">
            <v>103097</v>
          </cell>
          <cell r="B7880">
            <v>0</v>
          </cell>
          <cell r="C7880" t="str">
            <v>4|1|100000</v>
          </cell>
          <cell r="D7880" t="str">
            <v>累计登陆325天</v>
          </cell>
          <cell r="E7880" t="str">
            <v>4|1|100000|1</v>
          </cell>
        </row>
        <row r="7881">
          <cell r="A7881">
            <v>103098</v>
          </cell>
          <cell r="B7881">
            <v>0</v>
          </cell>
          <cell r="C7881" t="str">
            <v>4|1|100000</v>
          </cell>
          <cell r="D7881" t="str">
            <v>累计登陆330天</v>
          </cell>
          <cell r="E7881" t="str">
            <v>4|1|100000|1</v>
          </cell>
        </row>
        <row r="7882">
          <cell r="A7882">
            <v>103099</v>
          </cell>
          <cell r="B7882">
            <v>0</v>
          </cell>
          <cell r="C7882" t="str">
            <v>4|1|100000</v>
          </cell>
          <cell r="D7882" t="str">
            <v>累计登陆335天</v>
          </cell>
          <cell r="E7882" t="str">
            <v>4|1|100000|1</v>
          </cell>
        </row>
        <row r="7883">
          <cell r="A7883">
            <v>103100</v>
          </cell>
          <cell r="B7883">
            <v>0</v>
          </cell>
          <cell r="C7883" t="str">
            <v>4|1|100000</v>
          </cell>
          <cell r="D7883" t="str">
            <v>累计登陆340天</v>
          </cell>
          <cell r="E7883" t="str">
            <v>4|1|100000|1</v>
          </cell>
        </row>
        <row r="7884">
          <cell r="A7884">
            <v>103101</v>
          </cell>
          <cell r="B7884">
            <v>0</v>
          </cell>
          <cell r="C7884" t="str">
            <v>4|1|100000</v>
          </cell>
          <cell r="D7884" t="str">
            <v>累计登陆345天</v>
          </cell>
          <cell r="E7884" t="str">
            <v>4|1|100000|1</v>
          </cell>
        </row>
        <row r="7885">
          <cell r="A7885">
            <v>103102</v>
          </cell>
          <cell r="B7885">
            <v>0</v>
          </cell>
          <cell r="C7885" t="str">
            <v>4|1|100000</v>
          </cell>
          <cell r="D7885" t="str">
            <v>累计登陆350天</v>
          </cell>
          <cell r="E7885" t="str">
            <v>4|1|100000|1</v>
          </cell>
        </row>
        <row r="7886">
          <cell r="A7886">
            <v>103103</v>
          </cell>
          <cell r="B7886">
            <v>0</v>
          </cell>
          <cell r="C7886" t="str">
            <v>4|1|100000</v>
          </cell>
          <cell r="D7886" t="str">
            <v>累计登陆355天</v>
          </cell>
          <cell r="E7886" t="str">
            <v>4|1|100000|1</v>
          </cell>
        </row>
        <row r="7887">
          <cell r="A7887">
            <v>103104</v>
          </cell>
          <cell r="B7887">
            <v>0</v>
          </cell>
          <cell r="C7887" t="str">
            <v>4|1|100000</v>
          </cell>
          <cell r="D7887" t="str">
            <v>累计登陆360天</v>
          </cell>
          <cell r="E7887" t="str">
            <v>4|1|100000|1</v>
          </cell>
        </row>
        <row r="7888">
          <cell r="A7888">
            <v>103105</v>
          </cell>
          <cell r="B7888">
            <v>0</v>
          </cell>
          <cell r="C7888" t="str">
            <v>4|1|100000</v>
          </cell>
          <cell r="D7888" t="str">
            <v>累计登陆365天</v>
          </cell>
          <cell r="E7888" t="str">
            <v>4|1|100000|1</v>
          </cell>
        </row>
        <row r="7889">
          <cell r="A7889">
            <v>103106</v>
          </cell>
          <cell r="B7889">
            <v>0</v>
          </cell>
          <cell r="C7889" t="str">
            <v>4|1|100000</v>
          </cell>
          <cell r="D7889" t="str">
            <v>累计登陆370天</v>
          </cell>
          <cell r="E7889" t="str">
            <v>4|1|100000|1</v>
          </cell>
        </row>
        <row r="7890">
          <cell r="A7890">
            <v>103107</v>
          </cell>
          <cell r="B7890">
            <v>0</v>
          </cell>
          <cell r="C7890" t="str">
            <v>4|1|100000</v>
          </cell>
          <cell r="D7890" t="str">
            <v>累计登陆375天</v>
          </cell>
          <cell r="E7890" t="str">
            <v>4|1|100000|1</v>
          </cell>
        </row>
        <row r="7891">
          <cell r="A7891">
            <v>103108</v>
          </cell>
          <cell r="B7891">
            <v>0</v>
          </cell>
          <cell r="C7891" t="str">
            <v>4|1|100000</v>
          </cell>
          <cell r="D7891" t="str">
            <v>累计登陆380天</v>
          </cell>
          <cell r="E7891" t="str">
            <v>4|1|100000|1</v>
          </cell>
        </row>
        <row r="7892">
          <cell r="A7892">
            <v>103109</v>
          </cell>
          <cell r="B7892">
            <v>0</v>
          </cell>
          <cell r="C7892" t="str">
            <v>4|1|100000</v>
          </cell>
          <cell r="D7892" t="str">
            <v>累计登陆385天</v>
          </cell>
          <cell r="E7892" t="str">
            <v>4|1|100000|1</v>
          </cell>
        </row>
        <row r="7893">
          <cell r="A7893">
            <v>103110</v>
          </cell>
          <cell r="B7893">
            <v>0</v>
          </cell>
          <cell r="C7893" t="str">
            <v>4|1|100000</v>
          </cell>
          <cell r="D7893" t="str">
            <v>累计登陆390天</v>
          </cell>
          <cell r="E7893" t="str">
            <v>4|1|100000|1</v>
          </cell>
        </row>
        <row r="7894">
          <cell r="A7894">
            <v>103111</v>
          </cell>
          <cell r="B7894">
            <v>0</v>
          </cell>
          <cell r="C7894" t="str">
            <v>4|1|100000</v>
          </cell>
          <cell r="D7894" t="str">
            <v>累计登陆395天</v>
          </cell>
          <cell r="E7894" t="str">
            <v>4|1|100000|1</v>
          </cell>
        </row>
        <row r="7895">
          <cell r="A7895">
            <v>103112</v>
          </cell>
          <cell r="B7895">
            <v>0</v>
          </cell>
          <cell r="C7895" t="str">
            <v>4|1|100000</v>
          </cell>
          <cell r="D7895" t="str">
            <v>累计登陆400天</v>
          </cell>
          <cell r="E7895" t="str">
            <v>4|1|100000|1</v>
          </cell>
        </row>
        <row r="7896">
          <cell r="A7896">
            <v>103113</v>
          </cell>
          <cell r="B7896">
            <v>0</v>
          </cell>
          <cell r="C7896" t="str">
            <v>4|1|100000</v>
          </cell>
          <cell r="D7896" t="str">
            <v>累计登陆405天</v>
          </cell>
          <cell r="E7896" t="str">
            <v>4|1|100000|1</v>
          </cell>
        </row>
        <row r="7897">
          <cell r="A7897">
            <v>103114</v>
          </cell>
          <cell r="B7897">
            <v>0</v>
          </cell>
          <cell r="C7897" t="str">
            <v>4|1|100000</v>
          </cell>
          <cell r="D7897" t="str">
            <v>累计登陆410天</v>
          </cell>
          <cell r="E7897" t="str">
            <v>4|1|100000|1</v>
          </cell>
        </row>
        <row r="7898">
          <cell r="A7898">
            <v>103115</v>
          </cell>
          <cell r="B7898">
            <v>0</v>
          </cell>
          <cell r="C7898" t="str">
            <v>4|1|100000</v>
          </cell>
          <cell r="D7898" t="str">
            <v>累计登陆415天</v>
          </cell>
          <cell r="E7898" t="str">
            <v>4|1|100000|1</v>
          </cell>
        </row>
        <row r="7899">
          <cell r="A7899">
            <v>103116</v>
          </cell>
          <cell r="B7899">
            <v>0</v>
          </cell>
          <cell r="C7899" t="str">
            <v>4|1|100000</v>
          </cell>
          <cell r="D7899" t="str">
            <v>累计登陆420天</v>
          </cell>
          <cell r="E7899" t="str">
            <v>4|1|100000|1</v>
          </cell>
        </row>
        <row r="7900">
          <cell r="A7900">
            <v>103117</v>
          </cell>
          <cell r="B7900">
            <v>0</v>
          </cell>
          <cell r="C7900" t="str">
            <v>4|1|100000</v>
          </cell>
          <cell r="D7900" t="str">
            <v>累计登陆425天</v>
          </cell>
          <cell r="E7900" t="str">
            <v>4|1|100000|1</v>
          </cell>
        </row>
        <row r="7901">
          <cell r="A7901">
            <v>103118</v>
          </cell>
          <cell r="B7901">
            <v>0</v>
          </cell>
          <cell r="C7901" t="str">
            <v>4|1|100000</v>
          </cell>
          <cell r="D7901" t="str">
            <v>累计登陆430天</v>
          </cell>
          <cell r="E7901" t="str">
            <v>4|1|100000|1</v>
          </cell>
        </row>
        <row r="7902">
          <cell r="A7902">
            <v>103119</v>
          </cell>
          <cell r="B7902">
            <v>0</v>
          </cell>
          <cell r="C7902" t="str">
            <v>4|1|100000</v>
          </cell>
          <cell r="D7902" t="str">
            <v>累计登陆435天</v>
          </cell>
          <cell r="E7902" t="str">
            <v>4|1|100000|1</v>
          </cell>
        </row>
        <row r="7903">
          <cell r="A7903">
            <v>103120</v>
          </cell>
          <cell r="B7903">
            <v>0</v>
          </cell>
          <cell r="C7903" t="str">
            <v>4|1|100000</v>
          </cell>
          <cell r="D7903" t="str">
            <v>累计登陆440天</v>
          </cell>
          <cell r="E7903" t="str">
            <v>4|1|100000|1</v>
          </cell>
        </row>
        <row r="7904">
          <cell r="A7904">
            <v>103121</v>
          </cell>
          <cell r="B7904">
            <v>0</v>
          </cell>
          <cell r="C7904" t="str">
            <v>4|1|100000</v>
          </cell>
          <cell r="D7904" t="str">
            <v>累计登陆445天</v>
          </cell>
          <cell r="E7904" t="str">
            <v>4|1|100000|1</v>
          </cell>
        </row>
        <row r="7905">
          <cell r="A7905">
            <v>103122</v>
          </cell>
          <cell r="B7905">
            <v>0</v>
          </cell>
          <cell r="C7905" t="str">
            <v>4|1|100000</v>
          </cell>
          <cell r="D7905" t="str">
            <v>累计登陆450天</v>
          </cell>
          <cell r="E7905" t="str">
            <v>4|1|100000|1</v>
          </cell>
        </row>
        <row r="7906">
          <cell r="A7906">
            <v>103123</v>
          </cell>
          <cell r="B7906">
            <v>0</v>
          </cell>
          <cell r="C7906" t="str">
            <v>4|1|100000</v>
          </cell>
          <cell r="D7906" t="str">
            <v>累计登陆455天</v>
          </cell>
          <cell r="E7906" t="str">
            <v>4|1|100000|1</v>
          </cell>
        </row>
        <row r="7907">
          <cell r="A7907">
            <v>103124</v>
          </cell>
          <cell r="B7907">
            <v>0</v>
          </cell>
          <cell r="C7907" t="str">
            <v>4|1|100000</v>
          </cell>
          <cell r="D7907" t="str">
            <v>累计登陆460天</v>
          </cell>
          <cell r="E7907" t="str">
            <v>4|1|100000|1</v>
          </cell>
        </row>
        <row r="7908">
          <cell r="A7908">
            <v>103125</v>
          </cell>
          <cell r="B7908">
            <v>0</v>
          </cell>
          <cell r="C7908" t="str">
            <v>4|1|100000</v>
          </cell>
          <cell r="D7908" t="str">
            <v>累计登陆465天</v>
          </cell>
          <cell r="E7908" t="str">
            <v>4|1|100000|1</v>
          </cell>
        </row>
        <row r="7909">
          <cell r="A7909">
            <v>103126</v>
          </cell>
          <cell r="B7909">
            <v>0</v>
          </cell>
          <cell r="C7909" t="str">
            <v>4|1|100000</v>
          </cell>
          <cell r="D7909" t="str">
            <v>累计登陆470天</v>
          </cell>
          <cell r="E7909" t="str">
            <v>4|1|100000|1</v>
          </cell>
        </row>
        <row r="7910">
          <cell r="A7910">
            <v>103127</v>
          </cell>
          <cell r="B7910">
            <v>0</v>
          </cell>
          <cell r="C7910" t="str">
            <v>4|1|100000</v>
          </cell>
          <cell r="D7910" t="str">
            <v>累计登陆475天</v>
          </cell>
          <cell r="E7910" t="str">
            <v>4|1|100000|1</v>
          </cell>
        </row>
        <row r="7911">
          <cell r="A7911">
            <v>103128</v>
          </cell>
          <cell r="B7911">
            <v>0</v>
          </cell>
          <cell r="C7911" t="str">
            <v>4|1|100000</v>
          </cell>
          <cell r="D7911" t="str">
            <v>累计登陆480天</v>
          </cell>
          <cell r="E7911" t="str">
            <v>4|1|100000|1</v>
          </cell>
        </row>
        <row r="7912">
          <cell r="A7912">
            <v>103129</v>
          </cell>
          <cell r="B7912">
            <v>0</v>
          </cell>
          <cell r="C7912" t="str">
            <v>4|1|100000</v>
          </cell>
          <cell r="D7912" t="str">
            <v>累计登陆485天</v>
          </cell>
          <cell r="E7912" t="str">
            <v>4|1|100000|1</v>
          </cell>
        </row>
        <row r="7913">
          <cell r="A7913">
            <v>103130</v>
          </cell>
          <cell r="B7913">
            <v>0</v>
          </cell>
          <cell r="C7913" t="str">
            <v>4|1|100000</v>
          </cell>
          <cell r="D7913" t="str">
            <v>累计登陆490天</v>
          </cell>
          <cell r="E7913" t="str">
            <v>4|1|100000|1</v>
          </cell>
        </row>
        <row r="7914">
          <cell r="A7914">
            <v>103131</v>
          </cell>
          <cell r="B7914">
            <v>0</v>
          </cell>
          <cell r="C7914" t="str">
            <v>4|1|100000</v>
          </cell>
          <cell r="D7914" t="str">
            <v>累计登陆495天</v>
          </cell>
          <cell r="E7914" t="str">
            <v>4|1|100000|1</v>
          </cell>
        </row>
        <row r="7915">
          <cell r="A7915">
            <v>103132</v>
          </cell>
          <cell r="B7915">
            <v>0</v>
          </cell>
          <cell r="C7915" t="str">
            <v>4|1|100000</v>
          </cell>
          <cell r="D7915" t="str">
            <v>累计登陆500天</v>
          </cell>
          <cell r="E7915" t="str">
            <v>4|1|100000|1</v>
          </cell>
        </row>
        <row r="7916">
          <cell r="A7916">
            <v>103133</v>
          </cell>
          <cell r="B7916">
            <v>0</v>
          </cell>
          <cell r="C7916" t="str">
            <v>4|1|100000</v>
          </cell>
          <cell r="D7916" t="str">
            <v>累计登陆505天</v>
          </cell>
          <cell r="E7916" t="str">
            <v>4|1|100000|1</v>
          </cell>
        </row>
        <row r="7917">
          <cell r="A7917">
            <v>103134</v>
          </cell>
          <cell r="B7917">
            <v>0</v>
          </cell>
          <cell r="C7917" t="str">
            <v>4|1|100000</v>
          </cell>
          <cell r="D7917" t="str">
            <v>累计登陆510天</v>
          </cell>
          <cell r="E7917" t="str">
            <v>4|1|100000|1</v>
          </cell>
        </row>
        <row r="7918">
          <cell r="A7918">
            <v>103135</v>
          </cell>
          <cell r="B7918">
            <v>0</v>
          </cell>
          <cell r="C7918" t="str">
            <v>4|1|100000</v>
          </cell>
          <cell r="D7918" t="str">
            <v>累计登陆515天</v>
          </cell>
          <cell r="E7918" t="str">
            <v>4|1|100000|1</v>
          </cell>
        </row>
        <row r="7919">
          <cell r="A7919">
            <v>103136</v>
          </cell>
          <cell r="B7919">
            <v>0</v>
          </cell>
          <cell r="C7919" t="str">
            <v>4|1|100000</v>
          </cell>
          <cell r="D7919" t="str">
            <v>累计登陆520天</v>
          </cell>
          <cell r="E7919" t="str">
            <v>4|1|100000|1</v>
          </cell>
        </row>
        <row r="7920">
          <cell r="A7920">
            <v>103137</v>
          </cell>
          <cell r="B7920">
            <v>0</v>
          </cell>
          <cell r="C7920" t="str">
            <v>4|1|100000</v>
          </cell>
          <cell r="D7920" t="str">
            <v>累计登陆525天</v>
          </cell>
          <cell r="E7920" t="str">
            <v>4|1|100000|1</v>
          </cell>
        </row>
        <row r="7921">
          <cell r="A7921">
            <v>103138</v>
          </cell>
          <cell r="B7921">
            <v>0</v>
          </cell>
          <cell r="C7921" t="str">
            <v>4|1|100000</v>
          </cell>
          <cell r="D7921" t="str">
            <v>累计登陆530天</v>
          </cell>
          <cell r="E7921" t="str">
            <v>4|1|100000|1</v>
          </cell>
        </row>
        <row r="7922">
          <cell r="A7922">
            <v>103139</v>
          </cell>
          <cell r="B7922">
            <v>0</v>
          </cell>
          <cell r="C7922" t="str">
            <v>4|1|100000</v>
          </cell>
          <cell r="D7922" t="str">
            <v>累计登陆535天</v>
          </cell>
          <cell r="E7922" t="str">
            <v>4|1|100000|1</v>
          </cell>
        </row>
        <row r="7923">
          <cell r="A7923">
            <v>103140</v>
          </cell>
          <cell r="B7923">
            <v>0</v>
          </cell>
          <cell r="C7923" t="str">
            <v>4|1|100000</v>
          </cell>
          <cell r="D7923" t="str">
            <v>累计登陆540天</v>
          </cell>
          <cell r="E7923" t="str">
            <v>4|1|100000|1</v>
          </cell>
        </row>
        <row r="7924">
          <cell r="A7924">
            <v>103141</v>
          </cell>
          <cell r="B7924">
            <v>0</v>
          </cell>
          <cell r="C7924" t="str">
            <v>4|1|100000</v>
          </cell>
          <cell r="D7924" t="str">
            <v>累计登陆545天</v>
          </cell>
          <cell r="E7924" t="str">
            <v>4|1|100000|1</v>
          </cell>
        </row>
        <row r="7925">
          <cell r="A7925">
            <v>103142</v>
          </cell>
          <cell r="B7925">
            <v>0</v>
          </cell>
          <cell r="C7925" t="str">
            <v>4|1|100000</v>
          </cell>
          <cell r="D7925" t="str">
            <v>累计登陆550天</v>
          </cell>
          <cell r="E7925" t="str">
            <v>4|1|100000|1</v>
          </cell>
        </row>
        <row r="7926">
          <cell r="A7926">
            <v>103143</v>
          </cell>
          <cell r="B7926">
            <v>0</v>
          </cell>
          <cell r="C7926" t="str">
            <v>4|1|100000</v>
          </cell>
          <cell r="D7926" t="str">
            <v>累计登陆555天</v>
          </cell>
          <cell r="E7926" t="str">
            <v>4|1|100000|1</v>
          </cell>
        </row>
        <row r="7927">
          <cell r="A7927">
            <v>103144</v>
          </cell>
          <cell r="B7927">
            <v>0</v>
          </cell>
          <cell r="C7927" t="str">
            <v>4|1|100000</v>
          </cell>
          <cell r="D7927" t="str">
            <v>累计登陆560天</v>
          </cell>
          <cell r="E7927" t="str">
            <v>4|1|100000|1</v>
          </cell>
        </row>
        <row r="7928">
          <cell r="A7928">
            <v>103145</v>
          </cell>
          <cell r="B7928">
            <v>0</v>
          </cell>
          <cell r="C7928" t="str">
            <v>4|1|100000</v>
          </cell>
          <cell r="D7928" t="str">
            <v>累计登陆565天</v>
          </cell>
          <cell r="E7928" t="str">
            <v>4|1|100000|1</v>
          </cell>
        </row>
        <row r="7929">
          <cell r="A7929">
            <v>103146</v>
          </cell>
          <cell r="B7929">
            <v>0</v>
          </cell>
          <cell r="C7929" t="str">
            <v>4|1|100000</v>
          </cell>
          <cell r="D7929" t="str">
            <v>累计登陆570天</v>
          </cell>
          <cell r="E7929" t="str">
            <v>4|1|100000|1</v>
          </cell>
        </row>
        <row r="7930">
          <cell r="A7930">
            <v>103147</v>
          </cell>
          <cell r="B7930">
            <v>0</v>
          </cell>
          <cell r="C7930" t="str">
            <v>4|1|100000</v>
          </cell>
          <cell r="D7930" t="str">
            <v>累计登陆575天</v>
          </cell>
          <cell r="E7930" t="str">
            <v>4|1|100000|1</v>
          </cell>
        </row>
        <row r="7931">
          <cell r="A7931">
            <v>103148</v>
          </cell>
          <cell r="B7931">
            <v>0</v>
          </cell>
          <cell r="C7931" t="str">
            <v>4|1|100000</v>
          </cell>
          <cell r="D7931" t="str">
            <v>累计登陆580天</v>
          </cell>
          <cell r="E7931" t="str">
            <v>4|1|100000|1</v>
          </cell>
        </row>
        <row r="7932">
          <cell r="A7932">
            <v>103149</v>
          </cell>
          <cell r="B7932">
            <v>0</v>
          </cell>
          <cell r="C7932" t="str">
            <v>4|1|100000</v>
          </cell>
          <cell r="D7932" t="str">
            <v>累计登陆585天</v>
          </cell>
          <cell r="E7932" t="str">
            <v>4|1|100000|1</v>
          </cell>
        </row>
        <row r="7933">
          <cell r="A7933">
            <v>103150</v>
          </cell>
          <cell r="B7933">
            <v>0</v>
          </cell>
          <cell r="C7933" t="str">
            <v>4|1|100000</v>
          </cell>
          <cell r="D7933" t="str">
            <v>累计登陆590天</v>
          </cell>
          <cell r="E7933" t="str">
            <v>4|1|100000|1</v>
          </cell>
        </row>
        <row r="7934">
          <cell r="A7934">
            <v>103151</v>
          </cell>
          <cell r="B7934">
            <v>0</v>
          </cell>
          <cell r="C7934" t="str">
            <v>4|1|100000</v>
          </cell>
          <cell r="D7934" t="str">
            <v>累计登陆595天</v>
          </cell>
          <cell r="E7934" t="str">
            <v>4|1|100000|1</v>
          </cell>
        </row>
        <row r="7935">
          <cell r="A7935">
            <v>103152</v>
          </cell>
          <cell r="B7935">
            <v>0</v>
          </cell>
          <cell r="C7935" t="str">
            <v>4|1|100000</v>
          </cell>
          <cell r="D7935" t="str">
            <v>累计登陆600天</v>
          </cell>
          <cell r="E7935" t="str">
            <v>4|1|100000|1</v>
          </cell>
        </row>
        <row r="7936">
          <cell r="A7936">
            <v>103153</v>
          </cell>
          <cell r="B7936">
            <v>0</v>
          </cell>
          <cell r="C7936" t="str">
            <v>4|1|100000</v>
          </cell>
          <cell r="D7936" t="str">
            <v>累计登陆605天</v>
          </cell>
          <cell r="E7936" t="str">
            <v>4|1|100000|1</v>
          </cell>
        </row>
        <row r="7937">
          <cell r="A7937">
            <v>103154</v>
          </cell>
          <cell r="B7937">
            <v>0</v>
          </cell>
          <cell r="C7937" t="str">
            <v>4|1|100000</v>
          </cell>
          <cell r="D7937" t="str">
            <v>累计登陆610天</v>
          </cell>
          <cell r="E7937" t="str">
            <v>4|1|100000|1</v>
          </cell>
        </row>
        <row r="7938">
          <cell r="A7938">
            <v>103155</v>
          </cell>
          <cell r="B7938">
            <v>0</v>
          </cell>
          <cell r="C7938" t="str">
            <v>4|1|100000</v>
          </cell>
          <cell r="D7938" t="str">
            <v>累计登陆615天</v>
          </cell>
          <cell r="E7938" t="str">
            <v>4|1|100000|1</v>
          </cell>
        </row>
        <row r="7939">
          <cell r="A7939">
            <v>103156</v>
          </cell>
          <cell r="B7939">
            <v>0</v>
          </cell>
          <cell r="C7939" t="str">
            <v>4|1|100000</v>
          </cell>
          <cell r="D7939" t="str">
            <v>累计登陆620天</v>
          </cell>
          <cell r="E7939" t="str">
            <v>4|1|100000|1</v>
          </cell>
        </row>
        <row r="7940">
          <cell r="A7940">
            <v>103157</v>
          </cell>
          <cell r="B7940">
            <v>0</v>
          </cell>
          <cell r="C7940" t="str">
            <v>4|1|100000</v>
          </cell>
          <cell r="D7940" t="str">
            <v>累计登陆625天</v>
          </cell>
          <cell r="E7940" t="str">
            <v>4|1|100000|1</v>
          </cell>
        </row>
        <row r="7941">
          <cell r="A7941">
            <v>103158</v>
          </cell>
          <cell r="B7941">
            <v>0</v>
          </cell>
          <cell r="C7941" t="str">
            <v>4|1|100000</v>
          </cell>
          <cell r="D7941" t="str">
            <v>累计登陆630天</v>
          </cell>
          <cell r="E7941" t="str">
            <v>4|1|100000|1</v>
          </cell>
        </row>
        <row r="7942">
          <cell r="A7942">
            <v>103159</v>
          </cell>
          <cell r="B7942">
            <v>0</v>
          </cell>
          <cell r="C7942" t="str">
            <v>4|1|100000</v>
          </cell>
          <cell r="D7942" t="str">
            <v>累计登陆635天</v>
          </cell>
          <cell r="E7942" t="str">
            <v>4|1|100000|1</v>
          </cell>
        </row>
        <row r="7943">
          <cell r="A7943">
            <v>103160</v>
          </cell>
          <cell r="B7943">
            <v>0</v>
          </cell>
          <cell r="C7943" t="str">
            <v>4|1|100000</v>
          </cell>
          <cell r="D7943" t="str">
            <v>累计登陆640天</v>
          </cell>
          <cell r="E7943" t="str">
            <v>4|1|100000|1</v>
          </cell>
        </row>
        <row r="7944">
          <cell r="A7944">
            <v>103161</v>
          </cell>
          <cell r="B7944">
            <v>0</v>
          </cell>
          <cell r="C7944" t="str">
            <v>4|1|100000</v>
          </cell>
          <cell r="D7944" t="str">
            <v>累计登陆645天</v>
          </cell>
          <cell r="E7944" t="str">
            <v>4|1|100000|1</v>
          </cell>
        </row>
        <row r="7945">
          <cell r="A7945">
            <v>103501</v>
          </cell>
          <cell r="B7945">
            <v>0</v>
          </cell>
          <cell r="C7945" t="str">
            <v>1|14003|3</v>
          </cell>
          <cell r="D7945" t="str">
            <v>伙伴等级最高达到5级</v>
          </cell>
          <cell r="E7945" t="str">
            <v>1|14003|3|1</v>
          </cell>
        </row>
        <row r="7946">
          <cell r="A7946">
            <v>103502</v>
          </cell>
          <cell r="B7946">
            <v>0</v>
          </cell>
          <cell r="C7946" t="str">
            <v>1|14003|3</v>
          </cell>
          <cell r="D7946" t="str">
            <v>伙伴等级最高达到10级</v>
          </cell>
          <cell r="E7946" t="str">
            <v>1|14003|3|1</v>
          </cell>
        </row>
        <row r="7947">
          <cell r="A7947">
            <v>103503</v>
          </cell>
          <cell r="B7947">
            <v>0</v>
          </cell>
          <cell r="C7947" t="str">
            <v>1|14003|3</v>
          </cell>
          <cell r="D7947" t="str">
            <v>伙伴等级最高达到15级</v>
          </cell>
          <cell r="E7947" t="str">
            <v>1|14003|3|1</v>
          </cell>
        </row>
        <row r="7948">
          <cell r="A7948">
            <v>103504</v>
          </cell>
          <cell r="B7948">
            <v>0</v>
          </cell>
          <cell r="C7948" t="str">
            <v>1|14003|3</v>
          </cell>
          <cell r="D7948" t="str">
            <v>伙伴等级最高达到20级</v>
          </cell>
          <cell r="E7948" t="str">
            <v>1|14003|3|1</v>
          </cell>
        </row>
        <row r="7949">
          <cell r="A7949">
            <v>103505</v>
          </cell>
          <cell r="B7949">
            <v>0</v>
          </cell>
          <cell r="C7949" t="str">
            <v>1|14003|3</v>
          </cell>
          <cell r="D7949" t="str">
            <v>伙伴等级最高达到25级</v>
          </cell>
          <cell r="E7949" t="str">
            <v>1|14003|3|1</v>
          </cell>
        </row>
        <row r="7950">
          <cell r="A7950">
            <v>103506</v>
          </cell>
          <cell r="B7950">
            <v>0</v>
          </cell>
          <cell r="C7950" t="str">
            <v>1|14003|3</v>
          </cell>
          <cell r="D7950" t="str">
            <v>伙伴等级最高达到30级</v>
          </cell>
          <cell r="E7950" t="str">
            <v>1|14003|3|1</v>
          </cell>
        </row>
        <row r="7951">
          <cell r="A7951">
            <v>103507</v>
          </cell>
          <cell r="B7951">
            <v>0</v>
          </cell>
          <cell r="C7951" t="str">
            <v>1|14003|3</v>
          </cell>
          <cell r="D7951" t="str">
            <v>伙伴等级最高达到35级</v>
          </cell>
          <cell r="E7951" t="str">
            <v>1|14003|3|1</v>
          </cell>
        </row>
        <row r="7952">
          <cell r="A7952">
            <v>103508</v>
          </cell>
          <cell r="B7952">
            <v>0</v>
          </cell>
          <cell r="C7952" t="str">
            <v>1|14003|3</v>
          </cell>
          <cell r="D7952" t="str">
            <v>伙伴等级最高达到40级</v>
          </cell>
          <cell r="E7952" t="str">
            <v>1|14003|3|1</v>
          </cell>
        </row>
        <row r="7953">
          <cell r="A7953">
            <v>103509</v>
          </cell>
          <cell r="B7953">
            <v>0</v>
          </cell>
          <cell r="C7953" t="str">
            <v>1|14003|3</v>
          </cell>
          <cell r="D7953" t="str">
            <v>伙伴等级最高达到45级</v>
          </cell>
          <cell r="E7953" t="str">
            <v>1|14003|3|1</v>
          </cell>
        </row>
        <row r="7954">
          <cell r="A7954">
            <v>103510</v>
          </cell>
          <cell r="B7954">
            <v>0</v>
          </cell>
          <cell r="C7954" t="str">
            <v>1|14003|3</v>
          </cell>
          <cell r="D7954" t="str">
            <v>伙伴等级最高达到50级</v>
          </cell>
          <cell r="E7954" t="str">
            <v>1|14003|3|1</v>
          </cell>
        </row>
        <row r="7955">
          <cell r="A7955">
            <v>103511</v>
          </cell>
          <cell r="B7955">
            <v>0</v>
          </cell>
          <cell r="C7955" t="str">
            <v>1|14003|3</v>
          </cell>
          <cell r="D7955" t="str">
            <v>伙伴等级最高达到55级</v>
          </cell>
          <cell r="E7955" t="str">
            <v>1|14003|3|1</v>
          </cell>
        </row>
        <row r="7956">
          <cell r="A7956">
            <v>103512</v>
          </cell>
          <cell r="B7956">
            <v>0</v>
          </cell>
          <cell r="C7956" t="str">
            <v>1|14003|3</v>
          </cell>
          <cell r="D7956" t="str">
            <v>伙伴等级最高达到60级</v>
          </cell>
          <cell r="E7956" t="str">
            <v>1|14003|3|1</v>
          </cell>
        </row>
        <row r="7957">
          <cell r="A7957">
            <v>103513</v>
          </cell>
          <cell r="B7957">
            <v>0</v>
          </cell>
          <cell r="C7957" t="str">
            <v>1|14003|3</v>
          </cell>
          <cell r="D7957" t="str">
            <v>伙伴等级最高达到65级</v>
          </cell>
          <cell r="E7957" t="str">
            <v>1|14003|3|1</v>
          </cell>
        </row>
        <row r="7958">
          <cell r="A7958">
            <v>103514</v>
          </cell>
          <cell r="B7958">
            <v>0</v>
          </cell>
          <cell r="C7958" t="str">
            <v>1|14003|3</v>
          </cell>
          <cell r="D7958" t="str">
            <v>伙伴等级最高达到70级</v>
          </cell>
          <cell r="E7958" t="str">
            <v>1|14003|3|1</v>
          </cell>
        </row>
        <row r="7959">
          <cell r="A7959">
            <v>103515</v>
          </cell>
          <cell r="B7959">
            <v>0</v>
          </cell>
          <cell r="C7959" t="str">
            <v>1|14003|3</v>
          </cell>
          <cell r="D7959" t="str">
            <v>伙伴等级最高达到75级</v>
          </cell>
          <cell r="E7959" t="str">
            <v>1|14003|3|1</v>
          </cell>
        </row>
        <row r="7960">
          <cell r="A7960">
            <v>103516</v>
          </cell>
          <cell r="B7960">
            <v>0</v>
          </cell>
          <cell r="C7960" t="str">
            <v>1|14003|3</v>
          </cell>
          <cell r="D7960" t="str">
            <v>伙伴等级最高达到80级</v>
          </cell>
          <cell r="E7960" t="str">
            <v>1|14003|3|1</v>
          </cell>
        </row>
        <row r="7961">
          <cell r="A7961">
            <v>103517</v>
          </cell>
          <cell r="B7961">
            <v>0</v>
          </cell>
          <cell r="C7961" t="str">
            <v>1|14003|3</v>
          </cell>
          <cell r="D7961" t="str">
            <v>伙伴等级最高达到85级</v>
          </cell>
          <cell r="E7961" t="str">
            <v>1|14003|3|1</v>
          </cell>
        </row>
        <row r="7962">
          <cell r="A7962">
            <v>103518</v>
          </cell>
          <cell r="B7962">
            <v>0</v>
          </cell>
          <cell r="C7962" t="str">
            <v>1|14003|3</v>
          </cell>
          <cell r="D7962" t="str">
            <v>伙伴等级最高达到90级</v>
          </cell>
          <cell r="E7962" t="str">
            <v>1|14003|3|1</v>
          </cell>
        </row>
        <row r="7963">
          <cell r="A7963">
            <v>103519</v>
          </cell>
          <cell r="B7963">
            <v>0</v>
          </cell>
          <cell r="C7963" t="str">
            <v>1|14003|3</v>
          </cell>
          <cell r="D7963" t="str">
            <v>伙伴等级最高达到95级</v>
          </cell>
          <cell r="E7963" t="str">
            <v>1|14003|3|1</v>
          </cell>
        </row>
        <row r="7964">
          <cell r="A7964">
            <v>103520</v>
          </cell>
          <cell r="B7964">
            <v>0</v>
          </cell>
          <cell r="C7964" t="str">
            <v>1|14003|3</v>
          </cell>
          <cell r="D7964" t="str">
            <v>伙伴等级最高达到100级</v>
          </cell>
          <cell r="E7964" t="str">
            <v>1|14003|3|1</v>
          </cell>
        </row>
        <row r="7965">
          <cell r="A7965">
            <v>103521</v>
          </cell>
          <cell r="B7965">
            <v>0</v>
          </cell>
          <cell r="C7965" t="str">
            <v>1|14003|3</v>
          </cell>
          <cell r="D7965" t="str">
            <v>伙伴等级最高达到105级</v>
          </cell>
          <cell r="E7965" t="str">
            <v>1|14003|3|1</v>
          </cell>
        </row>
        <row r="7966">
          <cell r="A7966">
            <v>103522</v>
          </cell>
          <cell r="B7966">
            <v>0</v>
          </cell>
          <cell r="C7966" t="str">
            <v>1|14003|3</v>
          </cell>
          <cell r="D7966" t="str">
            <v>伙伴等级最高达到110级</v>
          </cell>
          <cell r="E7966" t="str">
            <v>1|14003|3|1</v>
          </cell>
        </row>
        <row r="7967">
          <cell r="A7967">
            <v>103523</v>
          </cell>
          <cell r="B7967">
            <v>0</v>
          </cell>
          <cell r="C7967" t="str">
            <v>1|14003|3</v>
          </cell>
          <cell r="D7967" t="str">
            <v>伙伴等级最高达到115级</v>
          </cell>
          <cell r="E7967" t="str">
            <v>1|14003|3|1</v>
          </cell>
        </row>
        <row r="7968">
          <cell r="A7968">
            <v>103524</v>
          </cell>
          <cell r="B7968">
            <v>0</v>
          </cell>
          <cell r="C7968" t="str">
            <v>1|14003|3</v>
          </cell>
          <cell r="D7968" t="str">
            <v>伙伴等级最高达到120级</v>
          </cell>
          <cell r="E7968" t="str">
            <v>1|14003|3|1</v>
          </cell>
        </row>
        <row r="7969">
          <cell r="A7969">
            <v>103525</v>
          </cell>
          <cell r="B7969">
            <v>0</v>
          </cell>
          <cell r="C7969" t="str">
            <v>1|14003|3</v>
          </cell>
          <cell r="D7969" t="str">
            <v>伙伴等级最高达到125级</v>
          </cell>
          <cell r="E7969" t="str">
            <v>1|14003|3|1</v>
          </cell>
        </row>
        <row r="7970">
          <cell r="A7970">
            <v>103526</v>
          </cell>
          <cell r="B7970">
            <v>0</v>
          </cell>
          <cell r="C7970" t="str">
            <v>1|14003|3</v>
          </cell>
          <cell r="D7970" t="str">
            <v>伙伴等级最高达到130级</v>
          </cell>
          <cell r="E7970" t="str">
            <v>1|14003|3|1</v>
          </cell>
        </row>
        <row r="7971">
          <cell r="A7971">
            <v>103527</v>
          </cell>
          <cell r="B7971">
            <v>0</v>
          </cell>
          <cell r="C7971" t="str">
            <v>1|14003|3</v>
          </cell>
          <cell r="D7971" t="str">
            <v>伙伴等级最高达到135级</v>
          </cell>
          <cell r="E7971" t="str">
            <v>1|14003|3|1</v>
          </cell>
        </row>
        <row r="7972">
          <cell r="A7972">
            <v>103528</v>
          </cell>
          <cell r="B7972">
            <v>0</v>
          </cell>
          <cell r="C7972" t="str">
            <v>1|14003|3</v>
          </cell>
          <cell r="D7972" t="str">
            <v>伙伴等级最高达到140级</v>
          </cell>
          <cell r="E7972" t="str">
            <v>1|14003|3|1</v>
          </cell>
        </row>
        <row r="7973">
          <cell r="A7973">
            <v>103529</v>
          </cell>
          <cell r="B7973">
            <v>0</v>
          </cell>
          <cell r="C7973" t="str">
            <v>1|14003|3</v>
          </cell>
          <cell r="D7973" t="str">
            <v>伙伴等级最高达到145级</v>
          </cell>
          <cell r="E7973" t="str">
            <v>1|14003|3|1</v>
          </cell>
        </row>
        <row r="7974">
          <cell r="A7974">
            <v>103530</v>
          </cell>
          <cell r="B7974">
            <v>0</v>
          </cell>
          <cell r="C7974" t="str">
            <v>1|14003|3</v>
          </cell>
          <cell r="D7974" t="str">
            <v>伙伴等级最高达到150级</v>
          </cell>
          <cell r="E7974" t="str">
            <v>1|14003|3|1</v>
          </cell>
        </row>
        <row r="7975">
          <cell r="A7975">
            <v>103531</v>
          </cell>
          <cell r="B7975">
            <v>0</v>
          </cell>
          <cell r="C7975" t="str">
            <v>1|14003|3</v>
          </cell>
          <cell r="D7975" t="str">
            <v>伙伴等级最高达到155级</v>
          </cell>
          <cell r="E7975" t="str">
            <v>1|14003|3|1</v>
          </cell>
        </row>
        <row r="7976">
          <cell r="A7976">
            <v>103532</v>
          </cell>
          <cell r="B7976">
            <v>0</v>
          </cell>
          <cell r="C7976" t="str">
            <v>1|14003|3</v>
          </cell>
          <cell r="D7976" t="str">
            <v>伙伴等级最高达到160级</v>
          </cell>
          <cell r="E7976" t="str">
            <v>1|14003|3|1</v>
          </cell>
        </row>
        <row r="7977">
          <cell r="A7977">
            <v>103533</v>
          </cell>
          <cell r="B7977">
            <v>0</v>
          </cell>
          <cell r="C7977" t="str">
            <v>1|14003|3</v>
          </cell>
          <cell r="D7977" t="str">
            <v>伙伴等级最高达到165级</v>
          </cell>
          <cell r="E7977" t="str">
            <v>1|14003|3|1</v>
          </cell>
        </row>
        <row r="7978">
          <cell r="A7978">
            <v>103534</v>
          </cell>
          <cell r="B7978">
            <v>0</v>
          </cell>
          <cell r="C7978" t="str">
            <v>1|14003|3</v>
          </cell>
          <cell r="D7978" t="str">
            <v>伙伴等级最高达到170级</v>
          </cell>
          <cell r="E7978" t="str">
            <v>1|14003|3|1</v>
          </cell>
        </row>
        <row r="7979">
          <cell r="A7979">
            <v>103535</v>
          </cell>
          <cell r="B7979">
            <v>0</v>
          </cell>
          <cell r="C7979" t="str">
            <v>1|14003|3</v>
          </cell>
          <cell r="D7979" t="str">
            <v>伙伴等级最高达到175级</v>
          </cell>
          <cell r="E7979" t="str">
            <v>1|14003|3|1</v>
          </cell>
        </row>
        <row r="7980">
          <cell r="A7980">
            <v>103536</v>
          </cell>
          <cell r="B7980">
            <v>0</v>
          </cell>
          <cell r="C7980" t="str">
            <v>1|14003|3</v>
          </cell>
          <cell r="D7980" t="str">
            <v>伙伴等级最高达到180级</v>
          </cell>
          <cell r="E7980" t="str">
            <v>1|14003|3|1</v>
          </cell>
        </row>
        <row r="7981">
          <cell r="A7981">
            <v>103537</v>
          </cell>
          <cell r="B7981">
            <v>0</v>
          </cell>
          <cell r="C7981" t="str">
            <v>1|14003|3</v>
          </cell>
          <cell r="D7981" t="str">
            <v>伙伴等级最高达到185级</v>
          </cell>
          <cell r="E7981" t="str">
            <v>1|14003|3|1</v>
          </cell>
        </row>
        <row r="7982">
          <cell r="A7982">
            <v>103538</v>
          </cell>
          <cell r="B7982">
            <v>0</v>
          </cell>
          <cell r="C7982" t="str">
            <v>1|14003|3</v>
          </cell>
          <cell r="D7982" t="str">
            <v>伙伴等级最高达到190级</v>
          </cell>
          <cell r="E7982" t="str">
            <v>1|14003|3|1</v>
          </cell>
        </row>
        <row r="7983">
          <cell r="A7983">
            <v>103539</v>
          </cell>
          <cell r="B7983">
            <v>0</v>
          </cell>
          <cell r="C7983" t="str">
            <v>1|14003|3</v>
          </cell>
          <cell r="D7983" t="str">
            <v>伙伴等级最高达到195级</v>
          </cell>
          <cell r="E7983" t="str">
            <v>1|14003|3|1</v>
          </cell>
        </row>
        <row r="7984">
          <cell r="A7984">
            <v>103540</v>
          </cell>
          <cell r="B7984">
            <v>0</v>
          </cell>
          <cell r="C7984" t="str">
            <v>1|14003|3</v>
          </cell>
          <cell r="D7984" t="str">
            <v>伙伴等级最高达到200级</v>
          </cell>
          <cell r="E7984" t="str">
            <v>1|14003|3|1</v>
          </cell>
        </row>
        <row r="7985">
          <cell r="A7985">
            <v>103541</v>
          </cell>
          <cell r="B7985">
            <v>0</v>
          </cell>
          <cell r="C7985" t="str">
            <v>1|14003|3</v>
          </cell>
          <cell r="D7985" t="str">
            <v>伙伴等级最高达到205级</v>
          </cell>
          <cell r="E7985" t="str">
            <v>1|14003|3|1</v>
          </cell>
        </row>
        <row r="7986">
          <cell r="A7986">
            <v>103542</v>
          </cell>
          <cell r="B7986">
            <v>0</v>
          </cell>
          <cell r="C7986" t="str">
            <v>1|14003|3</v>
          </cell>
          <cell r="D7986" t="str">
            <v>伙伴等级最高达到210级</v>
          </cell>
          <cell r="E7986" t="str">
            <v>1|14003|3|1</v>
          </cell>
        </row>
        <row r="7987">
          <cell r="A7987">
            <v>103543</v>
          </cell>
          <cell r="B7987">
            <v>0</v>
          </cell>
          <cell r="C7987" t="str">
            <v>1|14003|3</v>
          </cell>
          <cell r="D7987" t="str">
            <v>伙伴等级最高达到215级</v>
          </cell>
          <cell r="E7987" t="str">
            <v>1|14003|3|1</v>
          </cell>
        </row>
        <row r="7988">
          <cell r="A7988">
            <v>103544</v>
          </cell>
          <cell r="B7988">
            <v>0</v>
          </cell>
          <cell r="C7988" t="str">
            <v>1|14003|3</v>
          </cell>
          <cell r="D7988" t="str">
            <v>伙伴等级最高达到220级</v>
          </cell>
          <cell r="E7988" t="str">
            <v>1|14003|3|1</v>
          </cell>
        </row>
        <row r="7989">
          <cell r="A7989">
            <v>103545</v>
          </cell>
          <cell r="B7989">
            <v>0</v>
          </cell>
          <cell r="C7989" t="str">
            <v>1|14003|3</v>
          </cell>
          <cell r="D7989" t="str">
            <v>伙伴等级最高达到225级</v>
          </cell>
          <cell r="E7989" t="str">
            <v>1|14003|3|1</v>
          </cell>
        </row>
        <row r="7990">
          <cell r="A7990">
            <v>103546</v>
          </cell>
          <cell r="B7990">
            <v>0</v>
          </cell>
          <cell r="C7990" t="str">
            <v>1|14003|3</v>
          </cell>
          <cell r="D7990" t="str">
            <v>伙伴等级最高达到230级</v>
          </cell>
          <cell r="E7990" t="str">
            <v>1|14003|3|1</v>
          </cell>
        </row>
        <row r="7991">
          <cell r="A7991">
            <v>103547</v>
          </cell>
          <cell r="B7991">
            <v>0</v>
          </cell>
          <cell r="C7991" t="str">
            <v>1|14003|3</v>
          </cell>
          <cell r="D7991" t="str">
            <v>伙伴等级最高达到235级</v>
          </cell>
          <cell r="E7991" t="str">
            <v>1|14003|3|1</v>
          </cell>
        </row>
        <row r="7992">
          <cell r="A7992">
            <v>103548</v>
          </cell>
          <cell r="B7992">
            <v>0</v>
          </cell>
          <cell r="C7992" t="str">
            <v>1|14003|3</v>
          </cell>
          <cell r="D7992" t="str">
            <v>伙伴等级最高达到240级</v>
          </cell>
          <cell r="E7992" t="str">
            <v>1|14003|3|1</v>
          </cell>
        </row>
        <row r="7993">
          <cell r="A7993">
            <v>103549</v>
          </cell>
          <cell r="B7993">
            <v>0</v>
          </cell>
          <cell r="C7993" t="str">
            <v>1|14003|3</v>
          </cell>
          <cell r="D7993" t="str">
            <v>伙伴等级最高达到245级</v>
          </cell>
          <cell r="E7993" t="str">
            <v>1|14003|3|1</v>
          </cell>
        </row>
        <row r="7994">
          <cell r="A7994">
            <v>103550</v>
          </cell>
          <cell r="B7994">
            <v>0</v>
          </cell>
          <cell r="C7994" t="str">
            <v>1|14003|3</v>
          </cell>
          <cell r="D7994" t="str">
            <v>伙伴等级最高达到250级</v>
          </cell>
          <cell r="E7994" t="str">
            <v>1|14003|3|1</v>
          </cell>
        </row>
        <row r="7995">
          <cell r="A7995">
            <v>103551</v>
          </cell>
          <cell r="B7995">
            <v>0</v>
          </cell>
          <cell r="C7995" t="str">
            <v>1|14003|3</v>
          </cell>
          <cell r="D7995" t="str">
            <v>伙伴等级最高达到255级</v>
          </cell>
          <cell r="E7995" t="str">
            <v>1|14003|3|1</v>
          </cell>
        </row>
        <row r="7996">
          <cell r="A7996">
            <v>103552</v>
          </cell>
          <cell r="B7996">
            <v>0</v>
          </cell>
          <cell r="C7996" t="str">
            <v>1|14003|3</v>
          </cell>
          <cell r="D7996" t="str">
            <v>伙伴等级最高达到260级</v>
          </cell>
          <cell r="E7996" t="str">
            <v>1|14003|3|1</v>
          </cell>
        </row>
        <row r="7997">
          <cell r="A7997">
            <v>103553</v>
          </cell>
          <cell r="B7997">
            <v>0</v>
          </cell>
          <cell r="C7997" t="str">
            <v>1|14003|3</v>
          </cell>
          <cell r="D7997" t="str">
            <v>伙伴等级最高达到265级</v>
          </cell>
          <cell r="E7997" t="str">
            <v>1|14003|3|1</v>
          </cell>
        </row>
        <row r="7998">
          <cell r="A7998">
            <v>103554</v>
          </cell>
          <cell r="B7998">
            <v>0</v>
          </cell>
          <cell r="C7998" t="str">
            <v>1|14003|3</v>
          </cell>
          <cell r="D7998" t="str">
            <v>伙伴等级最高达到270级</v>
          </cell>
          <cell r="E7998" t="str">
            <v>1|14003|3|1</v>
          </cell>
        </row>
        <row r="7999">
          <cell r="A7999">
            <v>103555</v>
          </cell>
          <cell r="B7999">
            <v>0</v>
          </cell>
          <cell r="C7999" t="str">
            <v>1|14003|3</v>
          </cell>
          <cell r="D7999" t="str">
            <v>伙伴等级最高达到275级</v>
          </cell>
          <cell r="E7999" t="str">
            <v>1|14003|3|1</v>
          </cell>
        </row>
        <row r="8000">
          <cell r="A8000">
            <v>103556</v>
          </cell>
          <cell r="B8000">
            <v>0</v>
          </cell>
          <cell r="C8000" t="str">
            <v>1|14003|3</v>
          </cell>
          <cell r="D8000" t="str">
            <v>伙伴等级最高达到280级</v>
          </cell>
          <cell r="E8000" t="str">
            <v>1|14003|3|1</v>
          </cell>
        </row>
        <row r="8001">
          <cell r="A8001">
            <v>103557</v>
          </cell>
          <cell r="B8001">
            <v>0</v>
          </cell>
          <cell r="C8001" t="str">
            <v>1|14003|3</v>
          </cell>
          <cell r="D8001" t="str">
            <v>伙伴等级最高达到285级</v>
          </cell>
          <cell r="E8001" t="str">
            <v>1|14003|3|1</v>
          </cell>
        </row>
        <row r="8002">
          <cell r="A8002">
            <v>103558</v>
          </cell>
          <cell r="B8002">
            <v>0</v>
          </cell>
          <cell r="C8002" t="str">
            <v>1|14003|3</v>
          </cell>
          <cell r="D8002" t="str">
            <v>伙伴等级最高达到290级</v>
          </cell>
          <cell r="E8002" t="str">
            <v>1|14003|3|1</v>
          </cell>
        </row>
        <row r="8003">
          <cell r="A8003">
            <v>103559</v>
          </cell>
          <cell r="B8003">
            <v>0</v>
          </cell>
          <cell r="C8003" t="str">
            <v>1|14003|3</v>
          </cell>
          <cell r="D8003" t="str">
            <v>伙伴等级最高达到295级</v>
          </cell>
          <cell r="E8003" t="str">
            <v>1|14003|3|1</v>
          </cell>
        </row>
        <row r="8004">
          <cell r="A8004">
            <v>103560</v>
          </cell>
          <cell r="B8004">
            <v>0</v>
          </cell>
          <cell r="C8004" t="str">
            <v>1|14003|3</v>
          </cell>
          <cell r="D8004" t="str">
            <v>伙伴等级最高达到300级</v>
          </cell>
          <cell r="E8004" t="str">
            <v>1|14003|3|1</v>
          </cell>
        </row>
        <row r="8005">
          <cell r="A8005">
            <v>103561</v>
          </cell>
          <cell r="B8005">
            <v>0</v>
          </cell>
          <cell r="C8005" t="str">
            <v>1|14003|3</v>
          </cell>
          <cell r="D8005" t="str">
            <v>伙伴等级最高达到305级</v>
          </cell>
          <cell r="E8005" t="str">
            <v>1|14003|3|1</v>
          </cell>
        </row>
        <row r="8006">
          <cell r="A8006">
            <v>103562</v>
          </cell>
          <cell r="B8006">
            <v>0</v>
          </cell>
          <cell r="C8006" t="str">
            <v>1|14003|3</v>
          </cell>
          <cell r="D8006" t="str">
            <v>伙伴等级最高达到310级</v>
          </cell>
          <cell r="E8006" t="str">
            <v>1|14003|3|1</v>
          </cell>
        </row>
        <row r="8007">
          <cell r="A8007">
            <v>103563</v>
          </cell>
          <cell r="B8007">
            <v>0</v>
          </cell>
          <cell r="C8007" t="str">
            <v>1|14003|3</v>
          </cell>
          <cell r="D8007" t="str">
            <v>伙伴等级最高达到315级</v>
          </cell>
          <cell r="E8007" t="str">
            <v>1|14003|3|1</v>
          </cell>
        </row>
        <row r="8008">
          <cell r="A8008">
            <v>103564</v>
          </cell>
          <cell r="B8008">
            <v>0</v>
          </cell>
          <cell r="C8008" t="str">
            <v>1|14003|3</v>
          </cell>
          <cell r="D8008" t="str">
            <v>伙伴等级最高达到320级</v>
          </cell>
          <cell r="E8008" t="str">
            <v>1|14003|3|1</v>
          </cell>
        </row>
        <row r="8009">
          <cell r="A8009">
            <v>103565</v>
          </cell>
          <cell r="B8009">
            <v>0</v>
          </cell>
          <cell r="C8009" t="str">
            <v>1|14003|3</v>
          </cell>
          <cell r="D8009" t="str">
            <v>伙伴等级最高达到325级</v>
          </cell>
          <cell r="E8009" t="str">
            <v>1|14003|3|1</v>
          </cell>
        </row>
        <row r="8010">
          <cell r="A8010">
            <v>103566</v>
          </cell>
          <cell r="B8010">
            <v>0</v>
          </cell>
          <cell r="C8010" t="str">
            <v>1|14003|3</v>
          </cell>
          <cell r="D8010" t="str">
            <v>伙伴等级最高达到330级</v>
          </cell>
          <cell r="E8010" t="str">
            <v>1|14003|3|1</v>
          </cell>
        </row>
        <row r="8011">
          <cell r="A8011">
            <v>103567</v>
          </cell>
          <cell r="B8011">
            <v>0</v>
          </cell>
          <cell r="C8011" t="str">
            <v>1|14003|3</v>
          </cell>
          <cell r="D8011" t="str">
            <v>伙伴等级最高达到335级</v>
          </cell>
          <cell r="E8011" t="str">
            <v>1|14003|3|1</v>
          </cell>
        </row>
        <row r="8012">
          <cell r="A8012">
            <v>103568</v>
          </cell>
          <cell r="B8012">
            <v>0</v>
          </cell>
          <cell r="C8012" t="str">
            <v>1|14003|3</v>
          </cell>
          <cell r="D8012" t="str">
            <v>伙伴等级最高达到340级</v>
          </cell>
          <cell r="E8012" t="str">
            <v>1|14003|3|1</v>
          </cell>
        </row>
        <row r="8013">
          <cell r="A8013">
            <v>103569</v>
          </cell>
          <cell r="B8013">
            <v>0</v>
          </cell>
          <cell r="C8013" t="str">
            <v>1|14003|3</v>
          </cell>
          <cell r="D8013" t="str">
            <v>伙伴等级最高达到345级</v>
          </cell>
          <cell r="E8013" t="str">
            <v>1|14003|3|1</v>
          </cell>
        </row>
        <row r="8014">
          <cell r="A8014">
            <v>103570</v>
          </cell>
          <cell r="B8014">
            <v>0</v>
          </cell>
          <cell r="C8014" t="str">
            <v>1|14003|3</v>
          </cell>
          <cell r="D8014" t="str">
            <v>伙伴等级最高达到350级</v>
          </cell>
          <cell r="E8014" t="str">
            <v>1|14003|3|1</v>
          </cell>
        </row>
        <row r="8015">
          <cell r="A8015">
            <v>103571</v>
          </cell>
          <cell r="B8015">
            <v>0</v>
          </cell>
          <cell r="C8015" t="str">
            <v>1|14003|3</v>
          </cell>
          <cell r="D8015" t="str">
            <v>伙伴等级最高达到355级</v>
          </cell>
          <cell r="E8015" t="str">
            <v>1|14003|3|1</v>
          </cell>
        </row>
        <row r="8016">
          <cell r="A8016">
            <v>103572</v>
          </cell>
          <cell r="B8016">
            <v>0</v>
          </cell>
          <cell r="C8016" t="str">
            <v>1|14003|3</v>
          </cell>
          <cell r="D8016" t="str">
            <v>伙伴等级最高达到360级</v>
          </cell>
          <cell r="E8016" t="str">
            <v>1|14003|3|1</v>
          </cell>
        </row>
        <row r="8017">
          <cell r="A8017">
            <v>103573</v>
          </cell>
          <cell r="B8017">
            <v>0</v>
          </cell>
          <cell r="C8017" t="str">
            <v>1|14003|3</v>
          </cell>
          <cell r="D8017" t="str">
            <v>伙伴等级最高达到365级</v>
          </cell>
          <cell r="E8017" t="str">
            <v>1|14003|3|1</v>
          </cell>
        </row>
        <row r="8018">
          <cell r="A8018">
            <v>103574</v>
          </cell>
          <cell r="B8018">
            <v>0</v>
          </cell>
          <cell r="C8018" t="str">
            <v>1|14003|3</v>
          </cell>
          <cell r="D8018" t="str">
            <v>伙伴等级最高达到370级</v>
          </cell>
          <cell r="E8018" t="str">
            <v>1|14003|3|1</v>
          </cell>
        </row>
        <row r="8019">
          <cell r="A8019">
            <v>103575</v>
          </cell>
          <cell r="B8019">
            <v>0</v>
          </cell>
          <cell r="C8019" t="str">
            <v>1|14003|3</v>
          </cell>
          <cell r="D8019" t="str">
            <v>伙伴等级最高达到375级</v>
          </cell>
          <cell r="E8019" t="str">
            <v>1|14003|3|1</v>
          </cell>
        </row>
        <row r="8020">
          <cell r="A8020">
            <v>104001</v>
          </cell>
          <cell r="B8020">
            <v>0</v>
          </cell>
          <cell r="C8020" t="str">
            <v>4|3|1500</v>
          </cell>
          <cell r="D8020" t="str">
            <v>大雁塔达到5层</v>
          </cell>
          <cell r="E8020" t="str">
            <v>4|3|1500|1</v>
          </cell>
        </row>
        <row r="8021">
          <cell r="A8021">
            <v>104002</v>
          </cell>
          <cell r="B8021">
            <v>0</v>
          </cell>
          <cell r="C8021" t="str">
            <v>4|3|1500</v>
          </cell>
          <cell r="D8021" t="str">
            <v>大雁塔达到10层</v>
          </cell>
          <cell r="E8021" t="str">
            <v>4|3|1500|1</v>
          </cell>
        </row>
        <row r="8022">
          <cell r="A8022">
            <v>104003</v>
          </cell>
          <cell r="B8022">
            <v>0</v>
          </cell>
          <cell r="C8022" t="str">
            <v>4|3|1500</v>
          </cell>
          <cell r="D8022" t="str">
            <v>大雁塔达到15层</v>
          </cell>
          <cell r="E8022" t="str">
            <v>4|3|1500|1</v>
          </cell>
        </row>
        <row r="8023">
          <cell r="A8023">
            <v>104004</v>
          </cell>
          <cell r="B8023">
            <v>0</v>
          </cell>
          <cell r="C8023" t="str">
            <v>4|3|1500</v>
          </cell>
          <cell r="D8023" t="str">
            <v>大雁塔达到20层</v>
          </cell>
          <cell r="E8023" t="str">
            <v>4|3|1500|1</v>
          </cell>
        </row>
        <row r="8024">
          <cell r="A8024">
            <v>104005</v>
          </cell>
          <cell r="B8024">
            <v>0</v>
          </cell>
          <cell r="C8024" t="str">
            <v>4|3|1500</v>
          </cell>
          <cell r="D8024" t="str">
            <v>大雁塔达到25层</v>
          </cell>
          <cell r="E8024" t="str">
            <v>4|3|1500|1</v>
          </cell>
        </row>
        <row r="8025">
          <cell r="A8025">
            <v>104006</v>
          </cell>
          <cell r="B8025">
            <v>0</v>
          </cell>
          <cell r="C8025" t="str">
            <v>4|3|1500</v>
          </cell>
          <cell r="D8025" t="str">
            <v>大雁塔达到30层</v>
          </cell>
          <cell r="E8025" t="str">
            <v>4|3|1500|1</v>
          </cell>
        </row>
        <row r="8026">
          <cell r="A8026">
            <v>104007</v>
          </cell>
          <cell r="B8026">
            <v>0</v>
          </cell>
          <cell r="C8026" t="str">
            <v>4|3|1500</v>
          </cell>
          <cell r="D8026" t="str">
            <v>大雁塔达到35层</v>
          </cell>
          <cell r="E8026" t="str">
            <v>4|3|1500|1</v>
          </cell>
        </row>
        <row r="8027">
          <cell r="A8027">
            <v>104008</v>
          </cell>
          <cell r="B8027">
            <v>0</v>
          </cell>
          <cell r="C8027" t="str">
            <v>4|3|1500</v>
          </cell>
          <cell r="D8027" t="str">
            <v>大雁塔达到40层</v>
          </cell>
          <cell r="E8027" t="str">
            <v>4|3|1500|1</v>
          </cell>
        </row>
        <row r="8028">
          <cell r="A8028">
            <v>104009</v>
          </cell>
          <cell r="B8028">
            <v>0</v>
          </cell>
          <cell r="C8028" t="str">
            <v>4|3|1500</v>
          </cell>
          <cell r="D8028" t="str">
            <v>大雁塔达到45层</v>
          </cell>
          <cell r="E8028" t="str">
            <v>4|3|1500|1</v>
          </cell>
        </row>
        <row r="8029">
          <cell r="A8029">
            <v>104010</v>
          </cell>
          <cell r="B8029">
            <v>0</v>
          </cell>
          <cell r="C8029" t="str">
            <v>4|3|1500</v>
          </cell>
          <cell r="D8029" t="str">
            <v>大雁塔达到50层</v>
          </cell>
          <cell r="E8029" t="str">
            <v>4|3|1500|1</v>
          </cell>
        </row>
        <row r="8030">
          <cell r="A8030">
            <v>104011</v>
          </cell>
          <cell r="B8030">
            <v>0</v>
          </cell>
          <cell r="C8030" t="str">
            <v>4|3|1500</v>
          </cell>
          <cell r="D8030" t="str">
            <v>大雁塔达到55层</v>
          </cell>
          <cell r="E8030" t="str">
            <v>4|3|1500|1</v>
          </cell>
        </row>
        <row r="8031">
          <cell r="A8031">
            <v>104012</v>
          </cell>
          <cell r="B8031">
            <v>0</v>
          </cell>
          <cell r="C8031" t="str">
            <v>4|3|1500</v>
          </cell>
          <cell r="D8031" t="str">
            <v>大雁塔达到60层</v>
          </cell>
          <cell r="E8031" t="str">
            <v>4|3|1500|1</v>
          </cell>
        </row>
        <row r="8032">
          <cell r="A8032">
            <v>104013</v>
          </cell>
          <cell r="B8032">
            <v>0</v>
          </cell>
          <cell r="C8032" t="str">
            <v>4|3|1500</v>
          </cell>
          <cell r="D8032" t="str">
            <v>大雁塔达到65层</v>
          </cell>
          <cell r="E8032" t="str">
            <v>4|3|1500|1</v>
          </cell>
        </row>
        <row r="8033">
          <cell r="A8033">
            <v>104014</v>
          </cell>
          <cell r="B8033">
            <v>0</v>
          </cell>
          <cell r="C8033" t="str">
            <v>4|3|1500</v>
          </cell>
          <cell r="D8033" t="str">
            <v>大雁塔达到70层</v>
          </cell>
          <cell r="E8033" t="str">
            <v>4|3|1500|1</v>
          </cell>
        </row>
        <row r="8034">
          <cell r="A8034">
            <v>104015</v>
          </cell>
          <cell r="B8034">
            <v>0</v>
          </cell>
          <cell r="C8034" t="str">
            <v>4|3|1500</v>
          </cell>
          <cell r="D8034" t="str">
            <v>大雁塔达到75层</v>
          </cell>
          <cell r="E8034" t="str">
            <v>4|3|1500|1</v>
          </cell>
        </row>
        <row r="8035">
          <cell r="A8035">
            <v>104016</v>
          </cell>
          <cell r="B8035">
            <v>0</v>
          </cell>
          <cell r="C8035" t="str">
            <v>4|3|1500</v>
          </cell>
          <cell r="D8035" t="str">
            <v>大雁塔达到80层</v>
          </cell>
          <cell r="E8035" t="str">
            <v>4|3|1500|1</v>
          </cell>
        </row>
        <row r="8036">
          <cell r="A8036">
            <v>104017</v>
          </cell>
          <cell r="B8036">
            <v>0</v>
          </cell>
          <cell r="C8036" t="str">
            <v>4|3|1500</v>
          </cell>
          <cell r="D8036" t="str">
            <v>大雁塔达到85层</v>
          </cell>
          <cell r="E8036" t="str">
            <v>4|3|1500|1</v>
          </cell>
        </row>
        <row r="8037">
          <cell r="A8037">
            <v>104018</v>
          </cell>
          <cell r="B8037">
            <v>0</v>
          </cell>
          <cell r="C8037" t="str">
            <v>4|3|1500</v>
          </cell>
          <cell r="D8037" t="str">
            <v>大雁塔达到90层</v>
          </cell>
          <cell r="E8037" t="str">
            <v>4|3|1500|1</v>
          </cell>
        </row>
        <row r="8038">
          <cell r="A8038">
            <v>104019</v>
          </cell>
          <cell r="B8038">
            <v>0</v>
          </cell>
          <cell r="C8038" t="str">
            <v>4|3|1500</v>
          </cell>
          <cell r="D8038" t="str">
            <v>大雁塔达到95层</v>
          </cell>
          <cell r="E8038" t="str">
            <v>4|3|1500|1</v>
          </cell>
        </row>
        <row r="8039">
          <cell r="A8039">
            <v>104020</v>
          </cell>
          <cell r="B8039">
            <v>0</v>
          </cell>
          <cell r="C8039" t="str">
            <v>4|3|1500</v>
          </cell>
          <cell r="D8039" t="str">
            <v>大雁塔达到100层</v>
          </cell>
          <cell r="E8039" t="str">
            <v>4|3|1500|1</v>
          </cell>
        </row>
        <row r="8040">
          <cell r="A8040">
            <v>104501</v>
          </cell>
          <cell r="B8040">
            <v>0</v>
          </cell>
          <cell r="C8040" t="str">
            <v>4|1|40000</v>
          </cell>
          <cell r="D8040" t="str">
            <v>装备强化最高达到2级</v>
          </cell>
          <cell r="E8040" t="str">
            <v>4|1|40000|1</v>
          </cell>
        </row>
        <row r="8041">
          <cell r="A8041">
            <v>104502</v>
          </cell>
          <cell r="B8041">
            <v>0</v>
          </cell>
          <cell r="C8041" t="str">
            <v>4|1|40000</v>
          </cell>
          <cell r="D8041" t="str">
            <v>装备强化最高达到4级</v>
          </cell>
          <cell r="E8041" t="str">
            <v>4|1|40000|1</v>
          </cell>
        </row>
        <row r="8042">
          <cell r="A8042">
            <v>104503</v>
          </cell>
          <cell r="B8042">
            <v>0</v>
          </cell>
          <cell r="C8042" t="str">
            <v>4|1|40000</v>
          </cell>
          <cell r="D8042" t="str">
            <v>装备强化最高达到6级</v>
          </cell>
          <cell r="E8042" t="str">
            <v>4|1|40000|1</v>
          </cell>
        </row>
        <row r="8043">
          <cell r="A8043">
            <v>104504</v>
          </cell>
          <cell r="B8043">
            <v>0</v>
          </cell>
          <cell r="C8043" t="str">
            <v>4|1|40000</v>
          </cell>
          <cell r="D8043" t="str">
            <v>装备强化最高达到8级</v>
          </cell>
          <cell r="E8043" t="str">
            <v>4|1|40000|1</v>
          </cell>
        </row>
        <row r="8044">
          <cell r="A8044">
            <v>104505</v>
          </cell>
          <cell r="B8044">
            <v>0</v>
          </cell>
          <cell r="C8044" t="str">
            <v>4|1|40000</v>
          </cell>
          <cell r="D8044" t="str">
            <v>装备强化最高达到10级</v>
          </cell>
          <cell r="E8044" t="str">
            <v>4|1|40000|1</v>
          </cell>
        </row>
        <row r="8045">
          <cell r="A8045">
            <v>104506</v>
          </cell>
          <cell r="B8045">
            <v>0</v>
          </cell>
          <cell r="C8045" t="str">
            <v>4|1|40000</v>
          </cell>
          <cell r="D8045" t="str">
            <v>装备强化最高达到12级</v>
          </cell>
          <cell r="E8045" t="str">
            <v>4|1|40000|1</v>
          </cell>
        </row>
        <row r="8046">
          <cell r="A8046">
            <v>104507</v>
          </cell>
          <cell r="B8046">
            <v>0</v>
          </cell>
          <cell r="C8046" t="str">
            <v>4|1|40000</v>
          </cell>
          <cell r="D8046" t="str">
            <v>装备强化最高达到14级</v>
          </cell>
          <cell r="E8046" t="str">
            <v>4|1|40000|1</v>
          </cell>
        </row>
        <row r="8047">
          <cell r="A8047">
            <v>104508</v>
          </cell>
          <cell r="B8047">
            <v>0</v>
          </cell>
          <cell r="C8047" t="str">
            <v>4|1|40000</v>
          </cell>
          <cell r="D8047" t="str">
            <v>装备强化最高达到16级</v>
          </cell>
          <cell r="E8047" t="str">
            <v>4|1|40000|1</v>
          </cell>
        </row>
        <row r="8048">
          <cell r="A8048">
            <v>104509</v>
          </cell>
          <cell r="B8048">
            <v>0</v>
          </cell>
          <cell r="C8048" t="str">
            <v>4|1|60000</v>
          </cell>
          <cell r="D8048" t="str">
            <v>装备强化最高达到18级</v>
          </cell>
          <cell r="E8048" t="str">
            <v>4|1|60000|1</v>
          </cell>
        </row>
        <row r="8049">
          <cell r="A8049">
            <v>104510</v>
          </cell>
          <cell r="B8049">
            <v>0</v>
          </cell>
          <cell r="C8049" t="str">
            <v>4|1|60000</v>
          </cell>
          <cell r="D8049" t="str">
            <v>装备强化最高达到20级</v>
          </cell>
          <cell r="E8049" t="str">
            <v>4|1|60000|1</v>
          </cell>
        </row>
        <row r="8050">
          <cell r="A8050">
            <v>104511</v>
          </cell>
          <cell r="B8050">
            <v>0</v>
          </cell>
          <cell r="C8050" t="str">
            <v>4|1|80000</v>
          </cell>
          <cell r="D8050" t="str">
            <v>装备强化最高达到22级</v>
          </cell>
          <cell r="E8050" t="str">
            <v>4|1|80000|1</v>
          </cell>
        </row>
        <row r="8051">
          <cell r="A8051">
            <v>104512</v>
          </cell>
          <cell r="B8051">
            <v>0</v>
          </cell>
          <cell r="C8051" t="str">
            <v>4|1|80000</v>
          </cell>
          <cell r="D8051" t="str">
            <v>装备强化最高达到24级</v>
          </cell>
          <cell r="E8051" t="str">
            <v>4|1|80000|1</v>
          </cell>
        </row>
        <row r="8052">
          <cell r="A8052">
            <v>104513</v>
          </cell>
          <cell r="B8052">
            <v>0</v>
          </cell>
          <cell r="C8052" t="str">
            <v>4|1|100000</v>
          </cell>
          <cell r="D8052" t="str">
            <v>装备强化最高达到26级</v>
          </cell>
          <cell r="E8052" t="str">
            <v>4|1|100000|1</v>
          </cell>
        </row>
        <row r="8053">
          <cell r="A8053">
            <v>104514</v>
          </cell>
          <cell r="B8053">
            <v>0</v>
          </cell>
          <cell r="C8053" t="str">
            <v>4|1|100000</v>
          </cell>
          <cell r="D8053" t="str">
            <v>装备强化最高达到28级</v>
          </cell>
          <cell r="E8053" t="str">
            <v>4|1|100000|1</v>
          </cell>
        </row>
        <row r="8054">
          <cell r="A8054">
            <v>104515</v>
          </cell>
          <cell r="B8054">
            <v>0</v>
          </cell>
          <cell r="C8054" t="str">
            <v>4|1|100000</v>
          </cell>
          <cell r="D8054" t="str">
            <v>装备强化最高达到30级</v>
          </cell>
          <cell r="E8054" t="str">
            <v>4|1|100000|1</v>
          </cell>
        </row>
        <row r="8055">
          <cell r="A8055">
            <v>104516</v>
          </cell>
          <cell r="B8055">
            <v>0</v>
          </cell>
          <cell r="C8055" t="str">
            <v>4|1|100000</v>
          </cell>
          <cell r="D8055" t="str">
            <v>装备强化最高达到32级</v>
          </cell>
          <cell r="E8055" t="str">
            <v>4|1|100000|1</v>
          </cell>
        </row>
        <row r="8056">
          <cell r="A8056">
            <v>104517</v>
          </cell>
          <cell r="B8056">
            <v>0</v>
          </cell>
          <cell r="C8056" t="str">
            <v>4|1|100000</v>
          </cell>
          <cell r="D8056" t="str">
            <v>装备强化最高达到34级</v>
          </cell>
          <cell r="E8056" t="str">
            <v>4|1|100000|1</v>
          </cell>
        </row>
        <row r="8057">
          <cell r="A8057">
            <v>104518</v>
          </cell>
          <cell r="B8057">
            <v>0</v>
          </cell>
          <cell r="C8057" t="str">
            <v>4|1|100000</v>
          </cell>
          <cell r="D8057" t="str">
            <v>装备强化最高达到36级</v>
          </cell>
          <cell r="E8057" t="str">
            <v>4|1|100000|1</v>
          </cell>
        </row>
        <row r="8058">
          <cell r="A8058">
            <v>104519</v>
          </cell>
          <cell r="B8058">
            <v>0</v>
          </cell>
          <cell r="C8058" t="str">
            <v>4|1|100000</v>
          </cell>
          <cell r="D8058" t="str">
            <v>装备强化最高达到38级</v>
          </cell>
          <cell r="E8058" t="str">
            <v>4|1|100000|1</v>
          </cell>
        </row>
        <row r="8059">
          <cell r="A8059">
            <v>104520</v>
          </cell>
          <cell r="B8059">
            <v>0</v>
          </cell>
          <cell r="C8059" t="str">
            <v>4|1|100000</v>
          </cell>
          <cell r="D8059" t="str">
            <v>装备强化最高达到40级</v>
          </cell>
          <cell r="E8059" t="str">
            <v>4|1|100000|1</v>
          </cell>
        </row>
        <row r="8060">
          <cell r="A8060">
            <v>104521</v>
          </cell>
          <cell r="B8060">
            <v>0</v>
          </cell>
          <cell r="C8060" t="str">
            <v>4|1|100000</v>
          </cell>
          <cell r="D8060" t="str">
            <v>装备强化最高达到42级</v>
          </cell>
          <cell r="E8060" t="str">
            <v>4|1|100000|1</v>
          </cell>
        </row>
        <row r="8061">
          <cell r="A8061">
            <v>104522</v>
          </cell>
          <cell r="B8061">
            <v>0</v>
          </cell>
          <cell r="C8061" t="str">
            <v>4|1|100000</v>
          </cell>
          <cell r="D8061" t="str">
            <v>装备强化最高达到44级</v>
          </cell>
          <cell r="E8061" t="str">
            <v>4|1|100000|1</v>
          </cell>
        </row>
        <row r="8062">
          <cell r="A8062">
            <v>104523</v>
          </cell>
          <cell r="B8062">
            <v>0</v>
          </cell>
          <cell r="C8062" t="str">
            <v>4|1|100000</v>
          </cell>
          <cell r="D8062" t="str">
            <v>装备强化最高达到46级</v>
          </cell>
          <cell r="E8062" t="str">
            <v>4|1|100000|1</v>
          </cell>
        </row>
        <row r="8063">
          <cell r="A8063">
            <v>104524</v>
          </cell>
          <cell r="B8063">
            <v>0</v>
          </cell>
          <cell r="C8063" t="str">
            <v>4|1|100000</v>
          </cell>
          <cell r="D8063" t="str">
            <v>装备强化最高达到48级</v>
          </cell>
          <cell r="E8063" t="str">
            <v>4|1|100000|1</v>
          </cell>
        </row>
        <row r="8064">
          <cell r="A8064">
            <v>104525</v>
          </cell>
          <cell r="B8064">
            <v>0</v>
          </cell>
          <cell r="C8064" t="str">
            <v>4|1|100000</v>
          </cell>
          <cell r="D8064" t="str">
            <v>装备强化最高达到50级</v>
          </cell>
          <cell r="E8064" t="str">
            <v>4|1|100000|1</v>
          </cell>
        </row>
        <row r="8065">
          <cell r="A8065">
            <v>104526</v>
          </cell>
          <cell r="B8065">
            <v>0</v>
          </cell>
          <cell r="C8065" t="str">
            <v>4|1|100000</v>
          </cell>
          <cell r="D8065" t="str">
            <v>装备强化最高达到52级</v>
          </cell>
          <cell r="E8065" t="str">
            <v>4|1|100000|1</v>
          </cell>
        </row>
        <row r="8066">
          <cell r="A8066">
            <v>104527</v>
          </cell>
          <cell r="B8066">
            <v>0</v>
          </cell>
          <cell r="C8066" t="str">
            <v>4|1|100000</v>
          </cell>
          <cell r="D8066" t="str">
            <v>装备强化最高达到54级</v>
          </cell>
          <cell r="E8066" t="str">
            <v>4|1|100000|1</v>
          </cell>
        </row>
        <row r="8067">
          <cell r="A8067">
            <v>104528</v>
          </cell>
          <cell r="B8067">
            <v>0</v>
          </cell>
          <cell r="C8067" t="str">
            <v>4|1|100000</v>
          </cell>
          <cell r="D8067" t="str">
            <v>装备强化最高达到56级</v>
          </cell>
          <cell r="E8067" t="str">
            <v>4|1|100000|1</v>
          </cell>
        </row>
        <row r="8068">
          <cell r="A8068">
            <v>104529</v>
          </cell>
          <cell r="B8068">
            <v>0</v>
          </cell>
          <cell r="C8068" t="str">
            <v>4|1|100000</v>
          </cell>
          <cell r="D8068" t="str">
            <v>装备强化最高达到58级</v>
          </cell>
          <cell r="E8068" t="str">
            <v>4|1|100000|1</v>
          </cell>
        </row>
        <row r="8069">
          <cell r="A8069">
            <v>104530</v>
          </cell>
          <cell r="B8069">
            <v>0</v>
          </cell>
          <cell r="C8069" t="str">
            <v>4|1|100000</v>
          </cell>
          <cell r="D8069" t="str">
            <v>装备强化最高达到60级</v>
          </cell>
          <cell r="E8069" t="str">
            <v>4|1|100000|1</v>
          </cell>
        </row>
        <row r="8070">
          <cell r="A8070">
            <v>104531</v>
          </cell>
          <cell r="B8070">
            <v>0</v>
          </cell>
          <cell r="C8070" t="str">
            <v>4|1|100000</v>
          </cell>
          <cell r="D8070" t="str">
            <v>装备强化最高达到62级</v>
          </cell>
          <cell r="E8070" t="str">
            <v>4|1|100000|1</v>
          </cell>
        </row>
        <row r="8071">
          <cell r="A8071">
            <v>104532</v>
          </cell>
          <cell r="B8071">
            <v>0</v>
          </cell>
          <cell r="C8071" t="str">
            <v>4|1|100000</v>
          </cell>
          <cell r="D8071" t="str">
            <v>装备强化最高达到64级</v>
          </cell>
          <cell r="E8071" t="str">
            <v>4|1|100000|1</v>
          </cell>
        </row>
        <row r="8072">
          <cell r="A8072">
            <v>104533</v>
          </cell>
          <cell r="B8072">
            <v>0</v>
          </cell>
          <cell r="C8072" t="str">
            <v>4|1|100000</v>
          </cell>
          <cell r="D8072" t="str">
            <v>装备强化最高达到66级</v>
          </cell>
          <cell r="E8072" t="str">
            <v>4|1|100000|1</v>
          </cell>
        </row>
        <row r="8073">
          <cell r="A8073">
            <v>104534</v>
          </cell>
          <cell r="B8073">
            <v>0</v>
          </cell>
          <cell r="C8073" t="str">
            <v>4|1|100000</v>
          </cell>
          <cell r="D8073" t="str">
            <v>装备强化最高达到68级</v>
          </cell>
          <cell r="E8073" t="str">
            <v>4|1|100000|1</v>
          </cell>
        </row>
        <row r="8074">
          <cell r="A8074">
            <v>104535</v>
          </cell>
          <cell r="B8074">
            <v>0</v>
          </cell>
          <cell r="C8074" t="str">
            <v>4|1|100000</v>
          </cell>
          <cell r="D8074" t="str">
            <v>装备强化最高达到70级</v>
          </cell>
          <cell r="E8074" t="str">
            <v>4|1|100000|1</v>
          </cell>
        </row>
        <row r="8075">
          <cell r="A8075">
            <v>104536</v>
          </cell>
          <cell r="B8075">
            <v>0</v>
          </cell>
          <cell r="C8075" t="str">
            <v>4|1|100000</v>
          </cell>
          <cell r="D8075" t="str">
            <v>装备强化最高达到72级</v>
          </cell>
          <cell r="E8075" t="str">
            <v>4|1|100000|1</v>
          </cell>
        </row>
        <row r="8076">
          <cell r="A8076">
            <v>104537</v>
          </cell>
          <cell r="B8076">
            <v>0</v>
          </cell>
          <cell r="C8076" t="str">
            <v>4|1|100000</v>
          </cell>
          <cell r="D8076" t="str">
            <v>装备强化最高达到74级</v>
          </cell>
          <cell r="E8076" t="str">
            <v>4|1|100000|1</v>
          </cell>
        </row>
        <row r="8077">
          <cell r="A8077">
            <v>104538</v>
          </cell>
          <cell r="B8077">
            <v>0</v>
          </cell>
          <cell r="C8077" t="str">
            <v>4|1|100000</v>
          </cell>
          <cell r="D8077" t="str">
            <v>装备强化最高达到76级</v>
          </cell>
          <cell r="E8077" t="str">
            <v>4|1|100000|1</v>
          </cell>
        </row>
        <row r="8078">
          <cell r="A8078">
            <v>104539</v>
          </cell>
          <cell r="B8078">
            <v>0</v>
          </cell>
          <cell r="C8078" t="str">
            <v>4|1|100000</v>
          </cell>
          <cell r="D8078" t="str">
            <v>装备强化最高达到78级</v>
          </cell>
          <cell r="E8078" t="str">
            <v>4|1|100000|1</v>
          </cell>
        </row>
        <row r="8079">
          <cell r="A8079">
            <v>104540</v>
          </cell>
          <cell r="B8079">
            <v>0</v>
          </cell>
          <cell r="C8079" t="str">
            <v>4|1|100000</v>
          </cell>
          <cell r="D8079" t="str">
            <v>装备强化最高达到80级</v>
          </cell>
          <cell r="E8079" t="str">
            <v>4|1|100000|1</v>
          </cell>
        </row>
        <row r="8080">
          <cell r="A8080">
            <v>104541</v>
          </cell>
          <cell r="B8080">
            <v>0</v>
          </cell>
          <cell r="C8080" t="str">
            <v>4|1|100000</v>
          </cell>
          <cell r="D8080" t="str">
            <v>装备强化最高达到82级</v>
          </cell>
          <cell r="E8080" t="str">
            <v>4|1|100000|1</v>
          </cell>
        </row>
        <row r="8081">
          <cell r="A8081">
            <v>104542</v>
          </cell>
          <cell r="B8081">
            <v>0</v>
          </cell>
          <cell r="C8081" t="str">
            <v>4|1|100000</v>
          </cell>
          <cell r="D8081" t="str">
            <v>装备强化最高达到84级</v>
          </cell>
          <cell r="E8081" t="str">
            <v>4|1|100000|1</v>
          </cell>
        </row>
        <row r="8082">
          <cell r="A8082">
            <v>104543</v>
          </cell>
          <cell r="B8082">
            <v>0</v>
          </cell>
          <cell r="C8082" t="str">
            <v>4|1|100000</v>
          </cell>
          <cell r="D8082" t="str">
            <v>装备强化最高达到86级</v>
          </cell>
          <cell r="E8082" t="str">
            <v>4|1|100000|1</v>
          </cell>
        </row>
        <row r="8083">
          <cell r="A8083">
            <v>104544</v>
          </cell>
          <cell r="B8083">
            <v>0</v>
          </cell>
          <cell r="C8083" t="str">
            <v>4|1|100000</v>
          </cell>
          <cell r="D8083" t="str">
            <v>装备强化最高达到88级</v>
          </cell>
          <cell r="E8083" t="str">
            <v>4|1|100000|1</v>
          </cell>
        </row>
        <row r="8084">
          <cell r="A8084">
            <v>104545</v>
          </cell>
          <cell r="B8084">
            <v>0</v>
          </cell>
          <cell r="C8084" t="str">
            <v>4|1|100000</v>
          </cell>
          <cell r="D8084" t="str">
            <v>装备强化最高达到90级</v>
          </cell>
          <cell r="E8084" t="str">
            <v>4|1|100000|1</v>
          </cell>
        </row>
        <row r="8085">
          <cell r="A8085">
            <v>104546</v>
          </cell>
          <cell r="B8085">
            <v>0</v>
          </cell>
          <cell r="C8085" t="str">
            <v>4|1|100000</v>
          </cell>
          <cell r="D8085" t="str">
            <v>装备强化最高达到92级</v>
          </cell>
          <cell r="E8085" t="str">
            <v>4|1|100000|1</v>
          </cell>
        </row>
        <row r="8086">
          <cell r="A8086">
            <v>104547</v>
          </cell>
          <cell r="B8086">
            <v>0</v>
          </cell>
          <cell r="C8086" t="str">
            <v>4|1|100000</v>
          </cell>
          <cell r="D8086" t="str">
            <v>装备强化最高达到94级</v>
          </cell>
          <cell r="E8086" t="str">
            <v>4|1|100000|1</v>
          </cell>
        </row>
        <row r="8087">
          <cell r="A8087">
            <v>104548</v>
          </cell>
          <cell r="B8087">
            <v>0</v>
          </cell>
          <cell r="C8087" t="str">
            <v>4|1|100000</v>
          </cell>
          <cell r="D8087" t="str">
            <v>装备强化最高达到96级</v>
          </cell>
          <cell r="E8087" t="str">
            <v>4|1|100000|1</v>
          </cell>
        </row>
        <row r="8088">
          <cell r="A8088">
            <v>104549</v>
          </cell>
          <cell r="B8088">
            <v>0</v>
          </cell>
          <cell r="C8088" t="str">
            <v>4|1|100000</v>
          </cell>
          <cell r="D8088" t="str">
            <v>装备强化最高达到98级</v>
          </cell>
          <cell r="E8088" t="str">
            <v>4|1|100000|1</v>
          </cell>
        </row>
        <row r="8089">
          <cell r="A8089">
            <v>104550</v>
          </cell>
          <cell r="B8089">
            <v>0</v>
          </cell>
          <cell r="C8089" t="str">
            <v>4|1|100000</v>
          </cell>
          <cell r="D8089" t="str">
            <v>装备强化最高达到100级</v>
          </cell>
          <cell r="E8089" t="str">
            <v>4|1|100000|1</v>
          </cell>
        </row>
        <row r="8090">
          <cell r="A8090">
            <v>104551</v>
          </cell>
          <cell r="B8090">
            <v>0</v>
          </cell>
          <cell r="C8090" t="str">
            <v>4|1|100000</v>
          </cell>
          <cell r="D8090" t="str">
            <v>装备强化最高达到102级</v>
          </cell>
          <cell r="E8090" t="str">
            <v>4|1|100000|1</v>
          </cell>
        </row>
        <row r="8091">
          <cell r="A8091">
            <v>104552</v>
          </cell>
          <cell r="B8091">
            <v>0</v>
          </cell>
          <cell r="C8091" t="str">
            <v>4|1|100000</v>
          </cell>
          <cell r="D8091" t="str">
            <v>装备强化最高达到104级</v>
          </cell>
          <cell r="E8091" t="str">
            <v>4|1|100000|1</v>
          </cell>
        </row>
        <row r="8092">
          <cell r="A8092">
            <v>104553</v>
          </cell>
          <cell r="B8092">
            <v>0</v>
          </cell>
          <cell r="C8092" t="str">
            <v>4|1|100000</v>
          </cell>
          <cell r="D8092" t="str">
            <v>装备强化最高达到106级</v>
          </cell>
          <cell r="E8092" t="str">
            <v>4|1|100000|1</v>
          </cell>
        </row>
        <row r="8093">
          <cell r="A8093">
            <v>104554</v>
          </cell>
          <cell r="B8093">
            <v>0</v>
          </cell>
          <cell r="C8093" t="str">
            <v>4|1|100000</v>
          </cell>
          <cell r="D8093" t="str">
            <v>装备强化最高达到108级</v>
          </cell>
          <cell r="E8093" t="str">
            <v>4|1|100000|1</v>
          </cell>
        </row>
        <row r="8094">
          <cell r="A8094">
            <v>104555</v>
          </cell>
          <cell r="B8094">
            <v>0</v>
          </cell>
          <cell r="C8094" t="str">
            <v>4|1|100000</v>
          </cell>
          <cell r="D8094" t="str">
            <v>装备强化最高达到110级</v>
          </cell>
          <cell r="E8094" t="str">
            <v>4|1|100000|1</v>
          </cell>
        </row>
        <row r="8095">
          <cell r="A8095">
            <v>104556</v>
          </cell>
          <cell r="B8095">
            <v>0</v>
          </cell>
          <cell r="C8095" t="str">
            <v>4|1|100000</v>
          </cell>
          <cell r="D8095" t="str">
            <v>装备强化最高达到112级</v>
          </cell>
          <cell r="E8095" t="str">
            <v>4|1|100000|1</v>
          </cell>
        </row>
        <row r="8096">
          <cell r="A8096">
            <v>104557</v>
          </cell>
          <cell r="B8096">
            <v>0</v>
          </cell>
          <cell r="C8096" t="str">
            <v>4|1|100000</v>
          </cell>
          <cell r="D8096" t="str">
            <v>装备强化最高达到114级</v>
          </cell>
          <cell r="E8096" t="str">
            <v>4|1|100000|1</v>
          </cell>
        </row>
        <row r="8097">
          <cell r="A8097">
            <v>104558</v>
          </cell>
          <cell r="B8097">
            <v>0</v>
          </cell>
          <cell r="C8097" t="str">
            <v>4|1|100000</v>
          </cell>
          <cell r="D8097" t="str">
            <v>装备强化最高达到116级</v>
          </cell>
          <cell r="E8097" t="str">
            <v>4|1|100000|1</v>
          </cell>
        </row>
        <row r="8098">
          <cell r="A8098">
            <v>104559</v>
          </cell>
          <cell r="B8098">
            <v>0</v>
          </cell>
          <cell r="C8098" t="str">
            <v>4|1|100000</v>
          </cell>
          <cell r="D8098" t="str">
            <v>装备强化最高达到118级</v>
          </cell>
          <cell r="E8098" t="str">
            <v>4|1|100000|1</v>
          </cell>
        </row>
        <row r="8099">
          <cell r="A8099">
            <v>104560</v>
          </cell>
          <cell r="B8099">
            <v>0</v>
          </cell>
          <cell r="C8099" t="str">
            <v>4|1|100000</v>
          </cell>
          <cell r="D8099" t="str">
            <v>装备强化最高达到120级</v>
          </cell>
          <cell r="E8099" t="str">
            <v>4|1|100000|1</v>
          </cell>
        </row>
        <row r="8100">
          <cell r="A8100">
            <v>104561</v>
          </cell>
          <cell r="B8100">
            <v>0</v>
          </cell>
          <cell r="C8100" t="str">
            <v>4|1|100000</v>
          </cell>
          <cell r="D8100" t="str">
            <v>装备强化最高达到122级</v>
          </cell>
          <cell r="E8100" t="str">
            <v>4|1|100000|1</v>
          </cell>
        </row>
        <row r="8101">
          <cell r="A8101">
            <v>104562</v>
          </cell>
          <cell r="B8101">
            <v>0</v>
          </cell>
          <cell r="C8101" t="str">
            <v>4|1|100000</v>
          </cell>
          <cell r="D8101" t="str">
            <v>装备强化最高达到124级</v>
          </cell>
          <cell r="E8101" t="str">
            <v>4|1|100000|1</v>
          </cell>
        </row>
        <row r="8102">
          <cell r="A8102">
            <v>104563</v>
          </cell>
          <cell r="B8102">
            <v>0</v>
          </cell>
          <cell r="C8102" t="str">
            <v>4|1|100000</v>
          </cell>
          <cell r="D8102" t="str">
            <v>装备强化最高达到126级</v>
          </cell>
          <cell r="E8102" t="str">
            <v>4|1|100000|1</v>
          </cell>
        </row>
        <row r="8103">
          <cell r="A8103">
            <v>104564</v>
          </cell>
          <cell r="B8103">
            <v>0</v>
          </cell>
          <cell r="C8103" t="str">
            <v>4|1|100000</v>
          </cell>
          <cell r="D8103" t="str">
            <v>装备强化最高达到128级</v>
          </cell>
          <cell r="E8103" t="str">
            <v>4|1|100000|1</v>
          </cell>
        </row>
        <row r="8104">
          <cell r="A8104">
            <v>104565</v>
          </cell>
          <cell r="B8104">
            <v>0</v>
          </cell>
          <cell r="C8104" t="str">
            <v>4|1|100000</v>
          </cell>
          <cell r="D8104" t="str">
            <v>装备强化最高达到130级</v>
          </cell>
          <cell r="E8104" t="str">
            <v>4|1|100000|1</v>
          </cell>
        </row>
        <row r="8105">
          <cell r="A8105">
            <v>104566</v>
          </cell>
          <cell r="B8105">
            <v>0</v>
          </cell>
          <cell r="C8105" t="str">
            <v>4|1|100000</v>
          </cell>
          <cell r="D8105" t="str">
            <v>装备强化最高达到132级</v>
          </cell>
          <cell r="E8105" t="str">
            <v>4|1|100000|1</v>
          </cell>
        </row>
        <row r="8106">
          <cell r="A8106">
            <v>104567</v>
          </cell>
          <cell r="B8106">
            <v>0</v>
          </cell>
          <cell r="C8106" t="str">
            <v>4|1|100000</v>
          </cell>
          <cell r="D8106" t="str">
            <v>装备强化最高达到134级</v>
          </cell>
          <cell r="E8106" t="str">
            <v>4|1|100000|1</v>
          </cell>
        </row>
        <row r="8107">
          <cell r="A8107">
            <v>104568</v>
          </cell>
          <cell r="B8107">
            <v>0</v>
          </cell>
          <cell r="C8107" t="str">
            <v>4|1|100000</v>
          </cell>
          <cell r="D8107" t="str">
            <v>装备强化最高达到136级</v>
          </cell>
          <cell r="E8107" t="str">
            <v>4|1|100000|1</v>
          </cell>
        </row>
        <row r="8108">
          <cell r="A8108">
            <v>104569</v>
          </cell>
          <cell r="B8108">
            <v>0</v>
          </cell>
          <cell r="C8108" t="str">
            <v>4|1|100000</v>
          </cell>
          <cell r="D8108" t="str">
            <v>装备强化最高达到138级</v>
          </cell>
          <cell r="E8108" t="str">
            <v>4|1|100000|1</v>
          </cell>
        </row>
        <row r="8109">
          <cell r="A8109">
            <v>104570</v>
          </cell>
          <cell r="B8109">
            <v>0</v>
          </cell>
          <cell r="C8109" t="str">
            <v>4|1|100000</v>
          </cell>
          <cell r="D8109" t="str">
            <v>装备强化最高达到140级</v>
          </cell>
          <cell r="E8109" t="str">
            <v>4|1|100000|1</v>
          </cell>
        </row>
        <row r="8110">
          <cell r="A8110">
            <v>104571</v>
          </cell>
          <cell r="B8110">
            <v>0</v>
          </cell>
          <cell r="C8110" t="str">
            <v>4|1|100000</v>
          </cell>
          <cell r="D8110" t="str">
            <v>装备强化最高达到142级</v>
          </cell>
          <cell r="E8110" t="str">
            <v>4|1|100000|1</v>
          </cell>
        </row>
        <row r="8111">
          <cell r="A8111">
            <v>104572</v>
          </cell>
          <cell r="B8111">
            <v>0</v>
          </cell>
          <cell r="C8111" t="str">
            <v>4|1|100000</v>
          </cell>
          <cell r="D8111" t="str">
            <v>装备强化最高达到144级</v>
          </cell>
          <cell r="E8111" t="str">
            <v>4|1|100000|1</v>
          </cell>
        </row>
        <row r="8112">
          <cell r="A8112">
            <v>104573</v>
          </cell>
          <cell r="B8112">
            <v>0</v>
          </cell>
          <cell r="C8112" t="str">
            <v>4|1|100000</v>
          </cell>
          <cell r="D8112" t="str">
            <v>装备强化最高达到146级</v>
          </cell>
          <cell r="E8112" t="str">
            <v>4|1|100000|1</v>
          </cell>
        </row>
        <row r="8113">
          <cell r="A8113">
            <v>104574</v>
          </cell>
          <cell r="B8113">
            <v>0</v>
          </cell>
          <cell r="C8113" t="str">
            <v>4|1|100000</v>
          </cell>
          <cell r="D8113" t="str">
            <v>装备强化最高达到148级</v>
          </cell>
          <cell r="E8113" t="str">
            <v>4|1|100000|1</v>
          </cell>
        </row>
        <row r="8114">
          <cell r="A8114">
            <v>104575</v>
          </cell>
          <cell r="B8114">
            <v>0</v>
          </cell>
          <cell r="C8114" t="str">
            <v>4|1|100000</v>
          </cell>
          <cell r="D8114" t="str">
            <v>装备强化最高达到150级</v>
          </cell>
          <cell r="E8114" t="str">
            <v>4|1|100000|1</v>
          </cell>
        </row>
        <row r="8115">
          <cell r="A8115">
            <v>104576</v>
          </cell>
          <cell r="B8115">
            <v>0</v>
          </cell>
          <cell r="C8115" t="str">
            <v>4|1|100000</v>
          </cell>
          <cell r="D8115" t="str">
            <v>装备强化最高达到152级</v>
          </cell>
          <cell r="E8115" t="str">
            <v>4|1|100000|1</v>
          </cell>
        </row>
        <row r="8116">
          <cell r="A8116">
            <v>104577</v>
          </cell>
          <cell r="B8116">
            <v>0</v>
          </cell>
          <cell r="C8116" t="str">
            <v>4|1|100000</v>
          </cell>
          <cell r="D8116" t="str">
            <v>装备强化最高达到154级</v>
          </cell>
          <cell r="E8116" t="str">
            <v>4|1|100000|1</v>
          </cell>
        </row>
        <row r="8117">
          <cell r="A8117">
            <v>104578</v>
          </cell>
          <cell r="B8117">
            <v>0</v>
          </cell>
          <cell r="C8117" t="str">
            <v>4|1|100000</v>
          </cell>
          <cell r="D8117" t="str">
            <v>装备强化最高达到156级</v>
          </cell>
          <cell r="E8117" t="str">
            <v>4|1|100000|1</v>
          </cell>
        </row>
        <row r="8118">
          <cell r="A8118">
            <v>104579</v>
          </cell>
          <cell r="B8118">
            <v>0</v>
          </cell>
          <cell r="C8118" t="str">
            <v>4|1|100000</v>
          </cell>
          <cell r="D8118" t="str">
            <v>装备强化最高达到158级</v>
          </cell>
          <cell r="E8118" t="str">
            <v>4|1|100000|1</v>
          </cell>
        </row>
        <row r="8119">
          <cell r="A8119">
            <v>104580</v>
          </cell>
          <cell r="B8119">
            <v>0</v>
          </cell>
          <cell r="C8119" t="str">
            <v>4|1|100000</v>
          </cell>
          <cell r="D8119" t="str">
            <v>装备强化最高达到160级</v>
          </cell>
          <cell r="E8119" t="str">
            <v>4|1|100000|1</v>
          </cell>
        </row>
        <row r="8120">
          <cell r="A8120">
            <v>104581</v>
          </cell>
          <cell r="B8120">
            <v>0</v>
          </cell>
          <cell r="C8120" t="str">
            <v>4|1|100000</v>
          </cell>
          <cell r="D8120" t="str">
            <v>装备强化最高达到162级</v>
          </cell>
          <cell r="E8120" t="str">
            <v>4|1|100000|1</v>
          </cell>
        </row>
        <row r="8121">
          <cell r="A8121">
            <v>104582</v>
          </cell>
          <cell r="B8121">
            <v>0</v>
          </cell>
          <cell r="C8121" t="str">
            <v>4|1|100000</v>
          </cell>
          <cell r="D8121" t="str">
            <v>装备强化最高达到164级</v>
          </cell>
          <cell r="E8121" t="str">
            <v>4|1|100000|1</v>
          </cell>
        </row>
        <row r="8122">
          <cell r="A8122">
            <v>104583</v>
          </cell>
          <cell r="B8122">
            <v>0</v>
          </cell>
          <cell r="C8122" t="str">
            <v>4|1|100000</v>
          </cell>
          <cell r="D8122" t="str">
            <v>装备强化最高达到166级</v>
          </cell>
          <cell r="E8122" t="str">
            <v>4|1|100000|1</v>
          </cell>
        </row>
        <row r="8123">
          <cell r="A8123">
            <v>104584</v>
          </cell>
          <cell r="B8123">
            <v>0</v>
          </cell>
          <cell r="C8123" t="str">
            <v>4|1|100000</v>
          </cell>
          <cell r="D8123" t="str">
            <v>装备强化最高达到168级</v>
          </cell>
          <cell r="E8123" t="str">
            <v>4|1|100000|1</v>
          </cell>
        </row>
        <row r="8124">
          <cell r="A8124">
            <v>104585</v>
          </cell>
          <cell r="B8124">
            <v>0</v>
          </cell>
          <cell r="C8124" t="str">
            <v>4|1|100000</v>
          </cell>
          <cell r="D8124" t="str">
            <v>装备强化最高达到170级</v>
          </cell>
          <cell r="E8124" t="str">
            <v>4|1|100000|1</v>
          </cell>
        </row>
        <row r="8125">
          <cell r="A8125">
            <v>104586</v>
          </cell>
          <cell r="B8125">
            <v>0</v>
          </cell>
          <cell r="C8125" t="str">
            <v>4|1|100000</v>
          </cell>
          <cell r="D8125" t="str">
            <v>装备强化最高达到172级</v>
          </cell>
          <cell r="E8125" t="str">
            <v>4|1|100000|1</v>
          </cell>
        </row>
        <row r="8126">
          <cell r="A8126">
            <v>104587</v>
          </cell>
          <cell r="B8126">
            <v>0</v>
          </cell>
          <cell r="C8126" t="str">
            <v>4|1|100000</v>
          </cell>
          <cell r="D8126" t="str">
            <v>装备强化最高达到174级</v>
          </cell>
          <cell r="E8126" t="str">
            <v>4|1|100000|1</v>
          </cell>
        </row>
        <row r="8127">
          <cell r="A8127">
            <v>104588</v>
          </cell>
          <cell r="B8127">
            <v>0</v>
          </cell>
          <cell r="C8127" t="str">
            <v>4|1|100000</v>
          </cell>
          <cell r="D8127" t="str">
            <v>装备强化最高达到176级</v>
          </cell>
          <cell r="E8127" t="str">
            <v>4|1|100000|1</v>
          </cell>
        </row>
        <row r="8128">
          <cell r="A8128">
            <v>104589</v>
          </cell>
          <cell r="B8128">
            <v>0</v>
          </cell>
          <cell r="C8128" t="str">
            <v>4|1|100000</v>
          </cell>
          <cell r="D8128" t="str">
            <v>装备强化最高达到178级</v>
          </cell>
          <cell r="E8128" t="str">
            <v>4|1|100000|1</v>
          </cell>
        </row>
        <row r="8129">
          <cell r="A8129">
            <v>104590</v>
          </cell>
          <cell r="B8129">
            <v>0</v>
          </cell>
          <cell r="C8129" t="str">
            <v>4|1|100000</v>
          </cell>
          <cell r="D8129" t="str">
            <v>装备强化最高达到180级</v>
          </cell>
          <cell r="E8129" t="str">
            <v>4|1|100000|1</v>
          </cell>
        </row>
        <row r="8130">
          <cell r="A8130">
            <v>104591</v>
          </cell>
          <cell r="B8130">
            <v>0</v>
          </cell>
          <cell r="C8130" t="str">
            <v>4|1|100000</v>
          </cell>
          <cell r="D8130" t="str">
            <v>装备强化最高达到182级</v>
          </cell>
          <cell r="E8130" t="str">
            <v>4|1|100000|1</v>
          </cell>
        </row>
        <row r="8131">
          <cell r="A8131">
            <v>104592</v>
          </cell>
          <cell r="B8131">
            <v>0</v>
          </cell>
          <cell r="C8131" t="str">
            <v>4|1|100000</v>
          </cell>
          <cell r="D8131" t="str">
            <v>装备强化最高达到184级</v>
          </cell>
          <cell r="E8131" t="str">
            <v>4|1|100000|1</v>
          </cell>
        </row>
        <row r="8132">
          <cell r="A8132">
            <v>104593</v>
          </cell>
          <cell r="B8132">
            <v>0</v>
          </cell>
          <cell r="C8132" t="str">
            <v>4|1|100000</v>
          </cell>
          <cell r="D8132" t="str">
            <v>装备强化最高达到186级</v>
          </cell>
          <cell r="E8132" t="str">
            <v>4|1|100000|1</v>
          </cell>
        </row>
        <row r="8133">
          <cell r="A8133">
            <v>104594</v>
          </cell>
          <cell r="B8133">
            <v>0</v>
          </cell>
          <cell r="C8133" t="str">
            <v>4|1|100000</v>
          </cell>
          <cell r="D8133" t="str">
            <v>装备强化最高达到188级</v>
          </cell>
          <cell r="E8133" t="str">
            <v>4|1|100000|1</v>
          </cell>
        </row>
        <row r="8134">
          <cell r="A8134">
            <v>104595</v>
          </cell>
          <cell r="B8134">
            <v>0</v>
          </cell>
          <cell r="C8134" t="str">
            <v>4|1|100000</v>
          </cell>
          <cell r="D8134" t="str">
            <v>装备强化最高达到190级</v>
          </cell>
          <cell r="E8134" t="str">
            <v>4|1|100000|1</v>
          </cell>
        </row>
        <row r="8135">
          <cell r="A8135">
            <v>104596</v>
          </cell>
          <cell r="B8135">
            <v>0</v>
          </cell>
          <cell r="C8135" t="str">
            <v>4|1|100000</v>
          </cell>
          <cell r="D8135" t="str">
            <v>装备强化最高达到192级</v>
          </cell>
          <cell r="E8135" t="str">
            <v>4|1|100000|1</v>
          </cell>
        </row>
        <row r="8136">
          <cell r="A8136">
            <v>104597</v>
          </cell>
          <cell r="B8136">
            <v>0</v>
          </cell>
          <cell r="C8136" t="str">
            <v>4|1|100000</v>
          </cell>
          <cell r="D8136" t="str">
            <v>装备强化最高达到194级</v>
          </cell>
          <cell r="E8136" t="str">
            <v>4|1|100000|1</v>
          </cell>
        </row>
        <row r="8137">
          <cell r="A8137">
            <v>104598</v>
          </cell>
          <cell r="B8137">
            <v>0</v>
          </cell>
          <cell r="C8137" t="str">
            <v>4|1|100000</v>
          </cell>
          <cell r="D8137" t="str">
            <v>装备强化最高达到196级</v>
          </cell>
          <cell r="E8137" t="str">
            <v>4|1|100000|1</v>
          </cell>
        </row>
        <row r="8138">
          <cell r="A8138">
            <v>104599</v>
          </cell>
          <cell r="B8138">
            <v>0</v>
          </cell>
          <cell r="C8138" t="str">
            <v>4|1|100000</v>
          </cell>
          <cell r="D8138" t="str">
            <v>装备强化最高达到198级</v>
          </cell>
          <cell r="E8138" t="str">
            <v>4|1|100000|1</v>
          </cell>
        </row>
        <row r="8139">
          <cell r="A8139">
            <v>104600</v>
          </cell>
          <cell r="B8139">
            <v>0</v>
          </cell>
          <cell r="C8139" t="str">
            <v>4|1|100000</v>
          </cell>
          <cell r="D8139" t="str">
            <v>装备强化最高达到200级</v>
          </cell>
          <cell r="E8139" t="str">
            <v>4|1|100000|1</v>
          </cell>
        </row>
        <row r="8140">
          <cell r="A8140">
            <v>104601</v>
          </cell>
          <cell r="B8140">
            <v>0</v>
          </cell>
          <cell r="C8140" t="str">
            <v>4|1|100000</v>
          </cell>
          <cell r="D8140" t="str">
            <v>装备强化最高达到202级</v>
          </cell>
          <cell r="E8140" t="str">
            <v>4|1|100000|1</v>
          </cell>
        </row>
        <row r="8141">
          <cell r="A8141">
            <v>104602</v>
          </cell>
          <cell r="B8141">
            <v>0</v>
          </cell>
          <cell r="C8141" t="str">
            <v>4|1|100000</v>
          </cell>
          <cell r="D8141" t="str">
            <v>装备强化最高达到204级</v>
          </cell>
          <cell r="E8141" t="str">
            <v>4|1|100000|1</v>
          </cell>
        </row>
        <row r="8142">
          <cell r="A8142">
            <v>104603</v>
          </cell>
          <cell r="B8142">
            <v>0</v>
          </cell>
          <cell r="C8142" t="str">
            <v>4|1|100000</v>
          </cell>
          <cell r="D8142" t="str">
            <v>装备强化最高达到206级</v>
          </cell>
          <cell r="E8142" t="str">
            <v>4|1|100000|1</v>
          </cell>
        </row>
        <row r="8143">
          <cell r="A8143">
            <v>104604</v>
          </cell>
          <cell r="B8143">
            <v>0</v>
          </cell>
          <cell r="C8143" t="str">
            <v>4|1|100000</v>
          </cell>
          <cell r="D8143" t="str">
            <v>装备强化最高达到208级</v>
          </cell>
          <cell r="E8143" t="str">
            <v>4|1|100000|1</v>
          </cell>
        </row>
        <row r="8144">
          <cell r="A8144">
            <v>104605</v>
          </cell>
          <cell r="B8144">
            <v>0</v>
          </cell>
          <cell r="C8144" t="str">
            <v>4|1|100000</v>
          </cell>
          <cell r="D8144" t="str">
            <v>装备强化最高达到210级</v>
          </cell>
          <cell r="E8144" t="str">
            <v>4|1|100000|1</v>
          </cell>
        </row>
        <row r="8145">
          <cell r="A8145">
            <v>104606</v>
          </cell>
          <cell r="B8145">
            <v>0</v>
          </cell>
          <cell r="C8145" t="str">
            <v>4|1|100000</v>
          </cell>
          <cell r="D8145" t="str">
            <v>装备强化最高达到212级</v>
          </cell>
          <cell r="E8145" t="str">
            <v>4|1|100000|1</v>
          </cell>
        </row>
        <row r="8146">
          <cell r="A8146">
            <v>104607</v>
          </cell>
          <cell r="B8146">
            <v>0</v>
          </cell>
          <cell r="C8146" t="str">
            <v>4|1|100000</v>
          </cell>
          <cell r="D8146" t="str">
            <v>装备强化最高达到214级</v>
          </cell>
          <cell r="E8146" t="str">
            <v>4|1|100000|1</v>
          </cell>
        </row>
        <row r="8147">
          <cell r="A8147">
            <v>104608</v>
          </cell>
          <cell r="B8147">
            <v>0</v>
          </cell>
          <cell r="C8147" t="str">
            <v>4|1|100000</v>
          </cell>
          <cell r="D8147" t="str">
            <v>装备强化最高达到216级</v>
          </cell>
          <cell r="E8147" t="str">
            <v>4|1|100000|1</v>
          </cell>
        </row>
        <row r="8148">
          <cell r="A8148">
            <v>104609</v>
          </cell>
          <cell r="B8148">
            <v>0</v>
          </cell>
          <cell r="C8148" t="str">
            <v>4|1|100000</v>
          </cell>
          <cell r="D8148" t="str">
            <v>装备强化最高达到218级</v>
          </cell>
          <cell r="E8148" t="str">
            <v>4|1|100000|1</v>
          </cell>
        </row>
        <row r="8149">
          <cell r="A8149">
            <v>104610</v>
          </cell>
          <cell r="B8149">
            <v>0</v>
          </cell>
          <cell r="C8149" t="str">
            <v>4|1|100000</v>
          </cell>
          <cell r="D8149" t="str">
            <v>装备强化最高达到220级</v>
          </cell>
          <cell r="E8149" t="str">
            <v>4|1|100000|1</v>
          </cell>
        </row>
        <row r="8150">
          <cell r="A8150">
            <v>104611</v>
          </cell>
          <cell r="B8150">
            <v>0</v>
          </cell>
          <cell r="C8150" t="str">
            <v>4|1|100000</v>
          </cell>
          <cell r="D8150" t="str">
            <v>装备强化最高达到222级</v>
          </cell>
          <cell r="E8150" t="str">
            <v>4|1|100000|1</v>
          </cell>
        </row>
        <row r="8151">
          <cell r="A8151">
            <v>104612</v>
          </cell>
          <cell r="B8151">
            <v>0</v>
          </cell>
          <cell r="C8151" t="str">
            <v>4|1|100000</v>
          </cell>
          <cell r="D8151" t="str">
            <v>装备强化最高达到224级</v>
          </cell>
          <cell r="E8151" t="str">
            <v>4|1|100000|1</v>
          </cell>
        </row>
        <row r="8152">
          <cell r="A8152">
            <v>104613</v>
          </cell>
          <cell r="B8152">
            <v>0</v>
          </cell>
          <cell r="C8152" t="str">
            <v>4|1|100000</v>
          </cell>
          <cell r="D8152" t="str">
            <v>装备强化最高达到226级</v>
          </cell>
          <cell r="E8152" t="str">
            <v>4|1|100000|1</v>
          </cell>
        </row>
        <row r="8153">
          <cell r="A8153">
            <v>104614</v>
          </cell>
          <cell r="B8153">
            <v>0</v>
          </cell>
          <cell r="C8153" t="str">
            <v>4|1|100000</v>
          </cell>
          <cell r="D8153" t="str">
            <v>装备强化最高达到228级</v>
          </cell>
          <cell r="E8153" t="str">
            <v>4|1|100000|1</v>
          </cell>
        </row>
        <row r="8154">
          <cell r="A8154">
            <v>104615</v>
          </cell>
          <cell r="B8154">
            <v>0</v>
          </cell>
          <cell r="C8154" t="str">
            <v>4|1|100000</v>
          </cell>
          <cell r="D8154" t="str">
            <v>装备强化最高达到230级</v>
          </cell>
          <cell r="E8154" t="str">
            <v>4|1|100000|1</v>
          </cell>
        </row>
        <row r="8155">
          <cell r="A8155">
            <v>104616</v>
          </cell>
          <cell r="B8155">
            <v>0</v>
          </cell>
          <cell r="C8155" t="str">
            <v>4|1|100000</v>
          </cell>
          <cell r="D8155" t="str">
            <v>装备强化最高达到232级</v>
          </cell>
          <cell r="E8155" t="str">
            <v>4|1|100000|1</v>
          </cell>
        </row>
        <row r="8156">
          <cell r="A8156">
            <v>104617</v>
          </cell>
          <cell r="B8156">
            <v>0</v>
          </cell>
          <cell r="C8156" t="str">
            <v>4|1|100000</v>
          </cell>
          <cell r="D8156" t="str">
            <v>装备强化最高达到234级</v>
          </cell>
          <cell r="E8156" t="str">
            <v>4|1|100000|1</v>
          </cell>
        </row>
        <row r="8157">
          <cell r="A8157">
            <v>104618</v>
          </cell>
          <cell r="B8157">
            <v>0</v>
          </cell>
          <cell r="C8157" t="str">
            <v>4|1|100000</v>
          </cell>
          <cell r="D8157" t="str">
            <v>装备强化最高达到236级</v>
          </cell>
          <cell r="E8157" t="str">
            <v>4|1|100000|1</v>
          </cell>
        </row>
        <row r="8158">
          <cell r="A8158">
            <v>104619</v>
          </cell>
          <cell r="B8158">
            <v>0</v>
          </cell>
          <cell r="C8158" t="str">
            <v>4|1|100000</v>
          </cell>
          <cell r="D8158" t="str">
            <v>装备强化最高达到238级</v>
          </cell>
          <cell r="E8158" t="str">
            <v>4|1|100000|1</v>
          </cell>
        </row>
        <row r="8159">
          <cell r="A8159">
            <v>104620</v>
          </cell>
          <cell r="B8159">
            <v>0</v>
          </cell>
          <cell r="C8159" t="str">
            <v>4|1|100000</v>
          </cell>
          <cell r="D8159" t="str">
            <v>装备强化最高达到240级</v>
          </cell>
          <cell r="E8159" t="str">
            <v>4|1|100000|1</v>
          </cell>
        </row>
        <row r="8160">
          <cell r="A8160">
            <v>104621</v>
          </cell>
          <cell r="B8160">
            <v>0</v>
          </cell>
          <cell r="C8160" t="str">
            <v>4|1|100000</v>
          </cell>
          <cell r="D8160" t="str">
            <v>装备强化最高达到242级</v>
          </cell>
          <cell r="E8160" t="str">
            <v>4|1|100000|1</v>
          </cell>
        </row>
        <row r="8161">
          <cell r="A8161">
            <v>104622</v>
          </cell>
          <cell r="B8161">
            <v>0</v>
          </cell>
          <cell r="C8161" t="str">
            <v>4|1|100000</v>
          </cell>
          <cell r="D8161" t="str">
            <v>装备强化最高达到244级</v>
          </cell>
          <cell r="E8161" t="str">
            <v>4|1|100000|1</v>
          </cell>
        </row>
        <row r="8162">
          <cell r="A8162">
            <v>104623</v>
          </cell>
          <cell r="B8162">
            <v>0</v>
          </cell>
          <cell r="C8162" t="str">
            <v>4|1|100000</v>
          </cell>
          <cell r="D8162" t="str">
            <v>装备强化最高达到246级</v>
          </cell>
          <cell r="E8162" t="str">
            <v>4|1|100000|1</v>
          </cell>
        </row>
        <row r="8163">
          <cell r="A8163">
            <v>104624</v>
          </cell>
          <cell r="B8163">
            <v>0</v>
          </cell>
          <cell r="C8163" t="str">
            <v>4|1|100000</v>
          </cell>
          <cell r="D8163" t="str">
            <v>装备强化最高达到248级</v>
          </cell>
          <cell r="E8163" t="str">
            <v>4|1|100000|1</v>
          </cell>
        </row>
        <row r="8164">
          <cell r="A8164">
            <v>104625</v>
          </cell>
          <cell r="B8164">
            <v>0</v>
          </cell>
          <cell r="C8164" t="str">
            <v>4|1|100000</v>
          </cell>
          <cell r="D8164" t="str">
            <v>装备强化最高达到250级</v>
          </cell>
          <cell r="E8164" t="str">
            <v>4|1|100000|1</v>
          </cell>
        </row>
        <row r="8165">
          <cell r="A8165">
            <v>104626</v>
          </cell>
          <cell r="B8165">
            <v>0</v>
          </cell>
          <cell r="C8165" t="str">
            <v>4|1|100000</v>
          </cell>
          <cell r="D8165" t="str">
            <v>装备强化最高达到252级</v>
          </cell>
          <cell r="E8165" t="str">
            <v>4|1|100000|1</v>
          </cell>
        </row>
        <row r="8166">
          <cell r="A8166">
            <v>104627</v>
          </cell>
          <cell r="B8166">
            <v>0</v>
          </cell>
          <cell r="C8166" t="str">
            <v>4|1|100000</v>
          </cell>
          <cell r="D8166" t="str">
            <v>装备强化最高达到254级</v>
          </cell>
          <cell r="E8166" t="str">
            <v>4|1|100000|1</v>
          </cell>
        </row>
        <row r="8167">
          <cell r="A8167">
            <v>104628</v>
          </cell>
          <cell r="B8167">
            <v>0</v>
          </cell>
          <cell r="C8167" t="str">
            <v>4|1|100000</v>
          </cell>
          <cell r="D8167" t="str">
            <v>装备强化最高达到256级</v>
          </cell>
          <cell r="E8167" t="str">
            <v>4|1|100000|1</v>
          </cell>
        </row>
        <row r="8168">
          <cell r="A8168">
            <v>104629</v>
          </cell>
          <cell r="B8168">
            <v>0</v>
          </cell>
          <cell r="C8168" t="str">
            <v>4|1|100000</v>
          </cell>
          <cell r="D8168" t="str">
            <v>装备强化最高达到258级</v>
          </cell>
          <cell r="E8168" t="str">
            <v>4|1|100000|1</v>
          </cell>
        </row>
        <row r="8169">
          <cell r="A8169">
            <v>104630</v>
          </cell>
          <cell r="B8169">
            <v>0</v>
          </cell>
          <cell r="C8169" t="str">
            <v>4|1|100000</v>
          </cell>
          <cell r="D8169" t="str">
            <v>装备强化最高达到260级</v>
          </cell>
          <cell r="E8169" t="str">
            <v>4|1|100000|1</v>
          </cell>
        </row>
        <row r="8170">
          <cell r="A8170">
            <v>104631</v>
          </cell>
          <cell r="B8170">
            <v>0</v>
          </cell>
          <cell r="C8170" t="str">
            <v>4|1|100000</v>
          </cell>
          <cell r="D8170" t="str">
            <v>装备强化最高达到262级</v>
          </cell>
          <cell r="E8170" t="str">
            <v>4|1|100000|1</v>
          </cell>
        </row>
        <row r="8171">
          <cell r="A8171">
            <v>104632</v>
          </cell>
          <cell r="B8171">
            <v>0</v>
          </cell>
          <cell r="C8171" t="str">
            <v>4|1|100000</v>
          </cell>
          <cell r="D8171" t="str">
            <v>装备强化最高达到264级</v>
          </cell>
          <cell r="E8171" t="str">
            <v>4|1|100000|1</v>
          </cell>
        </row>
        <row r="8172">
          <cell r="A8172">
            <v>104633</v>
          </cell>
          <cell r="B8172">
            <v>0</v>
          </cell>
          <cell r="C8172" t="str">
            <v>4|1|100000</v>
          </cell>
          <cell r="D8172" t="str">
            <v>装备强化最高达到266级</v>
          </cell>
          <cell r="E8172" t="str">
            <v>4|1|100000|1</v>
          </cell>
        </row>
        <row r="8173">
          <cell r="A8173">
            <v>104634</v>
          </cell>
          <cell r="B8173">
            <v>0</v>
          </cell>
          <cell r="C8173" t="str">
            <v>4|1|100000</v>
          </cell>
          <cell r="D8173" t="str">
            <v>装备强化最高达到268级</v>
          </cell>
          <cell r="E8173" t="str">
            <v>4|1|100000|1</v>
          </cell>
        </row>
        <row r="8174">
          <cell r="A8174">
            <v>104635</v>
          </cell>
          <cell r="B8174">
            <v>0</v>
          </cell>
          <cell r="C8174" t="str">
            <v>4|1|100000</v>
          </cell>
          <cell r="D8174" t="str">
            <v>装备强化最高达到270级</v>
          </cell>
          <cell r="E8174" t="str">
            <v>4|1|100000|1</v>
          </cell>
        </row>
        <row r="8175">
          <cell r="A8175">
            <v>104636</v>
          </cell>
          <cell r="B8175">
            <v>0</v>
          </cell>
          <cell r="C8175" t="str">
            <v>4|1|100000</v>
          </cell>
          <cell r="D8175" t="str">
            <v>装备强化最高达到272级</v>
          </cell>
          <cell r="E8175" t="str">
            <v>4|1|100000|1</v>
          </cell>
        </row>
        <row r="8176">
          <cell r="A8176">
            <v>104637</v>
          </cell>
          <cell r="B8176">
            <v>0</v>
          </cell>
          <cell r="C8176" t="str">
            <v>4|1|100000</v>
          </cell>
          <cell r="D8176" t="str">
            <v>装备强化最高达到274级</v>
          </cell>
          <cell r="E8176" t="str">
            <v>4|1|100000|1</v>
          </cell>
        </row>
        <row r="8177">
          <cell r="A8177">
            <v>104638</v>
          </cell>
          <cell r="B8177">
            <v>0</v>
          </cell>
          <cell r="C8177" t="str">
            <v>4|1|100000</v>
          </cell>
          <cell r="D8177" t="str">
            <v>装备强化最高达到276级</v>
          </cell>
          <cell r="E8177" t="str">
            <v>4|1|100000|1</v>
          </cell>
        </row>
        <row r="8178">
          <cell r="A8178">
            <v>104639</v>
          </cell>
          <cell r="B8178">
            <v>0</v>
          </cell>
          <cell r="C8178" t="str">
            <v>4|1|100000</v>
          </cell>
          <cell r="D8178" t="str">
            <v>装备强化最高达到278级</v>
          </cell>
          <cell r="E8178" t="str">
            <v>4|1|100000|1</v>
          </cell>
        </row>
        <row r="8179">
          <cell r="A8179">
            <v>104640</v>
          </cell>
          <cell r="B8179">
            <v>0</v>
          </cell>
          <cell r="C8179" t="str">
            <v>4|1|100000</v>
          </cell>
          <cell r="D8179" t="str">
            <v>装备强化最高达到280级</v>
          </cell>
          <cell r="E8179" t="str">
            <v>4|1|100000|1</v>
          </cell>
        </row>
        <row r="8180">
          <cell r="A8180">
            <v>104641</v>
          </cell>
          <cell r="B8180">
            <v>0</v>
          </cell>
          <cell r="C8180" t="str">
            <v>4|1|100000</v>
          </cell>
          <cell r="D8180" t="str">
            <v>装备强化最高达到282级</v>
          </cell>
          <cell r="E8180" t="str">
            <v>4|1|100000|1</v>
          </cell>
        </row>
        <row r="8181">
          <cell r="A8181">
            <v>104642</v>
          </cell>
          <cell r="B8181">
            <v>0</v>
          </cell>
          <cell r="C8181" t="str">
            <v>4|1|100000</v>
          </cell>
          <cell r="D8181" t="str">
            <v>装备强化最高达到284级</v>
          </cell>
          <cell r="E8181" t="str">
            <v>4|1|100000|1</v>
          </cell>
        </row>
        <row r="8182">
          <cell r="A8182">
            <v>104643</v>
          </cell>
          <cell r="B8182">
            <v>0</v>
          </cell>
          <cell r="C8182" t="str">
            <v>4|1|100000</v>
          </cell>
          <cell r="D8182" t="str">
            <v>装备强化最高达到286级</v>
          </cell>
          <cell r="E8182" t="str">
            <v>4|1|100000|1</v>
          </cell>
        </row>
        <row r="8183">
          <cell r="A8183">
            <v>104644</v>
          </cell>
          <cell r="B8183">
            <v>0</v>
          </cell>
          <cell r="C8183" t="str">
            <v>4|1|100000</v>
          </cell>
          <cell r="D8183" t="str">
            <v>装备强化最高达到288级</v>
          </cell>
          <cell r="E8183" t="str">
            <v>4|1|100000|1</v>
          </cell>
        </row>
        <row r="8184">
          <cell r="A8184">
            <v>104645</v>
          </cell>
          <cell r="B8184">
            <v>0</v>
          </cell>
          <cell r="C8184" t="str">
            <v>4|1|100000</v>
          </cell>
          <cell r="D8184" t="str">
            <v>装备强化最高达到290级</v>
          </cell>
          <cell r="E8184" t="str">
            <v>4|1|100000|1</v>
          </cell>
        </row>
        <row r="8185">
          <cell r="A8185">
            <v>104646</v>
          </cell>
          <cell r="B8185">
            <v>0</v>
          </cell>
          <cell r="C8185" t="str">
            <v>4|1|100000</v>
          </cell>
          <cell r="D8185" t="str">
            <v>装备强化最高达到292级</v>
          </cell>
          <cell r="E8185" t="str">
            <v>4|1|100000|1</v>
          </cell>
        </row>
        <row r="8186">
          <cell r="A8186">
            <v>104647</v>
          </cell>
          <cell r="B8186">
            <v>0</v>
          </cell>
          <cell r="C8186" t="str">
            <v>4|1|100000</v>
          </cell>
          <cell r="D8186" t="str">
            <v>装备强化最高达到294级</v>
          </cell>
          <cell r="E8186" t="str">
            <v>4|1|100000|1</v>
          </cell>
        </row>
        <row r="8187">
          <cell r="A8187">
            <v>104648</v>
          </cell>
          <cell r="B8187">
            <v>0</v>
          </cell>
          <cell r="C8187" t="str">
            <v>4|1|100000</v>
          </cell>
          <cell r="D8187" t="str">
            <v>装备强化最高达到296级</v>
          </cell>
          <cell r="E8187" t="str">
            <v>4|1|100000|1</v>
          </cell>
        </row>
        <row r="8188">
          <cell r="A8188">
            <v>104649</v>
          </cell>
          <cell r="B8188">
            <v>0</v>
          </cell>
          <cell r="C8188" t="str">
            <v>4|1|100000</v>
          </cell>
          <cell r="D8188" t="str">
            <v>装备强化最高达到298级</v>
          </cell>
          <cell r="E8188" t="str">
            <v>4|1|100000|1</v>
          </cell>
        </row>
        <row r="8189">
          <cell r="A8189">
            <v>104650</v>
          </cell>
          <cell r="B8189">
            <v>0</v>
          </cell>
          <cell r="C8189" t="str">
            <v>4|1|100000</v>
          </cell>
          <cell r="D8189" t="str">
            <v>装备强化最高达到300级</v>
          </cell>
          <cell r="E8189" t="str">
            <v>4|1|100000|1</v>
          </cell>
        </row>
        <row r="8190">
          <cell r="A8190">
            <v>110101</v>
          </cell>
          <cell r="B8190">
            <v>0</v>
          </cell>
          <cell r="C8190" t="str">
            <v>4|1|6000</v>
          </cell>
          <cell r="D8190" t="str">
            <v>元灵重塑击破奖励1</v>
          </cell>
          <cell r="E8190" t="str">
            <v>4|1|6000|1</v>
          </cell>
        </row>
        <row r="8191">
          <cell r="A8191">
            <v>110102</v>
          </cell>
          <cell r="B8191">
            <v>0</v>
          </cell>
          <cell r="C8191" t="str">
            <v>1|14003|1</v>
          </cell>
          <cell r="D8191" t="str">
            <v>元灵重塑击破奖励2</v>
          </cell>
          <cell r="E8191" t="str">
            <v>1|14003|1|1</v>
          </cell>
        </row>
        <row r="8192">
          <cell r="A8192">
            <v>110103</v>
          </cell>
          <cell r="B8192">
            <v>0</v>
          </cell>
          <cell r="C8192" t="str">
            <v>4|2|100</v>
          </cell>
          <cell r="D8192" t="str">
            <v>元灵重塑击破奖励3</v>
          </cell>
          <cell r="E8192" t="str">
            <v>4|2|100|1</v>
          </cell>
        </row>
        <row r="8193">
          <cell r="A8193">
            <v>110201</v>
          </cell>
          <cell r="B8193">
            <v>0</v>
          </cell>
          <cell r="C8193" t="str">
            <v>4|1|6000</v>
          </cell>
          <cell r="D8193" t="str">
            <v>元灵重塑击破奖励4</v>
          </cell>
          <cell r="E8193" t="str">
            <v>4|1|6000|1</v>
          </cell>
        </row>
        <row r="8194">
          <cell r="A8194">
            <v>110202</v>
          </cell>
          <cell r="B8194">
            <v>0</v>
          </cell>
          <cell r="C8194" t="str">
            <v>1|14003|1</v>
          </cell>
          <cell r="D8194" t="str">
            <v>元灵重塑击破奖励5</v>
          </cell>
          <cell r="E8194" t="str">
            <v>1|14003|1|1</v>
          </cell>
        </row>
        <row r="8195">
          <cell r="A8195">
            <v>110203</v>
          </cell>
          <cell r="B8195">
            <v>0</v>
          </cell>
          <cell r="C8195" t="str">
            <v>4|2|100</v>
          </cell>
          <cell r="D8195" t="str">
            <v>元灵重塑击破奖励6</v>
          </cell>
          <cell r="E8195" t="str">
            <v>4|2|100|1</v>
          </cell>
        </row>
        <row r="8196">
          <cell r="A8196">
            <v>110301</v>
          </cell>
          <cell r="B8196">
            <v>0</v>
          </cell>
          <cell r="C8196" t="str">
            <v>4|1|8000</v>
          </cell>
          <cell r="D8196" t="str">
            <v>元灵重塑击破奖励7</v>
          </cell>
          <cell r="E8196" t="str">
            <v>4|1|8000|1</v>
          </cell>
        </row>
        <row r="8197">
          <cell r="A8197">
            <v>110302</v>
          </cell>
          <cell r="B8197">
            <v>0</v>
          </cell>
          <cell r="C8197" t="str">
            <v>1|14003|1</v>
          </cell>
          <cell r="D8197" t="str">
            <v>元灵重塑击破奖励8</v>
          </cell>
          <cell r="E8197" t="str">
            <v>1|14003|1|1</v>
          </cell>
        </row>
        <row r="8198">
          <cell r="A8198">
            <v>110303</v>
          </cell>
          <cell r="B8198">
            <v>0</v>
          </cell>
          <cell r="C8198" t="str">
            <v>4|2|100</v>
          </cell>
          <cell r="D8198" t="str">
            <v>元灵重塑击破奖励9</v>
          </cell>
          <cell r="E8198" t="str">
            <v>4|2|100|1</v>
          </cell>
        </row>
        <row r="8199">
          <cell r="A8199">
            <v>110401</v>
          </cell>
          <cell r="B8199">
            <v>0</v>
          </cell>
          <cell r="C8199" t="str">
            <v>4|1|8000</v>
          </cell>
          <cell r="D8199" t="str">
            <v>元灵重塑击破奖励10</v>
          </cell>
          <cell r="E8199" t="str">
            <v>4|1|8000|1</v>
          </cell>
        </row>
        <row r="8200">
          <cell r="A8200">
            <v>110402</v>
          </cell>
          <cell r="B8200">
            <v>0</v>
          </cell>
          <cell r="C8200" t="str">
            <v>1|14003|1</v>
          </cell>
          <cell r="D8200" t="str">
            <v>元灵重塑击破奖励11</v>
          </cell>
          <cell r="E8200" t="str">
            <v>1|14003|1|1</v>
          </cell>
        </row>
        <row r="8201">
          <cell r="A8201">
            <v>110403</v>
          </cell>
          <cell r="B8201">
            <v>0</v>
          </cell>
          <cell r="C8201" t="str">
            <v>4|2|100</v>
          </cell>
          <cell r="D8201" t="str">
            <v>元灵重塑击破奖励12</v>
          </cell>
          <cell r="E8201" t="str">
            <v>4|2|100|1</v>
          </cell>
        </row>
        <row r="8202">
          <cell r="A8202">
            <v>110501</v>
          </cell>
          <cell r="B8202">
            <v>0</v>
          </cell>
          <cell r="C8202" t="str">
            <v>4|1|8000</v>
          </cell>
          <cell r="D8202" t="str">
            <v>元灵重塑击破奖励13</v>
          </cell>
          <cell r="E8202" t="str">
            <v>4|1|8000|1</v>
          </cell>
        </row>
        <row r="8203">
          <cell r="A8203">
            <v>110502</v>
          </cell>
          <cell r="B8203">
            <v>0</v>
          </cell>
          <cell r="C8203" t="str">
            <v>1|14003|1</v>
          </cell>
          <cell r="D8203" t="str">
            <v>元灵重塑击破奖励14</v>
          </cell>
          <cell r="E8203" t="str">
            <v>1|14003|1|1</v>
          </cell>
        </row>
        <row r="8204">
          <cell r="A8204">
            <v>110503</v>
          </cell>
          <cell r="B8204">
            <v>0</v>
          </cell>
          <cell r="C8204" t="str">
            <v>4|2|100</v>
          </cell>
          <cell r="D8204" t="str">
            <v>元灵重塑击破奖励15</v>
          </cell>
          <cell r="E8204" t="str">
            <v>4|2|100|1</v>
          </cell>
        </row>
        <row r="8205">
          <cell r="A8205">
            <v>110601</v>
          </cell>
          <cell r="B8205">
            <v>0</v>
          </cell>
          <cell r="C8205" t="str">
            <v>4|1|8000</v>
          </cell>
          <cell r="D8205" t="str">
            <v>元灵重塑击破奖励16</v>
          </cell>
          <cell r="E8205" t="str">
            <v>4|1|8000|1</v>
          </cell>
        </row>
        <row r="8206">
          <cell r="A8206">
            <v>110602</v>
          </cell>
          <cell r="B8206">
            <v>0</v>
          </cell>
          <cell r="C8206" t="str">
            <v>1|14003|1</v>
          </cell>
          <cell r="D8206" t="str">
            <v>元灵重塑击破奖励17</v>
          </cell>
          <cell r="E8206" t="str">
            <v>1|14003|1|1</v>
          </cell>
        </row>
        <row r="8207">
          <cell r="A8207">
            <v>110603</v>
          </cell>
          <cell r="B8207">
            <v>0</v>
          </cell>
          <cell r="C8207" t="str">
            <v>4|2|100</v>
          </cell>
          <cell r="D8207" t="str">
            <v>元灵重塑击破奖励18</v>
          </cell>
          <cell r="E8207" t="str">
            <v>4|2|100|1</v>
          </cell>
        </row>
        <row r="8208">
          <cell r="A8208">
            <v>110701</v>
          </cell>
          <cell r="B8208">
            <v>0</v>
          </cell>
          <cell r="C8208" t="str">
            <v>4|1|10000</v>
          </cell>
          <cell r="D8208" t="str">
            <v>元灵重塑击破奖励19</v>
          </cell>
          <cell r="E8208" t="str">
            <v>4|1|10000|1</v>
          </cell>
        </row>
        <row r="8209">
          <cell r="A8209">
            <v>110702</v>
          </cell>
          <cell r="B8209">
            <v>0</v>
          </cell>
          <cell r="C8209" t="str">
            <v>1|14003|1</v>
          </cell>
          <cell r="D8209" t="str">
            <v>元灵重塑击破奖励20</v>
          </cell>
          <cell r="E8209" t="str">
            <v>1|14003|1|1</v>
          </cell>
        </row>
        <row r="8210">
          <cell r="A8210">
            <v>110703</v>
          </cell>
          <cell r="B8210">
            <v>0</v>
          </cell>
          <cell r="C8210" t="str">
            <v>4|2|100</v>
          </cell>
          <cell r="D8210" t="str">
            <v>元灵重塑击破奖励21</v>
          </cell>
          <cell r="E8210" t="str">
            <v>4|2|100|1</v>
          </cell>
        </row>
        <row r="8211">
          <cell r="A8211">
            <v>110801</v>
          </cell>
          <cell r="B8211">
            <v>0</v>
          </cell>
          <cell r="C8211" t="str">
            <v>4|1|10000</v>
          </cell>
          <cell r="D8211" t="str">
            <v>元灵重塑击破奖励22</v>
          </cell>
          <cell r="E8211" t="str">
            <v>4|1|10000|1</v>
          </cell>
        </row>
        <row r="8212">
          <cell r="A8212">
            <v>110802</v>
          </cell>
          <cell r="B8212">
            <v>0</v>
          </cell>
          <cell r="C8212" t="str">
            <v>1|14003|1</v>
          </cell>
          <cell r="D8212" t="str">
            <v>元灵重塑击破奖励23</v>
          </cell>
          <cell r="E8212" t="str">
            <v>1|14003|1|1</v>
          </cell>
        </row>
        <row r="8213">
          <cell r="A8213">
            <v>110803</v>
          </cell>
          <cell r="B8213">
            <v>0</v>
          </cell>
          <cell r="C8213" t="str">
            <v>4|2|100</v>
          </cell>
          <cell r="D8213" t="str">
            <v>元灵重塑击破奖励24</v>
          </cell>
          <cell r="E8213" t="str">
            <v>4|2|100|1</v>
          </cell>
        </row>
        <row r="8214">
          <cell r="A8214">
            <v>110901</v>
          </cell>
          <cell r="B8214">
            <v>0</v>
          </cell>
          <cell r="C8214" t="str">
            <v>4|1|10000</v>
          </cell>
          <cell r="D8214" t="str">
            <v>元灵重塑击破奖励25</v>
          </cell>
          <cell r="E8214" t="str">
            <v>4|1|10000|1</v>
          </cell>
        </row>
        <row r="8215">
          <cell r="A8215">
            <v>110902</v>
          </cell>
          <cell r="B8215">
            <v>0</v>
          </cell>
          <cell r="C8215" t="str">
            <v>1|14003|1</v>
          </cell>
          <cell r="D8215" t="str">
            <v>元灵重塑击破奖励26</v>
          </cell>
          <cell r="E8215" t="str">
            <v>1|14003|1|1</v>
          </cell>
        </row>
        <row r="8216">
          <cell r="A8216">
            <v>110903</v>
          </cell>
          <cell r="B8216">
            <v>0</v>
          </cell>
          <cell r="C8216" t="str">
            <v>4|2|100</v>
          </cell>
          <cell r="D8216" t="str">
            <v>元灵重塑击破奖励27</v>
          </cell>
          <cell r="E8216" t="str">
            <v>4|2|100|1</v>
          </cell>
        </row>
        <row r="8217">
          <cell r="A8217">
            <v>111001</v>
          </cell>
          <cell r="B8217">
            <v>0</v>
          </cell>
          <cell r="C8217" t="str">
            <v>4|1|10000</v>
          </cell>
          <cell r="D8217" t="str">
            <v>元灵重塑击破奖励28</v>
          </cell>
          <cell r="E8217" t="str">
            <v>4|1|10000|1</v>
          </cell>
        </row>
        <row r="8218">
          <cell r="A8218">
            <v>111002</v>
          </cell>
          <cell r="B8218">
            <v>0</v>
          </cell>
          <cell r="C8218" t="str">
            <v>1|14003|1</v>
          </cell>
          <cell r="D8218" t="str">
            <v>元灵重塑击破奖励29</v>
          </cell>
          <cell r="E8218" t="str">
            <v>1|14003|1|1</v>
          </cell>
        </row>
        <row r="8219">
          <cell r="A8219">
            <v>111003</v>
          </cell>
          <cell r="B8219">
            <v>0</v>
          </cell>
          <cell r="C8219" t="str">
            <v>4|2|100</v>
          </cell>
          <cell r="D8219" t="str">
            <v>元灵重塑击破奖励30</v>
          </cell>
          <cell r="E8219" t="str">
            <v>4|2|100|1</v>
          </cell>
        </row>
        <row r="8220">
          <cell r="A8220">
            <v>111101</v>
          </cell>
          <cell r="B8220">
            <v>0</v>
          </cell>
          <cell r="C8220" t="str">
            <v>4|1|10000</v>
          </cell>
          <cell r="D8220" t="str">
            <v>元灵重塑击破奖励31</v>
          </cell>
          <cell r="E8220" t="str">
            <v>4|1|10000|1</v>
          </cell>
        </row>
        <row r="8221">
          <cell r="A8221">
            <v>111102</v>
          </cell>
          <cell r="B8221">
            <v>0</v>
          </cell>
          <cell r="C8221" t="str">
            <v>1|14003|1</v>
          </cell>
          <cell r="D8221" t="str">
            <v>元灵重塑击破奖励32</v>
          </cell>
          <cell r="E8221" t="str">
            <v>1|14003|1|1</v>
          </cell>
        </row>
        <row r="8222">
          <cell r="A8222">
            <v>111103</v>
          </cell>
          <cell r="B8222">
            <v>0</v>
          </cell>
          <cell r="C8222" t="str">
            <v>4|2|100</v>
          </cell>
          <cell r="D8222" t="str">
            <v>元灵重塑击破奖励33</v>
          </cell>
          <cell r="E8222" t="str">
            <v>4|2|100|1</v>
          </cell>
        </row>
        <row r="8223">
          <cell r="A8223">
            <v>111201</v>
          </cell>
          <cell r="B8223">
            <v>0</v>
          </cell>
          <cell r="C8223" t="str">
            <v>4|1|10000</v>
          </cell>
          <cell r="D8223" t="str">
            <v>元灵重塑击破奖励34</v>
          </cell>
          <cell r="E8223" t="str">
            <v>4|1|10000|1</v>
          </cell>
        </row>
        <row r="8224">
          <cell r="A8224">
            <v>111202</v>
          </cell>
          <cell r="B8224">
            <v>0</v>
          </cell>
          <cell r="C8224" t="str">
            <v>1|14003|1</v>
          </cell>
          <cell r="D8224" t="str">
            <v>元灵重塑击破奖励35</v>
          </cell>
          <cell r="E8224" t="str">
            <v>1|14003|1|1</v>
          </cell>
        </row>
        <row r="8225">
          <cell r="A8225">
            <v>111203</v>
          </cell>
          <cell r="B8225">
            <v>0</v>
          </cell>
          <cell r="C8225" t="str">
            <v>4|2|100</v>
          </cell>
          <cell r="D8225" t="str">
            <v>元灵重塑击破奖励36</v>
          </cell>
          <cell r="E8225" t="str">
            <v>4|2|100|1</v>
          </cell>
        </row>
        <row r="8226">
          <cell r="A8226">
            <v>111301</v>
          </cell>
          <cell r="B8226">
            <v>0</v>
          </cell>
          <cell r="C8226" t="str">
            <v>4|1|12000</v>
          </cell>
          <cell r="D8226" t="str">
            <v>元灵重塑击破奖励37</v>
          </cell>
          <cell r="E8226" t="str">
            <v>4|1|12000|1</v>
          </cell>
        </row>
        <row r="8227">
          <cell r="A8227">
            <v>111302</v>
          </cell>
          <cell r="B8227">
            <v>0</v>
          </cell>
          <cell r="C8227" t="str">
            <v>1|14003|1</v>
          </cell>
          <cell r="D8227" t="str">
            <v>元灵重塑击破奖励38</v>
          </cell>
          <cell r="E8227" t="str">
            <v>1|14003|1|1</v>
          </cell>
        </row>
        <row r="8228">
          <cell r="A8228">
            <v>111303</v>
          </cell>
          <cell r="B8228">
            <v>0</v>
          </cell>
          <cell r="C8228" t="str">
            <v>4|2|100</v>
          </cell>
          <cell r="D8228" t="str">
            <v>元灵重塑击破奖励39</v>
          </cell>
          <cell r="E8228" t="str">
            <v>4|2|100|1</v>
          </cell>
        </row>
        <row r="8229">
          <cell r="A8229">
            <v>111401</v>
          </cell>
          <cell r="B8229">
            <v>0</v>
          </cell>
          <cell r="C8229" t="str">
            <v>4|1|12000</v>
          </cell>
          <cell r="D8229" t="str">
            <v>元灵重塑击破奖励40</v>
          </cell>
          <cell r="E8229" t="str">
            <v>4|1|12000|1</v>
          </cell>
        </row>
        <row r="8230">
          <cell r="A8230">
            <v>111402</v>
          </cell>
          <cell r="B8230">
            <v>0</v>
          </cell>
          <cell r="C8230" t="str">
            <v>1|14003|1</v>
          </cell>
          <cell r="D8230" t="str">
            <v>元灵重塑击破奖励41</v>
          </cell>
          <cell r="E8230" t="str">
            <v>1|14003|1|1</v>
          </cell>
        </row>
        <row r="8231">
          <cell r="A8231">
            <v>111403</v>
          </cell>
          <cell r="B8231">
            <v>0</v>
          </cell>
          <cell r="C8231" t="str">
            <v>4|2|100</v>
          </cell>
          <cell r="D8231" t="str">
            <v>元灵重塑击破奖励42</v>
          </cell>
          <cell r="E8231" t="str">
            <v>4|2|100|1</v>
          </cell>
        </row>
        <row r="8232">
          <cell r="A8232">
            <v>111501</v>
          </cell>
          <cell r="B8232">
            <v>0</v>
          </cell>
          <cell r="C8232" t="str">
            <v>4|1|12000</v>
          </cell>
          <cell r="D8232" t="str">
            <v>元灵重塑击破奖励43</v>
          </cell>
          <cell r="E8232" t="str">
            <v>4|1|12000|1</v>
          </cell>
        </row>
        <row r="8233">
          <cell r="A8233">
            <v>111502</v>
          </cell>
          <cell r="B8233">
            <v>0</v>
          </cell>
          <cell r="C8233" t="str">
            <v>1|14003|1</v>
          </cell>
          <cell r="D8233" t="str">
            <v>元灵重塑击破奖励44</v>
          </cell>
          <cell r="E8233" t="str">
            <v>1|14003|1|1</v>
          </cell>
        </row>
        <row r="8234">
          <cell r="A8234">
            <v>111503</v>
          </cell>
          <cell r="B8234">
            <v>0</v>
          </cell>
          <cell r="C8234" t="str">
            <v>4|2|100</v>
          </cell>
          <cell r="D8234" t="str">
            <v>元灵重塑击破奖励45</v>
          </cell>
          <cell r="E8234" t="str">
            <v>4|2|100|1</v>
          </cell>
        </row>
        <row r="8235">
          <cell r="A8235">
            <v>111601</v>
          </cell>
          <cell r="B8235">
            <v>0</v>
          </cell>
          <cell r="C8235" t="str">
            <v>4|1|12000</v>
          </cell>
          <cell r="D8235" t="str">
            <v>元灵重塑击破奖励46</v>
          </cell>
          <cell r="E8235" t="str">
            <v>4|1|12000|1</v>
          </cell>
        </row>
        <row r="8236">
          <cell r="A8236">
            <v>111602</v>
          </cell>
          <cell r="B8236">
            <v>0</v>
          </cell>
          <cell r="C8236" t="str">
            <v>1|14003|1</v>
          </cell>
          <cell r="D8236" t="str">
            <v>元灵重塑击破奖励47</v>
          </cell>
          <cell r="E8236" t="str">
            <v>1|14003|1|1</v>
          </cell>
        </row>
        <row r="8237">
          <cell r="A8237">
            <v>111603</v>
          </cell>
          <cell r="B8237">
            <v>0</v>
          </cell>
          <cell r="C8237" t="str">
            <v>4|2|100</v>
          </cell>
          <cell r="D8237" t="str">
            <v>元灵重塑击破奖励48</v>
          </cell>
          <cell r="E8237" t="str">
            <v>4|2|100|1</v>
          </cell>
        </row>
        <row r="8238">
          <cell r="A8238">
            <v>111701</v>
          </cell>
          <cell r="B8238">
            <v>0</v>
          </cell>
          <cell r="C8238" t="str">
            <v>4|1|12000</v>
          </cell>
          <cell r="D8238" t="str">
            <v>元灵重塑击破奖励49</v>
          </cell>
          <cell r="E8238" t="str">
            <v>4|1|12000|1</v>
          </cell>
        </row>
        <row r="8239">
          <cell r="A8239">
            <v>111702</v>
          </cell>
          <cell r="B8239">
            <v>0</v>
          </cell>
          <cell r="C8239" t="str">
            <v>1|14003|1</v>
          </cell>
          <cell r="D8239" t="str">
            <v>元灵重塑击破奖励50</v>
          </cell>
          <cell r="E8239" t="str">
            <v>1|14003|1|1</v>
          </cell>
        </row>
        <row r="8240">
          <cell r="A8240">
            <v>111703</v>
          </cell>
          <cell r="B8240">
            <v>0</v>
          </cell>
          <cell r="C8240" t="str">
            <v>4|2|100</v>
          </cell>
          <cell r="D8240" t="str">
            <v>元灵重塑击破奖励51</v>
          </cell>
          <cell r="E8240" t="str">
            <v>4|2|100|1</v>
          </cell>
        </row>
        <row r="8241">
          <cell r="A8241">
            <v>111801</v>
          </cell>
          <cell r="B8241">
            <v>0</v>
          </cell>
          <cell r="C8241" t="str">
            <v>4|1|12000</v>
          </cell>
          <cell r="D8241" t="str">
            <v>元灵重塑击破奖励52</v>
          </cell>
          <cell r="E8241" t="str">
            <v>4|1|12000|1</v>
          </cell>
        </row>
        <row r="8242">
          <cell r="A8242">
            <v>111802</v>
          </cell>
          <cell r="B8242">
            <v>0</v>
          </cell>
          <cell r="C8242" t="str">
            <v>1|14003|1</v>
          </cell>
          <cell r="D8242" t="str">
            <v>元灵重塑击破奖励53</v>
          </cell>
          <cell r="E8242" t="str">
            <v>1|14003|1|1</v>
          </cell>
        </row>
        <row r="8243">
          <cell r="A8243">
            <v>111803</v>
          </cell>
          <cell r="B8243">
            <v>0</v>
          </cell>
          <cell r="C8243" t="str">
            <v>4|2|100</v>
          </cell>
          <cell r="D8243" t="str">
            <v>元灵重塑击破奖励54</v>
          </cell>
          <cell r="E8243" t="str">
            <v>4|2|100|1</v>
          </cell>
        </row>
        <row r="8244">
          <cell r="A8244">
            <v>111901</v>
          </cell>
          <cell r="B8244">
            <v>0</v>
          </cell>
          <cell r="C8244" t="str">
            <v>4|1|12000</v>
          </cell>
          <cell r="D8244" t="str">
            <v>元灵重塑击破奖励55</v>
          </cell>
          <cell r="E8244" t="str">
            <v>4|1|12000|1</v>
          </cell>
        </row>
        <row r="8245">
          <cell r="A8245">
            <v>111902</v>
          </cell>
          <cell r="B8245">
            <v>0</v>
          </cell>
          <cell r="C8245" t="str">
            <v>1|14003|1</v>
          </cell>
          <cell r="D8245" t="str">
            <v>元灵重塑击破奖励56</v>
          </cell>
          <cell r="E8245" t="str">
            <v>1|14003|1|1</v>
          </cell>
        </row>
        <row r="8246">
          <cell r="A8246">
            <v>111903</v>
          </cell>
          <cell r="B8246">
            <v>0</v>
          </cell>
          <cell r="C8246" t="str">
            <v>4|2|100</v>
          </cell>
          <cell r="D8246" t="str">
            <v>元灵重塑击破奖励57</v>
          </cell>
          <cell r="E8246" t="str">
            <v>4|2|100|1</v>
          </cell>
        </row>
        <row r="8247">
          <cell r="A8247">
            <v>112001</v>
          </cell>
          <cell r="B8247">
            <v>0</v>
          </cell>
          <cell r="C8247" t="str">
            <v>4|1|12000</v>
          </cell>
          <cell r="D8247" t="str">
            <v>元灵重塑击破奖励58</v>
          </cell>
          <cell r="E8247" t="str">
            <v>4|1|12000|1</v>
          </cell>
        </row>
        <row r="8248">
          <cell r="A8248">
            <v>112002</v>
          </cell>
          <cell r="B8248">
            <v>0</v>
          </cell>
          <cell r="C8248" t="str">
            <v>1|14003|1</v>
          </cell>
          <cell r="D8248" t="str">
            <v>元灵重塑击破奖励59</v>
          </cell>
          <cell r="E8248" t="str">
            <v>1|14003|1|1</v>
          </cell>
        </row>
        <row r="8249">
          <cell r="A8249">
            <v>112003</v>
          </cell>
          <cell r="B8249">
            <v>0</v>
          </cell>
          <cell r="C8249" t="str">
            <v>4|2|100</v>
          </cell>
          <cell r="D8249" t="str">
            <v>元灵重塑击破奖励60</v>
          </cell>
          <cell r="E8249" t="str">
            <v>4|2|100|1</v>
          </cell>
        </row>
        <row r="8250">
          <cell r="A8250">
            <v>112101</v>
          </cell>
          <cell r="B8250">
            <v>0</v>
          </cell>
          <cell r="C8250" t="str">
            <v>4|1|12000</v>
          </cell>
          <cell r="D8250" t="str">
            <v>元灵重塑击破奖励61</v>
          </cell>
          <cell r="E8250" t="str">
            <v>4|1|12000|1</v>
          </cell>
        </row>
        <row r="8251">
          <cell r="A8251">
            <v>112102</v>
          </cell>
          <cell r="B8251">
            <v>0</v>
          </cell>
          <cell r="C8251" t="str">
            <v>1|14003|1</v>
          </cell>
          <cell r="D8251" t="str">
            <v>元灵重塑击破奖励62</v>
          </cell>
          <cell r="E8251" t="str">
            <v>1|14003|1|1</v>
          </cell>
        </row>
        <row r="8252">
          <cell r="A8252">
            <v>112103</v>
          </cell>
          <cell r="B8252">
            <v>0</v>
          </cell>
          <cell r="C8252" t="str">
            <v>4|2|100</v>
          </cell>
          <cell r="D8252" t="str">
            <v>元灵重塑击破奖励63</v>
          </cell>
          <cell r="E8252" t="str">
            <v>4|2|100|1</v>
          </cell>
        </row>
        <row r="8253">
          <cell r="A8253">
            <v>112201</v>
          </cell>
          <cell r="B8253">
            <v>0</v>
          </cell>
          <cell r="C8253" t="str">
            <v>4|1|12000</v>
          </cell>
          <cell r="D8253" t="str">
            <v>元灵重塑击破奖励64</v>
          </cell>
          <cell r="E8253" t="str">
            <v>4|1|12000|1</v>
          </cell>
        </row>
        <row r="8254">
          <cell r="A8254">
            <v>112202</v>
          </cell>
          <cell r="B8254">
            <v>0</v>
          </cell>
          <cell r="C8254" t="str">
            <v>1|14003|1</v>
          </cell>
          <cell r="D8254" t="str">
            <v>元灵重塑击破奖励65</v>
          </cell>
          <cell r="E8254" t="str">
            <v>1|14003|1|1</v>
          </cell>
        </row>
        <row r="8255">
          <cell r="A8255">
            <v>112203</v>
          </cell>
          <cell r="B8255">
            <v>0</v>
          </cell>
          <cell r="C8255" t="str">
            <v>4|2|100</v>
          </cell>
          <cell r="D8255" t="str">
            <v>元灵重塑击破奖励66</v>
          </cell>
          <cell r="E8255" t="str">
            <v>4|2|100|1</v>
          </cell>
        </row>
        <row r="8256">
          <cell r="A8256">
            <v>112301</v>
          </cell>
          <cell r="B8256">
            <v>0</v>
          </cell>
          <cell r="C8256" t="str">
            <v>4|1|14000</v>
          </cell>
          <cell r="D8256" t="str">
            <v>元灵重塑击破奖励67</v>
          </cell>
          <cell r="E8256" t="str">
            <v>4|1|14000|1</v>
          </cell>
        </row>
        <row r="8257">
          <cell r="A8257">
            <v>112302</v>
          </cell>
          <cell r="B8257">
            <v>0</v>
          </cell>
          <cell r="C8257" t="str">
            <v>1|14003|1</v>
          </cell>
          <cell r="D8257" t="str">
            <v>元灵重塑击破奖励68</v>
          </cell>
          <cell r="E8257" t="str">
            <v>1|14003|1|1</v>
          </cell>
        </row>
        <row r="8258">
          <cell r="A8258">
            <v>112303</v>
          </cell>
          <cell r="B8258">
            <v>0</v>
          </cell>
          <cell r="C8258" t="str">
            <v>4|2|100</v>
          </cell>
          <cell r="D8258" t="str">
            <v>元灵重塑击破奖励69</v>
          </cell>
          <cell r="E8258" t="str">
            <v>4|2|100|1</v>
          </cell>
        </row>
        <row r="8259">
          <cell r="A8259">
            <v>112401</v>
          </cell>
          <cell r="B8259">
            <v>0</v>
          </cell>
          <cell r="C8259" t="str">
            <v>4|1|14000</v>
          </cell>
          <cell r="D8259" t="str">
            <v>元灵重塑击破奖励70</v>
          </cell>
          <cell r="E8259" t="str">
            <v>4|1|14000|1</v>
          </cell>
        </row>
        <row r="8260">
          <cell r="A8260">
            <v>112402</v>
          </cell>
          <cell r="B8260">
            <v>0</v>
          </cell>
          <cell r="C8260" t="str">
            <v>1|14003|1</v>
          </cell>
          <cell r="D8260" t="str">
            <v>元灵重塑击破奖励71</v>
          </cell>
          <cell r="E8260" t="str">
            <v>1|14003|1|1</v>
          </cell>
        </row>
        <row r="8261">
          <cell r="A8261">
            <v>112403</v>
          </cell>
          <cell r="B8261">
            <v>0</v>
          </cell>
          <cell r="C8261" t="str">
            <v>4|2|100</v>
          </cell>
          <cell r="D8261" t="str">
            <v>元灵重塑击破奖励72</v>
          </cell>
          <cell r="E8261" t="str">
            <v>4|2|100|1</v>
          </cell>
        </row>
        <row r="8262">
          <cell r="A8262">
            <v>112501</v>
          </cell>
          <cell r="B8262">
            <v>0</v>
          </cell>
          <cell r="C8262" t="str">
            <v>4|1|14000</v>
          </cell>
          <cell r="D8262" t="str">
            <v>元灵重塑击破奖励73</v>
          </cell>
          <cell r="E8262" t="str">
            <v>4|1|14000|1</v>
          </cell>
        </row>
        <row r="8263">
          <cell r="A8263">
            <v>112502</v>
          </cell>
          <cell r="B8263">
            <v>0</v>
          </cell>
          <cell r="C8263" t="str">
            <v>1|14003|1</v>
          </cell>
          <cell r="D8263" t="str">
            <v>元灵重塑击破奖励74</v>
          </cell>
          <cell r="E8263" t="str">
            <v>1|14003|1|1</v>
          </cell>
        </row>
        <row r="8264">
          <cell r="A8264">
            <v>112503</v>
          </cell>
          <cell r="B8264">
            <v>0</v>
          </cell>
          <cell r="C8264" t="str">
            <v>4|2|100</v>
          </cell>
          <cell r="D8264" t="str">
            <v>元灵重塑击破奖励75</v>
          </cell>
          <cell r="E8264" t="str">
            <v>4|2|100|1</v>
          </cell>
        </row>
        <row r="8265">
          <cell r="A8265">
            <v>1000001</v>
          </cell>
          <cell r="B8265">
            <v>0</v>
          </cell>
          <cell r="C8265" t="str">
            <v>4|2|100</v>
          </cell>
          <cell r="D8265" t="str">
            <v>购买人数达到10即可领取</v>
          </cell>
          <cell r="E8265" t="str">
            <v>4|2|100|1</v>
          </cell>
        </row>
        <row r="8266">
          <cell r="A8266">
            <v>1000002</v>
          </cell>
          <cell r="B8266">
            <v>0</v>
          </cell>
          <cell r="C8266" t="str">
            <v>4|2|200</v>
          </cell>
          <cell r="D8266" t="str">
            <v>购买人数达到30即可领取</v>
          </cell>
          <cell r="E8266" t="str">
            <v>4|2|200|1</v>
          </cell>
        </row>
        <row r="8267">
          <cell r="A8267">
            <v>1000003</v>
          </cell>
          <cell r="B8267">
            <v>0</v>
          </cell>
          <cell r="C8267" t="str">
            <v>4|2|300</v>
          </cell>
          <cell r="D8267" t="str">
            <v>购买人数达到50即可领取</v>
          </cell>
          <cell r="E8267" t="str">
            <v>4|2|300|1</v>
          </cell>
        </row>
        <row r="8268">
          <cell r="A8268">
            <v>1000004</v>
          </cell>
          <cell r="B8268">
            <v>0</v>
          </cell>
          <cell r="C8268" t="str">
            <v>4|2|400</v>
          </cell>
          <cell r="D8268" t="str">
            <v>购买人数达到100即可领取</v>
          </cell>
          <cell r="E8268" t="str">
            <v>4|2|400|1</v>
          </cell>
        </row>
        <row r="8269">
          <cell r="A8269">
            <v>1000005</v>
          </cell>
          <cell r="B8269">
            <v>0</v>
          </cell>
          <cell r="C8269" t="str">
            <v>4|2|500</v>
          </cell>
          <cell r="D8269" t="str">
            <v>购买人数达到200即可领取</v>
          </cell>
          <cell r="E8269" t="str">
            <v>4|2|500|1</v>
          </cell>
        </row>
        <row r="8270">
          <cell r="A8270">
            <v>1000006</v>
          </cell>
          <cell r="B8270">
            <v>0</v>
          </cell>
          <cell r="C8270" t="str">
            <v>4|2|1000</v>
          </cell>
          <cell r="D8270" t="str">
            <v>购买人数达到500即可领取</v>
          </cell>
          <cell r="E8270" t="str">
            <v>4|2|1000|1</v>
          </cell>
        </row>
        <row r="8271">
          <cell r="A8271">
            <v>1000007</v>
          </cell>
          <cell r="B8271">
            <v>0</v>
          </cell>
          <cell r="C8271" t="str">
            <v>4|2|1000</v>
          </cell>
          <cell r="D8271" t="str">
            <v>购买人数达到1000即可领取</v>
          </cell>
          <cell r="E8271" t="str">
            <v>4|2|1000|1</v>
          </cell>
        </row>
        <row r="8272">
          <cell r="A8272">
            <v>1000008</v>
          </cell>
          <cell r="B8272">
            <v>0</v>
          </cell>
          <cell r="C8272" t="str">
            <v>4|2|1000</v>
          </cell>
          <cell r="D8272" t="str">
            <v>购买人数达到1500即可领取</v>
          </cell>
          <cell r="E8272" t="str">
            <v>4|2|1000|1</v>
          </cell>
        </row>
        <row r="8273">
          <cell r="A8273">
            <v>1001000</v>
          </cell>
          <cell r="B8273">
            <v>0</v>
          </cell>
          <cell r="C8273" t="str">
            <v>4|2|1000</v>
          </cell>
          <cell r="D8273" t="str">
            <v>游历四方挑战领地获胜奖励</v>
          </cell>
          <cell r="E8273" t="str">
            <v>4|2|1000|1</v>
          </cell>
        </row>
        <row r="8274">
          <cell r="A8274">
            <v>1001001</v>
          </cell>
          <cell r="B8274">
            <v>1</v>
          </cell>
          <cell r="C8274" t="str">
            <v>[]</v>
          </cell>
          <cell r="D8274" t="str">
            <v>游历四方领地1奖励</v>
          </cell>
          <cell r="E8274" t="str">
            <v>3|1001101|1|10,3|1001102|1|90</v>
          </cell>
        </row>
        <row r="8275">
          <cell r="A8275">
            <v>1001002</v>
          </cell>
          <cell r="B8275">
            <v>1</v>
          </cell>
          <cell r="C8275" t="str">
            <v>[]</v>
          </cell>
          <cell r="D8275" t="str">
            <v>游历四方领地2奖励</v>
          </cell>
          <cell r="E8275" t="str">
            <v>3|1001103|1|10,3|1001104|1|90</v>
          </cell>
        </row>
        <row r="8276">
          <cell r="A8276">
            <v>1001003</v>
          </cell>
          <cell r="B8276">
            <v>1</v>
          </cell>
          <cell r="C8276" t="str">
            <v>[]</v>
          </cell>
          <cell r="D8276" t="str">
            <v>游历四方领地3奖励</v>
          </cell>
          <cell r="E8276" t="str">
            <v>3|1001105|1|10,3|1001106|1|90</v>
          </cell>
        </row>
        <row r="8277">
          <cell r="A8277">
            <v>1001004</v>
          </cell>
          <cell r="B8277">
            <v>1</v>
          </cell>
          <cell r="C8277" t="str">
            <v>[]</v>
          </cell>
          <cell r="D8277" t="str">
            <v>游历四方领地4奖励</v>
          </cell>
          <cell r="E8277" t="str">
            <v>3|1001107|1|10,3|1001108|1|90</v>
          </cell>
        </row>
        <row r="8278">
          <cell r="A8278">
            <v>1001005</v>
          </cell>
          <cell r="B8278">
            <v>1</v>
          </cell>
          <cell r="C8278" t="str">
            <v>[]</v>
          </cell>
          <cell r="D8278" t="str">
            <v>游历四方领地5奖励</v>
          </cell>
          <cell r="E8278" t="str">
            <v>3|1001109|1|10,3|1001110|1|90</v>
          </cell>
        </row>
        <row r="8279">
          <cell r="A8279">
            <v>1001101</v>
          </cell>
          <cell r="B8279">
            <v>1</v>
          </cell>
          <cell r="C8279" t="str">
            <v>1|10001|1,1|10002|1,1|10003|1</v>
          </cell>
          <cell r="D8279" t="str">
            <v>游历四方领地1奖励_武将</v>
          </cell>
          <cell r="E8279" t="str">
            <v>1|10001|1|10,1|10002|1|10,1|10003|1|10</v>
          </cell>
        </row>
        <row r="8280">
          <cell r="A8280">
            <v>1001102</v>
          </cell>
          <cell r="B8280">
            <v>1</v>
          </cell>
          <cell r="C8280" t="str">
            <v>1|14002|1,1|14003|1,1|14004|1,1|14104|1,1|16005|1</v>
          </cell>
          <cell r="D8280" t="str">
            <v>游历四方领地1奖励_物品</v>
          </cell>
          <cell r="E8280" t="str">
            <v>3|26001|1|30,3|26002|1|6,3|26003|1|3,3|26004|1|3,3|26005|1|10,3|26006|1|20,3|26007|1|10,3|26008|1|10,3|26009|1|5,3|26010|1|3</v>
          </cell>
        </row>
        <row r="8281">
          <cell r="A8281">
            <v>1001103</v>
          </cell>
          <cell r="B8281">
            <v>1</v>
          </cell>
          <cell r="C8281" t="str">
            <v>1|10001|1,1|10002|1,1|10003|1</v>
          </cell>
          <cell r="D8281" t="str">
            <v>游历四方领地2奖励_武将</v>
          </cell>
          <cell r="E8281" t="str">
            <v>1|10001|1|10,1|10002|1|10,1|10003|1|10</v>
          </cell>
        </row>
        <row r="8282">
          <cell r="A8282">
            <v>1001104</v>
          </cell>
          <cell r="B8282">
            <v>1</v>
          </cell>
          <cell r="C8282" t="str">
            <v>1|14002|1,1|14003|1,1|14004|1,1|14104|1,1|16005|1</v>
          </cell>
          <cell r="D8282" t="str">
            <v>游历四方领地2奖励_物品</v>
          </cell>
          <cell r="E8282" t="str">
            <v>3|26001|1|30,3|26002|1|6,3|26003|1|3,3|26004|1|3,3|26005|1|10,3|26006|1|20,3|26007|1|10,3|26008|1|10,3|26009|1|5,3|26010|1|3</v>
          </cell>
        </row>
        <row r="8283">
          <cell r="A8283">
            <v>1001105</v>
          </cell>
          <cell r="B8283">
            <v>1</v>
          </cell>
          <cell r="C8283" t="str">
            <v>1|10001|1,1|10002|1,1|10003|1</v>
          </cell>
          <cell r="D8283" t="str">
            <v>游历四方领地3奖励_武将</v>
          </cell>
          <cell r="E8283" t="str">
            <v>1|10001|1|10,1|10002|1|10,1|10003|1|10</v>
          </cell>
        </row>
        <row r="8284">
          <cell r="A8284">
            <v>1001106</v>
          </cell>
          <cell r="B8284">
            <v>1</v>
          </cell>
          <cell r="C8284" t="str">
            <v>1|14002|1,1|14003|1,1|14004|1,1|14104|1,1|16005|1</v>
          </cell>
          <cell r="D8284" t="str">
            <v>游历四方领地3奖励_物品</v>
          </cell>
          <cell r="E8284" t="str">
            <v>3|26001|1|30,3|26002|1|6,3|26003|1|3,3|26004|1|3,3|26005|1|10,3|26006|1|20,3|26007|1|10,3|26008|1|10,3|26009|1|5,3|26010|1|3</v>
          </cell>
        </row>
        <row r="8285">
          <cell r="A8285">
            <v>1001107</v>
          </cell>
          <cell r="B8285">
            <v>1</v>
          </cell>
          <cell r="C8285" t="str">
            <v>1|10001|1,1|10002|1,1|10003|1</v>
          </cell>
          <cell r="D8285" t="str">
            <v>游历四方领地4奖励_武将</v>
          </cell>
          <cell r="E8285" t="str">
            <v>1|10001|1|10,1|10002|1|10,1|10003|1|10</v>
          </cell>
        </row>
        <row r="8286">
          <cell r="A8286">
            <v>1001108</v>
          </cell>
          <cell r="B8286">
            <v>1</v>
          </cell>
          <cell r="C8286" t="str">
            <v>1|14002|1,1|14003|1,1|14004|1,1|14104|1,1|16005|1</v>
          </cell>
          <cell r="D8286" t="str">
            <v>游历四方领地4奖励_物品</v>
          </cell>
          <cell r="E8286" t="str">
            <v>3|26001|1|30,3|26002|1|6,3|26003|1|3,3|26004|1|3,3|26005|1|10,3|26006|1|20,3|26007|1|10,3|26008|1|10,3|26009|1|5,3|26010|1|3</v>
          </cell>
        </row>
        <row r="8287">
          <cell r="A8287">
            <v>1001109</v>
          </cell>
          <cell r="B8287">
            <v>1</v>
          </cell>
          <cell r="C8287" t="str">
            <v>1|10001|1,1|10002|1,1|10003|1</v>
          </cell>
          <cell r="D8287" t="str">
            <v>游历四方领地5奖励_武将</v>
          </cell>
          <cell r="E8287" t="str">
            <v>1|10001|1|10,1|10002|1|10,1|10003|1|10</v>
          </cell>
        </row>
        <row r="8288">
          <cell r="A8288">
            <v>1001110</v>
          </cell>
          <cell r="B8288">
            <v>1</v>
          </cell>
          <cell r="C8288" t="str">
            <v>1|14002|1,1|14003|1,1|14004|1,1|14104|1,1|16005|1</v>
          </cell>
          <cell r="D8288" t="str">
            <v>游历四方领地5奖励_物品</v>
          </cell>
          <cell r="E8288" t="str">
            <v>3|26001|1|30,3|26002|1|6,3|26003|1|3,3|26004|1|3,3|26005|1|10,3|26006|1|20,3|26007|1|10,3|26008|1|10,3|26009|1|5,3|26010|1|3</v>
          </cell>
        </row>
        <row r="8289">
          <cell r="A8289">
            <v>55397</v>
          </cell>
          <cell r="B8289">
            <v>3</v>
          </cell>
          <cell r="C8289" t="str">
            <v>5|1127|1,5|1212|1,5|1108|1,5|1219|1,5|1113|1,5|1120|1</v>
          </cell>
          <cell r="D8289" t="str">
            <v>橙16品防御伙伴选择箱</v>
          </cell>
          <cell r="E8289" t="str">
            <v>5|1127|1|1,5|1212|1|1,5|1108|1|1,5|1219|1|1,5|1113|1|1,5|1120|1|1</v>
          </cell>
        </row>
        <row r="8290">
          <cell r="A8290">
            <v>55398</v>
          </cell>
          <cell r="B8290">
            <v>3</v>
          </cell>
          <cell r="C8290" t="str">
            <v>5|1214|1,5|1102|1,5|1112|1,5|1213|1,5|1218|1,5|1111|1</v>
          </cell>
          <cell r="D8290" t="str">
            <v>橙16品输出伙伴选择箱</v>
          </cell>
          <cell r="E8290" t="str">
            <v>5|1214|1|1,5|1102|1|1,5|1112|1|1,5|1213|1|1,5|1218|1|1,5|1111|1|1</v>
          </cell>
        </row>
        <row r="8291">
          <cell r="A8291">
            <v>55399</v>
          </cell>
          <cell r="B8291">
            <v>3</v>
          </cell>
          <cell r="C8291" t="str">
            <v>1|14515|1,1|14516|1,1|14558|1</v>
          </cell>
          <cell r="D8291" t="str">
            <v>橙16品伙伴选择箱</v>
          </cell>
          <cell r="E8291" t="str">
            <v>1|14515|1|1,1|14516|1|1,1|14558|1|1</v>
          </cell>
        </row>
        <row r="8292">
          <cell r="A8292">
            <v>55400</v>
          </cell>
          <cell r="B8292">
            <v>1</v>
          </cell>
          <cell r="C8292" t="str">
            <v>[]</v>
          </cell>
          <cell r="D8292" t="str">
            <v>橙16品伙伴随机箱</v>
          </cell>
          <cell r="E8292" t="str">
            <v>5|1127|1|1,5|1212|1|1,5|1108|1|1,5|1219|1|1,5|1113|1|1,5|1120|1|1,5|1214|1|1,5|1102|1|1,5|1112|1|1,5|1213|1|1,5|1218|1|1,5|1111|1|1,5|1215|1|1,5|1103|1|1,5|1115|1|1</v>
          </cell>
        </row>
        <row r="8293">
          <cell r="A8293">
            <v>55401</v>
          </cell>
          <cell r="B8293">
            <v>3</v>
          </cell>
          <cell r="C8293" t="str">
            <v>5|1122|1,5|1125|1,5|1107|1,5|1135|1,5|1117|1,5|1132|1</v>
          </cell>
          <cell r="D8293" t="str">
            <v>橙13品防御伙伴选择箱</v>
          </cell>
          <cell r="E8293" t="str">
            <v>5|1122|1|1,5|1125|1|1,5|1107|1|1,5|1135|1|1,5|1117|1|1,5|1132|1|1</v>
          </cell>
        </row>
        <row r="8294">
          <cell r="A8294">
            <v>55402</v>
          </cell>
          <cell r="B8294">
            <v>3</v>
          </cell>
          <cell r="C8294" t="str">
            <v>5|1110|1,5|1202|1,5|1104|1,5|1123|1,5|1114|1,5|1216|1,5|1207|1,5|1201|1,5|1106|1,5|1131|1,5|1137|1,5|1208|1</v>
          </cell>
          <cell r="D8294" t="str">
            <v>橙13品输出伙伴选择箱</v>
          </cell>
          <cell r="E8294" t="str">
            <v>5|1110|1|1,5|1202|1|1,5|1104|1|1,5|1123|1|1,5|1114|1|1,5|1216|1|1,5|1207|1|1,5|1201|1|1,5|1106|1|1,5|1131|1|1,5|1137|1|1,5|1208|1|1</v>
          </cell>
        </row>
        <row r="8295">
          <cell r="A8295">
            <v>55403</v>
          </cell>
          <cell r="B8295">
            <v>3</v>
          </cell>
          <cell r="C8295" t="str">
            <v>5|1126|1,5|1109|1,5|1116|1</v>
          </cell>
          <cell r="D8295" t="str">
            <v>橙13品辅助伙伴选择箱</v>
          </cell>
          <cell r="E8295" t="str">
            <v>5|1126|1|1,5|1109|1|1,5|1116|1|1</v>
          </cell>
        </row>
        <row r="8296">
          <cell r="A8296">
            <v>55404</v>
          </cell>
          <cell r="B8296">
            <v>3</v>
          </cell>
          <cell r="C8296" t="str">
            <v>1|14519|1,1|14520|1,1|14521|1</v>
          </cell>
          <cell r="D8296" t="str">
            <v>橙13品伙伴选择箱</v>
          </cell>
          <cell r="E8296" t="str">
            <v>1|14519|1|1,1|14520|1|1,1|14521|1|1</v>
          </cell>
        </row>
        <row r="8297">
          <cell r="A8297">
            <v>55405</v>
          </cell>
          <cell r="B8297">
            <v>1</v>
          </cell>
          <cell r="C8297" t="str">
            <v>[]</v>
          </cell>
          <cell r="D8297" t="str">
            <v>橙13品伙伴随机箱</v>
          </cell>
          <cell r="E8297" t="str">
            <v>5|1122|1|1,5|1125|1|1,5|1107|1|1,5|1135|1|1,5|1117|1|1,5|1132|1|1,5|1110|1|1,5|1202|1|1,5|1104|1|1,5|1123|1|1,5|1114|1|1,5|1216|1|1,5|1207|1|1,5|1201|1|1,5|1106|1|1,5|1131|1|1,5|1137|1|1,5|1208|1|1,5|1126|1|1,5|1109|1|1,5|1116|1|1</v>
          </cell>
        </row>
        <row r="8298">
          <cell r="A8298">
            <v>55406</v>
          </cell>
          <cell r="B8298">
            <v>1</v>
          </cell>
          <cell r="C8298" t="str">
            <v>[]</v>
          </cell>
          <cell r="D8298" t="str">
            <v>橙装碎片随机箱</v>
          </cell>
          <cell r="E8298" t="str">
            <v>3|55441|1|150,3|55442|1|100</v>
          </cell>
        </row>
        <row r="8299">
          <cell r="A8299">
            <v>55407</v>
          </cell>
          <cell r="B8299">
            <v>3</v>
          </cell>
          <cell r="C8299" t="str">
            <v>1|11025|1,1|11026|1,1|11027|1,1|11028|1</v>
          </cell>
          <cell r="D8299" t="str">
            <v>橙色散装碎片选择箱</v>
          </cell>
          <cell r="E8299" t="str">
            <v>1|11025|1|1,1|11026|1|1,1|11027|1|1,1|11028|1|1</v>
          </cell>
        </row>
        <row r="8300">
          <cell r="A8300">
            <v>55408</v>
          </cell>
          <cell r="B8300">
            <v>3</v>
          </cell>
          <cell r="C8300" t="str">
            <v>2|2064|1,2|2063|1,2|2062|1,2|2061|1</v>
          </cell>
          <cell r="D8300" t="str">
            <v>破军套装选择箱</v>
          </cell>
          <cell r="E8300" t="str">
            <v>2|2064|1|1,2|2063|1|1,2|2062|1|1,2|2061|1|1</v>
          </cell>
        </row>
        <row r="8301">
          <cell r="A8301">
            <v>55409</v>
          </cell>
          <cell r="B8301">
            <v>3</v>
          </cell>
          <cell r="C8301" t="str">
            <v>2|2068|1,2|2067|1,2|2066|1,2|2065|1</v>
          </cell>
          <cell r="D8301" t="str">
            <v>烛天套装选择箱</v>
          </cell>
          <cell r="E8301" t="str">
            <v>2|2068|1|1,2|2067|1|1,2|2066|1|1,2|2065|1|1</v>
          </cell>
        </row>
        <row r="8302">
          <cell r="A8302">
            <v>55410</v>
          </cell>
          <cell r="B8302">
            <v>3</v>
          </cell>
          <cell r="C8302" t="str">
            <v>2|2072|1,2|2071|1,2|2070|1,2|2069|1</v>
          </cell>
          <cell r="D8302" t="str">
            <v>太虚套装选择箱</v>
          </cell>
          <cell r="E8302" t="str">
            <v>2|2072|1|1,2|2071|1|1,2|2070|1|1,2|2069|1|1</v>
          </cell>
        </row>
        <row r="8303">
          <cell r="A8303">
            <v>55411</v>
          </cell>
          <cell r="B8303">
            <v>1</v>
          </cell>
          <cell r="C8303" t="str">
            <v>[]</v>
          </cell>
          <cell r="D8303" t="str">
            <v>橙色装备随机箱</v>
          </cell>
          <cell r="E8303" t="str">
            <v>3|55443|1|150,3|55444|1|100</v>
          </cell>
        </row>
        <row r="8304">
          <cell r="A8304">
            <v>55412</v>
          </cell>
          <cell r="B8304">
            <v>3</v>
          </cell>
          <cell r="C8304" t="str">
            <v>2|2044|1,2|2043|1,2|2042|1,2|2041|1</v>
          </cell>
          <cell r="D8304" t="str">
            <v>封魂套装选择箱</v>
          </cell>
          <cell r="E8304" t="str">
            <v>2|2044|1|1,2|2043|1|1,2|2042|1|1,2|2041|1|1</v>
          </cell>
        </row>
        <row r="8305">
          <cell r="A8305">
            <v>55413</v>
          </cell>
          <cell r="B8305">
            <v>3</v>
          </cell>
          <cell r="C8305" t="str">
            <v>2|2048|1,2|2047|1,2|2046|1,2|2045|1</v>
          </cell>
          <cell r="D8305" t="str">
            <v>游龙套装选择箱</v>
          </cell>
          <cell r="E8305" t="str">
            <v>2|2048|1|1,2|2047|1|1,2|2046|1|1,2|2045|1|1</v>
          </cell>
        </row>
        <row r="8306">
          <cell r="A8306">
            <v>55414</v>
          </cell>
          <cell r="B8306">
            <v>3</v>
          </cell>
          <cell r="C8306" t="str">
            <v>2|2052|1,2|2051|1,2|2050|1,2|2049|1</v>
          </cell>
          <cell r="D8306" t="str">
            <v>蚩灵套装选择箱</v>
          </cell>
          <cell r="E8306" t="str">
            <v>2|2052|1|1,2|2051|1|1,2|2050|1|1,2|2049|1|1</v>
          </cell>
        </row>
        <row r="8307">
          <cell r="A8307">
            <v>55415</v>
          </cell>
          <cell r="B8307">
            <v>0</v>
          </cell>
          <cell r="C8307" t="str">
            <v>[]</v>
          </cell>
          <cell r="D8307" t="str">
            <v>岚影套装宝箱</v>
          </cell>
          <cell r="E8307" t="str">
            <v>2|2028|1|1,2|2027|1|1,2|2026|1|1,2|2025|1|1</v>
          </cell>
        </row>
        <row r="8308">
          <cell r="A8308">
            <v>55416</v>
          </cell>
          <cell r="B8308">
            <v>0</v>
          </cell>
          <cell r="C8308" t="str">
            <v>[]</v>
          </cell>
          <cell r="D8308" t="str">
            <v>朔雪套装宝箱</v>
          </cell>
          <cell r="E8308" t="str">
            <v>2|2032|1|1,2|2031|1|1,2|2030|1|1,2|2029|1|1</v>
          </cell>
        </row>
        <row r="8309">
          <cell r="A8309">
            <v>55417</v>
          </cell>
          <cell r="B8309">
            <v>3</v>
          </cell>
          <cell r="C8309" t="str">
            <v>6|3012|1,6|3011|1,6|3013|1,6|3014|1</v>
          </cell>
          <cell r="D8309" t="str">
            <v>橙色法宝选择箱</v>
          </cell>
          <cell r="E8309" t="str">
            <v>6|3012|1|1,6|3011|1|1,6|3013|1|1,6|3014|1|1</v>
          </cell>
        </row>
        <row r="8310">
          <cell r="A8310">
            <v>55418</v>
          </cell>
          <cell r="B8310">
            <v>3</v>
          </cell>
          <cell r="C8310" t="str">
            <v>1|14527|1,1|14528|1</v>
          </cell>
          <cell r="D8310" t="str">
            <v>橙色套装选择箱</v>
          </cell>
          <cell r="E8310" t="str">
            <v>1|14527|1|1,1|14528|1|1</v>
          </cell>
        </row>
        <row r="8311">
          <cell r="A8311">
            <v>55419</v>
          </cell>
          <cell r="B8311">
            <v>0</v>
          </cell>
          <cell r="C8311" t="str">
            <v>1|14523|1,1|14504|1</v>
          </cell>
          <cell r="D8311" t="str">
            <v>7日活动大礼包（2）</v>
          </cell>
          <cell r="E8311" t="str">
            <v>1|14523|1|1,1|14504|1|1</v>
          </cell>
        </row>
        <row r="8312">
          <cell r="A8312">
            <v>55420</v>
          </cell>
          <cell r="B8312">
            <v>0</v>
          </cell>
          <cell r="C8312" t="str">
            <v>1|14306|20,1|14108|2</v>
          </cell>
          <cell r="D8312" t="str">
            <v>7日活动大礼包（3）</v>
          </cell>
          <cell r="E8312" t="str">
            <v>1|14306|20|1,1|14108|2|1</v>
          </cell>
        </row>
        <row r="8313">
          <cell r="A8313">
            <v>55421</v>
          </cell>
          <cell r="B8313">
            <v>0</v>
          </cell>
          <cell r="C8313" t="str">
            <v>1|14306|30,1|14107|1000</v>
          </cell>
          <cell r="D8313" t="str">
            <v>7日活动大礼包（4）</v>
          </cell>
          <cell r="E8313" t="str">
            <v>1|14306|30|1,1|14107|1000|1</v>
          </cell>
        </row>
        <row r="8314">
          <cell r="A8314">
            <v>55422</v>
          </cell>
          <cell r="B8314">
            <v>0</v>
          </cell>
          <cell r="C8314" t="str">
            <v>1|14303|20,1|17001|400</v>
          </cell>
          <cell r="D8314" t="str">
            <v>7日活动大礼包（5）</v>
          </cell>
          <cell r="E8314" t="str">
            <v>1|14303|20|1,1|17001|400|1</v>
          </cell>
        </row>
        <row r="8315">
          <cell r="A8315">
            <v>55423</v>
          </cell>
          <cell r="B8315">
            <v>0</v>
          </cell>
          <cell r="C8315" t="str">
            <v>1|14529|1,1|17001|400</v>
          </cell>
          <cell r="D8315" t="str">
            <v>7日活动大礼包（6）</v>
          </cell>
          <cell r="E8315" t="str">
            <v>1|14529|1|1,1|17001|400|1</v>
          </cell>
        </row>
        <row r="8316">
          <cell r="A8316">
            <v>55424</v>
          </cell>
          <cell r="B8316">
            <v>0</v>
          </cell>
          <cell r="C8316" t="str">
            <v>1|14303|10,1|16005|800,1|16010|100</v>
          </cell>
          <cell r="D8316" t="str">
            <v>7日活动大礼包（7）</v>
          </cell>
          <cell r="E8316" t="str">
            <v>1|14303|10|1,1|16005|800|1,1|16010|100|1</v>
          </cell>
        </row>
        <row r="8317">
          <cell r="A8317">
            <v>55425</v>
          </cell>
          <cell r="B8317">
            <v>0</v>
          </cell>
          <cell r="C8317" t="str">
            <v>1|14303|20,1|16005|1200,1|16010|200</v>
          </cell>
          <cell r="D8317" t="str">
            <v>7日活动大礼包（8）</v>
          </cell>
          <cell r="E8317" t="str">
            <v>1|14303|20|1,1|16005|1200|1,1|16010|200|1</v>
          </cell>
        </row>
        <row r="8318">
          <cell r="A8318">
            <v>55426</v>
          </cell>
          <cell r="B8318">
            <v>0</v>
          </cell>
          <cell r="C8318" t="str">
            <v>1|14506|60,4|4|2000,1|14102|150</v>
          </cell>
          <cell r="D8318" t="str">
            <v>7日活动大礼包（9）</v>
          </cell>
          <cell r="E8318" t="str">
            <v>1|14506|60|1,4|4|2000|1,1|14102|150|1</v>
          </cell>
        </row>
        <row r="8319">
          <cell r="A8319">
            <v>55427</v>
          </cell>
          <cell r="B8319">
            <v>0</v>
          </cell>
          <cell r="C8319" t="str">
            <v>1|14506|100,4|4|3000,1|14102|200</v>
          </cell>
          <cell r="D8319" t="str">
            <v>7日活动大礼包（10）</v>
          </cell>
          <cell r="E8319" t="str">
            <v>1|14506|100|1,4|4|3000|1,1|14102|200|1</v>
          </cell>
        </row>
        <row r="8320">
          <cell r="A8320">
            <v>55428</v>
          </cell>
          <cell r="B8320">
            <v>0</v>
          </cell>
          <cell r="C8320" t="str">
            <v>1|14550|15,1|14201|1000</v>
          </cell>
          <cell r="D8320" t="str">
            <v>7日活动大礼包（11）</v>
          </cell>
          <cell r="E8320" t="str">
            <v>1|14550|15|1,1|14201|1000|1</v>
          </cell>
        </row>
        <row r="8321">
          <cell r="A8321">
            <v>55429</v>
          </cell>
          <cell r="B8321">
            <v>0</v>
          </cell>
          <cell r="C8321" t="str">
            <v>1|14550|20,1|14201|1200</v>
          </cell>
          <cell r="D8321" t="str">
            <v>7日活动大礼包（12）</v>
          </cell>
          <cell r="E8321" t="str">
            <v>1|14550|20|1,1|14201|1200|1</v>
          </cell>
        </row>
        <row r="8322">
          <cell r="A8322">
            <v>55430</v>
          </cell>
          <cell r="B8322">
            <v>0</v>
          </cell>
          <cell r="C8322" t="str">
            <v>1|14535|10,1|17002|80</v>
          </cell>
          <cell r="D8322" t="str">
            <v>7日活动大礼包（13）</v>
          </cell>
          <cell r="E8322" t="str">
            <v>1|14535|10|1,1|17002|80|1</v>
          </cell>
        </row>
        <row r="8323">
          <cell r="A8323">
            <v>55431</v>
          </cell>
          <cell r="B8323">
            <v>0</v>
          </cell>
          <cell r="C8323" t="str">
            <v>1|14529|1,1|17002|120</v>
          </cell>
          <cell r="D8323" t="str">
            <v>7日活动大礼包（14）</v>
          </cell>
          <cell r="E8323" t="str">
            <v>1|14529|1|1,1|17002|120|1</v>
          </cell>
        </row>
        <row r="8324">
          <cell r="A8324">
            <v>55432</v>
          </cell>
          <cell r="B8324">
            <v>1</v>
          </cell>
          <cell r="C8324" t="str">
            <v>6|3012|1,6|3011|1,6|3013|1,6|3014|1</v>
          </cell>
          <cell r="D8324" t="str">
            <v>橙色法宝随机箱</v>
          </cell>
          <cell r="E8324" t="str">
            <v>6|3012|1|1,6|3011|1|1,6|3013|1|1,6|3014|1|1</v>
          </cell>
        </row>
        <row r="8325">
          <cell r="A8325">
            <v>55433</v>
          </cell>
          <cell r="B8325">
            <v>1</v>
          </cell>
          <cell r="C8325" t="str">
            <v>6|3005|1,6|3006|1,6|3007|1,6|3008|1,6|3011|1,6|3012|1,6|3013|1,6|3014|1,6|4503|1,6|4504|1</v>
          </cell>
          <cell r="D8325" t="str">
            <v>高级法宝随机箱</v>
          </cell>
          <cell r="E8325" t="str">
            <v>6|3005|1|1,6|3006|1|1,6|3007|1|1,6|3008|1|1,6|3011|1|1,6|3012|1|1,6|3013|1|1,6|3014|1|1,6|4503|1|1,6|4504|1|1</v>
          </cell>
        </row>
        <row r="8326">
          <cell r="A8326">
            <v>55434</v>
          </cell>
          <cell r="B8326">
            <v>3</v>
          </cell>
          <cell r="C8326" t="str">
            <v>2|2061|1,2|2062|1,2|2063|1,2|2064|1</v>
          </cell>
          <cell r="D8326" t="str">
            <v>橙色装备选择箱</v>
          </cell>
          <cell r="E8326" t="str">
            <v>2|2061|1|1,2|2062|1|1,2|2063|1|1,2|2064|1|1</v>
          </cell>
        </row>
        <row r="8327">
          <cell r="A8327">
            <v>55435</v>
          </cell>
          <cell r="B8327">
            <v>3</v>
          </cell>
          <cell r="C8327" t="str">
            <v>5|1132|1,5|1135|1,5|1125|1</v>
          </cell>
          <cell r="D8327" t="str">
            <v>(混世魔王,东海龙王，迦叶)三选一</v>
          </cell>
          <cell r="E8327" t="str">
            <v>5|1132|1|1,5|1135|1|1,5|1125|1|1</v>
          </cell>
        </row>
        <row r="8328">
          <cell r="A8328">
            <v>55436</v>
          </cell>
          <cell r="B8328">
            <v>3</v>
          </cell>
          <cell r="C8328" t="str">
            <v>5|1119|1,5|1121|1,5|1102|1</v>
          </cell>
          <cell r="D8328" t="str">
            <v>(孙悟空,紫霞,哪吒)三选一</v>
          </cell>
          <cell r="E8328" t="str">
            <v>5|1119|1|1,5|1121|1|1,5|1102|1|1</v>
          </cell>
        </row>
        <row r="8329">
          <cell r="A8329">
            <v>55437</v>
          </cell>
          <cell r="B8329">
            <v>3</v>
          </cell>
          <cell r="C8329" t="str">
            <v>5|1208|1,5|1216|1,5|1106|1</v>
          </cell>
          <cell r="D8329" t="str">
            <v>首充极品橙将选择箱</v>
          </cell>
          <cell r="E8329" t="str">
            <v>5|1208|1|1,5|1216|1|1,5|1106|1|1</v>
          </cell>
        </row>
        <row r="8330">
          <cell r="A8330">
            <v>55438</v>
          </cell>
          <cell r="B8330">
            <v>1</v>
          </cell>
          <cell r="C8330" t="str">
            <v>[]</v>
          </cell>
          <cell r="D8330" t="str">
            <v>紫色法宝随机箱</v>
          </cell>
          <cell r="E8330" t="str">
            <v>6|3005|1|1,6|3006|1|1,6|3007|1|1,6|3008|1|1</v>
          </cell>
        </row>
        <row r="8331">
          <cell r="A8331">
            <v>55439</v>
          </cell>
          <cell r="B8331">
            <v>1</v>
          </cell>
          <cell r="C8331" t="str">
            <v>5|1208|1,5|1202|1,5|1104|1</v>
          </cell>
          <cell r="D8331" t="str">
            <v>(彩蝶仙童,人参娃,玉皇大帝)随机宝箱</v>
          </cell>
          <cell r="E8331" t="str">
            <v>5|1208|1|1,5|1202|1|1,5|1104|1|1</v>
          </cell>
        </row>
        <row r="8332">
          <cell r="A8332">
            <v>55440</v>
          </cell>
          <cell r="B8332">
            <v>3</v>
          </cell>
          <cell r="C8332" t="str">
            <v>5|1215|1,5|1103|1,5|1115|1</v>
          </cell>
          <cell r="D8332" t="str">
            <v>橙16辅助伙伴选择箱</v>
          </cell>
          <cell r="E8332" t="str">
            <v>5|1215|1|1,5|1103|1|1,5|1115|1|1</v>
          </cell>
        </row>
        <row r="8333">
          <cell r="A8333">
            <v>55441</v>
          </cell>
          <cell r="B8333">
            <v>1</v>
          </cell>
          <cell r="C8333" t="str">
            <v>[]</v>
          </cell>
          <cell r="D8333" t="str">
            <v>橙色散件装备碎片随机箱</v>
          </cell>
          <cell r="E8333" t="str">
            <v>1|11025|1|1,1|11026|1|1,1|11027|1|1,1|11028|1|1</v>
          </cell>
        </row>
        <row r="8334">
          <cell r="A8334">
            <v>55442</v>
          </cell>
          <cell r="B8334">
            <v>1</v>
          </cell>
          <cell r="C8334" t="str">
            <v>[]</v>
          </cell>
          <cell r="D8334" t="str">
            <v>橙色套装装备碎片随机箱</v>
          </cell>
          <cell r="E8334" t="str">
            <v>1|11029|1|1,1|11030|1|1,1|11031|1|1,1|11032|1|1,1|11033|1|1,1|11034|1|1,1|11035|1|1,1|11036|1|1</v>
          </cell>
        </row>
        <row r="8335">
          <cell r="A8335">
            <v>55443</v>
          </cell>
          <cell r="B8335">
            <v>1</v>
          </cell>
          <cell r="C8335" t="str">
            <v>[]</v>
          </cell>
          <cell r="D8335" t="str">
            <v>橙色散装随机箱</v>
          </cell>
          <cell r="E8335" t="str">
            <v>2|2064|1|1,2|2063|1|1,2|2062|1|1,2|2061|1|1</v>
          </cell>
        </row>
        <row r="8336">
          <cell r="A8336">
            <v>55444</v>
          </cell>
          <cell r="B8336">
            <v>1</v>
          </cell>
          <cell r="C8336" t="str">
            <v>[]</v>
          </cell>
          <cell r="D8336" t="str">
            <v>橙色套装随机箱</v>
          </cell>
          <cell r="E8336" t="str">
            <v>2|2068|1|1,2|2067|1|1,2|2066|1|1,2|2065|1|1,2|2072|1|1,2|2071|1|1,2|2070|1|1,2|2069|1|1</v>
          </cell>
        </row>
        <row r="8337">
          <cell r="A8337">
            <v>55445</v>
          </cell>
          <cell r="B8337">
            <v>3</v>
          </cell>
          <cell r="C8337" t="str">
            <v>5|1101|1,5|1105|1</v>
          </cell>
          <cell r="D8337" t="str">
            <v>红色仙将选择箱</v>
          </cell>
          <cell r="E8337" t="str">
            <v>5|1101|1|1,5|1105|1|1</v>
          </cell>
        </row>
        <row r="8338">
          <cell r="A8338">
            <v>55446</v>
          </cell>
          <cell r="B8338">
            <v>3</v>
          </cell>
          <cell r="C8338" t="str">
            <v>5|1211|1,5|1121|1</v>
          </cell>
          <cell r="D8338" t="str">
            <v>红色佛将选择箱</v>
          </cell>
          <cell r="E8338" t="str">
            <v>5|1211|1|1,5|1121|1|1</v>
          </cell>
        </row>
        <row r="8339">
          <cell r="A8339">
            <v>55447</v>
          </cell>
          <cell r="B8339">
            <v>3</v>
          </cell>
          <cell r="C8339" t="str">
            <v>5|1119|1,5|1124|1</v>
          </cell>
          <cell r="D8339" t="str">
            <v>红色妖将选择箱</v>
          </cell>
          <cell r="E8339" t="str">
            <v>5|1119|1|1,5|1124|1|1</v>
          </cell>
        </row>
        <row r="8340">
          <cell r="A8340">
            <v>55448</v>
          </cell>
          <cell r="B8340">
            <v>3</v>
          </cell>
          <cell r="C8340" t="str">
            <v>5|1101|1,5|1105|1,5|1211|1,5|1121|1,5|1119|1,5|1124|1</v>
          </cell>
          <cell r="D8340" t="str">
            <v>红色伙伴选择箱</v>
          </cell>
          <cell r="E8340" t="str">
            <v>5|1101|1|1,5|1105|1|1,5|1211|1|1,5|1121|1|1,5|1119|1|1,5|1124|1|1</v>
          </cell>
        </row>
        <row r="8341">
          <cell r="A8341">
            <v>55449</v>
          </cell>
          <cell r="B8341">
            <v>1</v>
          </cell>
          <cell r="C8341" t="str">
            <v>[]</v>
          </cell>
          <cell r="D8341" t="str">
            <v>红色伙伴随机箱</v>
          </cell>
          <cell r="E8341" t="str">
            <v>5|1101|1|1,5|1105|1|1,5|1211|1|1,5|1121|1|1,5|1119|1|1,5|1124|1|1</v>
          </cell>
        </row>
        <row r="8342">
          <cell r="A8342">
            <v>55450</v>
          </cell>
          <cell r="B8342">
            <v>3</v>
          </cell>
          <cell r="C8342" t="str">
            <v>1|10001|1,1|10005|1</v>
          </cell>
          <cell r="D8342" t="str">
            <v>红色仙将碎片选择箱</v>
          </cell>
          <cell r="E8342" t="str">
            <v>1|10001|1|1,1|10005|1|1</v>
          </cell>
        </row>
        <row r="8343">
          <cell r="A8343">
            <v>55451</v>
          </cell>
          <cell r="B8343">
            <v>3</v>
          </cell>
          <cell r="C8343" t="str">
            <v>1|10111|1,1|10021|1</v>
          </cell>
          <cell r="D8343" t="str">
            <v>红色佛将碎片选择箱</v>
          </cell>
          <cell r="E8343" t="str">
            <v>1|10111|1|1,1|10021|1|1</v>
          </cell>
        </row>
        <row r="8344">
          <cell r="A8344">
            <v>55452</v>
          </cell>
          <cell r="B8344">
            <v>3</v>
          </cell>
          <cell r="C8344" t="str">
            <v>1|10019|1,1|10024|1</v>
          </cell>
          <cell r="D8344" t="str">
            <v>红色妖将碎片选择箱</v>
          </cell>
          <cell r="E8344" t="str">
            <v>1|10019|1|1,1|10024|1|1</v>
          </cell>
        </row>
        <row r="8345">
          <cell r="A8345">
            <v>55453</v>
          </cell>
          <cell r="B8345">
            <v>3</v>
          </cell>
          <cell r="C8345" t="str">
            <v>1|10001|1,1|10005|1,1|10111|1,1|10021|1,1|10019|1,1|10024|1</v>
          </cell>
          <cell r="D8345" t="str">
            <v>红色伙伴碎片选择箱</v>
          </cell>
          <cell r="E8345" t="str">
            <v>1|10001|1|1,1|10005|1|1,1|10111|1|1,1|10021|1|1,1|10019|1|1,1|10024|1|1</v>
          </cell>
        </row>
        <row r="8346">
          <cell r="A8346">
            <v>55454</v>
          </cell>
          <cell r="B8346">
            <v>1</v>
          </cell>
          <cell r="C8346" t="str">
            <v>[]</v>
          </cell>
          <cell r="D8346" t="str">
            <v>红色伙伴碎片随机箱</v>
          </cell>
          <cell r="E8346" t="str">
            <v>1|10001|1|1,1|10005|1|1,1|10111|1|1,1|10021|1|1,1|10019|1|1,1|10024|1|1</v>
          </cell>
        </row>
        <row r="8347">
          <cell r="A8347">
            <v>55455</v>
          </cell>
          <cell r="B8347">
            <v>3</v>
          </cell>
          <cell r="C8347" t="str">
            <v>5|1211|1,5|1101|1,5|1119|1</v>
          </cell>
          <cell r="D8347" t="str">
            <v>近战红将选择箱</v>
          </cell>
          <cell r="E8347" t="str">
            <v>5|1211|1|1,5|1101|1|1,5|1119|1|1</v>
          </cell>
        </row>
        <row r="8348">
          <cell r="A8348">
            <v>55456</v>
          </cell>
          <cell r="B8348">
            <v>3</v>
          </cell>
          <cell r="C8348" t="str">
            <v>5|1121|1,5|1105|1,5|1124|1</v>
          </cell>
          <cell r="D8348" t="str">
            <v>远程红将选择箱</v>
          </cell>
          <cell r="E8348" t="str">
            <v>5|1121|1|1,5|1105|1|1,5|1124|1|1</v>
          </cell>
        </row>
        <row r="8349">
          <cell r="A8349">
            <v>55457</v>
          </cell>
          <cell r="B8349">
            <v>3</v>
          </cell>
          <cell r="C8349" t="str">
            <v>1|14569|1,1|14570|1</v>
          </cell>
          <cell r="D8349" t="str">
            <v>红色伙伴选择箱</v>
          </cell>
          <cell r="E8349" t="str">
            <v>1|14569|1|1,1|14570|1|1</v>
          </cell>
        </row>
        <row r="8350">
          <cell r="A8350">
            <v>55458</v>
          </cell>
          <cell r="B8350">
            <v>3</v>
          </cell>
          <cell r="C8350" t="str">
            <v>1|17104|1,1|17124|1,1|17105|1,1|17114|1,1|17113|1,1|17116|1</v>
          </cell>
          <cell r="D8350" t="str">
            <v>红色神兵碎片选择箱</v>
          </cell>
          <cell r="E8350" t="str">
            <v>1|17104|1|1,1|17124|1|1,1|17105|1|1,1|17114|1|1,1|17113|1|1,1|17116|1|1</v>
          </cell>
        </row>
        <row r="8351">
          <cell r="A8351">
            <v>55459</v>
          </cell>
          <cell r="B8351">
            <v>3</v>
          </cell>
          <cell r="C8351" t="str">
            <v>1|14575|1,1|14576|1,1|14577|1</v>
          </cell>
          <cell r="D8351" t="str">
            <v>橙16神兵碎片选择箱</v>
          </cell>
          <cell r="E8351" t="str">
            <v>1|14575|1|1,1|14576|1|1,1|14577|1|1</v>
          </cell>
        </row>
        <row r="8352">
          <cell r="A8352">
            <v>55460</v>
          </cell>
          <cell r="B8352">
            <v>3</v>
          </cell>
          <cell r="C8352" t="str">
            <v>1|14578|1,1|14579|1,1|14580|1</v>
          </cell>
          <cell r="D8352" t="str">
            <v>橙13神兵碎片选择箱</v>
          </cell>
          <cell r="E8352" t="str">
            <v>1|14578|1|1,1|14579|1|1,1|14580|1|1</v>
          </cell>
        </row>
        <row r="8353">
          <cell r="A8353">
            <v>55461</v>
          </cell>
          <cell r="B8353">
            <v>3</v>
          </cell>
          <cell r="C8353" t="str">
            <v>1|17106|1,1|17111|1,1|17103|1,1|17115|1,1|17120|1</v>
          </cell>
          <cell r="D8353" t="str">
            <v>橙16仙将神兵选择箱</v>
          </cell>
          <cell r="E8353" t="str">
            <v>1|17106|1|1,1|17111|1|1,1|17103|1|1,1|17115|1|1,1|17120|1|1</v>
          </cell>
        </row>
        <row r="8354">
          <cell r="A8354">
            <v>55462</v>
          </cell>
          <cell r="B8354">
            <v>3</v>
          </cell>
          <cell r="C8354" t="str">
            <v>1|17109|1,1|17110|1,1|17118|1,1|17119|1,1|17125|1</v>
          </cell>
          <cell r="D8354" t="str">
            <v>橙16佛将神兵选择箱</v>
          </cell>
          <cell r="E8354" t="str">
            <v>1|17109|1|1,1|17110|1|1,1|17118|1|1,1|17119|1|1,1|17125|1|1</v>
          </cell>
        </row>
        <row r="8355">
          <cell r="A8355">
            <v>55463</v>
          </cell>
          <cell r="B8355">
            <v>3</v>
          </cell>
          <cell r="C8355" t="str">
            <v>1|17122|1,1|17112|1,1|17107|1,1|17108|1,1|17140|1</v>
          </cell>
          <cell r="D8355" t="str">
            <v>橙16妖将神兵选择箱</v>
          </cell>
          <cell r="E8355" t="str">
            <v>1|17122|1|1,1|17112|1|1,1|17107|1|1,1|17108|1|1,1|17140|1|1</v>
          </cell>
        </row>
        <row r="8356">
          <cell r="A8356">
            <v>55464</v>
          </cell>
          <cell r="B8356">
            <v>3</v>
          </cell>
          <cell r="C8356" t="str">
            <v>1|17121|1,1|17128|1,1|17144|1,1|17129|1,1|17133|1,1|17135|1,1|17139|1</v>
          </cell>
          <cell r="D8356" t="str">
            <v>橙13仙将神兵选择箱</v>
          </cell>
          <cell r="E8356" t="str">
            <v>1|17121|1|1,1|17128|1|1,1|17144|1|1,1|17129|1|1,1|17133|1|1,1|17135|1|1,1|17139|1|1</v>
          </cell>
        </row>
        <row r="8357">
          <cell r="A8357">
            <v>55465</v>
          </cell>
          <cell r="B8357">
            <v>3</v>
          </cell>
          <cell r="C8357" t="str">
            <v>1|17117|1,1|17142|1,1|17131|1,1|17127|1,1|17138|1,1|17132|1,1|17143|1</v>
          </cell>
          <cell r="D8357" t="str">
            <v>橙13佛将神兵选择箱</v>
          </cell>
          <cell r="E8357" t="str">
            <v>1|17117|1|1,1|17142|1|1,1|17131|1|1,1|17127|1|1,1|17138|1|1,1|17132|1|1,1|17143|1|1</v>
          </cell>
        </row>
        <row r="8358">
          <cell r="A8358">
            <v>55466</v>
          </cell>
          <cell r="B8358">
            <v>3</v>
          </cell>
          <cell r="C8358" t="str">
            <v>1|17123|1,1|17134|1,1|17126|1,1|17130|1,1|17136|1,1|17137|1,1|17141|1</v>
          </cell>
          <cell r="D8358" t="str">
            <v>橙13妖将神兵选择箱</v>
          </cell>
          <cell r="E8358" t="str">
            <v>1|17123|1|1,1|17134|1|1,1|17126|1|1,1|17130|1|1,1|17136|1|1,1|17137|1|1,1|17141|1|1</v>
          </cell>
        </row>
        <row r="8359">
          <cell r="A8359">
            <v>55467</v>
          </cell>
          <cell r="B8359">
            <v>1</v>
          </cell>
          <cell r="C8359" t="str">
            <v>[]</v>
          </cell>
          <cell r="D8359" t="str">
            <v>红色神兵碎片随机箱</v>
          </cell>
          <cell r="E8359" t="str">
            <v>1|17104|1|1,1|17124|1|1,1|17105|1|1,1|17114|1|1,1|17113|1|1,1|17116|1|1</v>
          </cell>
        </row>
        <row r="8360">
          <cell r="A8360">
            <v>55468</v>
          </cell>
          <cell r="B8360">
            <v>1</v>
          </cell>
          <cell r="C8360" t="str">
            <v>[]</v>
          </cell>
          <cell r="D8360" t="str">
            <v>橙16神兵碎片随机箱</v>
          </cell>
          <cell r="E8360" t="str">
            <v>1|17106|1|1,1|17111|1|1,1|17103|1|1,1|17115|1|1,1|17120|1|1,1|17109|1|1,1|17110|1|1,1|17118|1|1,1|17119|1|1,1|17125|1|1,1|17122|1|1,1|17112|1|1,1|17107|1|1,1|17108|1|1,1|17140|1|1</v>
          </cell>
        </row>
        <row r="8361">
          <cell r="A8361">
            <v>55469</v>
          </cell>
          <cell r="B8361">
            <v>1</v>
          </cell>
          <cell r="C8361" t="str">
            <v>[]</v>
          </cell>
          <cell r="D8361" t="str">
            <v>橙13神兵碎片随机箱</v>
          </cell>
          <cell r="E8361" t="str">
            <v>1|17121|1|1,1|17128|1|1,1|17144|1|1,1|17129|1|1,1|17133|1|1,1|17135|1|1,1|17139|1|1,1|17121|1|1,1|17128|1|1,1|17144|1|1,1|17129|1|1,1|17133|1|1,1|17135|1|1,1|17139|1|1,1|17123|1|1,1|17134|1|1,1|17126|1|1,1|17130|1|1,1|17136|1|1,1|17137|1|1,1|17141|1|1</v>
          </cell>
        </row>
        <row r="8362">
          <cell r="A8362">
            <v>55470</v>
          </cell>
          <cell r="B8362">
            <v>3</v>
          </cell>
          <cell r="C8362" t="str">
            <v>1|10111|1,1|10001|1,1|10019|1</v>
          </cell>
          <cell r="D8362" t="str">
            <v>近战红将碎片选择箱</v>
          </cell>
          <cell r="E8362" t="str">
            <v>1|10111|1|1,1|10001|1|1,1|10019|1|1</v>
          </cell>
        </row>
        <row r="8363">
          <cell r="A8363">
            <v>55471</v>
          </cell>
          <cell r="B8363">
            <v>3</v>
          </cell>
          <cell r="C8363" t="str">
            <v>1|10021|1,1|10005|1,1|10024|1</v>
          </cell>
          <cell r="D8363" t="str">
            <v>远程红将碎片选择箱</v>
          </cell>
          <cell r="E8363" t="str">
            <v>1|10021|1|1,1|10005|1|1,1|10024|1|1</v>
          </cell>
        </row>
        <row r="8364">
          <cell r="A8364">
            <v>55472</v>
          </cell>
          <cell r="B8364">
            <v>3</v>
          </cell>
          <cell r="C8364" t="str">
            <v>1|12085|1,1|12091|1,1|12097|1,1|12103|1</v>
          </cell>
          <cell r="D8364" t="str">
            <v>红色法宝碎片选择箱</v>
          </cell>
          <cell r="E8364" t="str">
            <v>1|12085|1|1,1|12091|1|1,1|12097|1|1,1|12103|1|1</v>
          </cell>
        </row>
        <row r="8365">
          <cell r="A8365">
            <v>55473</v>
          </cell>
          <cell r="B8365">
            <v>3</v>
          </cell>
          <cell r="C8365" t="str">
            <v>6|3017|1,6|3018|1,6|3019|1,6|3020|1</v>
          </cell>
          <cell r="D8365" t="str">
            <v>红色法宝选择箱</v>
          </cell>
          <cell r="E8365" t="str">
            <v>6|3017|1|1,6|3018|1|1,6|3019|1|1,6|3020|1|1</v>
          </cell>
        </row>
        <row r="8366">
          <cell r="A8366">
            <v>55474</v>
          </cell>
          <cell r="B8366">
            <v>3</v>
          </cell>
          <cell r="C8366" t="str">
            <v>1|11037|1,1|11038|1,1|11039|1,1|11040|1</v>
          </cell>
          <cell r="D8366" t="str">
            <v>红色装备碎片选择箱</v>
          </cell>
          <cell r="E8366" t="str">
            <v>1|11037|1|1,1|11038|1|1,1|11039|1|1,1|11040|1|1</v>
          </cell>
        </row>
        <row r="8367">
          <cell r="A8367">
            <v>55475</v>
          </cell>
          <cell r="B8367">
            <v>3</v>
          </cell>
          <cell r="C8367" t="str">
            <v>2|2081|1,2|2082|1,2|2083|1,2|2084|1</v>
          </cell>
          <cell r="D8367" t="str">
            <v>红色装备选择箱</v>
          </cell>
          <cell r="E8367" t="str">
            <v>2|2081|1|1,2|2082|1|1,2|2083|1|1,2|2084|1|1</v>
          </cell>
        </row>
        <row r="8368">
          <cell r="A8368">
            <v>10000000</v>
          </cell>
          <cell r="B8368">
            <v>0</v>
          </cell>
          <cell r="C8368" t="str">
            <v>1|14523|1,1|14101|10</v>
          </cell>
          <cell r="D8368" t="str">
            <v>累计充值100元</v>
          </cell>
          <cell r="E8368" t="str">
            <v>1|14523|1|1,1|14101|10|1</v>
          </cell>
        </row>
        <row r="8369">
          <cell r="A8369">
            <v>10000001</v>
          </cell>
          <cell r="B8369">
            <v>0</v>
          </cell>
          <cell r="C8369" t="str">
            <v>1|14517|1,1|14108|10</v>
          </cell>
          <cell r="D8369" t="str">
            <v>累计充值200元</v>
          </cell>
          <cell r="E8369" t="str">
            <v>1|14517|1|1,1|14108|10|1</v>
          </cell>
        </row>
        <row r="8370">
          <cell r="A8370">
            <v>10000002</v>
          </cell>
          <cell r="B8370">
            <v>0</v>
          </cell>
          <cell r="C8370" t="str">
            <v>4|2|100,1|14101|1</v>
          </cell>
          <cell r="D8370" t="str">
            <v>今日登陆赠送</v>
          </cell>
          <cell r="E8370" t="str">
            <v>4|2|100|1,1|14101|1|1</v>
          </cell>
        </row>
        <row r="8371">
          <cell r="A8371">
            <v>10000003</v>
          </cell>
          <cell r="B8371">
            <v>0</v>
          </cell>
          <cell r="C8371" t="str">
            <v>1|14553|1</v>
          </cell>
          <cell r="D8371" t="str">
            <v>等级到达25级</v>
          </cell>
          <cell r="E8371" t="str">
            <v>1|14553|1|1</v>
          </cell>
        </row>
        <row r="8372">
          <cell r="A8372">
            <v>10000004</v>
          </cell>
          <cell r="B8372">
            <v>0</v>
          </cell>
          <cell r="C8372" t="str">
            <v>4|2|400</v>
          </cell>
          <cell r="D8372" t="str">
            <v>等级到达30级</v>
          </cell>
          <cell r="E8372" t="str">
            <v>4|2|400|1</v>
          </cell>
        </row>
        <row r="8373">
          <cell r="A8373">
            <v>10000005</v>
          </cell>
          <cell r="B8373">
            <v>0</v>
          </cell>
          <cell r="C8373" t="str">
            <v>4|2|400</v>
          </cell>
          <cell r="D8373" t="str">
            <v>战斗力到达300000</v>
          </cell>
          <cell r="E8373" t="str">
            <v>4|2|400|1</v>
          </cell>
        </row>
        <row r="8374">
          <cell r="A8374">
            <v>10000006</v>
          </cell>
          <cell r="B8374">
            <v>0</v>
          </cell>
          <cell r="C8374" t="str">
            <v>2|2022|1</v>
          </cell>
          <cell r="D8374" t="str">
            <v>主线副本通关第四章</v>
          </cell>
          <cell r="E8374" t="str">
            <v>2|2022|1|1</v>
          </cell>
        </row>
        <row r="8375">
          <cell r="A8375">
            <v>10000007</v>
          </cell>
          <cell r="B8375">
            <v>0</v>
          </cell>
          <cell r="C8375" t="str">
            <v>1|14101|2</v>
          </cell>
          <cell r="D8375" t="str">
            <v>主线副本通关第六章</v>
          </cell>
          <cell r="E8375" t="str">
            <v>1|14101|2|1</v>
          </cell>
        </row>
        <row r="8376">
          <cell r="A8376">
            <v>10000008</v>
          </cell>
          <cell r="B8376">
            <v>0</v>
          </cell>
          <cell r="C8376" t="str">
            <v>4|1|50000</v>
          </cell>
          <cell r="D8376" t="str">
            <v>主线副本通关第八章</v>
          </cell>
          <cell r="E8376" t="str">
            <v>4|1|50000|1</v>
          </cell>
        </row>
        <row r="8377">
          <cell r="A8377">
            <v>10000009</v>
          </cell>
          <cell r="B8377">
            <v>0</v>
          </cell>
          <cell r="C8377" t="str">
            <v>4|1|100000</v>
          </cell>
          <cell r="D8377" t="str">
            <v>主线副本通关第十章</v>
          </cell>
          <cell r="E8377" t="str">
            <v>4|1|100000|1</v>
          </cell>
        </row>
        <row r="8378">
          <cell r="A8378">
            <v>10000010</v>
          </cell>
          <cell r="B8378">
            <v>0</v>
          </cell>
          <cell r="C8378" t="str">
            <v>4|1|150000</v>
          </cell>
          <cell r="D8378" t="str">
            <v>主线副本通关第十二章</v>
          </cell>
          <cell r="E8378" t="str">
            <v>4|1|150000|1</v>
          </cell>
        </row>
        <row r="8379">
          <cell r="A8379">
            <v>10000011</v>
          </cell>
          <cell r="B8379">
            <v>0</v>
          </cell>
          <cell r="C8379" t="str">
            <v>1|14004|3</v>
          </cell>
          <cell r="D8379" t="str">
            <v>主线副本通关第十四章</v>
          </cell>
          <cell r="E8379" t="str">
            <v>1|14004|3|1</v>
          </cell>
        </row>
        <row r="8380">
          <cell r="A8380">
            <v>10000012</v>
          </cell>
          <cell r="B8380">
            <v>0</v>
          </cell>
          <cell r="C8380" t="str">
            <v>4|1|200000</v>
          </cell>
          <cell r="D8380" t="str">
            <v>主线副本通关第十六章</v>
          </cell>
          <cell r="E8380" t="str">
            <v>4|1|200000|1</v>
          </cell>
        </row>
        <row r="8381">
          <cell r="A8381">
            <v>10000013</v>
          </cell>
          <cell r="B8381">
            <v>0</v>
          </cell>
          <cell r="C8381" t="str">
            <v>1|14004|5</v>
          </cell>
          <cell r="D8381" t="str">
            <v>主线副本通关第十八章</v>
          </cell>
          <cell r="E8381" t="str">
            <v>1|14004|5|1</v>
          </cell>
        </row>
        <row r="8382">
          <cell r="A8382">
            <v>10000014</v>
          </cell>
          <cell r="B8382">
            <v>0</v>
          </cell>
          <cell r="C8382" t="str">
            <v>4|1|20000</v>
          </cell>
          <cell r="D8382" t="str">
            <v>上阵五名伙伴全部穿戴蓝色以上装备（包括蓝色）</v>
          </cell>
          <cell r="E8382" t="str">
            <v>4|1|20000|1</v>
          </cell>
        </row>
        <row r="8383">
          <cell r="A8383">
            <v>10000015</v>
          </cell>
          <cell r="B8383">
            <v>0</v>
          </cell>
          <cell r="C8383" t="str">
            <v>4|1|20000</v>
          </cell>
          <cell r="D8383" t="str">
            <v>上阵五名伙伴穿戴装备强化至30级</v>
          </cell>
          <cell r="E8383" t="str">
            <v>4|1|20000|1</v>
          </cell>
        </row>
        <row r="8384">
          <cell r="A8384">
            <v>10000016</v>
          </cell>
          <cell r="B8384">
            <v>0</v>
          </cell>
          <cell r="C8384" t="str">
            <v>4|1|20000</v>
          </cell>
          <cell r="D8384" t="str">
            <v>上阵五名伙伴穿戴装备强化至40级</v>
          </cell>
          <cell r="E8384" t="str">
            <v>4|1|20000|1</v>
          </cell>
        </row>
        <row r="8385">
          <cell r="A8385">
            <v>10000017</v>
          </cell>
          <cell r="B8385">
            <v>0</v>
          </cell>
          <cell r="C8385" t="str">
            <v>4|1|50000</v>
          </cell>
          <cell r="D8385" t="str">
            <v>上阵五名伙伴穿戴装备强化至50级</v>
          </cell>
          <cell r="E8385" t="str">
            <v>4|1|50000|1</v>
          </cell>
        </row>
        <row r="8386">
          <cell r="A8386">
            <v>10000018</v>
          </cell>
          <cell r="B8386">
            <v>0</v>
          </cell>
          <cell r="C8386" t="str">
            <v>4|1|50000</v>
          </cell>
          <cell r="D8386" t="str">
            <v>上阵五名伙伴穿戴装备强化至60级</v>
          </cell>
          <cell r="E8386" t="str">
            <v>4|1|50000|1</v>
          </cell>
        </row>
        <row r="8387">
          <cell r="A8387">
            <v>10000019</v>
          </cell>
          <cell r="B8387">
            <v>0</v>
          </cell>
          <cell r="C8387" t="str">
            <v>1|14004|5</v>
          </cell>
          <cell r="D8387" t="str">
            <v>上阵3名橙色伙伴</v>
          </cell>
          <cell r="E8387" t="str">
            <v>1|14004|5|1</v>
          </cell>
        </row>
        <row r="8388">
          <cell r="A8388">
            <v>10000020</v>
          </cell>
          <cell r="B8388">
            <v>0</v>
          </cell>
          <cell r="C8388" t="str">
            <v>1|14004|5,1|14101|5</v>
          </cell>
          <cell r="D8388" t="str">
            <v>上阵4名橙色伙伴</v>
          </cell>
          <cell r="E8388" t="str">
            <v>1|14004|5|1,1|14101|5|1</v>
          </cell>
        </row>
        <row r="8389">
          <cell r="A8389">
            <v>10000021</v>
          </cell>
          <cell r="B8389">
            <v>0</v>
          </cell>
          <cell r="C8389" t="str">
            <v>1|14006|2</v>
          </cell>
          <cell r="D8389" t="str">
            <v>顶级聚仙10次</v>
          </cell>
          <cell r="E8389" t="str">
            <v>1|14006|2|1</v>
          </cell>
        </row>
        <row r="8390">
          <cell r="A8390">
            <v>10000022</v>
          </cell>
          <cell r="B8390">
            <v>0</v>
          </cell>
          <cell r="C8390" t="str">
            <v>1|14006|2</v>
          </cell>
          <cell r="D8390" t="str">
            <v>顶级聚仙20次</v>
          </cell>
          <cell r="E8390" t="str">
            <v>1|14006|2|1</v>
          </cell>
        </row>
        <row r="8391">
          <cell r="A8391">
            <v>10000023</v>
          </cell>
          <cell r="B8391">
            <v>0</v>
          </cell>
          <cell r="C8391" t="str">
            <v>1|14522|1</v>
          </cell>
          <cell r="D8391" t="str">
            <v>顶级聚仙30次</v>
          </cell>
          <cell r="E8391" t="str">
            <v>1|14522|1|1</v>
          </cell>
        </row>
        <row r="8392">
          <cell r="A8392">
            <v>10000024</v>
          </cell>
          <cell r="B8392">
            <v>0</v>
          </cell>
          <cell r="C8392" t="str">
            <v>1|14522|1</v>
          </cell>
          <cell r="D8392" t="str">
            <v>顶级聚仙50次</v>
          </cell>
          <cell r="E8392" t="str">
            <v>1|14522|1|1</v>
          </cell>
        </row>
        <row r="8393">
          <cell r="A8393">
            <v>10000025</v>
          </cell>
          <cell r="B8393">
            <v>0</v>
          </cell>
          <cell r="C8393" t="str">
            <v>1|14516|1</v>
          </cell>
          <cell r="D8393" t="str">
            <v>顶级聚仙100次</v>
          </cell>
          <cell r="E8393" t="str">
            <v>1|14516|1|1</v>
          </cell>
        </row>
        <row r="8394">
          <cell r="A8394">
            <v>10000026</v>
          </cell>
          <cell r="B8394">
            <v>0</v>
          </cell>
          <cell r="C8394" t="str">
            <v>1|14515|1</v>
          </cell>
          <cell r="D8394" t="str">
            <v>顶级聚仙150次</v>
          </cell>
          <cell r="E8394" t="str">
            <v>1|14515|1|1</v>
          </cell>
        </row>
        <row r="8395">
          <cell r="A8395">
            <v>10000027</v>
          </cell>
          <cell r="B8395">
            <v>0</v>
          </cell>
          <cell r="C8395" t="str">
            <v>1|14562|1</v>
          </cell>
          <cell r="D8395" t="str">
            <v>顶级聚仙200次</v>
          </cell>
          <cell r="E8395" t="str">
            <v>1|14562|1|1</v>
          </cell>
        </row>
        <row r="8396">
          <cell r="A8396">
            <v>10000028</v>
          </cell>
          <cell r="B8396">
            <v>0</v>
          </cell>
          <cell r="C8396" t="str">
            <v>1|14306|10,1|14101|10,1|14108|10</v>
          </cell>
          <cell r="D8396" t="str">
            <v>累计充值300元</v>
          </cell>
          <cell r="E8396" t="str">
            <v>1|14306|10|1,1|14101|10|1,1|14108|10|1</v>
          </cell>
        </row>
        <row r="8397">
          <cell r="A8397">
            <v>10000029</v>
          </cell>
          <cell r="B8397">
            <v>0</v>
          </cell>
          <cell r="C8397" t="str">
            <v>1|14535|2,6|4503|5</v>
          </cell>
          <cell r="D8397" t="str">
            <v>累计充值400元</v>
          </cell>
          <cell r="E8397" t="str">
            <v>1|14535|2|1,6|4503|5|1</v>
          </cell>
        </row>
        <row r="8398">
          <cell r="A8398">
            <v>10000030</v>
          </cell>
          <cell r="B8398">
            <v>0</v>
          </cell>
          <cell r="C8398" t="str">
            <v>4|2|150,1|14306|1</v>
          </cell>
          <cell r="D8398" t="str">
            <v>今日登陆赠送</v>
          </cell>
          <cell r="E8398" t="str">
            <v>4|2|150|1,1|14306|1|1</v>
          </cell>
        </row>
        <row r="8399">
          <cell r="A8399">
            <v>10000031</v>
          </cell>
          <cell r="B8399">
            <v>0</v>
          </cell>
          <cell r="C8399" t="str">
            <v>4|2|500</v>
          </cell>
          <cell r="D8399" t="str">
            <v>等级到达36级</v>
          </cell>
          <cell r="E8399" t="str">
            <v>4|2|500|1</v>
          </cell>
        </row>
        <row r="8400">
          <cell r="A8400">
            <v>10000032</v>
          </cell>
          <cell r="B8400">
            <v>0</v>
          </cell>
          <cell r="C8400" t="str">
            <v>4|2|500</v>
          </cell>
          <cell r="D8400" t="str">
            <v>战斗力到达400000</v>
          </cell>
          <cell r="E8400" t="str">
            <v>4|2|500|1</v>
          </cell>
        </row>
        <row r="8401">
          <cell r="A8401">
            <v>10000033</v>
          </cell>
          <cell r="B8401">
            <v>0</v>
          </cell>
          <cell r="C8401" t="str">
            <v>4|5|2000</v>
          </cell>
          <cell r="D8401" t="str">
            <v>灵台斗法最高排名到达第1名</v>
          </cell>
          <cell r="E8401" t="str">
            <v>4|5|2000|1</v>
          </cell>
        </row>
        <row r="8402">
          <cell r="A8402">
            <v>10000034</v>
          </cell>
          <cell r="B8402">
            <v>0</v>
          </cell>
          <cell r="C8402" t="str">
            <v>4|5|1500</v>
          </cell>
          <cell r="D8402" t="str">
            <v>灵台斗法最高排名到达第3名</v>
          </cell>
          <cell r="E8402" t="str">
            <v>4|5|1500|1</v>
          </cell>
        </row>
        <row r="8403">
          <cell r="A8403">
            <v>10000035</v>
          </cell>
          <cell r="B8403">
            <v>0</v>
          </cell>
          <cell r="C8403" t="str">
            <v>4|5|1000</v>
          </cell>
          <cell r="D8403" t="str">
            <v>灵台斗法最高排名到达第10名</v>
          </cell>
          <cell r="E8403" t="str">
            <v>4|5|1000|1</v>
          </cell>
        </row>
        <row r="8404">
          <cell r="A8404">
            <v>10000036</v>
          </cell>
          <cell r="B8404">
            <v>0</v>
          </cell>
          <cell r="C8404" t="str">
            <v>4|5|900</v>
          </cell>
          <cell r="D8404" t="str">
            <v>灵台斗法最高排名到达第30名</v>
          </cell>
          <cell r="E8404" t="str">
            <v>4|5|900|1</v>
          </cell>
        </row>
        <row r="8405">
          <cell r="A8405">
            <v>10000037</v>
          </cell>
          <cell r="B8405">
            <v>0</v>
          </cell>
          <cell r="C8405" t="str">
            <v>4|5|800</v>
          </cell>
          <cell r="D8405" t="str">
            <v>灵台斗法最高排名到达第100名</v>
          </cell>
          <cell r="E8405" t="str">
            <v>4|5|800|1</v>
          </cell>
        </row>
        <row r="8406">
          <cell r="A8406">
            <v>10000038</v>
          </cell>
          <cell r="B8406">
            <v>0</v>
          </cell>
          <cell r="C8406" t="str">
            <v>4|5|700</v>
          </cell>
          <cell r="D8406" t="str">
            <v>灵台斗法最高排名到达第500名</v>
          </cell>
          <cell r="E8406" t="str">
            <v>4|5|700|1</v>
          </cell>
        </row>
        <row r="8407">
          <cell r="A8407">
            <v>10000039</v>
          </cell>
          <cell r="B8407">
            <v>0</v>
          </cell>
          <cell r="C8407" t="str">
            <v>4|5|600</v>
          </cell>
          <cell r="D8407" t="str">
            <v>灵台斗法最高排名到达第1000名</v>
          </cell>
          <cell r="E8407" t="str">
            <v>4|5|600|1</v>
          </cell>
        </row>
        <row r="8408">
          <cell r="A8408">
            <v>10000040</v>
          </cell>
          <cell r="B8408">
            <v>0</v>
          </cell>
          <cell r="C8408" t="str">
            <v>4|5|500</v>
          </cell>
          <cell r="D8408" t="str">
            <v>灵台斗法最高排名到达第3000名</v>
          </cell>
          <cell r="E8408" t="str">
            <v>4|5|500|1</v>
          </cell>
        </row>
        <row r="8409">
          <cell r="A8409">
            <v>10000041</v>
          </cell>
          <cell r="B8409">
            <v>0</v>
          </cell>
          <cell r="C8409" t="str">
            <v>1|14107|200</v>
          </cell>
          <cell r="D8409" t="str">
            <v>上阵所有伙伴进阶等级+2</v>
          </cell>
          <cell r="E8409" t="str">
            <v>1|14107|200|1</v>
          </cell>
        </row>
        <row r="8410">
          <cell r="A8410">
            <v>10000042</v>
          </cell>
          <cell r="B8410">
            <v>0</v>
          </cell>
          <cell r="C8410" t="str">
            <v>1|14107|300</v>
          </cell>
          <cell r="D8410" t="str">
            <v>上阵所有伙伴进阶等级+3</v>
          </cell>
          <cell r="E8410" t="str">
            <v>1|14107|300|1</v>
          </cell>
        </row>
        <row r="8411">
          <cell r="A8411">
            <v>10000043</v>
          </cell>
          <cell r="B8411">
            <v>0</v>
          </cell>
          <cell r="C8411" t="str">
            <v>1|14306|1</v>
          </cell>
          <cell r="D8411" t="str">
            <v>合成10个法宝</v>
          </cell>
          <cell r="E8411" t="str">
            <v>1|14306|1|1</v>
          </cell>
        </row>
        <row r="8412">
          <cell r="A8412">
            <v>10000044</v>
          </cell>
          <cell r="B8412">
            <v>0</v>
          </cell>
          <cell r="C8412" t="str">
            <v>1|14108|4</v>
          </cell>
          <cell r="D8412" t="str">
            <v>合成20个法宝</v>
          </cell>
          <cell r="E8412" t="str">
            <v>1|14108|4|1</v>
          </cell>
        </row>
        <row r="8413">
          <cell r="A8413">
            <v>10000045</v>
          </cell>
          <cell r="B8413">
            <v>0</v>
          </cell>
          <cell r="C8413" t="str">
            <v>1|14306|2</v>
          </cell>
          <cell r="D8413" t="str">
            <v>穿戴法宝最高强化等级到达10级</v>
          </cell>
          <cell r="E8413" t="str">
            <v>1|14306|2|1</v>
          </cell>
        </row>
        <row r="8414">
          <cell r="A8414">
            <v>10000046</v>
          </cell>
          <cell r="B8414">
            <v>0</v>
          </cell>
          <cell r="C8414" t="str">
            <v>1|14108|8</v>
          </cell>
          <cell r="D8414" t="str">
            <v>穿戴法宝最高强化等级到达20级</v>
          </cell>
          <cell r="E8414" t="str">
            <v>1|14108|8|1</v>
          </cell>
        </row>
        <row r="8415">
          <cell r="A8415">
            <v>10000047</v>
          </cell>
          <cell r="B8415">
            <v>0</v>
          </cell>
          <cell r="C8415" t="str">
            <v>1|14306|3</v>
          </cell>
          <cell r="D8415" t="str">
            <v>上阵五名伙伴穿戴法宝强化至5级</v>
          </cell>
          <cell r="E8415" t="str">
            <v>1|14306|3|1</v>
          </cell>
        </row>
        <row r="8416">
          <cell r="A8416">
            <v>10000048</v>
          </cell>
          <cell r="B8416">
            <v>0</v>
          </cell>
          <cell r="C8416" t="str">
            <v>1|14108|10</v>
          </cell>
          <cell r="D8416" t="str">
            <v>上阵五名伙伴穿戴法宝强化至10级</v>
          </cell>
          <cell r="E8416" t="str">
            <v>1|14108|10|1</v>
          </cell>
        </row>
        <row r="8417">
          <cell r="A8417">
            <v>10000049</v>
          </cell>
          <cell r="B8417">
            <v>0</v>
          </cell>
          <cell r="C8417" t="str">
            <v>1|14315|10,1|16005|200</v>
          </cell>
          <cell r="D8417" t="str">
            <v>累计充值500元</v>
          </cell>
          <cell r="E8417" t="str">
            <v>1|14315|10|1,1|16005|200|1</v>
          </cell>
        </row>
        <row r="8418">
          <cell r="A8418">
            <v>10000050</v>
          </cell>
          <cell r="B8418">
            <v>0</v>
          </cell>
          <cell r="C8418" t="str">
            <v>1|14527|1</v>
          </cell>
          <cell r="D8418" t="str">
            <v>累计充值600元</v>
          </cell>
          <cell r="E8418" t="str">
            <v>1|14527|1|1</v>
          </cell>
        </row>
        <row r="8419">
          <cell r="A8419">
            <v>10000051</v>
          </cell>
          <cell r="B8419">
            <v>0</v>
          </cell>
          <cell r="C8419" t="str">
            <v>4|2|200,1|16005|20</v>
          </cell>
          <cell r="D8419" t="str">
            <v>今日登陆赠送</v>
          </cell>
          <cell r="E8419" t="str">
            <v>4|2|200|1,1|16005|20|1</v>
          </cell>
        </row>
        <row r="8420">
          <cell r="A8420">
            <v>10000052</v>
          </cell>
          <cell r="B8420">
            <v>0</v>
          </cell>
          <cell r="C8420" t="str">
            <v>4|2|600</v>
          </cell>
          <cell r="D8420" t="str">
            <v>等级到达40级</v>
          </cell>
          <cell r="E8420" t="str">
            <v>4|2|600|1</v>
          </cell>
        </row>
        <row r="8421">
          <cell r="A8421">
            <v>10000053</v>
          </cell>
          <cell r="B8421">
            <v>0</v>
          </cell>
          <cell r="C8421" t="str">
            <v>4|2|600</v>
          </cell>
          <cell r="D8421" t="str">
            <v>战斗力到达600000</v>
          </cell>
          <cell r="E8421" t="str">
            <v>4|2|600|1</v>
          </cell>
        </row>
        <row r="8422">
          <cell r="A8422">
            <v>10000054</v>
          </cell>
          <cell r="B8422">
            <v>0</v>
          </cell>
          <cell r="C8422" t="str">
            <v>1|14315|1</v>
          </cell>
          <cell r="D8422" t="str">
            <v>大雁塔最高达到30层</v>
          </cell>
          <cell r="E8422" t="str">
            <v>1|14315|1|1</v>
          </cell>
        </row>
        <row r="8423">
          <cell r="A8423">
            <v>10000055</v>
          </cell>
          <cell r="B8423">
            <v>0</v>
          </cell>
          <cell r="C8423" t="str">
            <v>1|14315|1</v>
          </cell>
          <cell r="D8423" t="str">
            <v>大雁塔最高达到35层</v>
          </cell>
          <cell r="E8423" t="str">
            <v>1|14315|1|1</v>
          </cell>
        </row>
        <row r="8424">
          <cell r="A8424">
            <v>10000056</v>
          </cell>
          <cell r="B8424">
            <v>0</v>
          </cell>
          <cell r="C8424" t="str">
            <v>1|14315|2</v>
          </cell>
          <cell r="D8424" t="str">
            <v>大雁塔最高达到40层</v>
          </cell>
          <cell r="E8424" t="str">
            <v>1|14315|2|1</v>
          </cell>
        </row>
        <row r="8425">
          <cell r="A8425">
            <v>10000057</v>
          </cell>
          <cell r="B8425">
            <v>0</v>
          </cell>
          <cell r="C8425" t="str">
            <v>1|14315|2</v>
          </cell>
          <cell r="D8425" t="str">
            <v>大雁塔最高达到45层</v>
          </cell>
          <cell r="E8425" t="str">
            <v>1|14315|2|1</v>
          </cell>
        </row>
        <row r="8426">
          <cell r="A8426">
            <v>10000058</v>
          </cell>
          <cell r="B8426">
            <v>0</v>
          </cell>
          <cell r="C8426" t="str">
            <v>1|14315|3</v>
          </cell>
          <cell r="D8426" t="str">
            <v>大雁塔最高达到50层</v>
          </cell>
          <cell r="E8426" t="str">
            <v>1|14315|3|1</v>
          </cell>
        </row>
        <row r="8427">
          <cell r="A8427">
            <v>10000059</v>
          </cell>
          <cell r="B8427">
            <v>0</v>
          </cell>
          <cell r="C8427" t="str">
            <v>1|16005|20</v>
          </cell>
          <cell r="D8427" t="str">
            <v>上阵伙伴穿戴的20件装备精炼等级到达2级</v>
          </cell>
          <cell r="E8427" t="str">
            <v>1|16005|20|1</v>
          </cell>
        </row>
        <row r="8428">
          <cell r="A8428">
            <v>10000060</v>
          </cell>
          <cell r="B8428">
            <v>0</v>
          </cell>
          <cell r="C8428" t="str">
            <v>1|16005|40</v>
          </cell>
          <cell r="D8428" t="str">
            <v>上阵伙伴穿戴的20件装备精炼等级到达4级</v>
          </cell>
          <cell r="E8428" t="str">
            <v>1|16005|40|1</v>
          </cell>
        </row>
        <row r="8429">
          <cell r="A8429">
            <v>10000061</v>
          </cell>
          <cell r="B8429">
            <v>0</v>
          </cell>
          <cell r="C8429" t="str">
            <v>1|16005|60</v>
          </cell>
          <cell r="D8429" t="str">
            <v>上阵伙伴穿戴的20件装备精炼等级到达6级</v>
          </cell>
          <cell r="E8429" t="str">
            <v>1|16005|60|1</v>
          </cell>
        </row>
        <row r="8430">
          <cell r="A8430">
            <v>10000062</v>
          </cell>
          <cell r="B8430">
            <v>0</v>
          </cell>
          <cell r="C8430" t="str">
            <v>1|16005|120</v>
          </cell>
          <cell r="D8430" t="str">
            <v>上阵伙伴穿戴的20件装备精炼等级到达8级</v>
          </cell>
          <cell r="E8430" t="str">
            <v>1|16005|120|1</v>
          </cell>
        </row>
        <row r="8431">
          <cell r="A8431">
            <v>10000063</v>
          </cell>
          <cell r="B8431">
            <v>0</v>
          </cell>
          <cell r="C8431" t="str">
            <v>1|16005|160</v>
          </cell>
          <cell r="D8431" t="str">
            <v>上阵伙伴穿戴的20件装备精炼等级到达10级</v>
          </cell>
          <cell r="E8431" t="str">
            <v>1|16005|160|1</v>
          </cell>
        </row>
        <row r="8432">
          <cell r="A8432">
            <v>10000064</v>
          </cell>
          <cell r="B8432">
            <v>0</v>
          </cell>
          <cell r="C8432" t="str">
            <v>1|16005|200</v>
          </cell>
          <cell r="D8432" t="str">
            <v>上阵伙伴穿戴的20件装备精炼等级到达15级</v>
          </cell>
          <cell r="E8432" t="str">
            <v>1|16005|200|1</v>
          </cell>
        </row>
        <row r="8433">
          <cell r="A8433">
            <v>10000065</v>
          </cell>
          <cell r="B8433">
            <v>0</v>
          </cell>
          <cell r="C8433" t="str">
            <v>1|16005|60</v>
          </cell>
          <cell r="D8433" t="str">
            <v>穿戴装备最高精炼等级到达5级</v>
          </cell>
          <cell r="E8433" t="str">
            <v>1|16005|60|1</v>
          </cell>
        </row>
        <row r="8434">
          <cell r="A8434">
            <v>10000066</v>
          </cell>
          <cell r="B8434">
            <v>0</v>
          </cell>
          <cell r="C8434" t="str">
            <v>1|16005|120</v>
          </cell>
          <cell r="D8434" t="str">
            <v>穿戴装备最高精炼等级到达10级</v>
          </cell>
          <cell r="E8434" t="str">
            <v>1|16005|120|1</v>
          </cell>
        </row>
        <row r="8435">
          <cell r="A8435">
            <v>10000067</v>
          </cell>
          <cell r="B8435">
            <v>0</v>
          </cell>
          <cell r="C8435" t="str">
            <v>1|16005|200</v>
          </cell>
          <cell r="D8435" t="str">
            <v>穿戴装备最高精炼等级到达15级</v>
          </cell>
          <cell r="E8435" t="str">
            <v>1|16005|200|1</v>
          </cell>
        </row>
        <row r="8436">
          <cell r="A8436">
            <v>10000068</v>
          </cell>
          <cell r="B8436">
            <v>0</v>
          </cell>
          <cell r="C8436" t="str">
            <v>1|16005|320</v>
          </cell>
          <cell r="D8436" t="str">
            <v>穿戴装备最高精炼等级到达20级</v>
          </cell>
          <cell r="E8436" t="str">
            <v>1|16005|320|1</v>
          </cell>
        </row>
        <row r="8437">
          <cell r="A8437">
            <v>10000069</v>
          </cell>
          <cell r="B8437">
            <v>0</v>
          </cell>
          <cell r="C8437" t="str">
            <v>1|14211|10,1|17000|1000</v>
          </cell>
          <cell r="D8437" t="str">
            <v>累计充值800元</v>
          </cell>
          <cell r="E8437" t="str">
            <v>1|14211|10|1,1|17000|1000|1</v>
          </cell>
        </row>
        <row r="8438">
          <cell r="A8438">
            <v>10000070</v>
          </cell>
          <cell r="B8438">
            <v>0</v>
          </cell>
          <cell r="C8438" t="str">
            <v>1|14211|20,1|17000|2000</v>
          </cell>
          <cell r="D8438" t="str">
            <v>累计充值1000元</v>
          </cell>
          <cell r="E8438" t="str">
            <v>1|14211|20|1,1|17000|2000|1</v>
          </cell>
        </row>
        <row r="8439">
          <cell r="A8439">
            <v>10000071</v>
          </cell>
          <cell r="B8439">
            <v>0</v>
          </cell>
          <cell r="C8439" t="str">
            <v>4|2|250,1|17000|100</v>
          </cell>
          <cell r="D8439" t="str">
            <v>今日登陆赠送</v>
          </cell>
          <cell r="E8439" t="str">
            <v>4|2|250|1,1|17000|100|1</v>
          </cell>
        </row>
        <row r="8440">
          <cell r="A8440">
            <v>10000072</v>
          </cell>
          <cell r="B8440">
            <v>0</v>
          </cell>
          <cell r="C8440" t="str">
            <v>4|2|700</v>
          </cell>
          <cell r="D8440" t="str">
            <v>等级到达44级</v>
          </cell>
          <cell r="E8440" t="str">
            <v>4|2|700|1</v>
          </cell>
        </row>
        <row r="8441">
          <cell r="A8441">
            <v>10000073</v>
          </cell>
          <cell r="B8441">
            <v>0</v>
          </cell>
          <cell r="C8441" t="str">
            <v>4|2|700</v>
          </cell>
          <cell r="D8441" t="str">
            <v>战斗力到达800000</v>
          </cell>
          <cell r="E8441" t="str">
            <v>4|2|700|1</v>
          </cell>
        </row>
        <row r="8442">
          <cell r="A8442">
            <v>10000074</v>
          </cell>
          <cell r="B8442">
            <v>0</v>
          </cell>
          <cell r="C8442" t="str">
            <v>1|17000|200</v>
          </cell>
          <cell r="D8442" t="str">
            <v>所有上阵伙伴神兵强化等级到达5级</v>
          </cell>
          <cell r="E8442" t="str">
            <v>1|17000|200|1</v>
          </cell>
        </row>
        <row r="8443">
          <cell r="A8443">
            <v>10000075</v>
          </cell>
          <cell r="B8443">
            <v>0</v>
          </cell>
          <cell r="C8443" t="str">
            <v>1|17000|300</v>
          </cell>
          <cell r="D8443" t="str">
            <v>所有上阵伙伴神兵强化等级到达10级</v>
          </cell>
          <cell r="E8443" t="str">
            <v>1|17000|300|1</v>
          </cell>
        </row>
        <row r="8444">
          <cell r="A8444">
            <v>10000076</v>
          </cell>
          <cell r="B8444">
            <v>0</v>
          </cell>
          <cell r="C8444" t="str">
            <v>1|17000|400</v>
          </cell>
          <cell r="D8444" t="str">
            <v>所有上阵伙伴神兵强化等级到达15级</v>
          </cell>
          <cell r="E8444" t="str">
            <v>1|17000|400|1</v>
          </cell>
        </row>
        <row r="8445">
          <cell r="A8445">
            <v>10000077</v>
          </cell>
          <cell r="B8445">
            <v>0</v>
          </cell>
          <cell r="C8445" t="str">
            <v>1|17000|400</v>
          </cell>
          <cell r="D8445" t="str">
            <v>所有上阵伙伴神兵强化等级到达20级</v>
          </cell>
          <cell r="E8445" t="str">
            <v>1|17000|400|1</v>
          </cell>
        </row>
        <row r="8446">
          <cell r="A8446">
            <v>10000078</v>
          </cell>
          <cell r="B8446">
            <v>0</v>
          </cell>
          <cell r="C8446" t="str">
            <v>1|17000|50</v>
          </cell>
          <cell r="D8446" t="str">
            <v>上阵伙伴中神兵强化最高等级到达5级</v>
          </cell>
          <cell r="E8446" t="str">
            <v>1|17000|50|1</v>
          </cell>
        </row>
        <row r="8447">
          <cell r="A8447">
            <v>10000079</v>
          </cell>
          <cell r="B8447">
            <v>0</v>
          </cell>
          <cell r="C8447" t="str">
            <v>1|17000|100</v>
          </cell>
          <cell r="D8447" t="str">
            <v>上阵伙伴中神兵强化最高等级到达10级</v>
          </cell>
          <cell r="E8447" t="str">
            <v>1|17000|100|1</v>
          </cell>
        </row>
        <row r="8448">
          <cell r="A8448">
            <v>10000080</v>
          </cell>
          <cell r="B8448">
            <v>0</v>
          </cell>
          <cell r="C8448" t="str">
            <v>1|17000|200</v>
          </cell>
          <cell r="D8448" t="str">
            <v>上阵伙伴中神兵强化最高等级到达15级</v>
          </cell>
          <cell r="E8448" t="str">
            <v>1|17000|200|1</v>
          </cell>
        </row>
        <row r="8449">
          <cell r="A8449">
            <v>10000081</v>
          </cell>
          <cell r="B8449">
            <v>0</v>
          </cell>
          <cell r="C8449" t="str">
            <v>1|17000|200</v>
          </cell>
          <cell r="D8449" t="str">
            <v>上阵伙伴中神兵强化最高等级到达20级</v>
          </cell>
          <cell r="E8449" t="str">
            <v>1|17000|200|1</v>
          </cell>
        </row>
        <row r="8450">
          <cell r="A8450">
            <v>10000082</v>
          </cell>
          <cell r="B8450">
            <v>0</v>
          </cell>
          <cell r="C8450" t="str">
            <v>1|17000|400</v>
          </cell>
          <cell r="D8450" t="str">
            <v>上阵伙伴中神兵强化最高等级到达30级</v>
          </cell>
          <cell r="E8450" t="str">
            <v>1|17000|400|1</v>
          </cell>
        </row>
        <row r="8451">
          <cell r="A8451">
            <v>10000083</v>
          </cell>
          <cell r="B8451">
            <v>0</v>
          </cell>
          <cell r="C8451" t="str">
            <v>1|17000|600</v>
          </cell>
          <cell r="D8451" t="str">
            <v>上阵伙伴中神兵强化最高等级到达40级</v>
          </cell>
          <cell r="E8451" t="str">
            <v>1|17000|600|1</v>
          </cell>
        </row>
        <row r="8452">
          <cell r="A8452">
            <v>10000084</v>
          </cell>
          <cell r="B8452">
            <v>0</v>
          </cell>
          <cell r="C8452" t="str">
            <v>1|17001|200</v>
          </cell>
          <cell r="D8452" t="str">
            <v>任意1件神兵进阶+1</v>
          </cell>
          <cell r="E8452" t="str">
            <v>1|17001|200|1</v>
          </cell>
        </row>
        <row r="8453">
          <cell r="A8453">
            <v>10000085</v>
          </cell>
          <cell r="B8453">
            <v>0</v>
          </cell>
          <cell r="C8453" t="str">
            <v>1|17000|30</v>
          </cell>
          <cell r="D8453" t="str">
            <v>累计击杀梦魇怪物1个</v>
          </cell>
          <cell r="E8453" t="str">
            <v>1|17000|30|1</v>
          </cell>
        </row>
        <row r="8454">
          <cell r="A8454">
            <v>10000086</v>
          </cell>
          <cell r="B8454">
            <v>0</v>
          </cell>
          <cell r="C8454" t="str">
            <v>1|17000|40</v>
          </cell>
          <cell r="D8454" t="str">
            <v>累计击杀梦魇怪物5个</v>
          </cell>
          <cell r="E8454" t="str">
            <v>1|17000|40|1</v>
          </cell>
        </row>
        <row r="8455">
          <cell r="A8455">
            <v>10000087</v>
          </cell>
          <cell r="B8455">
            <v>0</v>
          </cell>
          <cell r="C8455" t="str">
            <v>1|17000|60</v>
          </cell>
          <cell r="D8455" t="str">
            <v>累计击杀梦魇怪物10个</v>
          </cell>
          <cell r="E8455" t="str">
            <v>1|17000|60|1</v>
          </cell>
        </row>
        <row r="8456">
          <cell r="A8456">
            <v>10000088</v>
          </cell>
          <cell r="B8456">
            <v>0</v>
          </cell>
          <cell r="C8456" t="str">
            <v>1|17000|80</v>
          </cell>
          <cell r="D8456" t="str">
            <v>累计击杀梦魇怪物15个</v>
          </cell>
          <cell r="E8456" t="str">
            <v>1|17000|80|1</v>
          </cell>
        </row>
        <row r="8457">
          <cell r="A8457">
            <v>10000089</v>
          </cell>
          <cell r="B8457">
            <v>0</v>
          </cell>
          <cell r="C8457" t="str">
            <v>1|17000|100</v>
          </cell>
          <cell r="D8457" t="str">
            <v>累计击杀梦魇怪物20个</v>
          </cell>
          <cell r="E8457" t="str">
            <v>1|17000|100|1</v>
          </cell>
        </row>
        <row r="8458">
          <cell r="A8458">
            <v>10000090</v>
          </cell>
          <cell r="B8458">
            <v>0</v>
          </cell>
          <cell r="C8458" t="str">
            <v>1|17000|120</v>
          </cell>
          <cell r="D8458" t="str">
            <v>累计击杀梦魇怪物30个</v>
          </cell>
          <cell r="E8458" t="str">
            <v>1|17000|120|1</v>
          </cell>
        </row>
        <row r="8459">
          <cell r="A8459">
            <v>10000091</v>
          </cell>
          <cell r="B8459">
            <v>0</v>
          </cell>
          <cell r="C8459" t="str">
            <v>1|17000|150</v>
          </cell>
          <cell r="D8459" t="str">
            <v>累计击杀梦魇怪物40个</v>
          </cell>
          <cell r="E8459" t="str">
            <v>1|17000|150|1</v>
          </cell>
        </row>
        <row r="8460">
          <cell r="A8460">
            <v>10000092</v>
          </cell>
          <cell r="B8460">
            <v>0</v>
          </cell>
          <cell r="C8460" t="str">
            <v>1|17000|30</v>
          </cell>
          <cell r="D8460" t="str">
            <v>梦魇入侵每日最高累计伤害到达40000000</v>
          </cell>
          <cell r="E8460" t="str">
            <v>1|17000|30|1</v>
          </cell>
        </row>
        <row r="8461">
          <cell r="A8461">
            <v>10000093</v>
          </cell>
          <cell r="B8461">
            <v>0</v>
          </cell>
          <cell r="C8461" t="str">
            <v>1|17000|40</v>
          </cell>
          <cell r="D8461" t="str">
            <v>梦魇入侵每日最高累计伤害到达80000000</v>
          </cell>
          <cell r="E8461" t="str">
            <v>1|17000|40|1</v>
          </cell>
        </row>
        <row r="8462">
          <cell r="A8462">
            <v>10000094</v>
          </cell>
          <cell r="B8462">
            <v>0</v>
          </cell>
          <cell r="C8462" t="str">
            <v>1|17000|60</v>
          </cell>
          <cell r="D8462" t="str">
            <v>梦魇入侵每日最高累计伤害到达120000000</v>
          </cell>
          <cell r="E8462" t="str">
            <v>1|17000|60|1</v>
          </cell>
        </row>
        <row r="8463">
          <cell r="A8463">
            <v>10000095</v>
          </cell>
          <cell r="B8463">
            <v>0</v>
          </cell>
          <cell r="C8463" t="str">
            <v>1|17000|80</v>
          </cell>
          <cell r="D8463" t="str">
            <v>梦魇入侵每日最高累计伤害到达160000000</v>
          </cell>
          <cell r="E8463" t="str">
            <v>1|17000|80|1</v>
          </cell>
        </row>
        <row r="8464">
          <cell r="A8464">
            <v>10000096</v>
          </cell>
          <cell r="B8464">
            <v>0</v>
          </cell>
          <cell r="C8464" t="str">
            <v>4|4|1000,1|14102|100,1|14106|100</v>
          </cell>
          <cell r="D8464" t="str">
            <v>累计充值1200元</v>
          </cell>
          <cell r="E8464" t="str">
            <v>4|4|1000|1,1|14102|100|1,1|14106|100|1</v>
          </cell>
        </row>
        <row r="8465">
          <cell r="A8465">
            <v>10000097</v>
          </cell>
          <cell r="B8465">
            <v>0</v>
          </cell>
          <cell r="C8465" t="str">
            <v>4|4|2000,1|14102|100,1|14106|200</v>
          </cell>
          <cell r="D8465" t="str">
            <v>累计充值1500元</v>
          </cell>
          <cell r="E8465" t="str">
            <v>4|4|2000|1,1|14102|100|1,1|14106|200|1</v>
          </cell>
        </row>
        <row r="8466">
          <cell r="A8466">
            <v>10000098</v>
          </cell>
          <cell r="B8466">
            <v>0</v>
          </cell>
          <cell r="C8466" t="str">
            <v>4|2|300,1|14102|30</v>
          </cell>
          <cell r="D8466" t="str">
            <v>今日登陆赠送</v>
          </cell>
          <cell r="E8466" t="str">
            <v>4|2|300|1,1|14102|30|1</v>
          </cell>
        </row>
        <row r="8467">
          <cell r="A8467">
            <v>10000099</v>
          </cell>
          <cell r="B8467">
            <v>0</v>
          </cell>
          <cell r="C8467" t="str">
            <v>4|2|800</v>
          </cell>
          <cell r="D8467" t="str">
            <v>等级到达46级</v>
          </cell>
          <cell r="E8467" t="str">
            <v>4|2|800|1</v>
          </cell>
        </row>
        <row r="8468">
          <cell r="A8468">
            <v>10000100</v>
          </cell>
          <cell r="B8468">
            <v>0</v>
          </cell>
          <cell r="C8468" t="str">
            <v>4|2|800</v>
          </cell>
          <cell r="D8468" t="str">
            <v>战斗力到达100万</v>
          </cell>
          <cell r="E8468" t="str">
            <v>4|2|800|1</v>
          </cell>
        </row>
        <row r="8469">
          <cell r="A8469">
            <v>10000101</v>
          </cell>
          <cell r="B8469">
            <v>0</v>
          </cell>
          <cell r="C8469" t="str">
            <v>1|14106|20</v>
          </cell>
          <cell r="D8469" t="str">
            <v>大闹三界通关地狱道简单难度</v>
          </cell>
          <cell r="E8469" t="str">
            <v>1|14106|20|1</v>
          </cell>
        </row>
        <row r="8470">
          <cell r="A8470">
            <v>10000102</v>
          </cell>
          <cell r="B8470">
            <v>0</v>
          </cell>
          <cell r="C8470" t="str">
            <v>1|14106|30</v>
          </cell>
          <cell r="D8470" t="str">
            <v>大闹三界通关地狱道困难难度</v>
          </cell>
          <cell r="E8470" t="str">
            <v>1|14106|30|1</v>
          </cell>
        </row>
        <row r="8471">
          <cell r="A8471">
            <v>10000103</v>
          </cell>
          <cell r="B8471">
            <v>0</v>
          </cell>
          <cell r="C8471" t="str">
            <v>1|14106|25</v>
          </cell>
          <cell r="D8471" t="str">
            <v>伙伴洗炼10次</v>
          </cell>
          <cell r="E8471" t="str">
            <v>1|14106|25|1</v>
          </cell>
        </row>
        <row r="8472">
          <cell r="A8472">
            <v>10000104</v>
          </cell>
          <cell r="B8472">
            <v>0</v>
          </cell>
          <cell r="C8472" t="str">
            <v>1|14106|50</v>
          </cell>
          <cell r="D8472" t="str">
            <v>伙伴洗炼30次</v>
          </cell>
          <cell r="E8472" t="str">
            <v>1|14106|50|1</v>
          </cell>
        </row>
        <row r="8473">
          <cell r="A8473">
            <v>10000105</v>
          </cell>
          <cell r="B8473">
            <v>0</v>
          </cell>
          <cell r="C8473" t="str">
            <v>1|14106|80</v>
          </cell>
          <cell r="D8473" t="str">
            <v>伙伴洗炼50次</v>
          </cell>
          <cell r="E8473" t="str">
            <v>1|14106|80|1</v>
          </cell>
        </row>
        <row r="8474">
          <cell r="A8474">
            <v>10000106</v>
          </cell>
          <cell r="B8474">
            <v>0</v>
          </cell>
          <cell r="C8474" t="str">
            <v>1|14102|5</v>
          </cell>
          <cell r="D8474" t="str">
            <v>伙伴商铺刷新10次</v>
          </cell>
          <cell r="E8474" t="str">
            <v>1|14102|5|1</v>
          </cell>
        </row>
        <row r="8475">
          <cell r="A8475">
            <v>10000107</v>
          </cell>
          <cell r="B8475">
            <v>0</v>
          </cell>
          <cell r="C8475" t="str">
            <v>1|14102|10</v>
          </cell>
          <cell r="D8475" t="str">
            <v>伙伴商铺刷新20次</v>
          </cell>
          <cell r="E8475" t="str">
            <v>1|14102|10|1</v>
          </cell>
        </row>
        <row r="8476">
          <cell r="A8476">
            <v>10000108</v>
          </cell>
          <cell r="B8476">
            <v>0</v>
          </cell>
          <cell r="C8476" t="str">
            <v>1|14102|15</v>
          </cell>
          <cell r="D8476" t="str">
            <v>伙伴商铺刷新30次</v>
          </cell>
          <cell r="E8476" t="str">
            <v>1|14102|15|1</v>
          </cell>
        </row>
        <row r="8477">
          <cell r="A8477">
            <v>10000109</v>
          </cell>
          <cell r="B8477">
            <v>0</v>
          </cell>
          <cell r="C8477" t="str">
            <v>1|14102|20</v>
          </cell>
          <cell r="D8477" t="str">
            <v>伙伴商铺刷新40次</v>
          </cell>
          <cell r="E8477" t="str">
            <v>1|14102|20|1</v>
          </cell>
        </row>
        <row r="8478">
          <cell r="A8478">
            <v>10000110</v>
          </cell>
          <cell r="B8478">
            <v>0</v>
          </cell>
          <cell r="C8478" t="str">
            <v>1|14102|25</v>
          </cell>
          <cell r="D8478" t="str">
            <v>伙伴商铺刷新50次</v>
          </cell>
          <cell r="E8478" t="str">
            <v>1|14102|25|1</v>
          </cell>
        </row>
        <row r="8479">
          <cell r="A8479">
            <v>10000111</v>
          </cell>
          <cell r="B8479">
            <v>0</v>
          </cell>
          <cell r="C8479" t="str">
            <v>1|14102|25</v>
          </cell>
          <cell r="D8479" t="str">
            <v>伙伴商铺刷新80次</v>
          </cell>
          <cell r="E8479" t="str">
            <v>1|14102|25|1</v>
          </cell>
        </row>
        <row r="8480">
          <cell r="A8480">
            <v>10000112</v>
          </cell>
          <cell r="B8480">
            <v>0</v>
          </cell>
          <cell r="C8480" t="str">
            <v>1|14102|25</v>
          </cell>
          <cell r="D8480" t="str">
            <v>伙伴商铺刷新120次</v>
          </cell>
          <cell r="E8480" t="str">
            <v>1|14102|25|1</v>
          </cell>
        </row>
        <row r="8481">
          <cell r="A8481">
            <v>10000113</v>
          </cell>
          <cell r="B8481">
            <v>0</v>
          </cell>
          <cell r="C8481" t="str">
            <v>4|4|100</v>
          </cell>
          <cell r="D8481" t="str">
            <v>伙伴商铺中购买5次商品</v>
          </cell>
          <cell r="E8481" t="str">
            <v>4|4|100|1</v>
          </cell>
        </row>
        <row r="8482">
          <cell r="A8482">
            <v>10000114</v>
          </cell>
          <cell r="B8482">
            <v>0</v>
          </cell>
          <cell r="C8482" t="str">
            <v>4|4|200</v>
          </cell>
          <cell r="D8482" t="str">
            <v>伙伴商铺中购买10次商品</v>
          </cell>
          <cell r="E8482" t="str">
            <v>4|4|200|1</v>
          </cell>
        </row>
        <row r="8483">
          <cell r="A8483">
            <v>10000115</v>
          </cell>
          <cell r="B8483">
            <v>0</v>
          </cell>
          <cell r="C8483" t="str">
            <v>4|4|300</v>
          </cell>
          <cell r="D8483" t="str">
            <v>伙伴商铺中购买15次商品</v>
          </cell>
          <cell r="E8483" t="str">
            <v>4|4|300|1</v>
          </cell>
        </row>
        <row r="8484">
          <cell r="A8484">
            <v>10000116</v>
          </cell>
          <cell r="B8484">
            <v>0</v>
          </cell>
          <cell r="C8484" t="str">
            <v>4|4|400</v>
          </cell>
          <cell r="D8484" t="str">
            <v>伙伴商铺中购买20次商品</v>
          </cell>
          <cell r="E8484" t="str">
            <v>4|4|400|1</v>
          </cell>
        </row>
        <row r="8485">
          <cell r="A8485">
            <v>10000117</v>
          </cell>
          <cell r="B8485">
            <v>0</v>
          </cell>
          <cell r="C8485" t="str">
            <v>4|4|500</v>
          </cell>
          <cell r="D8485" t="str">
            <v>伙伴商铺中购买30次商品</v>
          </cell>
          <cell r="E8485" t="str">
            <v>4|4|500|1</v>
          </cell>
        </row>
        <row r="8486">
          <cell r="A8486">
            <v>10000118</v>
          </cell>
          <cell r="B8486">
            <v>0</v>
          </cell>
          <cell r="C8486" t="str">
            <v>4|4|500</v>
          </cell>
          <cell r="D8486" t="str">
            <v>伙伴商铺中购买50次商品</v>
          </cell>
          <cell r="E8486" t="str">
            <v>4|4|500|1</v>
          </cell>
        </row>
        <row r="8487">
          <cell r="A8487">
            <v>10000119</v>
          </cell>
          <cell r="B8487">
            <v>0</v>
          </cell>
          <cell r="C8487" t="str">
            <v>1|14535|4,1|14201|1000</v>
          </cell>
          <cell r="D8487" t="str">
            <v>累计充值2000元</v>
          </cell>
          <cell r="E8487" t="str">
            <v>1|14535|4|1,1|14201|1000|1</v>
          </cell>
        </row>
        <row r="8488">
          <cell r="A8488">
            <v>10000120</v>
          </cell>
          <cell r="B8488">
            <v>0</v>
          </cell>
          <cell r="C8488" t="str">
            <v>1|14535|12,1|14201|2000</v>
          </cell>
          <cell r="D8488" t="str">
            <v>累计充值3000元</v>
          </cell>
          <cell r="E8488" t="str">
            <v>1|14535|12|1,1|14201|2000|1</v>
          </cell>
        </row>
        <row r="8489">
          <cell r="A8489">
            <v>10000121</v>
          </cell>
          <cell r="B8489">
            <v>0</v>
          </cell>
          <cell r="C8489" t="str">
            <v>4|2|400,1|14201|50</v>
          </cell>
          <cell r="D8489" t="str">
            <v>今日登陆赠送</v>
          </cell>
          <cell r="E8489" t="str">
            <v>4|2|400|1,1|14201|50|1</v>
          </cell>
        </row>
        <row r="8490">
          <cell r="A8490">
            <v>10000122</v>
          </cell>
          <cell r="B8490">
            <v>0</v>
          </cell>
          <cell r="C8490" t="str">
            <v>4|2|900</v>
          </cell>
          <cell r="D8490" t="str">
            <v>等级到达48级</v>
          </cell>
          <cell r="E8490" t="str">
            <v>4|2|900|1</v>
          </cell>
        </row>
        <row r="8491">
          <cell r="A8491">
            <v>10000123</v>
          </cell>
          <cell r="B8491">
            <v>0</v>
          </cell>
          <cell r="C8491" t="str">
            <v>4|2|900</v>
          </cell>
          <cell r="D8491" t="str">
            <v>战斗力到达120万</v>
          </cell>
          <cell r="E8491" t="str">
            <v>4|2|900|1</v>
          </cell>
        </row>
        <row r="8492">
          <cell r="A8492">
            <v>10000124</v>
          </cell>
          <cell r="B8492">
            <v>0</v>
          </cell>
          <cell r="C8492" t="str">
            <v>1|14315|1</v>
          </cell>
          <cell r="D8492" t="str">
            <v>精英副本通关第二章</v>
          </cell>
          <cell r="E8492" t="str">
            <v>1|14315|1|1</v>
          </cell>
        </row>
        <row r="8493">
          <cell r="A8493">
            <v>10000125</v>
          </cell>
          <cell r="B8493">
            <v>0</v>
          </cell>
          <cell r="C8493" t="str">
            <v>1|14315|2</v>
          </cell>
          <cell r="D8493" t="str">
            <v>精英副本通关第四章</v>
          </cell>
          <cell r="E8493" t="str">
            <v>1|14315|2|1</v>
          </cell>
        </row>
        <row r="8494">
          <cell r="A8494">
            <v>10000126</v>
          </cell>
          <cell r="B8494">
            <v>0</v>
          </cell>
          <cell r="C8494" t="str">
            <v>1|14315|2</v>
          </cell>
          <cell r="D8494" t="str">
            <v>精英副本通关第六章</v>
          </cell>
          <cell r="E8494" t="str">
            <v>1|14315|2|1</v>
          </cell>
        </row>
        <row r="8495">
          <cell r="A8495">
            <v>10000127</v>
          </cell>
          <cell r="B8495">
            <v>0</v>
          </cell>
          <cell r="C8495" t="str">
            <v>1|14315|2</v>
          </cell>
          <cell r="D8495" t="str">
            <v>精英副本通关第八章</v>
          </cell>
          <cell r="E8495" t="str">
            <v>1|14315|2|1</v>
          </cell>
        </row>
        <row r="8496">
          <cell r="A8496">
            <v>10000128</v>
          </cell>
          <cell r="B8496">
            <v>0</v>
          </cell>
          <cell r="C8496" t="str">
            <v>1|14315|3</v>
          </cell>
          <cell r="D8496" t="str">
            <v>精英副本通关第十章</v>
          </cell>
          <cell r="E8496" t="str">
            <v>1|14315|3|1</v>
          </cell>
        </row>
        <row r="8497">
          <cell r="A8497">
            <v>10000129</v>
          </cell>
          <cell r="B8497">
            <v>0</v>
          </cell>
          <cell r="C8497" t="str">
            <v>1|14315|5</v>
          </cell>
          <cell r="D8497" t="str">
            <v>精英副本通关第十二章</v>
          </cell>
          <cell r="E8497" t="str">
            <v>1|14315|5|1</v>
          </cell>
        </row>
        <row r="8498">
          <cell r="A8498">
            <v>10000130</v>
          </cell>
          <cell r="B8498">
            <v>0</v>
          </cell>
          <cell r="C8498" t="str">
            <v>1|14315|8</v>
          </cell>
          <cell r="D8498" t="str">
            <v>精英副本通关第十五章</v>
          </cell>
          <cell r="E8498" t="str">
            <v>1|14315|8|1</v>
          </cell>
        </row>
        <row r="8499">
          <cell r="A8499">
            <v>10000131</v>
          </cell>
          <cell r="B8499">
            <v>0</v>
          </cell>
          <cell r="C8499" t="str">
            <v>1|14306|1,1|14201|100</v>
          </cell>
          <cell r="D8499" t="str">
            <v>全身10件法宝精炼等级到达1级</v>
          </cell>
          <cell r="E8499" t="str">
            <v>1|14306|1|1,1|14201|100|1</v>
          </cell>
        </row>
        <row r="8500">
          <cell r="A8500">
            <v>10000132</v>
          </cell>
          <cell r="B8500">
            <v>0</v>
          </cell>
          <cell r="C8500" t="str">
            <v>1|14306|2,1|14201|200</v>
          </cell>
          <cell r="D8500" t="str">
            <v>全身10件法宝精炼等级到达2级</v>
          </cell>
          <cell r="E8500" t="str">
            <v>1|14306|2|1,1|14201|200|1</v>
          </cell>
        </row>
        <row r="8501">
          <cell r="A8501">
            <v>10000133</v>
          </cell>
          <cell r="B8501">
            <v>0</v>
          </cell>
          <cell r="C8501" t="str">
            <v>1|14306|5,1|14201|600</v>
          </cell>
          <cell r="D8501" t="str">
            <v>全身10件法宝精炼等级到达3级</v>
          </cell>
          <cell r="E8501" t="str">
            <v>1|14306|5|1,1|14201|600|1</v>
          </cell>
        </row>
        <row r="8502">
          <cell r="A8502">
            <v>10000134</v>
          </cell>
          <cell r="B8502">
            <v>0</v>
          </cell>
          <cell r="C8502" t="str">
            <v>1|14306|6,1|14201|800</v>
          </cell>
          <cell r="D8502" t="str">
            <v>全身10件法宝精炼等级到达4级</v>
          </cell>
          <cell r="E8502" t="str">
            <v>1|14306|6|1,1|14201|800|1</v>
          </cell>
        </row>
        <row r="8503">
          <cell r="A8503">
            <v>10000135</v>
          </cell>
          <cell r="B8503">
            <v>0</v>
          </cell>
          <cell r="C8503" t="str">
            <v>1|14306|3,1|14201|300</v>
          </cell>
          <cell r="D8503" t="str">
            <v>穿戴法宝中精炼最高等级到达3级</v>
          </cell>
          <cell r="E8503" t="str">
            <v>1|14306|3|1,1|14201|300|1</v>
          </cell>
        </row>
        <row r="8504">
          <cell r="A8504">
            <v>10000136</v>
          </cell>
          <cell r="B8504">
            <v>0</v>
          </cell>
          <cell r="C8504" t="str">
            <v>1|14306|4,1|14201|500</v>
          </cell>
          <cell r="D8504" t="str">
            <v>穿戴法宝中精炼最高等级到达4级</v>
          </cell>
          <cell r="E8504" t="str">
            <v>1|14306|4|1,1|14201|500|1</v>
          </cell>
        </row>
        <row r="8505">
          <cell r="A8505">
            <v>10000137</v>
          </cell>
          <cell r="B8505">
            <v>0</v>
          </cell>
          <cell r="C8505" t="str">
            <v>1|14562|1,1|14527|1,4|1|5000000</v>
          </cell>
          <cell r="D8505" t="str">
            <v>累计充值4000元</v>
          </cell>
          <cell r="E8505" t="str">
            <v>1|14562|1|1,1|14527|1|1,4|1|5000000|1</v>
          </cell>
        </row>
        <row r="8506">
          <cell r="A8506">
            <v>10000138</v>
          </cell>
          <cell r="B8506">
            <v>0</v>
          </cell>
          <cell r="C8506" t="str">
            <v>1|14562|2,1|14572|100,4|1|10000000</v>
          </cell>
          <cell r="D8506" t="str">
            <v>累计充值5000元</v>
          </cell>
          <cell r="E8506" t="str">
            <v>1|14562|2|1,1|14572|100|1,4|1|10000000|1</v>
          </cell>
        </row>
        <row r="8507">
          <cell r="A8507">
            <v>10000139</v>
          </cell>
          <cell r="B8507">
            <v>0</v>
          </cell>
          <cell r="C8507" t="str">
            <v>4|2|500,1|14101|2,1|14108|2</v>
          </cell>
          <cell r="D8507" t="str">
            <v>今日登陆赠送</v>
          </cell>
          <cell r="E8507" t="str">
            <v>4|2|500|1,1|14101|2|1,1|14108|2|1</v>
          </cell>
        </row>
        <row r="8508">
          <cell r="A8508">
            <v>10000140</v>
          </cell>
          <cell r="B8508">
            <v>0</v>
          </cell>
          <cell r="C8508" t="str">
            <v>1|14569|1</v>
          </cell>
          <cell r="D8508" t="str">
            <v>登陆领取指定红色伙伴</v>
          </cell>
          <cell r="E8508" t="str">
            <v>1|14569|1|1</v>
          </cell>
        </row>
        <row r="8509">
          <cell r="A8509">
            <v>10000141</v>
          </cell>
          <cell r="B8509">
            <v>0</v>
          </cell>
          <cell r="C8509" t="str">
            <v>4|2|1000</v>
          </cell>
          <cell r="D8509" t="str">
            <v>等级到达55级</v>
          </cell>
          <cell r="E8509" t="str">
            <v>4|2|1000|1</v>
          </cell>
        </row>
        <row r="8510">
          <cell r="A8510">
            <v>10000142</v>
          </cell>
          <cell r="B8510">
            <v>0</v>
          </cell>
          <cell r="C8510" t="str">
            <v>4|2|1000</v>
          </cell>
          <cell r="D8510" t="str">
            <v>战斗力到达150万</v>
          </cell>
          <cell r="E8510" t="str">
            <v>4|2|1000|1</v>
          </cell>
        </row>
        <row r="8511">
          <cell r="A8511">
            <v>10000143</v>
          </cell>
          <cell r="B8511">
            <v>0</v>
          </cell>
          <cell r="C8511" t="str">
            <v>4|5|200</v>
          </cell>
          <cell r="D8511" t="str">
            <v>灵台商铺消耗1000斗神玉</v>
          </cell>
          <cell r="E8511" t="str">
            <v>4|5|200|1</v>
          </cell>
        </row>
        <row r="8512">
          <cell r="A8512">
            <v>10000144</v>
          </cell>
          <cell r="B8512">
            <v>0</v>
          </cell>
          <cell r="C8512" t="str">
            <v>4|5|300</v>
          </cell>
          <cell r="D8512" t="str">
            <v>灵台商铺消耗2000斗神玉</v>
          </cell>
          <cell r="E8512" t="str">
            <v>4|5|300|1</v>
          </cell>
        </row>
        <row r="8513">
          <cell r="A8513">
            <v>10000145</v>
          </cell>
          <cell r="B8513">
            <v>0</v>
          </cell>
          <cell r="C8513" t="str">
            <v>4|3|200</v>
          </cell>
          <cell r="D8513" t="str">
            <v>装备商铺消耗1000陨铁</v>
          </cell>
          <cell r="E8513" t="str">
            <v>4|3|200|1</v>
          </cell>
        </row>
        <row r="8514">
          <cell r="A8514">
            <v>10000146</v>
          </cell>
          <cell r="B8514">
            <v>0</v>
          </cell>
          <cell r="C8514" t="str">
            <v>4|3|300</v>
          </cell>
          <cell r="D8514" t="str">
            <v>装备商铺消耗2000陨铁</v>
          </cell>
          <cell r="E8514" t="str">
            <v>4|3|300|1</v>
          </cell>
        </row>
        <row r="8515">
          <cell r="A8515">
            <v>10000147</v>
          </cell>
          <cell r="B8515">
            <v>0</v>
          </cell>
          <cell r="C8515" t="str">
            <v>4|29|200</v>
          </cell>
          <cell r="D8515" t="str">
            <v>神兵商铺消耗1000梦魂沙</v>
          </cell>
          <cell r="E8515" t="str">
            <v>4|29|200|1</v>
          </cell>
        </row>
        <row r="8516">
          <cell r="A8516">
            <v>10000148</v>
          </cell>
          <cell r="B8516">
            <v>0</v>
          </cell>
          <cell r="C8516" t="str">
            <v>4|29|300</v>
          </cell>
          <cell r="D8516" t="str">
            <v>神兵商铺消耗2000梦魂沙</v>
          </cell>
          <cell r="E8516" t="str">
            <v>4|29|300|1</v>
          </cell>
        </row>
        <row r="8517">
          <cell r="A8517">
            <v>10000149</v>
          </cell>
          <cell r="B8517">
            <v>0</v>
          </cell>
          <cell r="C8517" t="str">
            <v>4|4|200</v>
          </cell>
          <cell r="D8517" t="str">
            <v>伙伴商铺消耗1000精魂</v>
          </cell>
          <cell r="E8517" t="str">
            <v>4|4|200|1</v>
          </cell>
        </row>
        <row r="8518">
          <cell r="A8518">
            <v>10000150</v>
          </cell>
          <cell r="B8518">
            <v>0</v>
          </cell>
          <cell r="C8518" t="str">
            <v>4|4|300</v>
          </cell>
          <cell r="D8518" t="str">
            <v>伙伴商铺消耗2000精魂</v>
          </cell>
          <cell r="E8518" t="str">
            <v>4|4|300|1</v>
          </cell>
        </row>
        <row r="8519">
          <cell r="A8519">
            <v>10000151</v>
          </cell>
          <cell r="B8519">
            <v>0</v>
          </cell>
          <cell r="C8519" t="str">
            <v>4|39|200</v>
          </cell>
          <cell r="D8519" t="str">
            <v>妖灵商铺消耗1000妖灵</v>
          </cell>
          <cell r="E8519" t="str">
            <v>4|39|200|1</v>
          </cell>
        </row>
        <row r="8520">
          <cell r="A8520">
            <v>10000152</v>
          </cell>
          <cell r="B8520">
            <v>0</v>
          </cell>
          <cell r="C8520" t="str">
            <v>4|39|300</v>
          </cell>
          <cell r="D8520" t="str">
            <v>妖灵商铺消耗2000妖灵</v>
          </cell>
          <cell r="E8520" t="str">
            <v>4|39|300|1</v>
          </cell>
        </row>
        <row r="8521">
          <cell r="A8521">
            <v>10000153</v>
          </cell>
          <cell r="B8521">
            <v>0</v>
          </cell>
          <cell r="C8521" t="str">
            <v>4|2|200</v>
          </cell>
          <cell r="D8521" t="str">
            <v>普通商铺消耗1000元宝</v>
          </cell>
          <cell r="E8521" t="str">
            <v>4|2|200|1</v>
          </cell>
        </row>
        <row r="8522">
          <cell r="A8522">
            <v>10000154</v>
          </cell>
          <cell r="B8522">
            <v>0</v>
          </cell>
          <cell r="C8522" t="str">
            <v>4|2|300</v>
          </cell>
          <cell r="D8522" t="str">
            <v>普通商铺消耗2000元宝</v>
          </cell>
          <cell r="E8522" t="str">
            <v>4|2|300|1</v>
          </cell>
        </row>
        <row r="8523">
          <cell r="A8523">
            <v>10000155</v>
          </cell>
          <cell r="B8523">
            <v>0</v>
          </cell>
          <cell r="C8523" t="str">
            <v>4|1|300000</v>
          </cell>
          <cell r="D8523" t="str">
            <v>主线副本通关第二十五章</v>
          </cell>
          <cell r="E8523" t="str">
            <v>4|1|300000|1</v>
          </cell>
        </row>
        <row r="8524">
          <cell r="A8524">
            <v>10000156</v>
          </cell>
          <cell r="B8524">
            <v>0</v>
          </cell>
          <cell r="C8524" t="str">
            <v>1|14004|5</v>
          </cell>
          <cell r="D8524" t="str">
            <v>主线副本通关第二十八章</v>
          </cell>
          <cell r="E8524" t="str">
            <v>1|14004|5|1</v>
          </cell>
        </row>
        <row r="8525">
          <cell r="A8525">
            <v>10000157</v>
          </cell>
          <cell r="B8525">
            <v>0</v>
          </cell>
          <cell r="C8525" t="str">
            <v>4|1|300000,1|14004|5</v>
          </cell>
          <cell r="D8525" t="str">
            <v>主线副本通关第三十章</v>
          </cell>
          <cell r="E8525" t="str">
            <v>4|1|300000|1,1|14004|5|1</v>
          </cell>
        </row>
        <row r="8526">
          <cell r="A8526">
            <v>10000158</v>
          </cell>
          <cell r="B8526">
            <v>0</v>
          </cell>
          <cell r="C8526" t="str">
            <v>4|1|300000</v>
          </cell>
          <cell r="D8526" t="str">
            <v>精英副本通关第十二章</v>
          </cell>
          <cell r="E8526" t="str">
            <v>4|1|300000|1</v>
          </cell>
        </row>
        <row r="8527">
          <cell r="A8527">
            <v>10000159</v>
          </cell>
          <cell r="B8527">
            <v>0</v>
          </cell>
          <cell r="C8527" t="str">
            <v>1|14004|5</v>
          </cell>
          <cell r="D8527" t="str">
            <v>精英副本通关第十四章</v>
          </cell>
          <cell r="E8527" t="str">
            <v>1|14004|5|1</v>
          </cell>
        </row>
        <row r="8528">
          <cell r="A8528">
            <v>10000160</v>
          </cell>
          <cell r="B8528">
            <v>0</v>
          </cell>
          <cell r="C8528" t="str">
            <v>4|1|300000,1|14004|5</v>
          </cell>
          <cell r="D8528" t="str">
            <v>精英副本通关第十六章</v>
          </cell>
          <cell r="E8528" t="str">
            <v>4|1|300000|1,1|14004|5|1</v>
          </cell>
        </row>
        <row r="8529">
          <cell r="A8529">
            <v>20000001</v>
          </cell>
          <cell r="B8529">
            <v>0</v>
          </cell>
          <cell r="C8529" t="str">
            <v>2|2043|1,4|1|50000</v>
          </cell>
          <cell r="D8529" t="str">
            <v>单笔充值1元</v>
          </cell>
          <cell r="E8529" t="str">
            <v>2|2043|1|1,4|1|50000|1</v>
          </cell>
        </row>
        <row r="8530">
          <cell r="A8530">
            <v>20000002</v>
          </cell>
          <cell r="B8530">
            <v>0</v>
          </cell>
          <cell r="C8530" t="str">
            <v>2|2042|1,1|14101|2,4|1|100000</v>
          </cell>
          <cell r="D8530" t="str">
            <v>单笔充值6元</v>
          </cell>
          <cell r="E8530" t="str">
            <v>2|2042|1|1,1|14101|2|1,4|1|100000|1</v>
          </cell>
        </row>
        <row r="8531">
          <cell r="A8531">
            <v>20000003</v>
          </cell>
          <cell r="B8531">
            <v>0</v>
          </cell>
          <cell r="C8531" t="str">
            <v>1|14318|4,1|14108|2,4|1|200000</v>
          </cell>
          <cell r="D8531" t="str">
            <v>单笔充值30元</v>
          </cell>
          <cell r="E8531" t="str">
            <v>1|14318|4|1,1|14108|2|1,4|1|200000|1</v>
          </cell>
        </row>
        <row r="8532">
          <cell r="A8532">
            <v>20000004</v>
          </cell>
          <cell r="B8532">
            <v>0</v>
          </cell>
          <cell r="C8532" t="str">
            <v>1|14318|4,4|39|10000,4|1|300000</v>
          </cell>
          <cell r="D8532" t="str">
            <v>单笔充值98元</v>
          </cell>
          <cell r="E8532" t="str">
            <v>1|14318|4|1,4|39|10000|1,4|1|300000|1</v>
          </cell>
        </row>
        <row r="8533">
          <cell r="A8533">
            <v>20000005</v>
          </cell>
          <cell r="B8533">
            <v>0</v>
          </cell>
          <cell r="C8533" t="str">
            <v>2|2041|1,2|2044|1,4|3|10000</v>
          </cell>
          <cell r="D8533" t="str">
            <v>单笔充值168元</v>
          </cell>
          <cell r="E8533" t="str">
            <v>2|2041|1|1,2|2044|1|1,4|3|10000|1</v>
          </cell>
        </row>
        <row r="8534">
          <cell r="A8534">
            <v>20000006</v>
          </cell>
          <cell r="B8534">
            <v>0</v>
          </cell>
          <cell r="C8534" t="str">
            <v>1|14522|1,1|14107|1000,4|1|400000</v>
          </cell>
          <cell r="D8534" t="str">
            <v>单笔充值268元</v>
          </cell>
          <cell r="E8534" t="str">
            <v>1|14522|1|1,1|14107|1000|1,4|1|400000|1</v>
          </cell>
        </row>
        <row r="8535">
          <cell r="A8535">
            <v>20000007</v>
          </cell>
          <cell r="B8535">
            <v>0</v>
          </cell>
          <cell r="C8535" t="str">
            <v>1|14517|1,1|14107|1000,4|1|500000</v>
          </cell>
          <cell r="D8535" t="str">
            <v>单笔充值648元</v>
          </cell>
          <cell r="E8535" t="str">
            <v>1|14517|1|1,1|14107|1000|1,4|1|500000|1</v>
          </cell>
        </row>
        <row r="8536">
          <cell r="A8536">
            <v>21000001</v>
          </cell>
          <cell r="B8536">
            <v>0</v>
          </cell>
          <cell r="C8536" t="str">
            <v>4|2|100,4|26|20</v>
          </cell>
          <cell r="D8536" t="str">
            <v>累计登陆1天</v>
          </cell>
          <cell r="E8536" t="str">
            <v>4|2|100|1,4|26|20|1</v>
          </cell>
        </row>
        <row r="8537">
          <cell r="A8537">
            <v>21000002</v>
          </cell>
          <cell r="B8537">
            <v>0</v>
          </cell>
          <cell r="C8537" t="str">
            <v>4|2|200,4|26|20</v>
          </cell>
          <cell r="D8537" t="str">
            <v>累计登陆2天</v>
          </cell>
          <cell r="E8537" t="str">
            <v>4|2|200|1,4|26|20|1</v>
          </cell>
        </row>
        <row r="8538">
          <cell r="A8538">
            <v>21000003</v>
          </cell>
          <cell r="B8538">
            <v>0</v>
          </cell>
          <cell r="C8538" t="str">
            <v>4|2|300,4|26|20</v>
          </cell>
          <cell r="D8538" t="str">
            <v>累计登陆3天</v>
          </cell>
          <cell r="E8538" t="str">
            <v>4|2|300|1,4|26|20|1</v>
          </cell>
        </row>
        <row r="8539">
          <cell r="A8539">
            <v>21000004</v>
          </cell>
          <cell r="B8539">
            <v>0</v>
          </cell>
          <cell r="C8539" t="str">
            <v>4|2|400,4|26|60</v>
          </cell>
          <cell r="D8539" t="str">
            <v>累计登陆4天</v>
          </cell>
          <cell r="E8539" t="str">
            <v>4|2|400|1,4|26|60|1</v>
          </cell>
        </row>
        <row r="8540">
          <cell r="A8540">
            <v>21000005</v>
          </cell>
          <cell r="B8540">
            <v>0</v>
          </cell>
          <cell r="C8540" t="str">
            <v>4|2|500,4|26|60</v>
          </cell>
          <cell r="D8540" t="str">
            <v>累计登陆5天</v>
          </cell>
          <cell r="E8540" t="str">
            <v>4|2|500|1,4|26|60|1</v>
          </cell>
        </row>
        <row r="8541">
          <cell r="A8541">
            <v>21000006</v>
          </cell>
          <cell r="B8541">
            <v>0</v>
          </cell>
          <cell r="C8541" t="str">
            <v>4|2|600,4|26|60</v>
          </cell>
          <cell r="D8541" t="str">
            <v>累计登陆6天</v>
          </cell>
          <cell r="E8541" t="str">
            <v>4|2|600|1,4|26|60|1</v>
          </cell>
        </row>
        <row r="8542">
          <cell r="A8542">
            <v>21000007</v>
          </cell>
          <cell r="B8542">
            <v>0</v>
          </cell>
          <cell r="C8542" t="str">
            <v>4|2|700,4|26|60</v>
          </cell>
          <cell r="D8542" t="str">
            <v>累计登陆7天</v>
          </cell>
          <cell r="E8542" t="str">
            <v>4|2|700|1,4|26|60|1</v>
          </cell>
        </row>
        <row r="8543">
          <cell r="A8543">
            <v>21000008</v>
          </cell>
          <cell r="B8543">
            <v>0</v>
          </cell>
          <cell r="C8543" t="str">
            <v>4|2|800,4|26|60</v>
          </cell>
          <cell r="D8543" t="str">
            <v>累计登陆8天</v>
          </cell>
          <cell r="E8543" t="str">
            <v>4|2|800|1,4|26|60|1</v>
          </cell>
        </row>
        <row r="8544">
          <cell r="A8544">
            <v>55476</v>
          </cell>
          <cell r="B8544">
            <v>1</v>
          </cell>
          <cell r="C8544" t="str">
            <v>2|2702|1,2|2688|1,2|2674|1,2|2660|1,2|2004|1,2|2003|1,2|2002|1,2|2001|1,2|2590|1,2|2576|1,2|2562|1,2|2548|1,2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    </cell>
          <cell r="D8544" t="str">
            <v>10级装备随机奖励</v>
          </cell>
          <cell r="E8544" t="str">
            <v>2|2702|1|40,2|2688|1|40,2|2674|1|40,2|2660|1|40,2|2004|1|40,2|2003|1|40,2|2002|1|40,2|2001|1|40,2|2590|1|40,2|2576|1|40,2|2562|1|40,2|2548|1|40,2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    </cell>
        </row>
        <row r="8545">
          <cell r="A8545">
            <v>55477</v>
          </cell>
          <cell r="B8545">
            <v>1</v>
          </cell>
          <cell r="C8545" t="str">
            <v>2|2703|1,2|2689|1,2|2675|1,2|2661|1,2|2646|1,2|2632|1,2|2618|1,2|2604|1,2|2024|1,2|2023|1,2|2022|1,2|2021|1,2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    </cell>
          <cell r="D8545" t="str">
            <v>20级装备随机奖励</v>
          </cell>
          <cell r="E8545" t="str">
            <v>2|2703|1|40,2|2689|1|40,2|2675|1|40,2|2661|1|40,2|2646|1|40,2|2632|1|40,2|2618|1|40,2|2604|1|40,2|2024|1|40,2|2023|1|40,2|2022|1|40,2|2021|1|40,2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    </cell>
        </row>
        <row r="8546">
          <cell r="A8546">
            <v>55478</v>
          </cell>
          <cell r="B8546">
            <v>1</v>
          </cell>
          <cell r="C8546" t="str">
            <v>2|2048|1,2|2047|1,2|2046|1,2|2045|1,2|2647|1,2|2633|1,2|2619|1,2|2605|1,2|2591|1,2|2577|1,2|2563|1,2|2549|1,2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    </cell>
          <cell r="D8546" t="str">
            <v>30级装备随机奖励</v>
          </cell>
          <cell r="E8546" t="str">
            <v>2|2048|1|40,2|2047|1|40,2|2046|1|40,2|2045|1|40,2|2647|1|40,2|2633|1|40,2|2619|1|40,2|2605|1|40,2|2591|1|40,2|2577|1|40,2|2563|1|40,2|2549|1|40,2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    </cell>
        </row>
        <row r="8547">
          <cell r="A8547">
            <v>55479</v>
          </cell>
          <cell r="B8547">
            <v>1</v>
          </cell>
          <cell r="C8547" t="str">
            <v>2|2704|1,2|2690|1,2|2676|1,2|2662|1,2|2648|1,2|2634|1,2|2620|1,2|2606|1,2|2592|1,2|2578|1,2|2564|1,2|2550|1,2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    </cell>
          <cell r="D8547" t="str">
            <v>40级装备随机奖励</v>
          </cell>
          <cell r="E8547" t="str">
            <v>2|2704|1|40,2|2690|1|40,2|2676|1|40,2|2662|1|40,2|2648|1|40,2|2634|1|40,2|2620|1|40,2|2606|1|40,2|2592|1|40,2|2578|1|40,2|2564|1|40,2|2550|1|40,2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    </cell>
        </row>
        <row r="8548">
          <cell r="A8548">
            <v>55480</v>
          </cell>
          <cell r="B8548">
            <v>1</v>
          </cell>
          <cell r="C8548" t="str">
            <v>2|2705|1,2|2691|1,2|2677|1,2|2663|1,2|2649|1,2|2635|1,2|2621|1,2|2607|1,2|2593|1,2|2579|1,2|2565|1,2|2551|1,2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    </cell>
          <cell r="D8548" t="str">
            <v>50级装备随机奖励</v>
          </cell>
          <cell r="E8548" t="str">
            <v>2|2705|1|40,2|2691|1|40,2|2677|1|40,2|2663|1|40,2|2649|1|40,2|2635|1|40,2|2621|1|40,2|2607|1|40,2|2593|1|40,2|2579|1|40,2|2565|1|40,2|2551|1|40,2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    </cell>
        </row>
        <row r="8549">
          <cell r="A8549">
            <v>55481</v>
          </cell>
          <cell r="B8549">
            <v>1</v>
          </cell>
          <cell r="C8549" t="str">
            <v>2|2706|1,2|2692|1,2|2678|1,2|2664|1,2|2650|1,2|2636|1,2|2622|1,2|2608|1,2|2594|1,2|2580|1,2|2566|1,2|2552|1,2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    </cell>
          <cell r="D8549" t="str">
            <v>60级装备随机奖励</v>
          </cell>
          <cell r="E8549" t="str">
            <v>2|2706|1|40,2|2692|1|40,2|2678|1|40,2|2664|1|40,2|2650|1|40,2|2636|1|40,2|2622|1|40,2|2608|1|40,2|2594|1|40,2|2580|1|40,2|2566|1|40,2|2552|1|40,2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    </cell>
        </row>
        <row r="8550">
          <cell r="A8550">
            <v>55482</v>
          </cell>
          <cell r="B8550">
            <v>1</v>
          </cell>
          <cell r="C8550" t="str">
            <v>2|2693|1,2|2679|1,2|2665|1,2|2651|1,2|2637|1,2|2623|1,2|2609|1,2|2595|1,2|2581|1,2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1,2|2106|1</v>
          </cell>
          <cell r="D8550" t="str">
            <v>70级装备随机奖励</v>
          </cell>
          <cell r="E8550" t="str">
            <v>2|2707|1|40,2|2693|1|40,2|2679|1|40,2|2665|1|40,2|2651|1|40,2|2637|1|40,2|2623|1|40,2|2609|1|40,2|2595|1|40,2|2581|1|40,2|2567|1|40,2|2553|1|40,2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    </cell>
        </row>
        <row r="8551">
          <cell r="A8551">
            <v>55483</v>
          </cell>
          <cell r="B8551">
            <v>1</v>
          </cell>
          <cell r="C8551" t="str">
            <v>2|2693|1,2|2679|1,2|2665|1,2|2651|1,2|2637|1,2|2623|1,2|2609|1,2|2595|1,2|2581|1,2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1,2|2106|1,2|2707|1</v>
          </cell>
          <cell r="D8551" t="str">
            <v>80级装备随机奖励</v>
          </cell>
          <cell r="E8551" t="str">
            <v>2|2708|1|40,2|2694|1|40,2|2680|1|40,2|2666|1|40,2|2652|1|40,2|2638|1|40,2|2624|1|40,2|2610|1|40,2|2596|1|40,2|2582|1|40,2|2568|1|40,2|2554|1|40,2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    </cell>
        </row>
        <row r="8552">
          <cell r="A8552">
            <v>55484</v>
          </cell>
          <cell r="B8552">
            <v>1</v>
          </cell>
          <cell r="C8552" t="str">
            <v>2|2694|1,2|2680|1,2|2666|1,2|2652|1,2|2638|1,2|2624|1,2|2610|1,2|2596|1,2|2582|1,2|2568|1,2|2554|1,2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1,2|2707|1</v>
          </cell>
          <cell r="D8552" t="str">
            <v>90级装备随机奖励</v>
          </cell>
          <cell r="E8552" t="str">
            <v>2|2709|1|40,2|2695|1|40,2|2681|1|40,2|2667|1|40,2|2653|1|40,2|2639|1|40,2|2625|1|40,2|2611|1|40,2|2597|1|40,2|2583|1|40,2|2569|1|40,2|2555|1|40,2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    </cell>
        </row>
        <row r="8553">
          <cell r="A8553">
            <v>55485</v>
          </cell>
          <cell r="B8553">
            <v>1</v>
          </cell>
          <cell r="C8553" t="str">
            <v>2|2695|1,2|2681|1,2|2667|1,2|2653|1,2|2639|1,2|2625|1,2|2611|1,2|2597|1,2|2583|1,2|2569|1,2|2555|1,2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1,2|2708|1</v>
          </cell>
          <cell r="D8553" t="str">
            <v>100级装备随机奖励</v>
          </cell>
          <cell r="E8553" t="str">
            <v>2|2710|1|40,2|2696|1|40,2|2682|1|40,2|2668|1|40,2|2654|1|40,2|2640|1|40,2|2626|1|40,2|2612|1|40,2|2598|1|40,2|2584|1|40,2|2570|1|40,2|2556|1|40,2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    </cell>
        </row>
        <row r="8554">
          <cell r="A8554">
            <v>55486</v>
          </cell>
          <cell r="B8554">
            <v>1</v>
          </cell>
          <cell r="C8554" t="str">
            <v>2|2696|1,2|2682|1,2|2668|1,2|2654|1,2|2640|1,2|2626|1,2|2612|1,2|2598|1,2|2584|1,2|2570|1,2|2556|1,2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1,2|2709|1</v>
          </cell>
          <cell r="D8554" t="str">
            <v>110级装备随机奖励</v>
          </cell>
          <cell r="E8554" t="str">
            <v>2|2711|1|40,2|2697|1|40,2|2683|1|40,2|2669|1|40,2|2655|1|40,2|2641|1|40,2|2627|1|40,2|2613|1|40,2|2599|1|40,2|2585|1|40,2|2571|1|40,2|2557|1|40,2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    </cell>
        </row>
        <row r="8555">
          <cell r="A8555">
            <v>55487</v>
          </cell>
          <cell r="B8555">
            <v>1</v>
          </cell>
          <cell r="C8555" t="str">
            <v>2|2697|1,2|2683|1,2|2669|1,2|2655|1,2|2641|1,2|2627|1,2|2613|1,2|2599|1,2|2585|1,2|2571|1,2|2557|1,2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1,2|2710|1</v>
          </cell>
          <cell r="D8555" t="str">
            <v>120级装备随机奖励</v>
          </cell>
          <cell r="E8555" t="str">
            <v>2|2712|1|40,2|2698|1|40,2|2684|1|40,2|2670|1|40,2|2656|1|40,2|2642|1|40,2|2628|1|40,2|2614|1|40,2|2600|1|40,2|2586|1|40,2|2572|1|40,2|2558|1|40,2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    </cell>
        </row>
        <row r="8556">
          <cell r="A8556">
            <v>55488</v>
          </cell>
          <cell r="B8556">
            <v>1</v>
          </cell>
          <cell r="C8556" t="str">
            <v>2|2698|1,2|2684|1,2|2670|1,2|2656|1,2|2642|1,2|2628|1,2|2614|1,2|2600|1,2|2586|1,2|2572|1,2|2558|1,2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1,2|2711|1</v>
          </cell>
          <cell r="D8556" t="str">
            <v>130级装备随机奖励</v>
          </cell>
          <cell r="E8556" t="str">
            <v>2|2713|1|40,2|2699|1|40,2|2685|1|40,2|2671|1|40,2|2657|1|40,2|2643|1|40,2|2629|1|40,2|2615|1|40,2|2601|1|40,2|2587|1|40,2|2573|1|40,2|2559|1|40,2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    </cell>
        </row>
        <row r="8557">
          <cell r="A8557">
            <v>55489</v>
          </cell>
          <cell r="B8557">
            <v>1</v>
          </cell>
          <cell r="C8557" t="str">
            <v>2|2699|1,2|2685|1,2|2671|1,2|2657|1,2|2643|1,2|2629|1,2|2615|1,2|2601|1,2|2587|1,2|2573|1,2|2559|1,2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1,2|2712|1</v>
          </cell>
          <cell r="D8557" t="str">
            <v>140级装备随机奖励</v>
          </cell>
          <cell r="E8557" t="str">
            <v>2|2714|1|40,2|2700|1|40,2|2686|1|40,2|2672|1|40,2|2658|1|40,2|2644|1|40,2|2630|1|40,2|2616|1|40,2|2602|1|40,2|2588|1|40,2|2574|1|40,2|2560|1|40,2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    </cell>
        </row>
        <row r="8558">
          <cell r="A8558">
            <v>55490</v>
          </cell>
          <cell r="B8558">
            <v>1</v>
          </cell>
          <cell r="C8558" t="str">
            <v>2|2700|1,2|2686|1,2|2672|1,2|2658|1,2|2644|1,2|2630|1,2|2616|1,2|2602|1,2|2588|1,2|2574|1,2|2560|1,2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1,2|2713|1</v>
          </cell>
          <cell r="D8558" t="str">
            <v>150级装备随机奖励</v>
          </cell>
          <cell r="E8558" t="str">
            <v>2|2715|1|40,2|2701|1|40,2|2687|1|40,2|2673|1|40,2|2659|1|40,2|2645|1|40,2|2631|1|40,2|2617|1|40,2|2603|1|40,2|2589|1|40,2|2575|1|40,2|2561|1|40,2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    </cell>
        </row>
        <row r="8559">
          <cell r="E8559"/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547"/>
  <sheetViews>
    <sheetView tabSelected="1" zoomScale="85" zoomScaleNormal="85" workbookViewId="0">
      <pane xSplit="2" ySplit="3" topLeftCell="C338" activePane="bottomRight" state="frozen"/>
      <selection pane="topRight" activeCell="C1" sqref="C1"/>
      <selection pane="bottomLeft" activeCell="A4" sqref="A4"/>
      <selection pane="bottomRight" activeCell="B353" sqref="B353"/>
    </sheetView>
  </sheetViews>
  <sheetFormatPr defaultColWidth="9" defaultRowHeight="16.5" x14ac:dyDescent="0.35"/>
  <cols>
    <col min="1" max="1" width="23.125" style="53" bestFit="1" customWidth="1"/>
    <col min="2" max="2" width="26.75" style="53" customWidth="1"/>
    <col min="3" max="3" width="65.875" style="109" bestFit="1" customWidth="1"/>
    <col min="4" max="4" width="75.875" style="53" customWidth="1"/>
    <col min="5" max="5" width="44.625" style="94" customWidth="1"/>
    <col min="6" max="6" width="20.75" style="53" bestFit="1" customWidth="1"/>
    <col min="7" max="7" width="20.75" style="76" customWidth="1"/>
    <col min="8" max="8" width="44.375" style="53" customWidth="1"/>
    <col min="9" max="9" width="30" style="53" bestFit="1" customWidth="1"/>
    <col min="10" max="10" width="11.75" style="118" customWidth="1"/>
    <col min="11" max="11" width="10.625" style="53" customWidth="1"/>
    <col min="12" max="12" width="32.5" style="53" customWidth="1"/>
    <col min="13" max="14" width="26" style="53" customWidth="1"/>
    <col min="15" max="15" width="15.125" style="53" customWidth="1"/>
    <col min="16" max="16" width="13.125" style="53" bestFit="1" customWidth="1"/>
    <col min="17" max="17" width="28.625" style="53" customWidth="1"/>
    <col min="18" max="18" width="33.625" style="76" customWidth="1"/>
    <col min="19" max="21" width="13.75" style="53" customWidth="1"/>
    <col min="22" max="16384" width="9" style="53"/>
  </cols>
  <sheetData>
    <row r="1" spans="1:30" ht="121.5" customHeight="1" x14ac:dyDescent="0.35">
      <c r="A1" s="49" t="s">
        <v>2121</v>
      </c>
      <c r="B1" s="49" t="s">
        <v>1252</v>
      </c>
      <c r="C1" s="103" t="s">
        <v>1253</v>
      </c>
      <c r="D1" s="49" t="s">
        <v>1254</v>
      </c>
      <c r="E1" s="89" t="s">
        <v>2118</v>
      </c>
      <c r="F1" s="49" t="s">
        <v>1619</v>
      </c>
      <c r="G1" s="50" t="s">
        <v>2050</v>
      </c>
      <c r="H1" s="49" t="s">
        <v>1328</v>
      </c>
      <c r="I1" s="49" t="s">
        <v>1482</v>
      </c>
      <c r="J1" s="111" t="s">
        <v>2110</v>
      </c>
      <c r="K1" s="49" t="s">
        <v>2365</v>
      </c>
      <c r="L1" s="51" t="s">
        <v>1882</v>
      </c>
      <c r="M1" s="51" t="s">
        <v>1883</v>
      </c>
      <c r="N1" s="51" t="s">
        <v>154</v>
      </c>
      <c r="O1" s="49" t="s">
        <v>39</v>
      </c>
      <c r="P1" s="51" t="s">
        <v>2065</v>
      </c>
      <c r="Q1" s="49" t="s">
        <v>695</v>
      </c>
      <c r="R1" s="50" t="s">
        <v>1327</v>
      </c>
      <c r="S1" s="51" t="s">
        <v>1261</v>
      </c>
      <c r="T1" s="49" t="s">
        <v>393</v>
      </c>
      <c r="U1" s="51" t="s">
        <v>76</v>
      </c>
    </row>
    <row r="2" spans="1:30" x14ac:dyDescent="0.35">
      <c r="A2" s="54" t="s">
        <v>0</v>
      </c>
      <c r="B2" s="54" t="s">
        <v>1</v>
      </c>
      <c r="C2" s="104" t="s">
        <v>2</v>
      </c>
      <c r="D2" s="54" t="s">
        <v>3</v>
      </c>
      <c r="E2" s="90" t="s">
        <v>1532</v>
      </c>
      <c r="F2" s="54" t="s">
        <v>1572</v>
      </c>
      <c r="G2" s="55" t="s">
        <v>320</v>
      </c>
      <c r="H2" s="54" t="s">
        <v>1325</v>
      </c>
      <c r="I2" s="54" t="s">
        <v>1479</v>
      </c>
      <c r="J2" s="112" t="s">
        <v>4</v>
      </c>
      <c r="K2" s="54" t="s">
        <v>80</v>
      </c>
      <c r="L2" s="54" t="s">
        <v>5</v>
      </c>
      <c r="M2" s="54" t="s">
        <v>155</v>
      </c>
      <c r="N2" s="54" t="s">
        <v>156</v>
      </c>
      <c r="O2" s="54" t="s">
        <v>6</v>
      </c>
      <c r="P2" s="54" t="s">
        <v>7</v>
      </c>
      <c r="Q2" s="54" t="s">
        <v>8</v>
      </c>
      <c r="R2" s="55" t="s">
        <v>9</v>
      </c>
      <c r="S2" s="54" t="s">
        <v>50</v>
      </c>
      <c r="T2" s="54" t="s">
        <v>62</v>
      </c>
      <c r="U2" s="54" t="s">
        <v>78</v>
      </c>
    </row>
    <row r="3" spans="1:30" x14ac:dyDescent="0.35">
      <c r="A3" s="54" t="s">
        <v>10</v>
      </c>
      <c r="B3" s="54" t="s">
        <v>10</v>
      </c>
      <c r="C3" s="104" t="s">
        <v>10</v>
      </c>
      <c r="D3" s="54" t="s">
        <v>10</v>
      </c>
      <c r="E3" s="90" t="s">
        <v>11</v>
      </c>
      <c r="F3" s="54" t="s">
        <v>1573</v>
      </c>
      <c r="G3" s="55" t="s">
        <v>10</v>
      </c>
      <c r="H3" s="54" t="s">
        <v>1326</v>
      </c>
      <c r="I3" s="54" t="s">
        <v>1483</v>
      </c>
      <c r="J3" s="112" t="s">
        <v>11</v>
      </c>
      <c r="K3" s="54" t="s">
        <v>77</v>
      </c>
      <c r="L3" s="54" t="s">
        <v>10</v>
      </c>
      <c r="M3" s="54" t="s">
        <v>61</v>
      </c>
      <c r="N3" s="54" t="s">
        <v>77</v>
      </c>
      <c r="O3" s="54" t="s">
        <v>11</v>
      </c>
      <c r="P3" s="54" t="s">
        <v>51</v>
      </c>
      <c r="Q3" s="54" t="s">
        <v>10</v>
      </c>
      <c r="R3" s="55" t="s">
        <v>10</v>
      </c>
      <c r="S3" s="54" t="s">
        <v>51</v>
      </c>
      <c r="T3" s="54" t="s">
        <v>61</v>
      </c>
      <c r="U3" s="54" t="s">
        <v>77</v>
      </c>
    </row>
    <row r="4" spans="1:30" x14ac:dyDescent="0.35">
      <c r="A4" s="56">
        <v>10001</v>
      </c>
      <c r="B4" s="56" t="s">
        <v>1066</v>
      </c>
      <c r="C4" s="105" t="s">
        <v>2043</v>
      </c>
      <c r="D4" s="52" t="str">
        <f t="shared" ref="D4:D35" si="0">"集齐"&amp;P4&amp;MID(C4,SEARCH("个",C4,1),100)</f>
        <v>集齐120个二郎神碎片可以合成二郎神</v>
      </c>
      <c r="E4" s="88">
        <v>2</v>
      </c>
      <c r="F4" s="52" t="s">
        <v>12</v>
      </c>
      <c r="G4" s="57" t="s">
        <v>1065</v>
      </c>
      <c r="H4" s="52" t="s">
        <v>2320</v>
      </c>
      <c r="I4" s="52" t="s">
        <v>70</v>
      </c>
      <c r="J4" s="113">
        <v>1</v>
      </c>
      <c r="K4" s="52">
        <v>6</v>
      </c>
      <c r="L4" s="52" t="s">
        <v>121</v>
      </c>
      <c r="M4" s="52" t="s">
        <v>12</v>
      </c>
      <c r="N4" s="52" t="s">
        <v>14</v>
      </c>
      <c r="O4" s="52" t="s">
        <v>173</v>
      </c>
      <c r="P4" s="52">
        <v>120</v>
      </c>
      <c r="Q4" s="52" t="s">
        <v>229</v>
      </c>
      <c r="R4" s="57" t="s">
        <v>12</v>
      </c>
      <c r="S4" s="52">
        <v>0</v>
      </c>
      <c r="T4" s="52" t="s">
        <v>12</v>
      </c>
      <c r="U4" s="52">
        <v>0</v>
      </c>
      <c r="V4" s="53" t="e">
        <f>VLOOKUP(#REF!,$Z$4:$AA$9,2,0)</f>
        <v>#REF!</v>
      </c>
      <c r="W4" s="53" t="str">
        <f>VLOOKUP(INT(SUBSTITUTE($Q4,"1|","")),[1]Sheet1!$A:$B,2,0)&amp;"碎片"</f>
        <v>二郎神碎片</v>
      </c>
      <c r="X4" s="53" t="e">
        <f>VLOOKUP(#REF!,$Z$4:$AB$9,3,0)</f>
        <v>#REF!</v>
      </c>
      <c r="Z4" s="53">
        <v>20</v>
      </c>
      <c r="AA4" s="53">
        <v>120</v>
      </c>
      <c r="AB4" s="53">
        <v>6</v>
      </c>
      <c r="AD4" s="53" t="str">
        <f>IFERROR(IF($K4&gt;5,"[[1,[48]],[3,[16,5]]]",IF($K4&lt;3,"[[1,[47]]]","[[1,[47]],[3,[2]],"&amp;VLOOKUP($A4,[2]伙伴碎片途径!$A:$E,5,0)&amp;"]")),"[]")</f>
        <v>[[1,[48]],[3,[16,5]]]</v>
      </c>
    </row>
    <row r="5" spans="1:30" x14ac:dyDescent="0.35">
      <c r="A5" s="56">
        <v>10002</v>
      </c>
      <c r="B5" s="56" t="s">
        <v>92</v>
      </c>
      <c r="C5" s="105" t="s">
        <v>1068</v>
      </c>
      <c r="D5" s="52" t="str">
        <f t="shared" si="0"/>
        <v>集齐100个哪吒碎片可以合成哪吒</v>
      </c>
      <c r="E5" s="88">
        <v>2</v>
      </c>
      <c r="F5" s="52" t="s">
        <v>12</v>
      </c>
      <c r="G5" s="57" t="s">
        <v>862</v>
      </c>
      <c r="H5" s="52" t="s">
        <v>2238</v>
      </c>
      <c r="I5" s="52" t="s">
        <v>70</v>
      </c>
      <c r="J5" s="113">
        <v>1</v>
      </c>
      <c r="K5" s="52">
        <v>5</v>
      </c>
      <c r="L5" s="52" t="s">
        <v>137</v>
      </c>
      <c r="M5" s="52" t="s">
        <v>12</v>
      </c>
      <c r="N5" s="52" t="s">
        <v>14</v>
      </c>
      <c r="O5" s="52" t="s">
        <v>173</v>
      </c>
      <c r="P5" s="52">
        <v>100</v>
      </c>
      <c r="Q5" s="52" t="s">
        <v>230</v>
      </c>
      <c r="R5" s="57" t="s">
        <v>12</v>
      </c>
      <c r="S5" s="52">
        <v>0</v>
      </c>
      <c r="T5" s="52" t="s">
        <v>12</v>
      </c>
      <c r="U5" s="52">
        <v>0</v>
      </c>
      <c r="V5" s="53" t="e">
        <f>VLOOKUP(#REF!,$Z$4:$AA$9,2,0)</f>
        <v>#REF!</v>
      </c>
      <c r="W5" s="53" t="str">
        <f>VLOOKUP(INT(SUBSTITUTE($Q5,"1|","")),[1]Sheet1!$A:$B,2,0)&amp;"碎片"</f>
        <v>哪吒碎片</v>
      </c>
      <c r="X5" s="53" t="e">
        <f>VLOOKUP(#REF!,$Z$4:$AB$9,3,0)</f>
        <v>#REF!</v>
      </c>
      <c r="Z5" s="53">
        <v>16</v>
      </c>
      <c r="AA5" s="53">
        <v>100</v>
      </c>
      <c r="AB5" s="53">
        <v>5</v>
      </c>
      <c r="AD5" s="53" t="str">
        <f>IFERROR(IF($K5&gt;5,"[[1,[48]],[3,[16,5]]]",IF($K5&lt;3,"[[1,[47]]]","[[1,[47]],[3,[2]],"&amp;VLOOKUP($A5,[2]伙伴碎片途径!$A:$E,5,0)&amp;"]")),"[]")</f>
        <v>[[1,[47]],[3,[2]],[2,[10240,10390,10540,10690,10840,10990,11140,11290]]]</v>
      </c>
    </row>
    <row r="6" spans="1:30" x14ac:dyDescent="0.35">
      <c r="A6" s="56">
        <v>10003</v>
      </c>
      <c r="B6" s="56" t="s">
        <v>108</v>
      </c>
      <c r="C6" s="105" t="s">
        <v>1069</v>
      </c>
      <c r="D6" s="52" t="str">
        <f t="shared" si="0"/>
        <v>集齐100个嫦娥碎片可以合成嫦娥</v>
      </c>
      <c r="E6" s="88">
        <v>2</v>
      </c>
      <c r="F6" s="52" t="s">
        <v>12</v>
      </c>
      <c r="G6" s="57" t="s">
        <v>862</v>
      </c>
      <c r="H6" s="52" t="s">
        <v>2239</v>
      </c>
      <c r="I6" s="52" t="s">
        <v>70</v>
      </c>
      <c r="J6" s="113">
        <v>1</v>
      </c>
      <c r="K6" s="52">
        <v>5</v>
      </c>
      <c r="L6" s="52" t="s">
        <v>143</v>
      </c>
      <c r="M6" s="52" t="s">
        <v>12</v>
      </c>
      <c r="N6" s="52" t="s">
        <v>14</v>
      </c>
      <c r="O6" s="52" t="s">
        <v>173</v>
      </c>
      <c r="P6" s="52">
        <v>100</v>
      </c>
      <c r="Q6" s="52" t="s">
        <v>231</v>
      </c>
      <c r="R6" s="57" t="s">
        <v>12</v>
      </c>
      <c r="S6" s="52">
        <v>0</v>
      </c>
      <c r="T6" s="52" t="s">
        <v>12</v>
      </c>
      <c r="U6" s="52">
        <v>0</v>
      </c>
      <c r="V6" s="53" t="e">
        <f>VLOOKUP(#REF!,$Z$4:$AA$9,2,0)</f>
        <v>#REF!</v>
      </c>
      <c r="W6" s="53" t="str">
        <f>VLOOKUP(INT(SUBSTITUTE($Q6,"1|","")),[1]Sheet1!$A:$B,2,0)&amp;"碎片"</f>
        <v>嫦娥碎片</v>
      </c>
      <c r="X6" s="53" t="e">
        <f>VLOOKUP(#REF!,$Z$4:$AB$9,3,0)</f>
        <v>#REF!</v>
      </c>
      <c r="Z6" s="53">
        <v>13</v>
      </c>
      <c r="AA6" s="53">
        <v>80</v>
      </c>
      <c r="AB6" s="53">
        <v>4</v>
      </c>
      <c r="AD6" s="53" t="str">
        <f>IFERROR(IF($K6&gt;5,"[[1,[48]],[3,[16,5]]]",IF($K6&lt;3,"[[1,[47]]]","[[1,[47]],[3,[2]],"&amp;VLOOKUP($A6,[2]伙伴碎片途径!$A:$E,5,0)&amp;"]")),"[]")</f>
        <v>[[1,[47]],[3,[2]],[2,[10130,10280,10430,10580,10730,10880,11030,11180]]]</v>
      </c>
    </row>
    <row r="7" spans="1:30" x14ac:dyDescent="0.35">
      <c r="A7" s="56">
        <v>10004</v>
      </c>
      <c r="B7" s="56" t="s">
        <v>436</v>
      </c>
      <c r="C7" s="105" t="s">
        <v>1070</v>
      </c>
      <c r="D7" s="52" t="str">
        <f t="shared" si="0"/>
        <v>集齐80个玉皇大帝碎片可以合成玉皇大帝</v>
      </c>
      <c r="E7" s="88">
        <v>2</v>
      </c>
      <c r="F7" s="52" t="s">
        <v>12</v>
      </c>
      <c r="G7" s="57" t="s">
        <v>862</v>
      </c>
      <c r="H7" s="52" t="s">
        <v>2285</v>
      </c>
      <c r="I7" s="52" t="s">
        <v>70</v>
      </c>
      <c r="J7" s="113">
        <v>1</v>
      </c>
      <c r="K7" s="52">
        <v>4</v>
      </c>
      <c r="L7" s="52" t="s">
        <v>128</v>
      </c>
      <c r="M7" s="52" t="s">
        <v>12</v>
      </c>
      <c r="N7" s="52" t="s">
        <v>14</v>
      </c>
      <c r="O7" s="52" t="s">
        <v>173</v>
      </c>
      <c r="P7" s="52">
        <v>80</v>
      </c>
      <c r="Q7" s="52" t="s">
        <v>232</v>
      </c>
      <c r="R7" s="57" t="s">
        <v>12</v>
      </c>
      <c r="S7" s="52">
        <v>0</v>
      </c>
      <c r="T7" s="52" t="s">
        <v>12</v>
      </c>
      <c r="U7" s="52">
        <v>0</v>
      </c>
      <c r="V7" s="53" t="e">
        <f>VLOOKUP(#REF!,$Z$4:$AA$9,2,0)</f>
        <v>#REF!</v>
      </c>
      <c r="W7" s="53" t="str">
        <f>VLOOKUP(INT(SUBSTITUTE($Q7,"1|","")),[1]Sheet1!$A:$B,2,0)&amp;"碎片"</f>
        <v>玉皇大帝碎片</v>
      </c>
      <c r="X7" s="53" t="e">
        <f>VLOOKUP(#REF!,$Z$4:$AB$9,3,0)</f>
        <v>#REF!</v>
      </c>
      <c r="Z7" s="53">
        <v>11</v>
      </c>
      <c r="AA7" s="53">
        <v>40</v>
      </c>
      <c r="AB7" s="53">
        <v>3</v>
      </c>
      <c r="AD7" s="53" t="str">
        <f>IFERROR(IF($K7&gt;5,"[[1,[48]],[3,[16,5]]]",IF($K7&lt;3,"[[1,[47]]]","[[1,[47]],[3,[2]],"&amp;VLOOKUP($A7,[2]伙伴碎片途径!$A:$E,5,0)&amp;"]")),"[]")</f>
        <v>[[1,[47]],[3,[2]],[2,[10040,10249,10459,10669,10879,11089,11299]]]</v>
      </c>
    </row>
    <row r="8" spans="1:30" x14ac:dyDescent="0.35">
      <c r="A8" s="56">
        <v>10005</v>
      </c>
      <c r="B8" s="56" t="s">
        <v>437</v>
      </c>
      <c r="C8" s="105" t="s">
        <v>2044</v>
      </c>
      <c r="D8" s="52" t="str">
        <f t="shared" si="0"/>
        <v>集齐120个王母娘娘碎片可以合成王母娘娘</v>
      </c>
      <c r="E8" s="88">
        <v>2</v>
      </c>
      <c r="F8" s="52" t="s">
        <v>12</v>
      </c>
      <c r="G8" s="57" t="s">
        <v>862</v>
      </c>
      <c r="H8" s="52" t="s">
        <v>2320</v>
      </c>
      <c r="I8" s="52" t="s">
        <v>70</v>
      </c>
      <c r="J8" s="113">
        <v>1</v>
      </c>
      <c r="K8" s="52">
        <v>6</v>
      </c>
      <c r="L8" s="52" t="s">
        <v>174</v>
      </c>
      <c r="M8" s="52" t="s">
        <v>12</v>
      </c>
      <c r="N8" s="52" t="s">
        <v>14</v>
      </c>
      <c r="O8" s="52" t="s">
        <v>173</v>
      </c>
      <c r="P8" s="52">
        <v>120</v>
      </c>
      <c r="Q8" s="52" t="s">
        <v>233</v>
      </c>
      <c r="R8" s="57" t="s">
        <v>12</v>
      </c>
      <c r="S8" s="52">
        <v>0</v>
      </c>
      <c r="T8" s="52" t="s">
        <v>12</v>
      </c>
      <c r="U8" s="52">
        <v>0</v>
      </c>
      <c r="V8" s="53" t="e">
        <f>VLOOKUP(#REF!,$Z$4:$AA$9,2,0)</f>
        <v>#REF!</v>
      </c>
      <c r="W8" s="53" t="str">
        <f>VLOOKUP(INT(SUBSTITUTE($Q8,"1|","")),[1]Sheet1!$A:$B,2,0)&amp;"碎片"</f>
        <v>王母娘娘碎片</v>
      </c>
      <c r="X8" s="53" t="e">
        <f>VLOOKUP(#REF!,$Z$4:$AB$9,3,0)</f>
        <v>#REF!</v>
      </c>
      <c r="Z8" s="53">
        <v>6</v>
      </c>
      <c r="AA8" s="53">
        <v>10</v>
      </c>
      <c r="AB8" s="53">
        <v>2</v>
      </c>
      <c r="AD8" s="53" t="str">
        <f>IFERROR(IF($K8&gt;5,"[[1,[48]],[3,[16,5]]]",IF($K8&lt;3,"[[1,[47]]]","[[1,[47]],[3,[2]],"&amp;VLOOKUP($A8,[2]伙伴碎片途径!$A:$E,5,0)&amp;"]")),"[]")</f>
        <v>[[1,[48]],[3,[16,5]]]</v>
      </c>
    </row>
    <row r="9" spans="1:30" x14ac:dyDescent="0.35">
      <c r="A9" s="56">
        <v>10006</v>
      </c>
      <c r="B9" s="56" t="s">
        <v>175</v>
      </c>
      <c r="C9" s="105" t="s">
        <v>1072</v>
      </c>
      <c r="D9" s="52" t="str">
        <f t="shared" si="0"/>
        <v>集齐80个太白金星碎片可以合成太白金星</v>
      </c>
      <c r="E9" s="88">
        <v>2</v>
      </c>
      <c r="F9" s="52" t="s">
        <v>12</v>
      </c>
      <c r="G9" s="57" t="s">
        <v>862</v>
      </c>
      <c r="H9" s="52" t="s">
        <v>2240</v>
      </c>
      <c r="I9" s="52" t="s">
        <v>70</v>
      </c>
      <c r="J9" s="113">
        <v>1</v>
      </c>
      <c r="K9" s="52">
        <v>4</v>
      </c>
      <c r="L9" s="52" t="s">
        <v>176</v>
      </c>
      <c r="M9" s="52" t="s">
        <v>12</v>
      </c>
      <c r="N9" s="52" t="s">
        <v>14</v>
      </c>
      <c r="O9" s="52" t="s">
        <v>173</v>
      </c>
      <c r="P9" s="52">
        <v>80</v>
      </c>
      <c r="Q9" s="52" t="s">
        <v>234</v>
      </c>
      <c r="R9" s="57" t="s">
        <v>12</v>
      </c>
      <c r="S9" s="52">
        <v>0</v>
      </c>
      <c r="T9" s="52" t="s">
        <v>12</v>
      </c>
      <c r="U9" s="52">
        <v>0</v>
      </c>
      <c r="V9" s="53" t="e">
        <f>VLOOKUP(#REF!,$Z$4:$AA$9,2,0)</f>
        <v>#REF!</v>
      </c>
      <c r="W9" s="53" t="str">
        <f>VLOOKUP(INT(SUBSTITUTE($Q9,"1|","")),[1]Sheet1!$A:$B,2,0)&amp;"碎片"</f>
        <v>太白金星碎片</v>
      </c>
      <c r="X9" s="53" t="e">
        <f>VLOOKUP(#REF!,$Z$4:$AB$9,3,0)</f>
        <v>#REF!</v>
      </c>
      <c r="Z9" s="53">
        <v>2</v>
      </c>
      <c r="AA9" s="53">
        <v>10</v>
      </c>
      <c r="AB9" s="53">
        <v>1</v>
      </c>
      <c r="AD9" s="53" t="str">
        <f>IFERROR(IF($K9&gt;5,"[[1,[48]],[3,[16,5]]]",IF($K9&lt;3,"[[1,[47]]]","[[1,[47]],[3,[2]],"&amp;VLOOKUP($A9,[2]伙伴碎片途径!$A:$E,5,0)&amp;"]")),"[]")</f>
        <v>[[1,[47]],[3,[2]],[2,[10139,10349,10559,10769,10979,11189]]]</v>
      </c>
    </row>
    <row r="10" spans="1:30" x14ac:dyDescent="0.35">
      <c r="A10" s="56">
        <v>10007</v>
      </c>
      <c r="B10" s="56" t="s">
        <v>177</v>
      </c>
      <c r="C10" s="105" t="s">
        <v>1792</v>
      </c>
      <c r="D10" s="52" t="str">
        <f t="shared" si="0"/>
        <v>集齐80个赤脚大仙碎片可以合成赤脚大仙</v>
      </c>
      <c r="E10" s="88">
        <v>2</v>
      </c>
      <c r="F10" s="52" t="s">
        <v>12</v>
      </c>
      <c r="G10" s="57" t="s">
        <v>862</v>
      </c>
      <c r="H10" s="52" t="s">
        <v>2241</v>
      </c>
      <c r="I10" s="52" t="s">
        <v>70</v>
      </c>
      <c r="J10" s="113">
        <v>1</v>
      </c>
      <c r="K10" s="52">
        <v>4</v>
      </c>
      <c r="L10" s="52" t="s">
        <v>178</v>
      </c>
      <c r="M10" s="52" t="s">
        <v>12</v>
      </c>
      <c r="N10" s="52" t="s">
        <v>14</v>
      </c>
      <c r="O10" s="52" t="s">
        <v>173</v>
      </c>
      <c r="P10" s="52">
        <v>80</v>
      </c>
      <c r="Q10" s="52" t="s">
        <v>235</v>
      </c>
      <c r="R10" s="57" t="s">
        <v>12</v>
      </c>
      <c r="S10" s="52">
        <v>0</v>
      </c>
      <c r="T10" s="52" t="s">
        <v>12</v>
      </c>
      <c r="U10" s="52">
        <v>0</v>
      </c>
      <c r="V10" s="53" t="e">
        <f>VLOOKUP(#REF!,$Z$4:$AA$9,2,0)</f>
        <v>#REF!</v>
      </c>
      <c r="W10" s="53" t="str">
        <f>VLOOKUP(INT(SUBSTITUTE($Q10,"1|","")),[1]Sheet1!$A:$B,2,0)&amp;"碎片"</f>
        <v>赤脚大仙碎片</v>
      </c>
      <c r="X10" s="53" t="e">
        <f>VLOOKUP(#REF!,$Z$4:$AB$9,3,0)</f>
        <v>#REF!</v>
      </c>
      <c r="AD10" s="53" t="str">
        <f>IFERROR(IF($K10&gt;5,"[[1,[48]],[3,[16,5]]]",IF($K10&lt;3,"[[1,[47]]]","[[1,[47]],[3,[2]],"&amp;VLOOKUP($A10,[2]伙伴碎片途径!$A:$E,5,0)&amp;"]")),"[]")</f>
        <v>[[1,[47]],[3,[2]],[2,[10199,10409,10619,10829,11039,11249]]]</v>
      </c>
    </row>
    <row r="11" spans="1:30" x14ac:dyDescent="0.35">
      <c r="A11" s="56">
        <v>10008</v>
      </c>
      <c r="B11" s="56" t="s">
        <v>96</v>
      </c>
      <c r="C11" s="105" t="s">
        <v>1074</v>
      </c>
      <c r="D11" s="52" t="str">
        <f t="shared" si="0"/>
        <v>集齐100个托塔天王碎片可以合成托塔天王</v>
      </c>
      <c r="E11" s="88">
        <v>2</v>
      </c>
      <c r="F11" s="52" t="s">
        <v>12</v>
      </c>
      <c r="G11" s="57" t="s">
        <v>862</v>
      </c>
      <c r="H11" s="52" t="s">
        <v>2242</v>
      </c>
      <c r="I11" s="52" t="s">
        <v>70</v>
      </c>
      <c r="J11" s="113">
        <v>1</v>
      </c>
      <c r="K11" s="52">
        <v>5</v>
      </c>
      <c r="L11" s="52" t="s">
        <v>179</v>
      </c>
      <c r="M11" s="52" t="s">
        <v>12</v>
      </c>
      <c r="N11" s="52" t="s">
        <v>14</v>
      </c>
      <c r="O11" s="52" t="s">
        <v>173</v>
      </c>
      <c r="P11" s="52">
        <v>100</v>
      </c>
      <c r="Q11" s="52" t="s">
        <v>236</v>
      </c>
      <c r="R11" s="57" t="s">
        <v>12</v>
      </c>
      <c r="S11" s="52">
        <v>0</v>
      </c>
      <c r="T11" s="52" t="s">
        <v>12</v>
      </c>
      <c r="U11" s="52">
        <v>0</v>
      </c>
      <c r="V11" s="53" t="e">
        <f>VLOOKUP(#REF!,$Z$4:$AA$9,2,0)</f>
        <v>#REF!</v>
      </c>
      <c r="W11" s="53" t="str">
        <f>VLOOKUP(INT(SUBSTITUTE($Q11,"1|","")),[1]Sheet1!$A:$B,2,0)&amp;"碎片"</f>
        <v>托塔天王碎片</v>
      </c>
      <c r="X11" s="53" t="e">
        <f>VLOOKUP(#REF!,$Z$4:$AB$9,3,0)</f>
        <v>#REF!</v>
      </c>
      <c r="AD11" s="53" t="str">
        <f>IFERROR(IF($K11&gt;5,"[[1,[48]],[3,[16,5]]]",IF($K11&lt;3,"[[1,[47]]]","[[1,[47]],[3,[2]],"&amp;VLOOKUP($A11,[2]伙伴碎片途径!$A:$E,5,0)&amp;"]")),"[]")</f>
        <v>[[1,[47]],[3,[2]],[2,[10210,10360,10510,10660,10810,10960,11110,11260]]]</v>
      </c>
    </row>
    <row r="12" spans="1:30" x14ac:dyDescent="0.35">
      <c r="A12" s="56">
        <v>10009</v>
      </c>
      <c r="B12" s="56" t="s">
        <v>180</v>
      </c>
      <c r="C12" s="105" t="s">
        <v>1793</v>
      </c>
      <c r="D12" s="52" t="str">
        <f t="shared" si="0"/>
        <v>集齐80个九天玄女碎片可以合成九天玄女</v>
      </c>
      <c r="E12" s="88">
        <v>2</v>
      </c>
      <c r="F12" s="52" t="s">
        <v>12</v>
      </c>
      <c r="G12" s="57" t="s">
        <v>862</v>
      </c>
      <c r="H12" s="52" t="s">
        <v>2286</v>
      </c>
      <c r="I12" s="52" t="s">
        <v>70</v>
      </c>
      <c r="J12" s="113">
        <v>1</v>
      </c>
      <c r="K12" s="52">
        <v>4</v>
      </c>
      <c r="L12" s="52" t="s">
        <v>181</v>
      </c>
      <c r="M12" s="52" t="s">
        <v>12</v>
      </c>
      <c r="N12" s="52" t="s">
        <v>14</v>
      </c>
      <c r="O12" s="52" t="s">
        <v>173</v>
      </c>
      <c r="P12" s="52">
        <v>80</v>
      </c>
      <c r="Q12" s="52" t="s">
        <v>237</v>
      </c>
      <c r="R12" s="57" t="s">
        <v>12</v>
      </c>
      <c r="S12" s="52">
        <v>0</v>
      </c>
      <c r="T12" s="52" t="s">
        <v>12</v>
      </c>
      <c r="U12" s="52">
        <v>0</v>
      </c>
      <c r="V12" s="53" t="e">
        <f>VLOOKUP(#REF!,$Z$4:$AA$9,2,0)</f>
        <v>#REF!</v>
      </c>
      <c r="W12" s="53" t="str">
        <f>VLOOKUP(INT(SUBSTITUTE($Q12,"1|","")),[1]Sheet1!$A:$B,2,0)&amp;"碎片"</f>
        <v>九天玄女碎片</v>
      </c>
      <c r="X12" s="53" t="e">
        <f>VLOOKUP(#REF!,$Z$4:$AB$9,3,0)</f>
        <v>#REF!</v>
      </c>
      <c r="AD12" s="53" t="str">
        <f>IFERROR(IF($K12&gt;5,"[[1,[48]],[3,[16,5]]]",IF($K12&lt;3,"[[1,[47]]]","[[1,[47]],[3,[2]],"&amp;VLOOKUP($A12,[2]伙伴碎片途径!$A:$E,5,0)&amp;"]")),"[]")</f>
        <v>[[1,[47]],[3,[2]],[2,[10120,10329,10539,10749,10959,11169]]]</v>
      </c>
    </row>
    <row r="13" spans="1:30" x14ac:dyDescent="0.35">
      <c r="A13" s="56">
        <v>10010</v>
      </c>
      <c r="B13" s="56" t="s">
        <v>93</v>
      </c>
      <c r="C13" s="105" t="s">
        <v>1076</v>
      </c>
      <c r="D13" s="52" t="str">
        <f t="shared" si="0"/>
        <v>集齐80个红孩儿碎片可以合成红孩儿</v>
      </c>
      <c r="E13" s="88">
        <v>2</v>
      </c>
      <c r="F13" s="52" t="s">
        <v>12</v>
      </c>
      <c r="G13" s="57" t="s">
        <v>862</v>
      </c>
      <c r="H13" s="52" t="s">
        <v>2243</v>
      </c>
      <c r="I13" s="52" t="s">
        <v>70</v>
      </c>
      <c r="J13" s="113">
        <v>1</v>
      </c>
      <c r="K13" s="52">
        <v>4</v>
      </c>
      <c r="L13" s="52" t="s">
        <v>123</v>
      </c>
      <c r="M13" s="52" t="s">
        <v>12</v>
      </c>
      <c r="N13" s="52" t="s">
        <v>14</v>
      </c>
      <c r="O13" s="52" t="s">
        <v>173</v>
      </c>
      <c r="P13" s="52">
        <v>80</v>
      </c>
      <c r="Q13" s="52" t="s">
        <v>238</v>
      </c>
      <c r="R13" s="57" t="s">
        <v>12</v>
      </c>
      <c r="S13" s="52">
        <v>0</v>
      </c>
      <c r="T13" s="52" t="s">
        <v>12</v>
      </c>
      <c r="U13" s="52">
        <v>0</v>
      </c>
      <c r="V13" s="53" t="e">
        <f>VLOOKUP(#REF!,$Z$4:$AA$9,2,0)</f>
        <v>#REF!</v>
      </c>
      <c r="W13" s="53" t="str">
        <f>VLOOKUP(INT(SUBSTITUTE($Q13,"1|","")),[1]Sheet1!$A:$B,2,0)&amp;"碎片"</f>
        <v>红孩儿碎片</v>
      </c>
      <c r="X13" s="53" t="e">
        <f>VLOOKUP(#REF!,$Z$4:$AB$9,3,0)</f>
        <v>#REF!</v>
      </c>
      <c r="AD13" s="53" t="str">
        <f>IFERROR(IF($K13&gt;5,"[[1,[48]],[3,[16,5]]]",IF($K13&lt;3,"[[1,[47]]]","[[1,[47]],[3,[2]],"&amp;VLOOKUP($A13,[2]伙伴碎片途径!$A:$E,5,0)&amp;"]")),"[]")</f>
        <v>[[1,[47]],[3,[2]],[2,[10129,10339,10549,10759,10969,11179]]]</v>
      </c>
    </row>
    <row r="14" spans="1:30" x14ac:dyDescent="0.35">
      <c r="A14" s="56">
        <v>10011</v>
      </c>
      <c r="B14" s="56" t="s">
        <v>107</v>
      </c>
      <c r="C14" s="105" t="s">
        <v>1077</v>
      </c>
      <c r="D14" s="52" t="str">
        <f t="shared" si="0"/>
        <v>集齐100个铁扇公主碎片可以合成铁扇公主</v>
      </c>
      <c r="E14" s="88">
        <v>2</v>
      </c>
      <c r="F14" s="52" t="s">
        <v>12</v>
      </c>
      <c r="G14" s="57" t="s">
        <v>862</v>
      </c>
      <c r="H14" s="52" t="s">
        <v>2244</v>
      </c>
      <c r="I14" s="52" t="s">
        <v>70</v>
      </c>
      <c r="J14" s="113">
        <v>1</v>
      </c>
      <c r="K14" s="52">
        <v>5</v>
      </c>
      <c r="L14" s="52" t="s">
        <v>122</v>
      </c>
      <c r="M14" s="52" t="s">
        <v>12</v>
      </c>
      <c r="N14" s="52" t="s">
        <v>14</v>
      </c>
      <c r="O14" s="52" t="s">
        <v>173</v>
      </c>
      <c r="P14" s="52">
        <v>100</v>
      </c>
      <c r="Q14" s="52" t="s">
        <v>239</v>
      </c>
      <c r="R14" s="57" t="s">
        <v>12</v>
      </c>
      <c r="S14" s="52">
        <v>0</v>
      </c>
      <c r="T14" s="52" t="s">
        <v>12</v>
      </c>
      <c r="U14" s="52">
        <v>0</v>
      </c>
      <c r="V14" s="53" t="e">
        <f>VLOOKUP(#REF!,$Z$4:$AA$9,2,0)</f>
        <v>#REF!</v>
      </c>
      <c r="W14" s="53" t="str">
        <f>VLOOKUP(INT(SUBSTITUTE($Q14,"1|","")),[1]Sheet1!$A:$B,2,0)&amp;"碎片"</f>
        <v>铁扇公主碎片</v>
      </c>
      <c r="X14" s="53" t="e">
        <f>VLOOKUP(#REF!,$Z$4:$AB$9,3,0)</f>
        <v>#REF!</v>
      </c>
      <c r="AD14" s="53" t="str">
        <f>IFERROR(IF($K14&gt;5,"[[1,[48]],[3,[16,5]]]",IF($K14&lt;3,"[[1,[47]]]","[[1,[47]],[3,[2]],"&amp;VLOOKUP($A14,[2]伙伴碎片途径!$A:$E,5,0)&amp;"]")),"[]")</f>
        <v>[[1,[47]],[3,[2]],[2,[10270,10420,10570,10720,10870,11020,11170,11320]]]</v>
      </c>
    </row>
    <row r="15" spans="1:30" x14ac:dyDescent="0.35">
      <c r="A15" s="56">
        <v>10012</v>
      </c>
      <c r="B15" s="56" t="s">
        <v>95</v>
      </c>
      <c r="C15" s="105" t="s">
        <v>1078</v>
      </c>
      <c r="D15" s="52" t="str">
        <f t="shared" si="0"/>
        <v>集齐100个牛魔王碎片可以合成牛魔王</v>
      </c>
      <c r="E15" s="88">
        <v>2</v>
      </c>
      <c r="F15" s="52" t="s">
        <v>12</v>
      </c>
      <c r="G15" s="57" t="s">
        <v>862</v>
      </c>
      <c r="H15" s="52" t="s">
        <v>2245</v>
      </c>
      <c r="I15" s="52" t="s">
        <v>70</v>
      </c>
      <c r="J15" s="113">
        <v>1</v>
      </c>
      <c r="K15" s="52">
        <v>5</v>
      </c>
      <c r="L15" s="52" t="s">
        <v>124</v>
      </c>
      <c r="M15" s="52" t="s">
        <v>12</v>
      </c>
      <c r="N15" s="52" t="s">
        <v>14</v>
      </c>
      <c r="O15" s="52" t="s">
        <v>173</v>
      </c>
      <c r="P15" s="52">
        <v>100</v>
      </c>
      <c r="Q15" s="52" t="s">
        <v>240</v>
      </c>
      <c r="R15" s="57" t="s">
        <v>12</v>
      </c>
      <c r="S15" s="52">
        <v>0</v>
      </c>
      <c r="T15" s="52" t="s">
        <v>12</v>
      </c>
      <c r="U15" s="52">
        <v>0</v>
      </c>
      <c r="V15" s="53" t="e">
        <f>VLOOKUP(#REF!,$Z$4:$AA$9,2,0)</f>
        <v>#REF!</v>
      </c>
      <c r="W15" s="53" t="str">
        <f>VLOOKUP(INT(SUBSTITUTE($Q15,"1|","")),[1]Sheet1!$A:$B,2,0)&amp;"碎片"</f>
        <v>牛魔王碎片</v>
      </c>
      <c r="X15" s="53" t="e">
        <f>VLOOKUP(#REF!,$Z$4:$AB$9,3,0)</f>
        <v>#REF!</v>
      </c>
      <c r="AD15" s="53" t="str">
        <f>IFERROR(IF($K15&gt;5,"[[1,[48]],[3,[16,5]]]",IF($K15&lt;3,"[[1,[47]]]","[[1,[47]],[3,[2]],"&amp;VLOOKUP($A15,[2]伙伴碎片途径!$A:$E,5,0)&amp;"]")),"[]")</f>
        <v>[[1,[47]],[3,[2]],[2,[10170,10320,10470,10620,10770,10920,11070,11220]]]</v>
      </c>
    </row>
    <row r="16" spans="1:30" x14ac:dyDescent="0.35">
      <c r="A16" s="56">
        <v>10013</v>
      </c>
      <c r="B16" s="56" t="s">
        <v>105</v>
      </c>
      <c r="C16" s="105" t="s">
        <v>1079</v>
      </c>
      <c r="D16" s="52" t="str">
        <f t="shared" si="0"/>
        <v>集齐100个虎力大仙碎片可以合成虎力大仙</v>
      </c>
      <c r="E16" s="88">
        <v>2</v>
      </c>
      <c r="F16" s="52" t="s">
        <v>12</v>
      </c>
      <c r="G16" s="57" t="s">
        <v>862</v>
      </c>
      <c r="H16" s="52" t="s">
        <v>2246</v>
      </c>
      <c r="I16" s="52" t="s">
        <v>70</v>
      </c>
      <c r="J16" s="113">
        <v>1</v>
      </c>
      <c r="K16" s="52">
        <v>5</v>
      </c>
      <c r="L16" s="52" t="s">
        <v>125</v>
      </c>
      <c r="M16" s="52" t="s">
        <v>12</v>
      </c>
      <c r="N16" s="52" t="s">
        <v>14</v>
      </c>
      <c r="O16" s="52" t="s">
        <v>173</v>
      </c>
      <c r="P16" s="52">
        <v>100</v>
      </c>
      <c r="Q16" s="52" t="s">
        <v>241</v>
      </c>
      <c r="R16" s="57" t="s">
        <v>12</v>
      </c>
      <c r="S16" s="52">
        <v>0</v>
      </c>
      <c r="T16" s="52" t="s">
        <v>12</v>
      </c>
      <c r="U16" s="52">
        <v>0</v>
      </c>
      <c r="V16" s="53" t="e">
        <f>VLOOKUP(#REF!,$Z$4:$AA$9,2,0)</f>
        <v>#REF!</v>
      </c>
      <c r="W16" s="53" t="str">
        <f>VLOOKUP(INT(SUBSTITUTE($Q16,"1|","")),[1]Sheet1!$A:$B,2,0)&amp;"碎片"</f>
        <v>虎力大仙碎片</v>
      </c>
      <c r="X16" s="53" t="e">
        <f>VLOOKUP(#REF!,$Z$4:$AB$9,3,0)</f>
        <v>#REF!</v>
      </c>
      <c r="AD16" s="53" t="str">
        <f>IFERROR(IF($K16&gt;5,"[[1,[48]],[3,[16,5]]]",IF($K16&lt;3,"[[1,[47]]]","[[1,[47]],[3,[2]],"&amp;VLOOKUP($A16,[2]伙伴碎片途径!$A:$E,5,0)&amp;"]")),"[]")</f>
        <v>[[1,[47]],[3,[2]],[2,[10200,10350,10500,10650,10800,10950,11100,11250]]]</v>
      </c>
    </row>
    <row r="17" spans="1:30" x14ac:dyDescent="0.35">
      <c r="A17" s="56">
        <v>10014</v>
      </c>
      <c r="B17" s="56" t="s">
        <v>106</v>
      </c>
      <c r="C17" s="105" t="s">
        <v>1080</v>
      </c>
      <c r="D17" s="52" t="str">
        <f t="shared" si="0"/>
        <v>集齐80个鹿力大仙碎片可以合成鹿力大仙</v>
      </c>
      <c r="E17" s="88">
        <v>2</v>
      </c>
      <c r="F17" s="52" t="s">
        <v>12</v>
      </c>
      <c r="G17" s="57" t="s">
        <v>862</v>
      </c>
      <c r="H17" s="52" t="s">
        <v>2247</v>
      </c>
      <c r="I17" s="52" t="s">
        <v>70</v>
      </c>
      <c r="J17" s="113">
        <v>1</v>
      </c>
      <c r="K17" s="52">
        <v>4</v>
      </c>
      <c r="L17" s="52" t="s">
        <v>139</v>
      </c>
      <c r="M17" s="52" t="s">
        <v>12</v>
      </c>
      <c r="N17" s="52" t="s">
        <v>14</v>
      </c>
      <c r="O17" s="52" t="s">
        <v>173</v>
      </c>
      <c r="P17" s="52">
        <v>80</v>
      </c>
      <c r="Q17" s="52" t="s">
        <v>242</v>
      </c>
      <c r="R17" s="57" t="s">
        <v>12</v>
      </c>
      <c r="S17" s="52">
        <v>0</v>
      </c>
      <c r="T17" s="52" t="s">
        <v>12</v>
      </c>
      <c r="U17" s="52">
        <v>0</v>
      </c>
      <c r="V17" s="53" t="e">
        <f>VLOOKUP(#REF!,$Z$4:$AA$9,2,0)</f>
        <v>#REF!</v>
      </c>
      <c r="W17" s="53" t="str">
        <f>VLOOKUP(INT(SUBSTITUTE($Q17,"1|","")),[1]Sheet1!$A:$B,2,0)&amp;"碎片"</f>
        <v>鹿力大仙碎片</v>
      </c>
      <c r="X17" s="53" t="e">
        <f>VLOOKUP(#REF!,$Z$4:$AB$9,3,0)</f>
        <v>#REF!</v>
      </c>
      <c r="AD17" s="53" t="str">
        <f>IFERROR(IF($K17&gt;5,"[[1,[48]],[3,[16,5]]]",IF($K17&lt;3,"[[1,[47]]]","[[1,[47]],[3,[2]],"&amp;VLOOKUP($A17,[2]伙伴碎片途径!$A:$E,5,0)&amp;"]")),"[]")</f>
        <v>[[1,[47]],[3,[2]],[2,[10179,10389,10599,10809,11019,11229]]]</v>
      </c>
    </row>
    <row r="18" spans="1:30" x14ac:dyDescent="0.35">
      <c r="A18" s="56">
        <v>10015</v>
      </c>
      <c r="B18" s="56" t="s">
        <v>104</v>
      </c>
      <c r="C18" s="105" t="s">
        <v>2045</v>
      </c>
      <c r="D18" s="52" t="str">
        <f t="shared" si="0"/>
        <v>集齐100个羊力大仙碎片可以合成羊力大仙</v>
      </c>
      <c r="E18" s="88">
        <v>2</v>
      </c>
      <c r="F18" s="52" t="s">
        <v>12</v>
      </c>
      <c r="G18" s="57" t="s">
        <v>862</v>
      </c>
      <c r="H18" s="52" t="s">
        <v>2248</v>
      </c>
      <c r="I18" s="52" t="s">
        <v>70</v>
      </c>
      <c r="J18" s="113">
        <v>1</v>
      </c>
      <c r="K18" s="52">
        <v>5</v>
      </c>
      <c r="L18" s="52" t="s">
        <v>138</v>
      </c>
      <c r="M18" s="52" t="s">
        <v>12</v>
      </c>
      <c r="N18" s="52" t="s">
        <v>14</v>
      </c>
      <c r="O18" s="52" t="s">
        <v>173</v>
      </c>
      <c r="P18" s="52">
        <v>100</v>
      </c>
      <c r="Q18" s="52" t="s">
        <v>243</v>
      </c>
      <c r="R18" s="57" t="s">
        <v>12</v>
      </c>
      <c r="S18" s="52">
        <v>0</v>
      </c>
      <c r="T18" s="52" t="s">
        <v>12</v>
      </c>
      <c r="U18" s="52">
        <v>0</v>
      </c>
      <c r="V18" s="53" t="e">
        <f>VLOOKUP(#REF!,$Z$4:$AA$9,2,0)</f>
        <v>#REF!</v>
      </c>
      <c r="W18" s="53" t="str">
        <f>VLOOKUP(INT(SUBSTITUTE($Q18,"1|","")),[1]Sheet1!$A:$B,2,0)&amp;"碎片"</f>
        <v>羊力大仙碎片</v>
      </c>
      <c r="X18" s="53" t="e">
        <f>VLOOKUP(#REF!,$Z$4:$AB$9,3,0)</f>
        <v>#REF!</v>
      </c>
      <c r="AD18" s="53" t="str">
        <f>IFERROR(IF($K18&gt;5,"[[1,[48]],[3,[16,5]]]",IF($K18&lt;3,"[[1,[47]]]","[[1,[47]],[3,[2]],"&amp;VLOOKUP($A18,[2]伙伴碎片途径!$A:$E,5,0)&amp;"]")),"[]")</f>
        <v>[[1,[47]],[3,[2]],[2,[10150,10300,10450,10600,10750,10900,11050,11200]]]</v>
      </c>
    </row>
    <row r="19" spans="1:30" x14ac:dyDescent="0.35">
      <c r="A19" s="56">
        <v>10016</v>
      </c>
      <c r="B19" s="56" t="s">
        <v>101</v>
      </c>
      <c r="C19" s="105" t="s">
        <v>1794</v>
      </c>
      <c r="D19" s="52" t="str">
        <f t="shared" si="0"/>
        <v>集齐80个白骨夫人碎片可以合成白骨夫人</v>
      </c>
      <c r="E19" s="88">
        <v>2</v>
      </c>
      <c r="F19" s="52" t="s">
        <v>12</v>
      </c>
      <c r="G19" s="57" t="s">
        <v>862</v>
      </c>
      <c r="H19" s="52" t="s">
        <v>2249</v>
      </c>
      <c r="I19" s="52" t="s">
        <v>70</v>
      </c>
      <c r="J19" s="113">
        <v>1</v>
      </c>
      <c r="K19" s="52">
        <v>4</v>
      </c>
      <c r="L19" s="52" t="s">
        <v>140</v>
      </c>
      <c r="M19" s="52" t="s">
        <v>12</v>
      </c>
      <c r="N19" s="52" t="s">
        <v>14</v>
      </c>
      <c r="O19" s="52" t="s">
        <v>173</v>
      </c>
      <c r="P19" s="52">
        <v>80</v>
      </c>
      <c r="Q19" s="52" t="s">
        <v>244</v>
      </c>
      <c r="R19" s="57" t="s">
        <v>12</v>
      </c>
      <c r="S19" s="52">
        <v>0</v>
      </c>
      <c r="T19" s="52" t="s">
        <v>12</v>
      </c>
      <c r="U19" s="52">
        <v>0</v>
      </c>
      <c r="V19" s="53" t="e">
        <f>VLOOKUP(#REF!,$Z$4:$AA$9,2,0)</f>
        <v>#REF!</v>
      </c>
      <c r="W19" s="53" t="str">
        <f>VLOOKUP(INT(SUBSTITUTE($Q19,"1|","")),[1]Sheet1!$A:$B,2,0)&amp;"碎片"</f>
        <v>白骨夫人碎片</v>
      </c>
      <c r="X19" s="53" t="e">
        <f>VLOOKUP(#REF!,$Z$4:$AB$9,3,0)</f>
        <v>#REF!</v>
      </c>
      <c r="AD19" s="53" t="str">
        <f>IFERROR(IF($K19&gt;5,"[[1,[48]],[3,[16,5]]]",IF($K19&lt;3,"[[1,[47]]]","[[1,[47]],[3,[2]],"&amp;VLOOKUP($A19,[2]伙伴碎片途径!$A:$E,5,0)&amp;"]")),"[]")</f>
        <v>[[1,[47]],[3,[2]],[2,[10239,10449,10659,10869,11079,11289]]]</v>
      </c>
    </row>
    <row r="20" spans="1:30" x14ac:dyDescent="0.35">
      <c r="A20" s="56">
        <v>10017</v>
      </c>
      <c r="B20" s="56" t="s">
        <v>100</v>
      </c>
      <c r="C20" s="105" t="s">
        <v>1083</v>
      </c>
      <c r="D20" s="52" t="str">
        <f t="shared" si="0"/>
        <v>集齐80个六耳猕猴碎片可以合成六耳猕猴</v>
      </c>
      <c r="E20" s="88">
        <v>2</v>
      </c>
      <c r="F20" s="52" t="s">
        <v>12</v>
      </c>
      <c r="G20" s="57" t="s">
        <v>862</v>
      </c>
      <c r="H20" s="52" t="s">
        <v>2250</v>
      </c>
      <c r="I20" s="52" t="s">
        <v>70</v>
      </c>
      <c r="J20" s="113">
        <v>1</v>
      </c>
      <c r="K20" s="52">
        <v>4</v>
      </c>
      <c r="L20" s="52" t="s">
        <v>182</v>
      </c>
      <c r="M20" s="52" t="s">
        <v>12</v>
      </c>
      <c r="N20" s="52" t="s">
        <v>14</v>
      </c>
      <c r="O20" s="52" t="s">
        <v>173</v>
      </c>
      <c r="P20" s="52">
        <v>80</v>
      </c>
      <c r="Q20" s="52" t="s">
        <v>245</v>
      </c>
      <c r="R20" s="57" t="s">
        <v>12</v>
      </c>
      <c r="S20" s="52">
        <v>0</v>
      </c>
      <c r="T20" s="52" t="s">
        <v>12</v>
      </c>
      <c r="U20" s="52">
        <v>0</v>
      </c>
      <c r="V20" s="53" t="e">
        <f>VLOOKUP(#REF!,$Z$4:$AA$9,2,0)</f>
        <v>#REF!</v>
      </c>
      <c r="W20" s="53" t="str">
        <f>VLOOKUP(INT(SUBSTITUTE($Q20,"1|","")),[1]Sheet1!$A:$B,2,0)&amp;"碎片"</f>
        <v>六耳猕猴碎片</v>
      </c>
      <c r="X20" s="53" t="e">
        <f>VLOOKUP(#REF!,$Z$4:$AB$9,3,0)</f>
        <v>#REF!</v>
      </c>
      <c r="AD20" s="53" t="str">
        <f>IFERROR(IF($K20&gt;5,"[[1,[48]],[3,[16,5]]]",IF($K20&lt;3,"[[1,[47]]]","[[1,[47]],[3,[2]],"&amp;VLOOKUP($A20,[2]伙伴碎片途径!$A:$E,5,0)&amp;"]")),"[]")</f>
        <v>[[1,[47]],[3,[2]],[2,[10169,10379,10589,10799,11009,11219]]]</v>
      </c>
    </row>
    <row r="21" spans="1:30" x14ac:dyDescent="0.35">
      <c r="A21" s="56">
        <v>10018</v>
      </c>
      <c r="B21" s="56" t="s">
        <v>102</v>
      </c>
      <c r="C21" s="105" t="s">
        <v>1084</v>
      </c>
      <c r="D21" s="52" t="str">
        <f t="shared" si="0"/>
        <v>集齐40个混沌碎片可以合成混沌</v>
      </c>
      <c r="E21" s="88">
        <v>2</v>
      </c>
      <c r="F21" s="52" t="s">
        <v>12</v>
      </c>
      <c r="G21" s="57" t="s">
        <v>862</v>
      </c>
      <c r="H21" s="52" t="s">
        <v>2287</v>
      </c>
      <c r="I21" s="52" t="s">
        <v>70</v>
      </c>
      <c r="J21" s="113">
        <v>1</v>
      </c>
      <c r="K21" s="52">
        <v>3</v>
      </c>
      <c r="L21" s="52" t="s">
        <v>141</v>
      </c>
      <c r="M21" s="52" t="s">
        <v>12</v>
      </c>
      <c r="N21" s="52" t="s">
        <v>14</v>
      </c>
      <c r="O21" s="52" t="s">
        <v>173</v>
      </c>
      <c r="P21" s="52">
        <v>40</v>
      </c>
      <c r="Q21" s="52" t="s">
        <v>246</v>
      </c>
      <c r="R21" s="57" t="s">
        <v>12</v>
      </c>
      <c r="S21" s="52">
        <v>0</v>
      </c>
      <c r="T21" s="52" t="s">
        <v>12</v>
      </c>
      <c r="U21" s="52">
        <v>0</v>
      </c>
      <c r="V21" s="53" t="e">
        <f>VLOOKUP(#REF!,$Z$4:$AA$9,2,0)</f>
        <v>#REF!</v>
      </c>
      <c r="W21" s="53" t="str">
        <f>VLOOKUP(INT(SUBSTITUTE($Q21,"1|","")),[1]Sheet1!$A:$B,2,0)&amp;"碎片"</f>
        <v>混沌碎片</v>
      </c>
      <c r="X21" s="53" t="e">
        <f>VLOOKUP(#REF!,$Z$4:$AB$9,3,0)</f>
        <v>#REF!</v>
      </c>
      <c r="AD21" s="53" t="str">
        <f>IFERROR(IF($K21&gt;5,"[[1,[48]],[3,[16,5]]]",IF($K21&lt;3,"[[1,[47]]]","[[1,[47]],[3,[2]],"&amp;VLOOKUP($A21,[2]伙伴碎片途径!$A:$E,5,0)&amp;"]")),"[]")</f>
        <v>[[1,[47]],[3,[2]],[2,[10039,10106,10286,10466,10646,10826,11006,11186]]]</v>
      </c>
    </row>
    <row r="22" spans="1:30" x14ac:dyDescent="0.35">
      <c r="A22" s="56">
        <v>10019</v>
      </c>
      <c r="B22" s="56" t="s">
        <v>1085</v>
      </c>
      <c r="C22" s="105" t="s">
        <v>2046</v>
      </c>
      <c r="D22" s="52" t="str">
        <f t="shared" si="0"/>
        <v>集齐120个孙悟空碎片可以合成孙悟空</v>
      </c>
      <c r="E22" s="88">
        <v>2</v>
      </c>
      <c r="F22" s="52" t="s">
        <v>12</v>
      </c>
      <c r="G22" s="57" t="s">
        <v>862</v>
      </c>
      <c r="H22" s="52" t="s">
        <v>2320</v>
      </c>
      <c r="I22" s="52" t="s">
        <v>70</v>
      </c>
      <c r="J22" s="113">
        <v>1</v>
      </c>
      <c r="K22" s="52">
        <v>6</v>
      </c>
      <c r="L22" s="52" t="s">
        <v>136</v>
      </c>
      <c r="M22" s="52" t="s">
        <v>12</v>
      </c>
      <c r="N22" s="52" t="s">
        <v>14</v>
      </c>
      <c r="O22" s="52" t="s">
        <v>173</v>
      </c>
      <c r="P22" s="52">
        <v>120</v>
      </c>
      <c r="Q22" s="52" t="s">
        <v>247</v>
      </c>
      <c r="R22" s="57" t="s">
        <v>12</v>
      </c>
      <c r="S22" s="52">
        <v>0</v>
      </c>
      <c r="T22" s="52" t="s">
        <v>12</v>
      </c>
      <c r="U22" s="52">
        <v>0</v>
      </c>
      <c r="V22" s="53" t="e">
        <f>VLOOKUP(#REF!,$Z$4:$AA$9,2,0)</f>
        <v>#REF!</v>
      </c>
      <c r="W22" s="53" t="str">
        <f>VLOOKUP(INT(SUBSTITUTE($Q22,"1|","")),[1]Sheet1!$A:$B,2,0)&amp;"碎片"</f>
        <v>孙悟空碎片</v>
      </c>
      <c r="X22" s="53" t="e">
        <f>VLOOKUP(#REF!,$Z$4:$AB$9,3,0)</f>
        <v>#REF!</v>
      </c>
      <c r="AD22" s="53" t="str">
        <f>IFERROR(IF($K22&gt;5,"[[1,[48]],[3,[16,5]]]",IF($K22&lt;3,"[[1,[47]]]","[[1,[47]],[3,[2]],"&amp;VLOOKUP($A22,[2]伙伴碎片途径!$A:$E,5,0)&amp;"]")),"[]")</f>
        <v>[[1,[48]],[3,[16,5]]]</v>
      </c>
    </row>
    <row r="23" spans="1:30" x14ac:dyDescent="0.35">
      <c r="A23" s="56">
        <v>10020</v>
      </c>
      <c r="B23" s="56" t="s">
        <v>94</v>
      </c>
      <c r="C23" s="105" t="s">
        <v>1087</v>
      </c>
      <c r="D23" s="52" t="str">
        <f t="shared" si="0"/>
        <v>集齐100个猪八戒碎片可以合成猪八戒</v>
      </c>
      <c r="E23" s="88">
        <v>2</v>
      </c>
      <c r="F23" s="52" t="s">
        <v>12</v>
      </c>
      <c r="G23" s="57" t="s">
        <v>862</v>
      </c>
      <c r="H23" s="52" t="s">
        <v>2251</v>
      </c>
      <c r="I23" s="52" t="s">
        <v>70</v>
      </c>
      <c r="J23" s="113">
        <v>1</v>
      </c>
      <c r="K23" s="52">
        <v>5</v>
      </c>
      <c r="L23" s="52" t="s">
        <v>183</v>
      </c>
      <c r="M23" s="52" t="s">
        <v>12</v>
      </c>
      <c r="N23" s="52" t="s">
        <v>14</v>
      </c>
      <c r="O23" s="52" t="s">
        <v>173</v>
      </c>
      <c r="P23" s="52">
        <v>100</v>
      </c>
      <c r="Q23" s="52" t="s">
        <v>248</v>
      </c>
      <c r="R23" s="57" t="s">
        <v>12</v>
      </c>
      <c r="S23" s="52">
        <v>0</v>
      </c>
      <c r="T23" s="52" t="s">
        <v>12</v>
      </c>
      <c r="U23" s="52">
        <v>0</v>
      </c>
      <c r="V23" s="53" t="e">
        <f>VLOOKUP(#REF!,$Z$4:$AA$9,2,0)</f>
        <v>#REF!</v>
      </c>
      <c r="W23" s="53" t="str">
        <f>VLOOKUP(INT(SUBSTITUTE($Q23,"1|","")),[1]Sheet1!$A:$B,2,0)&amp;"碎片"</f>
        <v>猪八戒碎片</v>
      </c>
      <c r="X23" s="53" t="e">
        <f>VLOOKUP(#REF!,$Z$4:$AB$9,3,0)</f>
        <v>#REF!</v>
      </c>
      <c r="AD23" s="53" t="str">
        <f>IFERROR(IF($K23&gt;5,"[[1,[48]],[3,[16,5]]]",IF($K23&lt;3,"[[1,[47]]]","[[1,[47]],[3,[2]],"&amp;VLOOKUP($A23,[2]伙伴碎片途径!$A:$E,5,0)&amp;"]")),"[]")</f>
        <v>[[1,[47]],[3,[2]],[2,[10190,10340,10490,10640,10790,10940,11090,11240]]]</v>
      </c>
    </row>
    <row r="24" spans="1:30" x14ac:dyDescent="0.35">
      <c r="A24" s="56">
        <v>10021</v>
      </c>
      <c r="B24" s="56" t="s">
        <v>97</v>
      </c>
      <c r="C24" s="105" t="s">
        <v>2047</v>
      </c>
      <c r="D24" s="52" t="str">
        <f t="shared" si="0"/>
        <v>集齐120个紫霞仙子碎片可以合成紫霞仙子</v>
      </c>
      <c r="E24" s="88">
        <v>2</v>
      </c>
      <c r="F24" s="52" t="s">
        <v>12</v>
      </c>
      <c r="G24" s="57" t="s">
        <v>862</v>
      </c>
      <c r="H24" s="52" t="s">
        <v>2320</v>
      </c>
      <c r="I24" s="52" t="s">
        <v>70</v>
      </c>
      <c r="J24" s="113">
        <v>1</v>
      </c>
      <c r="K24" s="52">
        <v>6</v>
      </c>
      <c r="L24" s="52" t="s">
        <v>184</v>
      </c>
      <c r="M24" s="52" t="s">
        <v>12</v>
      </c>
      <c r="N24" s="52" t="s">
        <v>14</v>
      </c>
      <c r="O24" s="52" t="s">
        <v>173</v>
      </c>
      <c r="P24" s="52">
        <v>120</v>
      </c>
      <c r="Q24" s="52" t="s">
        <v>249</v>
      </c>
      <c r="R24" s="57" t="s">
        <v>12</v>
      </c>
      <c r="S24" s="52">
        <v>0</v>
      </c>
      <c r="T24" s="52" t="s">
        <v>12</v>
      </c>
      <c r="U24" s="52">
        <v>0</v>
      </c>
      <c r="V24" s="53" t="e">
        <f>VLOOKUP(#REF!,$Z$4:$AA$9,2,0)</f>
        <v>#REF!</v>
      </c>
      <c r="W24" s="53" t="str">
        <f>VLOOKUP(INT(SUBSTITUTE($Q24,"1|","")),[1]Sheet1!$A:$B,2,0)&amp;"碎片"</f>
        <v>紫霞仙子碎片</v>
      </c>
      <c r="X24" s="53" t="e">
        <f>VLOOKUP(#REF!,$Z$4:$AB$9,3,0)</f>
        <v>#REF!</v>
      </c>
      <c r="AD24" s="53" t="str">
        <f>IFERROR(IF($K24&gt;5,"[[1,[48]],[3,[16,5]]]",IF($K24&lt;3,"[[1,[47]]]","[[1,[47]],[3,[2]],"&amp;VLOOKUP($A24,[2]伙伴碎片途径!$A:$E,5,0)&amp;"]")),"[]")</f>
        <v>[[1,[48]],[3,[16,5]]]</v>
      </c>
    </row>
    <row r="25" spans="1:30" x14ac:dyDescent="0.35">
      <c r="A25" s="56">
        <v>10022</v>
      </c>
      <c r="B25" s="56" t="s">
        <v>98</v>
      </c>
      <c r="C25" s="105" t="s">
        <v>1089</v>
      </c>
      <c r="D25" s="52" t="str">
        <f t="shared" si="0"/>
        <v>集齐80个唐三藏碎片可以合成唐三藏</v>
      </c>
      <c r="E25" s="88">
        <v>2</v>
      </c>
      <c r="F25" s="52" t="s">
        <v>12</v>
      </c>
      <c r="G25" s="57" t="s">
        <v>862</v>
      </c>
      <c r="H25" s="52" t="s">
        <v>2288</v>
      </c>
      <c r="I25" s="52" t="s">
        <v>70</v>
      </c>
      <c r="J25" s="113">
        <v>1</v>
      </c>
      <c r="K25" s="52">
        <v>4</v>
      </c>
      <c r="L25" s="52" t="s">
        <v>185</v>
      </c>
      <c r="M25" s="52" t="s">
        <v>12</v>
      </c>
      <c r="N25" s="52" t="s">
        <v>14</v>
      </c>
      <c r="O25" s="52" t="s">
        <v>173</v>
      </c>
      <c r="P25" s="52">
        <v>80</v>
      </c>
      <c r="Q25" s="52" t="s">
        <v>250</v>
      </c>
      <c r="R25" s="57" t="s">
        <v>12</v>
      </c>
      <c r="S25" s="52">
        <v>0</v>
      </c>
      <c r="T25" s="52" t="s">
        <v>12</v>
      </c>
      <c r="U25" s="52">
        <v>0</v>
      </c>
      <c r="V25" s="53" t="e">
        <f>VLOOKUP(#REF!,$Z$4:$AA$9,2,0)</f>
        <v>#REF!</v>
      </c>
      <c r="W25" s="53" t="str">
        <f>VLOOKUP(INT(SUBSTITUTE($Q25,"1|","")),[1]Sheet1!$A:$B,2,0)&amp;"碎片"</f>
        <v>唐三藏碎片</v>
      </c>
      <c r="X25" s="53" t="e">
        <f>VLOOKUP(#REF!,$Z$4:$AB$9,3,0)</f>
        <v>#REF!</v>
      </c>
      <c r="AD25" s="53" t="str">
        <f>IFERROR(IF($K25&gt;5,"[[1,[48]],[3,[16,5]]]",IF($K25&lt;3,"[[1,[47]]]","[[1,[47]],[3,[2]],"&amp;VLOOKUP($A25,[2]伙伴碎片途径!$A:$E,5,0)&amp;"]")),"[]")</f>
        <v>[[1,[47]],[3,[2]],[2,[10100,10309,10519,10729,10939,11149]]]</v>
      </c>
    </row>
    <row r="26" spans="1:30" x14ac:dyDescent="0.35">
      <c r="A26" s="56">
        <v>10023</v>
      </c>
      <c r="B26" s="56" t="s">
        <v>103</v>
      </c>
      <c r="C26" s="105" t="s">
        <v>1090</v>
      </c>
      <c r="D26" s="52" t="str">
        <f t="shared" si="0"/>
        <v>集齐80个小白龙碎片可以合成小白龙</v>
      </c>
      <c r="E26" s="88">
        <v>2</v>
      </c>
      <c r="F26" s="52" t="s">
        <v>12</v>
      </c>
      <c r="G26" s="57" t="s">
        <v>862</v>
      </c>
      <c r="H26" s="52" t="s">
        <v>2252</v>
      </c>
      <c r="I26" s="52" t="s">
        <v>70</v>
      </c>
      <c r="J26" s="113">
        <v>1</v>
      </c>
      <c r="K26" s="52">
        <v>4</v>
      </c>
      <c r="L26" s="52" t="s">
        <v>142</v>
      </c>
      <c r="M26" s="52" t="s">
        <v>12</v>
      </c>
      <c r="N26" s="52" t="s">
        <v>14</v>
      </c>
      <c r="O26" s="52" t="s">
        <v>173</v>
      </c>
      <c r="P26" s="52">
        <v>80</v>
      </c>
      <c r="Q26" s="52" t="s">
        <v>251</v>
      </c>
      <c r="R26" s="57" t="s">
        <v>12</v>
      </c>
      <c r="S26" s="52">
        <v>0</v>
      </c>
      <c r="T26" s="52" t="s">
        <v>12</v>
      </c>
      <c r="U26" s="52">
        <v>0</v>
      </c>
      <c r="V26" s="53" t="e">
        <f>VLOOKUP(#REF!,$Z$4:$AA$9,2,0)</f>
        <v>#REF!</v>
      </c>
      <c r="W26" s="53" t="str">
        <f>VLOOKUP(INT(SUBSTITUTE($Q26,"1|","")),[1]Sheet1!$A:$B,2,0)&amp;"碎片"</f>
        <v>小白龙碎片</v>
      </c>
      <c r="X26" s="53" t="e">
        <f>VLOOKUP(#REF!,$Z$4:$AB$9,3,0)</f>
        <v>#REF!</v>
      </c>
      <c r="AD26" s="53" t="str">
        <f>IFERROR(IF($K26&gt;5,"[[1,[48]],[3,[16,5]]]",IF($K26&lt;3,"[[1,[47]]]","[[1,[47]],[3,[2]],"&amp;VLOOKUP($A26,[2]伙伴碎片途径!$A:$E,5,0)&amp;"]")),"[]")</f>
        <v>[[1,[47]],[3,[2]],[2,[10159,10369,10579,10789,10999,11209]]]</v>
      </c>
    </row>
    <row r="27" spans="1:30" x14ac:dyDescent="0.35">
      <c r="A27" s="56">
        <v>10024</v>
      </c>
      <c r="B27" s="56" t="s">
        <v>99</v>
      </c>
      <c r="C27" s="105" t="s">
        <v>2048</v>
      </c>
      <c r="D27" s="52" t="str">
        <f t="shared" si="0"/>
        <v>集齐120个沙和尚碎片可以合成沙和尚</v>
      </c>
      <c r="E27" s="88">
        <v>2</v>
      </c>
      <c r="F27" s="52" t="s">
        <v>12</v>
      </c>
      <c r="G27" s="57" t="s">
        <v>862</v>
      </c>
      <c r="H27" s="52" t="s">
        <v>2320</v>
      </c>
      <c r="I27" s="52" t="s">
        <v>70</v>
      </c>
      <c r="J27" s="113">
        <v>1</v>
      </c>
      <c r="K27" s="52">
        <v>6</v>
      </c>
      <c r="L27" s="52" t="s">
        <v>186</v>
      </c>
      <c r="M27" s="52" t="s">
        <v>12</v>
      </c>
      <c r="N27" s="52" t="s">
        <v>14</v>
      </c>
      <c r="O27" s="52" t="s">
        <v>173</v>
      </c>
      <c r="P27" s="52">
        <v>120</v>
      </c>
      <c r="Q27" s="52" t="s">
        <v>252</v>
      </c>
      <c r="R27" s="57" t="s">
        <v>12</v>
      </c>
      <c r="S27" s="52">
        <v>0</v>
      </c>
      <c r="T27" s="52" t="s">
        <v>12</v>
      </c>
      <c r="U27" s="52">
        <v>0</v>
      </c>
      <c r="V27" s="53" t="e">
        <f>VLOOKUP(#REF!,$Z$4:$AA$9,2,0)</f>
        <v>#REF!</v>
      </c>
      <c r="W27" s="53" t="str">
        <f>VLOOKUP(INT(SUBSTITUTE($Q27,"1|","")),[1]Sheet1!$A:$B,2,0)&amp;"碎片"</f>
        <v>沙和尚碎片</v>
      </c>
      <c r="X27" s="53" t="e">
        <f>VLOOKUP(#REF!,$Z$4:$AB$9,3,0)</f>
        <v>#REF!</v>
      </c>
      <c r="AD27" s="53" t="str">
        <f>IFERROR(IF($K27&gt;5,"[[1,[48]],[3,[16,5]]]",IF($K27&lt;3,"[[1,[47]]]","[[1,[47]],[3,[2]],"&amp;VLOOKUP($A27,[2]伙伴碎片途径!$A:$E,5,0)&amp;"]")),"[]")</f>
        <v>[[1,[48]],[3,[16,5]]]</v>
      </c>
    </row>
    <row r="28" spans="1:30" x14ac:dyDescent="0.35">
      <c r="A28" s="56">
        <v>10025</v>
      </c>
      <c r="B28" s="56" t="s">
        <v>187</v>
      </c>
      <c r="C28" s="105" t="s">
        <v>1092</v>
      </c>
      <c r="D28" s="52" t="str">
        <f t="shared" si="0"/>
        <v>集齐80个迦叶碎片可以合成迦叶</v>
      </c>
      <c r="E28" s="88">
        <v>2</v>
      </c>
      <c r="F28" s="52" t="s">
        <v>12</v>
      </c>
      <c r="G28" s="57" t="s">
        <v>862</v>
      </c>
      <c r="H28" s="52" t="s">
        <v>2253</v>
      </c>
      <c r="I28" s="52" t="s">
        <v>70</v>
      </c>
      <c r="J28" s="113">
        <v>1</v>
      </c>
      <c r="K28" s="52">
        <v>4</v>
      </c>
      <c r="L28" s="52" t="s">
        <v>188</v>
      </c>
      <c r="M28" s="52" t="s">
        <v>12</v>
      </c>
      <c r="N28" s="52" t="s">
        <v>14</v>
      </c>
      <c r="O28" s="52" t="s">
        <v>173</v>
      </c>
      <c r="P28" s="52">
        <v>80</v>
      </c>
      <c r="Q28" s="52" t="s">
        <v>253</v>
      </c>
      <c r="R28" s="57" t="s">
        <v>12</v>
      </c>
      <c r="S28" s="52">
        <v>0</v>
      </c>
      <c r="T28" s="52" t="s">
        <v>12</v>
      </c>
      <c r="U28" s="52">
        <v>0</v>
      </c>
      <c r="V28" s="53" t="e">
        <f>VLOOKUP(#REF!,$Z$4:$AA$9,2,0)</f>
        <v>#REF!</v>
      </c>
      <c r="W28" s="53" t="str">
        <f>VLOOKUP(INT(SUBSTITUTE($Q28,"1|","")),[1]Sheet1!$A:$B,2,0)&amp;"碎片"</f>
        <v>迦叶碎片</v>
      </c>
      <c r="X28" s="53" t="e">
        <f>VLOOKUP(#REF!,$Z$4:$AB$9,3,0)</f>
        <v>#REF!</v>
      </c>
      <c r="AD28" s="53" t="str">
        <f>IFERROR(IF($K28&gt;5,"[[1,[48]],[3,[16,5]]]",IF($K28&lt;3,"[[1,[47]]]","[[1,[47]],[3,[2]],"&amp;VLOOKUP($A28,[2]伙伴碎片途径!$A:$E,5,0)&amp;"]")),"[]")</f>
        <v>[[1,[47]],[3,[2]],[2,[10189,10399,10609,10819,11029,11239]]]</v>
      </c>
    </row>
    <row r="29" spans="1:30" x14ac:dyDescent="0.35">
      <c r="A29" s="56">
        <v>10026</v>
      </c>
      <c r="B29" s="56" t="s">
        <v>189</v>
      </c>
      <c r="C29" s="105" t="s">
        <v>1795</v>
      </c>
      <c r="D29" s="52" t="str">
        <f t="shared" si="0"/>
        <v>集齐80个文殊菩萨碎片可以合成文殊菩萨</v>
      </c>
      <c r="E29" s="88">
        <v>2</v>
      </c>
      <c r="F29" s="52" t="s">
        <v>12</v>
      </c>
      <c r="G29" s="57" t="s">
        <v>862</v>
      </c>
      <c r="H29" s="52" t="s">
        <v>2289</v>
      </c>
      <c r="I29" s="52" t="s">
        <v>70</v>
      </c>
      <c r="J29" s="113">
        <v>1</v>
      </c>
      <c r="K29" s="52">
        <v>4</v>
      </c>
      <c r="L29" s="52" t="s">
        <v>190</v>
      </c>
      <c r="M29" s="52" t="s">
        <v>12</v>
      </c>
      <c r="N29" s="52" t="s">
        <v>14</v>
      </c>
      <c r="O29" s="52" t="s">
        <v>173</v>
      </c>
      <c r="P29" s="52">
        <v>80</v>
      </c>
      <c r="Q29" s="52" t="s">
        <v>254</v>
      </c>
      <c r="R29" s="57" t="s">
        <v>12</v>
      </c>
      <c r="S29" s="52">
        <v>0</v>
      </c>
      <c r="T29" s="52" t="s">
        <v>12</v>
      </c>
      <c r="U29" s="52">
        <v>0</v>
      </c>
      <c r="V29" s="53" t="e">
        <f>VLOOKUP(#REF!,$Z$4:$AA$9,2,0)</f>
        <v>#REF!</v>
      </c>
      <c r="W29" s="53" t="str">
        <f>VLOOKUP(INT(SUBSTITUTE($Q29,"1|","")),[1]Sheet1!$A:$B,2,0)&amp;"碎片"</f>
        <v>文殊菩萨碎片</v>
      </c>
      <c r="X29" s="53" t="e">
        <f>VLOOKUP(#REF!,$Z$4:$AB$9,3,0)</f>
        <v>#REF!</v>
      </c>
      <c r="AD29" s="53" t="str">
        <f>IFERROR(IF($K29&gt;5,"[[1,[48]],[3,[16,5]]]",IF($K29&lt;3,"[[1,[47]]]","[[1,[47]],[3,[2]],"&amp;VLOOKUP($A29,[2]伙伴碎片途径!$A:$E,5,0)&amp;"]")),"[]")</f>
        <v>[[1,[47]],[3,[2]],[2,[10060,10269,10479,10689,10899,11109,11319]]]</v>
      </c>
    </row>
    <row r="30" spans="1:30" x14ac:dyDescent="0.35">
      <c r="A30" s="56">
        <v>10027</v>
      </c>
      <c r="B30" s="56" t="s">
        <v>191</v>
      </c>
      <c r="C30" s="105" t="s">
        <v>1094</v>
      </c>
      <c r="D30" s="52" t="str">
        <f t="shared" si="0"/>
        <v>集齐100个弥勒佛碎片可以合成弥勒佛</v>
      </c>
      <c r="E30" s="88">
        <v>2</v>
      </c>
      <c r="F30" s="52" t="s">
        <v>12</v>
      </c>
      <c r="G30" s="57" t="s">
        <v>862</v>
      </c>
      <c r="H30" s="52" t="s">
        <v>2254</v>
      </c>
      <c r="I30" s="52" t="s">
        <v>70</v>
      </c>
      <c r="J30" s="113">
        <v>1</v>
      </c>
      <c r="K30" s="52">
        <v>5</v>
      </c>
      <c r="L30" s="52" t="s">
        <v>192</v>
      </c>
      <c r="M30" s="52" t="s">
        <v>12</v>
      </c>
      <c r="N30" s="52" t="s">
        <v>14</v>
      </c>
      <c r="O30" s="52" t="s">
        <v>173</v>
      </c>
      <c r="P30" s="52">
        <v>100</v>
      </c>
      <c r="Q30" s="52" t="s">
        <v>255</v>
      </c>
      <c r="R30" s="57" t="s">
        <v>12</v>
      </c>
      <c r="S30" s="52">
        <v>0</v>
      </c>
      <c r="T30" s="52" t="s">
        <v>12</v>
      </c>
      <c r="U30" s="52">
        <v>0</v>
      </c>
      <c r="V30" s="53" t="e">
        <f>VLOOKUP(#REF!,$Z$4:$AA$9,2,0)</f>
        <v>#REF!</v>
      </c>
      <c r="W30" s="53" t="str">
        <f>VLOOKUP(INT(SUBSTITUTE($Q30,"1|","")),[1]Sheet1!$A:$B,2,0)&amp;"碎片"</f>
        <v>弥勒佛碎片</v>
      </c>
      <c r="X30" s="53" t="e">
        <f>VLOOKUP(#REF!,$Z$4:$AB$9,3,0)</f>
        <v>#REF!</v>
      </c>
      <c r="AD30" s="53" t="str">
        <f>IFERROR(IF($K30&gt;5,"[[1,[48]],[3,[16,5]]]",IF($K30&lt;3,"[[1,[47]]]","[[1,[47]],[3,[2]],"&amp;VLOOKUP($A30,[2]伙伴碎片途径!$A:$E,5,0)&amp;"]")),"[]")</f>
        <v>[[1,[47]],[3,[2]],[2,[10220,10370,10520,10670,10820,10970,11120,11270]]]</v>
      </c>
    </row>
    <row r="31" spans="1:30" x14ac:dyDescent="0.35">
      <c r="A31" s="56">
        <v>10028</v>
      </c>
      <c r="B31" s="56" t="s">
        <v>109</v>
      </c>
      <c r="C31" s="105" t="s">
        <v>1095</v>
      </c>
      <c r="D31" s="52" t="str">
        <f t="shared" si="0"/>
        <v>集齐40个赛太岁碎片可以合成赛太岁</v>
      </c>
      <c r="E31" s="88">
        <v>2</v>
      </c>
      <c r="F31" s="52" t="s">
        <v>12</v>
      </c>
      <c r="G31" s="57" t="s">
        <v>862</v>
      </c>
      <c r="H31" s="52" t="s">
        <v>2255</v>
      </c>
      <c r="I31" s="52" t="s">
        <v>70</v>
      </c>
      <c r="J31" s="113">
        <v>1</v>
      </c>
      <c r="K31" s="52">
        <v>3</v>
      </c>
      <c r="L31" s="52" t="s">
        <v>987</v>
      </c>
      <c r="M31" s="52" t="s">
        <v>12</v>
      </c>
      <c r="N31" s="52" t="s">
        <v>14</v>
      </c>
      <c r="O31" s="52" t="s">
        <v>173</v>
      </c>
      <c r="P31" s="52">
        <v>40</v>
      </c>
      <c r="Q31" s="52" t="s">
        <v>256</v>
      </c>
      <c r="R31" s="57" t="s">
        <v>12</v>
      </c>
      <c r="S31" s="52">
        <v>0</v>
      </c>
      <c r="T31" s="52" t="s">
        <v>12</v>
      </c>
      <c r="U31" s="52">
        <v>0</v>
      </c>
      <c r="V31" s="53" t="e">
        <f>VLOOKUP(#REF!,$Z$4:$AA$9,2,0)</f>
        <v>#REF!</v>
      </c>
      <c r="W31" s="53" t="str">
        <f>VLOOKUP(INT(SUBSTITUTE($Q31,"1|","")),[1]Sheet1!$A:$B,2,0)&amp;"碎片"</f>
        <v>赛太岁碎片</v>
      </c>
      <c r="X31" s="53" t="e">
        <f>VLOOKUP(#REF!,$Z$4:$AB$9,3,0)</f>
        <v>#REF!</v>
      </c>
      <c r="AD31" s="53" t="str">
        <f>IFERROR(IF($K31&gt;5,"[[1,[48]],[3,[16,5]]]",IF($K31&lt;3,"[[1,[47]]]","[[1,[47]],[3,[2]],"&amp;VLOOKUP($A31,[2]伙伴碎片途径!$A:$E,5,0)&amp;"]")),"[]")</f>
        <v>[[1,[47]],[3,[2]],[2,[10196,10376,10556,10736,10916,11096,11276]]]</v>
      </c>
    </row>
    <row r="32" spans="1:30" x14ac:dyDescent="0.35">
      <c r="A32" s="56">
        <v>10030</v>
      </c>
      <c r="B32" s="56" t="s">
        <v>111</v>
      </c>
      <c r="C32" s="105" t="s">
        <v>1096</v>
      </c>
      <c r="D32" s="52" t="str">
        <f t="shared" si="0"/>
        <v>集齐40个地藏王碎片可以合成地藏王</v>
      </c>
      <c r="E32" s="88">
        <v>2</v>
      </c>
      <c r="F32" s="52" t="s">
        <v>12</v>
      </c>
      <c r="G32" s="57" t="s">
        <v>862</v>
      </c>
      <c r="H32" s="52" t="s">
        <v>2290</v>
      </c>
      <c r="I32" s="52" t="s">
        <v>70</v>
      </c>
      <c r="J32" s="113">
        <v>1</v>
      </c>
      <c r="K32" s="52">
        <v>3</v>
      </c>
      <c r="L32" s="52" t="s">
        <v>129</v>
      </c>
      <c r="M32" s="52" t="s">
        <v>12</v>
      </c>
      <c r="N32" s="52" t="s">
        <v>14</v>
      </c>
      <c r="O32" s="52" t="s">
        <v>173</v>
      </c>
      <c r="P32" s="52">
        <v>40</v>
      </c>
      <c r="Q32" s="52" t="s">
        <v>257</v>
      </c>
      <c r="R32" s="57" t="s">
        <v>12</v>
      </c>
      <c r="S32" s="52">
        <v>0</v>
      </c>
      <c r="T32" s="52" t="s">
        <v>12</v>
      </c>
      <c r="U32" s="52">
        <v>0</v>
      </c>
      <c r="V32" s="53" t="e">
        <f>VLOOKUP(#REF!,$Z$4:$AA$9,2,0)</f>
        <v>#REF!</v>
      </c>
      <c r="W32" s="53" t="str">
        <f>VLOOKUP(INT(SUBSTITUTE($Q32,"1|","")),[1]Sheet1!$A:$B,2,0)&amp;"碎片"</f>
        <v>地藏王碎片</v>
      </c>
      <c r="X32" s="53" t="e">
        <f>VLOOKUP(#REF!,$Z$4:$AB$9,3,0)</f>
        <v>#REF!</v>
      </c>
      <c r="AD32" s="53" t="str">
        <f>IFERROR(IF($K32&gt;5,"[[1,[48]],[3,[16,5]]]",IF($K32&lt;3,"[[1,[47]]]","[[1,[47]],[3,[2]],"&amp;VLOOKUP($A32,[2]伙伴碎片途径!$A:$E,5,0)&amp;"]")),"[]")</f>
        <v>[[1,[47]],[3,[2]],[2,[10028,10096,10276,10456,10636,10816,10996,11176]]]</v>
      </c>
    </row>
    <row r="33" spans="1:30" x14ac:dyDescent="0.35">
      <c r="A33" s="56">
        <v>10031</v>
      </c>
      <c r="B33" s="56" t="s">
        <v>112</v>
      </c>
      <c r="C33" s="105" t="s">
        <v>1097</v>
      </c>
      <c r="D33" s="52" t="str">
        <f t="shared" si="0"/>
        <v>集齐80个蝎子精碎片可以合成蝎子精</v>
      </c>
      <c r="E33" s="88">
        <v>2</v>
      </c>
      <c r="F33" s="52" t="s">
        <v>12</v>
      </c>
      <c r="G33" s="57" t="s">
        <v>862</v>
      </c>
      <c r="H33" s="52" t="s">
        <v>2291</v>
      </c>
      <c r="I33" s="52" t="s">
        <v>70</v>
      </c>
      <c r="J33" s="113">
        <v>1</v>
      </c>
      <c r="K33" s="52">
        <v>4</v>
      </c>
      <c r="L33" s="52" t="s">
        <v>144</v>
      </c>
      <c r="M33" s="52" t="s">
        <v>12</v>
      </c>
      <c r="N33" s="52" t="s">
        <v>14</v>
      </c>
      <c r="O33" s="52" t="s">
        <v>173</v>
      </c>
      <c r="P33" s="52">
        <v>80</v>
      </c>
      <c r="Q33" s="52" t="s">
        <v>258</v>
      </c>
      <c r="R33" s="57" t="s">
        <v>12</v>
      </c>
      <c r="S33" s="52">
        <v>0</v>
      </c>
      <c r="T33" s="52" t="s">
        <v>12</v>
      </c>
      <c r="U33" s="52">
        <v>0</v>
      </c>
      <c r="V33" s="53" t="e">
        <f>VLOOKUP(#REF!,$Z$4:$AA$9,2,0)</f>
        <v>#REF!</v>
      </c>
      <c r="W33" s="53" t="str">
        <f>VLOOKUP(INT(SUBSTITUTE($Q33,"1|","")),[1]Sheet1!$A:$B,2,0)&amp;"碎片"</f>
        <v>蝎子精碎片</v>
      </c>
      <c r="X33" s="53" t="e">
        <f>VLOOKUP(#REF!,$Z$4:$AB$9,3,0)</f>
        <v>#REF!</v>
      </c>
      <c r="AD33" s="53" t="str">
        <f>IFERROR(IF($K33&gt;5,"[[1,[48]],[3,[16,5]]]",IF($K33&lt;3,"[[1,[47]]]","[[1,[47]],[3,[2]],"&amp;VLOOKUP($A33,[2]伙伴碎片途径!$A:$E,5,0)&amp;"]")),"[]")</f>
        <v>[[1,[47]],[3,[2]],[2,[10070,10279,10489,10699,10909,11119]]]</v>
      </c>
    </row>
    <row r="34" spans="1:30" x14ac:dyDescent="0.35">
      <c r="A34" s="56">
        <v>10032</v>
      </c>
      <c r="B34" s="56" t="s">
        <v>113</v>
      </c>
      <c r="C34" s="105" t="s">
        <v>1098</v>
      </c>
      <c r="D34" s="52" t="str">
        <f t="shared" si="0"/>
        <v>集齐80个混世魔王碎片可以合成混世魔王</v>
      </c>
      <c r="E34" s="88">
        <v>2</v>
      </c>
      <c r="F34" s="52" t="s">
        <v>12</v>
      </c>
      <c r="G34" s="57" t="s">
        <v>862</v>
      </c>
      <c r="H34" s="52" t="s">
        <v>2256</v>
      </c>
      <c r="I34" s="52" t="s">
        <v>70</v>
      </c>
      <c r="J34" s="113">
        <v>1</v>
      </c>
      <c r="K34" s="52">
        <v>4</v>
      </c>
      <c r="L34" s="52" t="s">
        <v>130</v>
      </c>
      <c r="M34" s="52" t="s">
        <v>12</v>
      </c>
      <c r="N34" s="52" t="s">
        <v>14</v>
      </c>
      <c r="O34" s="52" t="s">
        <v>173</v>
      </c>
      <c r="P34" s="52">
        <v>80</v>
      </c>
      <c r="Q34" s="52" t="s">
        <v>259</v>
      </c>
      <c r="R34" s="57" t="s">
        <v>12</v>
      </c>
      <c r="S34" s="52">
        <v>0</v>
      </c>
      <c r="T34" s="52" t="s">
        <v>12</v>
      </c>
      <c r="U34" s="52">
        <v>0</v>
      </c>
      <c r="V34" s="53" t="e">
        <f>VLOOKUP(#REF!,$Z$4:$AA$9,2,0)</f>
        <v>#REF!</v>
      </c>
      <c r="W34" s="53" t="str">
        <f>VLOOKUP(INT(SUBSTITUTE($Q34,"1|","")),[1]Sheet1!$A:$B,2,0)&amp;"碎片"</f>
        <v>混世魔王碎片</v>
      </c>
      <c r="X34" s="53" t="e">
        <f>VLOOKUP(#REF!,$Z$4:$AB$9,3,0)</f>
        <v>#REF!</v>
      </c>
      <c r="AD34" s="53" t="str">
        <f>IFERROR(IF($K34&gt;5,"[[1,[48]],[3,[16,5]]]",IF($K34&lt;3,"[[1,[47]]]","[[1,[47]],[3,[2]],"&amp;VLOOKUP($A34,[2]伙伴碎片途径!$A:$E,5,0)&amp;"]")),"[]")</f>
        <v>[[1,[47]],[3,[2]],[2,[10209,10419,10629,10839,11049,11259]]]</v>
      </c>
    </row>
    <row r="35" spans="1:30" x14ac:dyDescent="0.35">
      <c r="A35" s="56">
        <v>10033</v>
      </c>
      <c r="B35" s="56" t="s">
        <v>114</v>
      </c>
      <c r="C35" s="105" t="s">
        <v>1099</v>
      </c>
      <c r="D35" s="52" t="str">
        <f t="shared" si="0"/>
        <v>集齐40个雷公碎片可以合成雷公</v>
      </c>
      <c r="E35" s="88">
        <v>2</v>
      </c>
      <c r="F35" s="52" t="s">
        <v>12</v>
      </c>
      <c r="G35" s="57" t="s">
        <v>862</v>
      </c>
      <c r="H35" s="52" t="s">
        <v>2292</v>
      </c>
      <c r="I35" s="52" t="s">
        <v>70</v>
      </c>
      <c r="J35" s="113">
        <v>1</v>
      </c>
      <c r="K35" s="52">
        <v>3</v>
      </c>
      <c r="L35" s="52" t="s">
        <v>145</v>
      </c>
      <c r="M35" s="52" t="s">
        <v>12</v>
      </c>
      <c r="N35" s="52" t="s">
        <v>14</v>
      </c>
      <c r="O35" s="52" t="s">
        <v>173</v>
      </c>
      <c r="P35" s="52">
        <v>40</v>
      </c>
      <c r="Q35" s="52" t="s">
        <v>260</v>
      </c>
      <c r="R35" s="57" t="s">
        <v>12</v>
      </c>
      <c r="S35" s="52">
        <v>0</v>
      </c>
      <c r="T35" s="52" t="s">
        <v>12</v>
      </c>
      <c r="U35" s="52">
        <v>0</v>
      </c>
      <c r="V35" s="53" t="e">
        <f>VLOOKUP(#REF!,$Z$4:$AA$9,2,0)</f>
        <v>#REF!</v>
      </c>
      <c r="W35" s="53" t="str">
        <f>VLOOKUP(INT(SUBSTITUTE($Q35,"1|","")),[1]Sheet1!$A:$B,2,0)&amp;"碎片"</f>
        <v>雷公碎片</v>
      </c>
      <c r="X35" s="53" t="e">
        <f>VLOOKUP(#REF!,$Z$4:$AB$9,3,0)</f>
        <v>#REF!</v>
      </c>
      <c r="AD35" s="53" t="str">
        <f>IFERROR(IF($K35&gt;5,"[[1,[48]],[3,[16,5]]]",IF($K35&lt;3,"[[1,[47]]]","[[1,[47]],[3,[2]],"&amp;VLOOKUP($A35,[2]伙伴碎片途径!$A:$E,5,0)&amp;"]")),"[]")</f>
        <v>[[1,[47]],[3,[2]],[2,[10119,10186,10366,10546,10726,10906,11086,11266]]]</v>
      </c>
    </row>
    <row r="36" spans="1:30" x14ac:dyDescent="0.35">
      <c r="A36" s="56">
        <v>10034</v>
      </c>
      <c r="B36" s="56" t="s">
        <v>438</v>
      </c>
      <c r="C36" s="105" t="s">
        <v>1100</v>
      </c>
      <c r="D36" s="52" t="str">
        <f t="shared" ref="D36:D67" si="1">"集齐"&amp;P36&amp;MID(C36,SEARCH("个",C36,1),100)</f>
        <v>集齐40个泾河龙王碎片可以合成泾河龙王</v>
      </c>
      <c r="E36" s="88">
        <v>2</v>
      </c>
      <c r="F36" s="52" t="s">
        <v>12</v>
      </c>
      <c r="G36" s="57" t="s">
        <v>862</v>
      </c>
      <c r="H36" s="52" t="s">
        <v>2257</v>
      </c>
      <c r="I36" s="52" t="s">
        <v>70</v>
      </c>
      <c r="J36" s="113">
        <v>1</v>
      </c>
      <c r="K36" s="52">
        <v>3</v>
      </c>
      <c r="L36" s="52" t="s">
        <v>131</v>
      </c>
      <c r="M36" s="52" t="s">
        <v>12</v>
      </c>
      <c r="N36" s="52" t="s">
        <v>14</v>
      </c>
      <c r="O36" s="52" t="s">
        <v>173</v>
      </c>
      <c r="P36" s="52">
        <v>40</v>
      </c>
      <c r="Q36" s="52" t="s">
        <v>261</v>
      </c>
      <c r="R36" s="57" t="s">
        <v>12</v>
      </c>
      <c r="S36" s="52">
        <v>0</v>
      </c>
      <c r="T36" s="52" t="s">
        <v>12</v>
      </c>
      <c r="U36" s="52">
        <v>0</v>
      </c>
      <c r="V36" s="53" t="e">
        <f>VLOOKUP(#REF!,$Z$4:$AA$9,2,0)</f>
        <v>#REF!</v>
      </c>
      <c r="W36" s="53" t="str">
        <f>VLOOKUP(INT(SUBSTITUTE($Q36,"1|","")),[1]Sheet1!$A:$B,2,0)&amp;"碎片"</f>
        <v>泾河龙王碎片</v>
      </c>
      <c r="X36" s="53" t="e">
        <f>VLOOKUP(#REF!,$Z$4:$AB$9,3,0)</f>
        <v>#REF!</v>
      </c>
      <c r="AD36" s="53" t="str">
        <f>IFERROR(IF($K36&gt;5,"[[1,[48]],[3,[16,5]]]",IF($K36&lt;3,"[[1,[47]]]","[[1,[47]],[3,[2]],"&amp;VLOOKUP($A36,[2]伙伴碎片途径!$A:$E,5,0)&amp;"]")),"[]")</f>
        <v>[[1,[47]],[3,[2]],[2,[10086,10266,10446,10626,10806,10986,11166]]]</v>
      </c>
    </row>
    <row r="37" spans="1:30" x14ac:dyDescent="0.35">
      <c r="A37" s="56">
        <v>10035</v>
      </c>
      <c r="B37" s="56" t="s">
        <v>115</v>
      </c>
      <c r="C37" s="105" t="s">
        <v>1101</v>
      </c>
      <c r="D37" s="52" t="str">
        <f t="shared" si="1"/>
        <v>集齐80个东海龙王碎片可以合成东海龙王</v>
      </c>
      <c r="E37" s="88">
        <v>2</v>
      </c>
      <c r="F37" s="52" t="s">
        <v>12</v>
      </c>
      <c r="G37" s="57" t="s">
        <v>862</v>
      </c>
      <c r="H37" s="52" t="s">
        <v>2258</v>
      </c>
      <c r="I37" s="52" t="s">
        <v>70</v>
      </c>
      <c r="J37" s="113">
        <v>1</v>
      </c>
      <c r="K37" s="52">
        <v>4</v>
      </c>
      <c r="L37" s="52" t="s">
        <v>146</v>
      </c>
      <c r="M37" s="52" t="s">
        <v>12</v>
      </c>
      <c r="N37" s="52" t="s">
        <v>14</v>
      </c>
      <c r="O37" s="52" t="s">
        <v>173</v>
      </c>
      <c r="P37" s="52">
        <v>80</v>
      </c>
      <c r="Q37" s="52" t="s">
        <v>262</v>
      </c>
      <c r="R37" s="57" t="s">
        <v>12</v>
      </c>
      <c r="S37" s="52">
        <v>0</v>
      </c>
      <c r="T37" s="52" t="s">
        <v>12</v>
      </c>
      <c r="U37" s="52">
        <v>0</v>
      </c>
      <c r="V37" s="53" t="e">
        <f>VLOOKUP(#REF!,$Z$4:$AA$9,2,0)</f>
        <v>#REF!</v>
      </c>
      <c r="W37" s="53" t="str">
        <f>VLOOKUP(INT(SUBSTITUTE($Q37,"1|","")),[1]Sheet1!$A:$B,2,0)&amp;"碎片"</f>
        <v>东海龙王碎片</v>
      </c>
      <c r="X37" s="53" t="e">
        <f>VLOOKUP(#REF!,$Z$4:$AB$9,3,0)</f>
        <v>#REF!</v>
      </c>
      <c r="AD37" s="53" t="str">
        <f>IFERROR(IF($K37&gt;5,"[[1,[48]],[3,[16,5]]]",IF($K37&lt;3,"[[1,[47]]]","[[1,[47]],[3,[2]],"&amp;VLOOKUP($A37,[2]伙伴碎片途径!$A:$E,5,0)&amp;"]")),"[]")</f>
        <v>[[1,[47]],[3,[2]],[2,[10219,10429,10639,10849,11059,11269]]]</v>
      </c>
    </row>
    <row r="38" spans="1:30" x14ac:dyDescent="0.35">
      <c r="A38" s="56">
        <v>10036</v>
      </c>
      <c r="B38" s="56" t="s">
        <v>116</v>
      </c>
      <c r="C38" s="105" t="s">
        <v>1102</v>
      </c>
      <c r="D38" s="52" t="str">
        <f t="shared" si="1"/>
        <v>集齐40个白龙公主碎片可以合成白龙公主</v>
      </c>
      <c r="E38" s="88">
        <v>2</v>
      </c>
      <c r="F38" s="52" t="s">
        <v>12</v>
      </c>
      <c r="G38" s="57" t="s">
        <v>862</v>
      </c>
      <c r="H38" s="52" t="s">
        <v>2293</v>
      </c>
      <c r="I38" s="52" t="s">
        <v>70</v>
      </c>
      <c r="J38" s="113">
        <v>1</v>
      </c>
      <c r="K38" s="52">
        <v>3</v>
      </c>
      <c r="L38" s="52" t="s">
        <v>126</v>
      </c>
      <c r="M38" s="52" t="s">
        <v>12</v>
      </c>
      <c r="N38" s="52" t="s">
        <v>14</v>
      </c>
      <c r="O38" s="52" t="s">
        <v>173</v>
      </c>
      <c r="P38" s="52">
        <v>40</v>
      </c>
      <c r="Q38" s="52" t="s">
        <v>263</v>
      </c>
      <c r="R38" s="57" t="s">
        <v>12</v>
      </c>
      <c r="S38" s="52">
        <v>0</v>
      </c>
      <c r="T38" s="52" t="s">
        <v>12</v>
      </c>
      <c r="U38" s="52">
        <v>0</v>
      </c>
      <c r="V38" s="53" t="e">
        <f>VLOOKUP(#REF!,$Z$4:$AA$9,2,0)</f>
        <v>#REF!</v>
      </c>
      <c r="W38" s="53" t="str">
        <f>VLOOKUP(INT(SUBSTITUTE($Q38,"1|","")),[1]Sheet1!$A:$B,2,0)&amp;"碎片"</f>
        <v>白龙公主碎片</v>
      </c>
      <c r="X38" s="53" t="e">
        <f>VLOOKUP(#REF!,$Z$4:$AB$9,3,0)</f>
        <v>#REF!</v>
      </c>
      <c r="AD38" s="53" t="str">
        <f>IFERROR(IF($K38&gt;5,"[[1,[48]],[3,[16,5]]]",IF($K38&lt;3,"[[1,[47]]]","[[1,[47]],[3,[2]],"&amp;VLOOKUP($A38,[2]伙伴碎片途径!$A:$E,5,0)&amp;"]")),"[]")</f>
        <v>[[1,[47]],[3,[2]],[2,[10109,10176,10356,10536,10716,10896,11076,11256]]]</v>
      </c>
    </row>
    <row r="39" spans="1:30" x14ac:dyDescent="0.35">
      <c r="A39" s="56">
        <v>10037</v>
      </c>
      <c r="B39" s="56" t="s">
        <v>193</v>
      </c>
      <c r="C39" s="105" t="s">
        <v>1103</v>
      </c>
      <c r="D39" s="52" t="str">
        <f t="shared" si="1"/>
        <v>集齐80个蜘蛛精碎片可以合成蜘蛛精</v>
      </c>
      <c r="E39" s="88">
        <v>2</v>
      </c>
      <c r="F39" s="52" t="s">
        <v>12</v>
      </c>
      <c r="G39" s="57" t="s">
        <v>862</v>
      </c>
      <c r="H39" s="52" t="s">
        <v>2259</v>
      </c>
      <c r="I39" s="52" t="s">
        <v>70</v>
      </c>
      <c r="J39" s="113">
        <v>1</v>
      </c>
      <c r="K39" s="52">
        <v>4</v>
      </c>
      <c r="L39" s="52" t="s">
        <v>147</v>
      </c>
      <c r="M39" s="52" t="s">
        <v>12</v>
      </c>
      <c r="N39" s="52" t="s">
        <v>14</v>
      </c>
      <c r="O39" s="52" t="s">
        <v>173</v>
      </c>
      <c r="P39" s="52">
        <v>80</v>
      </c>
      <c r="Q39" s="52" t="s">
        <v>264</v>
      </c>
      <c r="R39" s="57" t="s">
        <v>12</v>
      </c>
      <c r="S39" s="52">
        <v>0</v>
      </c>
      <c r="T39" s="52" t="s">
        <v>12</v>
      </c>
      <c r="U39" s="52">
        <v>0</v>
      </c>
      <c r="V39" s="53" t="e">
        <f>VLOOKUP(#REF!,$Z$4:$AA$9,2,0)</f>
        <v>#REF!</v>
      </c>
      <c r="W39" s="53" t="str">
        <f>VLOOKUP(INT(SUBSTITUTE($Q39,"1|","")),[1]Sheet1!$A:$B,2,0)&amp;"碎片"</f>
        <v>蜘蛛精碎片</v>
      </c>
      <c r="X39" s="53" t="e">
        <f>VLOOKUP(#REF!,$Z$4:$AB$9,3,0)</f>
        <v>#REF!</v>
      </c>
      <c r="AD39" s="53" t="str">
        <f>IFERROR(IF($K39&gt;5,"[[1,[48]],[3,[16,5]]]",IF($K39&lt;3,"[[1,[47]]]","[[1,[47]],[3,[2]],"&amp;VLOOKUP($A39,[2]伙伴碎片途径!$A:$E,5,0)&amp;"]")),"[]")</f>
        <v>[[1,[47]],[3,[2]],[2,[10229,10439,10649,10859,11069,11279]]]</v>
      </c>
    </row>
    <row r="40" spans="1:30" x14ac:dyDescent="0.35">
      <c r="A40" s="56">
        <v>10038</v>
      </c>
      <c r="B40" s="56" t="s">
        <v>117</v>
      </c>
      <c r="C40" s="105" t="s">
        <v>1104</v>
      </c>
      <c r="D40" s="52" t="str">
        <f t="shared" si="1"/>
        <v>集齐40个玉面夫人碎片可以合成玉面夫人</v>
      </c>
      <c r="E40" s="88">
        <v>2</v>
      </c>
      <c r="F40" s="52" t="s">
        <v>12</v>
      </c>
      <c r="G40" s="57" t="s">
        <v>862</v>
      </c>
      <c r="H40" s="52" t="s">
        <v>2294</v>
      </c>
      <c r="I40" s="52" t="s">
        <v>70</v>
      </c>
      <c r="J40" s="113">
        <v>1</v>
      </c>
      <c r="K40" s="52">
        <v>3</v>
      </c>
      <c r="L40" s="52" t="s">
        <v>148</v>
      </c>
      <c r="M40" s="52" t="s">
        <v>12</v>
      </c>
      <c r="N40" s="52" t="s">
        <v>14</v>
      </c>
      <c r="O40" s="52" t="s">
        <v>173</v>
      </c>
      <c r="P40" s="52">
        <v>40</v>
      </c>
      <c r="Q40" s="52" t="s">
        <v>265</v>
      </c>
      <c r="R40" s="57" t="s">
        <v>12</v>
      </c>
      <c r="S40" s="52">
        <v>0</v>
      </c>
      <c r="T40" s="52" t="s">
        <v>12</v>
      </c>
      <c r="U40" s="52">
        <v>0</v>
      </c>
      <c r="V40" s="53" t="e">
        <f>VLOOKUP(#REF!,$Z$4:$AA$9,2,0)</f>
        <v>#REF!</v>
      </c>
      <c r="W40" s="53" t="str">
        <f>VLOOKUP(INT(SUBSTITUTE($Q40,"1|","")),[1]Sheet1!$A:$B,2,0)&amp;"碎片"</f>
        <v>玉面夫人碎片</v>
      </c>
      <c r="X40" s="53" t="e">
        <f>VLOOKUP(#REF!,$Z$4:$AB$9,3,0)</f>
        <v>#REF!</v>
      </c>
      <c r="AD40" s="53" t="str">
        <f>IFERROR(IF($K40&gt;5,"[[1,[48]],[3,[16,5]]]",IF($K40&lt;3,"[[1,[47]]]","[[1,[47]],[3,[2]],"&amp;VLOOKUP($A40,[2]伙伴碎片途径!$A:$E,5,0)&amp;"]")),"[]")</f>
        <v>[[1,[47]],[3,[2]],[2,[10099,10166,10346,10526,10706,10886,11066,11246]]]</v>
      </c>
    </row>
    <row r="41" spans="1:30" x14ac:dyDescent="0.35">
      <c r="A41" s="56">
        <v>10039</v>
      </c>
      <c r="B41" s="56" t="s">
        <v>118</v>
      </c>
      <c r="C41" s="105" t="s">
        <v>1105</v>
      </c>
      <c r="D41" s="52" t="str">
        <f t="shared" si="1"/>
        <v>集齐40个金钱豹王碎片可以合成金钱豹王</v>
      </c>
      <c r="E41" s="88">
        <v>2</v>
      </c>
      <c r="F41" s="52" t="s">
        <v>12</v>
      </c>
      <c r="G41" s="57" t="s">
        <v>862</v>
      </c>
      <c r="H41" s="52" t="s">
        <v>2260</v>
      </c>
      <c r="I41" s="52" t="s">
        <v>70</v>
      </c>
      <c r="J41" s="113">
        <v>1</v>
      </c>
      <c r="K41" s="52">
        <v>3</v>
      </c>
      <c r="L41" s="52" t="s">
        <v>132</v>
      </c>
      <c r="M41" s="52" t="s">
        <v>12</v>
      </c>
      <c r="N41" s="52" t="s">
        <v>14</v>
      </c>
      <c r="O41" s="52" t="s">
        <v>173</v>
      </c>
      <c r="P41" s="52">
        <v>40</v>
      </c>
      <c r="Q41" s="52" t="s">
        <v>266</v>
      </c>
      <c r="R41" s="57" t="s">
        <v>12</v>
      </c>
      <c r="S41" s="52">
        <v>0</v>
      </c>
      <c r="T41" s="52" t="s">
        <v>12</v>
      </c>
      <c r="U41" s="52">
        <v>0</v>
      </c>
      <c r="V41" s="53" t="e">
        <f>VLOOKUP(#REF!,$Z$4:$AA$9,2,0)</f>
        <v>#REF!</v>
      </c>
      <c r="W41" s="53" t="str">
        <f>VLOOKUP(INT(SUBSTITUTE($Q41,"1|","")),[1]Sheet1!$A:$B,2,0)&amp;"碎片"</f>
        <v>金钱豹王碎片</v>
      </c>
      <c r="X41" s="53" t="e">
        <f>VLOOKUP(#REF!,$Z$4:$AB$9,3,0)</f>
        <v>#REF!</v>
      </c>
      <c r="AD41" s="53" t="str">
        <f>IFERROR(IF($K41&gt;5,"[[1,[48]],[3,[16,5]]]",IF($K41&lt;3,"[[1,[47]]]","[[1,[47]],[3,[2]],"&amp;VLOOKUP($A41,[2]伙伴碎片途径!$A:$E,5,0)&amp;"]")),"[]")</f>
        <v>[[1,[47]],[3,[2]],[2,[10076,10256,10436,10616,10796,10976,11156]]]</v>
      </c>
    </row>
    <row r="42" spans="1:30" x14ac:dyDescent="0.35">
      <c r="A42" s="56">
        <v>10040</v>
      </c>
      <c r="B42" s="56" t="s">
        <v>119</v>
      </c>
      <c r="C42" s="105" t="s">
        <v>1106</v>
      </c>
      <c r="D42" s="52" t="str">
        <f t="shared" si="1"/>
        <v>集齐40个墨鱼精碎片可以合成墨鱼精</v>
      </c>
      <c r="E42" s="88">
        <v>2</v>
      </c>
      <c r="F42" s="52" t="s">
        <v>12</v>
      </c>
      <c r="G42" s="57" t="s">
        <v>862</v>
      </c>
      <c r="H42" s="52" t="s">
        <v>2261</v>
      </c>
      <c r="I42" s="52" t="s">
        <v>70</v>
      </c>
      <c r="J42" s="113">
        <v>1</v>
      </c>
      <c r="K42" s="52">
        <v>3</v>
      </c>
      <c r="L42" s="52" t="s">
        <v>127</v>
      </c>
      <c r="M42" s="52" t="s">
        <v>12</v>
      </c>
      <c r="N42" s="52" t="s">
        <v>14</v>
      </c>
      <c r="O42" s="52" t="s">
        <v>173</v>
      </c>
      <c r="P42" s="52">
        <v>40</v>
      </c>
      <c r="Q42" s="52" t="s">
        <v>267</v>
      </c>
      <c r="R42" s="57" t="s">
        <v>12</v>
      </c>
      <c r="S42" s="52">
        <v>0</v>
      </c>
      <c r="T42" s="52" t="s">
        <v>12</v>
      </c>
      <c r="U42" s="52">
        <v>0</v>
      </c>
      <c r="V42" s="53" t="e">
        <f>VLOOKUP(#REF!,$Z$4:$AA$9,2,0)</f>
        <v>#REF!</v>
      </c>
      <c r="W42" s="53" t="str">
        <f>VLOOKUP(INT(SUBSTITUTE($Q42,"1|","")),[1]Sheet1!$A:$B,2,0)&amp;"碎片"</f>
        <v>墨鱼精碎片</v>
      </c>
      <c r="X42" s="53" t="e">
        <f>VLOOKUP(#REF!,$Z$4:$AB$9,3,0)</f>
        <v>#REF!</v>
      </c>
      <c r="AD42" s="53" t="str">
        <f>IFERROR(IF($K42&gt;5,"[[1,[48]],[3,[16,5]]]",IF($K42&lt;3,"[[1,[47]]]","[[1,[47]],[3,[2]],"&amp;VLOOKUP($A42,[2]伙伴碎片途径!$A:$E,5,0)&amp;"]")),"[]")</f>
        <v>[[1,[47]],[3,[2]],[2,[10066,10246,10426,10606,10786,10966,11146]]]</v>
      </c>
    </row>
    <row r="43" spans="1:30" x14ac:dyDescent="0.35">
      <c r="A43" s="56">
        <v>10041</v>
      </c>
      <c r="B43" s="56" t="s">
        <v>986</v>
      </c>
      <c r="C43" s="105" t="s">
        <v>1107</v>
      </c>
      <c r="D43" s="52" t="str">
        <f t="shared" si="1"/>
        <v>集齐40个玉兔碎片可以合成玉兔</v>
      </c>
      <c r="E43" s="88">
        <v>2</v>
      </c>
      <c r="F43" s="52" t="s">
        <v>12</v>
      </c>
      <c r="G43" s="57" t="s">
        <v>862</v>
      </c>
      <c r="H43" s="52" t="s">
        <v>2295</v>
      </c>
      <c r="I43" s="52" t="s">
        <v>70</v>
      </c>
      <c r="J43" s="113">
        <v>1</v>
      </c>
      <c r="K43" s="52">
        <v>3</v>
      </c>
      <c r="L43" s="52" t="s">
        <v>1108</v>
      </c>
      <c r="M43" s="52" t="s">
        <v>12</v>
      </c>
      <c r="N43" s="52" t="s">
        <v>14</v>
      </c>
      <c r="O43" s="52" t="s">
        <v>173</v>
      </c>
      <c r="P43" s="52">
        <v>40</v>
      </c>
      <c r="Q43" s="52" t="s">
        <v>268</v>
      </c>
      <c r="R43" s="57" t="s">
        <v>12</v>
      </c>
      <c r="S43" s="52">
        <v>0</v>
      </c>
      <c r="T43" s="52" t="s">
        <v>12</v>
      </c>
      <c r="U43" s="52">
        <v>0</v>
      </c>
      <c r="V43" s="53" t="e">
        <f>VLOOKUP(#REF!,$Z$4:$AA$9,2,0)</f>
        <v>#REF!</v>
      </c>
      <c r="W43" s="53" t="str">
        <f>VLOOKUP(INT(SUBSTITUTE($Q43,"1|","")),[1]Sheet1!$A:$B,2,0)&amp;"碎片"</f>
        <v>玉兔碎片</v>
      </c>
      <c r="X43" s="53" t="e">
        <f>VLOOKUP(#REF!,$Z$4:$AB$9,3,0)</f>
        <v>#REF!</v>
      </c>
      <c r="AD43" s="53" t="str">
        <f>IFERROR(IF($K43&gt;5,"[[1,[48]],[3,[16,5]]]",IF($K43&lt;3,"[[1,[47]]]","[[1,[47]],[3,[2]],"&amp;VLOOKUP($A43,[2]伙伴碎片途径!$A:$E,5,0)&amp;"]")),"[]")</f>
        <v>[[1,[47]],[3,[2]],[2,[10089,10156,10336,10516,10696,10876,11056,11236,11286]]]</v>
      </c>
    </row>
    <row r="44" spans="1:30" x14ac:dyDescent="0.35">
      <c r="A44" s="56">
        <v>10042</v>
      </c>
      <c r="B44" s="56" t="s">
        <v>439</v>
      </c>
      <c r="C44" s="105" t="s">
        <v>1109</v>
      </c>
      <c r="D44" s="52" t="str">
        <f t="shared" si="1"/>
        <v>集齐10个狮人-光启碎片可以合成狮人-光启</v>
      </c>
      <c r="E44" s="88">
        <v>2</v>
      </c>
      <c r="F44" s="52" t="s">
        <v>12</v>
      </c>
      <c r="G44" s="57" t="s">
        <v>73</v>
      </c>
      <c r="H44" s="52" t="s">
        <v>2156</v>
      </c>
      <c r="I44" s="52" t="s">
        <v>70</v>
      </c>
      <c r="J44" s="113">
        <v>1</v>
      </c>
      <c r="K44" s="52">
        <v>2</v>
      </c>
      <c r="L44" s="52" t="s">
        <v>988</v>
      </c>
      <c r="M44" s="52" t="s">
        <v>12</v>
      </c>
      <c r="N44" s="52" t="s">
        <v>14</v>
      </c>
      <c r="O44" s="52" t="s">
        <v>173</v>
      </c>
      <c r="P44" s="52">
        <v>10</v>
      </c>
      <c r="Q44" s="52" t="s">
        <v>269</v>
      </c>
      <c r="R44" s="57" t="s">
        <v>12</v>
      </c>
      <c r="S44" s="52">
        <v>0</v>
      </c>
      <c r="T44" s="52" t="s">
        <v>12</v>
      </c>
      <c r="U44" s="52">
        <v>0</v>
      </c>
      <c r="V44" s="53" t="e">
        <f>VLOOKUP(#REF!,$Z$4:$AA$9,2,0)</f>
        <v>#REF!</v>
      </c>
      <c r="W44" s="53" t="str">
        <f>VLOOKUP(INT(SUBSTITUTE($Q44,"1|","")),[1]Sheet1!$A:$B,2,0)&amp;"碎片"</f>
        <v>狮人-光启碎片</v>
      </c>
      <c r="X44" s="53" t="e">
        <f>VLOOKUP(#REF!,$Z$4:$AB$9,3,0)</f>
        <v>#REF!</v>
      </c>
      <c r="AD44" s="53" t="str">
        <f>IFERROR(IF($K44&gt;5,"[[1,[48]],[3,[16,5]]]",IF($K44&lt;3,"[[1,[47]]]","[[1,[47]],[3,[2]],"&amp;VLOOKUP($A44,[2]伙伴碎片途径!$A:$E,5,0)&amp;"]")),"[]")</f>
        <v>[[1,[47]]]</v>
      </c>
    </row>
    <row r="45" spans="1:30" x14ac:dyDescent="0.35">
      <c r="A45" s="56">
        <v>10043</v>
      </c>
      <c r="B45" s="56" t="s">
        <v>411</v>
      </c>
      <c r="C45" s="105" t="s">
        <v>1110</v>
      </c>
      <c r="D45" s="52" t="str">
        <f t="shared" si="1"/>
        <v>集齐10个狮人-立辉碎片可以合成狮人-立辉</v>
      </c>
      <c r="E45" s="88">
        <v>2</v>
      </c>
      <c r="F45" s="52" t="s">
        <v>12</v>
      </c>
      <c r="G45" s="57" t="s">
        <v>73</v>
      </c>
      <c r="H45" s="52" t="s">
        <v>2156</v>
      </c>
      <c r="I45" s="52" t="s">
        <v>70</v>
      </c>
      <c r="J45" s="113">
        <v>1</v>
      </c>
      <c r="K45" s="52">
        <v>2</v>
      </c>
      <c r="L45" s="52" t="s">
        <v>989</v>
      </c>
      <c r="M45" s="52" t="s">
        <v>12</v>
      </c>
      <c r="N45" s="52" t="s">
        <v>14</v>
      </c>
      <c r="O45" s="52" t="s">
        <v>173</v>
      </c>
      <c r="P45" s="52">
        <v>10</v>
      </c>
      <c r="Q45" s="52" t="s">
        <v>270</v>
      </c>
      <c r="R45" s="57" t="s">
        <v>12</v>
      </c>
      <c r="S45" s="52">
        <v>0</v>
      </c>
      <c r="T45" s="52" t="s">
        <v>12</v>
      </c>
      <c r="U45" s="52">
        <v>0</v>
      </c>
      <c r="V45" s="53" t="e">
        <f>VLOOKUP(#REF!,$Z$4:$AA$9,2,0)</f>
        <v>#REF!</v>
      </c>
      <c r="W45" s="53" t="str">
        <f>VLOOKUP(INT(SUBSTITUTE($Q45,"1|","")),[1]Sheet1!$A:$B,2,0)&amp;"碎片"</f>
        <v>狮人-立辉碎片</v>
      </c>
      <c r="X45" s="53" t="e">
        <f>VLOOKUP(#REF!,$Z$4:$AB$9,3,0)</f>
        <v>#REF!</v>
      </c>
      <c r="AD45" s="53" t="str">
        <f>IFERROR(IF($K45&gt;5,"[[1,[48]],[3,[16,5]]]",IF($K45&lt;3,"[[1,[47]]]","[[1,[47]],[3,[2]],"&amp;VLOOKUP($A45,[2]伙伴碎片途径!$A:$E,5,0)&amp;"]")),"[]")</f>
        <v>[[1,[47]]]</v>
      </c>
    </row>
    <row r="46" spans="1:30" x14ac:dyDescent="0.35">
      <c r="A46" s="56">
        <v>10046</v>
      </c>
      <c r="B46" s="56" t="s">
        <v>1111</v>
      </c>
      <c r="C46" s="105" t="s">
        <v>1112</v>
      </c>
      <c r="D46" s="52" t="str">
        <f t="shared" si="1"/>
        <v>集齐10个石人-博达碎片可以合成石人-博达</v>
      </c>
      <c r="E46" s="88">
        <v>2</v>
      </c>
      <c r="F46" s="52" t="s">
        <v>12</v>
      </c>
      <c r="G46" s="57" t="s">
        <v>73</v>
      </c>
      <c r="H46" s="52" t="s">
        <v>2156</v>
      </c>
      <c r="I46" s="52" t="s">
        <v>70</v>
      </c>
      <c r="J46" s="113">
        <v>1</v>
      </c>
      <c r="K46" s="52">
        <v>2</v>
      </c>
      <c r="L46" s="52" t="s">
        <v>990</v>
      </c>
      <c r="M46" s="52" t="s">
        <v>12</v>
      </c>
      <c r="N46" s="52" t="s">
        <v>14</v>
      </c>
      <c r="O46" s="52" t="s">
        <v>173</v>
      </c>
      <c r="P46" s="52">
        <v>10</v>
      </c>
      <c r="Q46" s="52" t="s">
        <v>271</v>
      </c>
      <c r="R46" s="57" t="s">
        <v>12</v>
      </c>
      <c r="S46" s="52">
        <v>0</v>
      </c>
      <c r="T46" s="52" t="s">
        <v>12</v>
      </c>
      <c r="U46" s="52">
        <v>0</v>
      </c>
      <c r="V46" s="53" t="e">
        <f>VLOOKUP(#REF!,$Z$4:$AA$9,2,0)</f>
        <v>#REF!</v>
      </c>
      <c r="W46" s="53" t="str">
        <f>VLOOKUP(INT(SUBSTITUTE($Q46,"1|","")),[1]Sheet1!$A:$B,2,0)&amp;"碎片"</f>
        <v>石人-博达碎片</v>
      </c>
      <c r="X46" s="53" t="e">
        <f>VLOOKUP(#REF!,$Z$4:$AB$9,3,0)</f>
        <v>#REF!</v>
      </c>
      <c r="AD46" s="53" t="str">
        <f>IFERROR(IF($K46&gt;5,"[[1,[48]],[3,[16,5]]]",IF($K46&lt;3,"[[1,[47]]]","[[1,[47]],[3,[2]],"&amp;VLOOKUP($A46,[2]伙伴碎片途径!$A:$E,5,0)&amp;"]")),"[]")</f>
        <v>[[1,[47]]]</v>
      </c>
    </row>
    <row r="47" spans="1:30" x14ac:dyDescent="0.35">
      <c r="A47" s="56">
        <v>10047</v>
      </c>
      <c r="B47" s="56" t="s">
        <v>1113</v>
      </c>
      <c r="C47" s="105" t="s">
        <v>1114</v>
      </c>
      <c r="D47" s="52" t="str">
        <f t="shared" si="1"/>
        <v>集齐10个石人-离落碎片可以合成石人-离落</v>
      </c>
      <c r="E47" s="88">
        <v>2</v>
      </c>
      <c r="F47" s="52" t="s">
        <v>12</v>
      </c>
      <c r="G47" s="57" t="s">
        <v>73</v>
      </c>
      <c r="H47" s="52" t="s">
        <v>2156</v>
      </c>
      <c r="I47" s="52" t="s">
        <v>70</v>
      </c>
      <c r="J47" s="113">
        <v>1</v>
      </c>
      <c r="K47" s="52">
        <v>2</v>
      </c>
      <c r="L47" s="52" t="s">
        <v>991</v>
      </c>
      <c r="M47" s="52" t="s">
        <v>12</v>
      </c>
      <c r="N47" s="52" t="s">
        <v>14</v>
      </c>
      <c r="O47" s="52" t="s">
        <v>173</v>
      </c>
      <c r="P47" s="52">
        <v>10</v>
      </c>
      <c r="Q47" s="52" t="s">
        <v>272</v>
      </c>
      <c r="R47" s="57" t="s">
        <v>12</v>
      </c>
      <c r="S47" s="52">
        <v>0</v>
      </c>
      <c r="T47" s="52" t="s">
        <v>12</v>
      </c>
      <c r="U47" s="52">
        <v>0</v>
      </c>
      <c r="V47" s="53" t="e">
        <f>VLOOKUP(#REF!,$Z$4:$AA$9,2,0)</f>
        <v>#REF!</v>
      </c>
      <c r="W47" s="53" t="str">
        <f>VLOOKUP(INT(SUBSTITUTE($Q47,"1|","")),[1]Sheet1!$A:$B,2,0)&amp;"碎片"</f>
        <v>石人-离落碎片</v>
      </c>
      <c r="X47" s="53" t="e">
        <f>VLOOKUP(#REF!,$Z$4:$AB$9,3,0)</f>
        <v>#REF!</v>
      </c>
      <c r="AD47" s="53" t="str">
        <f>IFERROR(IF($K47&gt;5,"[[1,[48]],[3,[16,5]]]",IF($K47&lt;3,"[[1,[47]]]","[[1,[47]],[3,[2]],"&amp;VLOOKUP($A47,[2]伙伴碎片途径!$A:$E,5,0)&amp;"]")),"[]")</f>
        <v>[[1,[47]]]</v>
      </c>
    </row>
    <row r="48" spans="1:30" x14ac:dyDescent="0.35">
      <c r="A48" s="56">
        <v>10048</v>
      </c>
      <c r="B48" s="56" t="s">
        <v>1115</v>
      </c>
      <c r="C48" s="105" t="s">
        <v>1116</v>
      </c>
      <c r="D48" s="52" t="str">
        <f t="shared" si="1"/>
        <v>集齐10个石人-安和碎片可以合成石人-安和</v>
      </c>
      <c r="E48" s="88">
        <v>2</v>
      </c>
      <c r="F48" s="52" t="s">
        <v>12</v>
      </c>
      <c r="G48" s="57" t="s">
        <v>73</v>
      </c>
      <c r="H48" s="52" t="s">
        <v>2156</v>
      </c>
      <c r="I48" s="52" t="s">
        <v>70</v>
      </c>
      <c r="J48" s="113">
        <v>1</v>
      </c>
      <c r="K48" s="52">
        <v>2</v>
      </c>
      <c r="L48" s="52" t="s">
        <v>992</v>
      </c>
      <c r="M48" s="52" t="s">
        <v>12</v>
      </c>
      <c r="N48" s="52" t="s">
        <v>14</v>
      </c>
      <c r="O48" s="52" t="s">
        <v>173</v>
      </c>
      <c r="P48" s="52">
        <v>10</v>
      </c>
      <c r="Q48" s="52" t="s">
        <v>273</v>
      </c>
      <c r="R48" s="57" t="s">
        <v>12</v>
      </c>
      <c r="S48" s="52">
        <v>0</v>
      </c>
      <c r="T48" s="52" t="s">
        <v>12</v>
      </c>
      <c r="U48" s="52">
        <v>0</v>
      </c>
      <c r="V48" s="53" t="e">
        <f>VLOOKUP(#REF!,$Z$4:$AA$9,2,0)</f>
        <v>#REF!</v>
      </c>
      <c r="W48" s="53" t="str">
        <f>VLOOKUP(INT(SUBSTITUTE($Q48,"1|","")),[1]Sheet1!$A:$B,2,0)&amp;"碎片"</f>
        <v>石人-安和碎片</v>
      </c>
      <c r="X48" s="53" t="e">
        <f>VLOOKUP(#REF!,$Z$4:$AB$9,3,0)</f>
        <v>#REF!</v>
      </c>
      <c r="AD48" s="53" t="str">
        <f>IFERROR(IF($K48&gt;5,"[[1,[48]],[3,[16,5]]]",IF($K48&lt;3,"[[1,[47]]]","[[1,[47]],[3,[2]],"&amp;VLOOKUP($A48,[2]伙伴碎片途径!$A:$E,5,0)&amp;"]")),"[]")</f>
        <v>[[1,[47]]]</v>
      </c>
    </row>
    <row r="49" spans="1:30" x14ac:dyDescent="0.35">
      <c r="A49" s="56">
        <v>10052</v>
      </c>
      <c r="B49" s="56" t="s">
        <v>120</v>
      </c>
      <c r="C49" s="105" t="s">
        <v>1796</v>
      </c>
      <c r="D49" s="52" t="str">
        <f t="shared" si="1"/>
        <v>集齐40个黑熊精碎片可以合成黑熊精</v>
      </c>
      <c r="E49" s="88">
        <v>2</v>
      </c>
      <c r="F49" s="52" t="s">
        <v>12</v>
      </c>
      <c r="G49" s="57" t="s">
        <v>73</v>
      </c>
      <c r="H49" s="52" t="s">
        <v>2262</v>
      </c>
      <c r="I49" s="52" t="s">
        <v>70</v>
      </c>
      <c r="J49" s="113">
        <v>1</v>
      </c>
      <c r="K49" s="52">
        <v>3</v>
      </c>
      <c r="L49" s="52" t="s">
        <v>133</v>
      </c>
      <c r="M49" s="52" t="s">
        <v>12</v>
      </c>
      <c r="N49" s="52" t="s">
        <v>14</v>
      </c>
      <c r="O49" s="52" t="s">
        <v>173</v>
      </c>
      <c r="P49" s="52">
        <v>40</v>
      </c>
      <c r="Q49" s="52" t="s">
        <v>274</v>
      </c>
      <c r="R49" s="57" t="s">
        <v>12</v>
      </c>
      <c r="S49" s="52">
        <v>0</v>
      </c>
      <c r="T49" s="52" t="s">
        <v>12</v>
      </c>
      <c r="U49" s="52">
        <v>0</v>
      </c>
      <c r="V49" s="53" t="e">
        <f>VLOOKUP(#REF!,$Z$4:$AA$9,2,0)</f>
        <v>#REF!</v>
      </c>
      <c r="W49" s="53" t="str">
        <f>VLOOKUP(INT(SUBSTITUTE($Q49,"1|","")),[1]Sheet1!$A:$B,2,0)&amp;"碎片"</f>
        <v>黑熊精碎片</v>
      </c>
      <c r="X49" s="53" t="e">
        <f>VLOOKUP(#REF!,$Z$4:$AB$9,3,0)</f>
        <v>#REF!</v>
      </c>
      <c r="AD49" s="53" t="str">
        <f>IFERROR(IF($K49&gt;5,"[[1,[48]],[3,[16,5]]]",IF($K49&lt;3,"[[1,[47]]]","[[1,[47]],[3,[2]],"&amp;VLOOKUP($A49,[2]伙伴碎片途径!$A:$E,5,0)&amp;"]")),"[]")</f>
        <v>[[1,[47]],[3,[2]],[2,[10056,10236,10416,10596,10776,10956,11136]]]</v>
      </c>
    </row>
    <row r="50" spans="1:30" x14ac:dyDescent="0.35">
      <c r="A50" s="56">
        <v>10053</v>
      </c>
      <c r="B50" s="56" t="s">
        <v>412</v>
      </c>
      <c r="C50" s="105" t="s">
        <v>1797</v>
      </c>
      <c r="D50" s="52" t="str">
        <f t="shared" si="1"/>
        <v>集齐10个夜叉-金利碎片可以合成夜叉-金利</v>
      </c>
      <c r="E50" s="88">
        <v>2</v>
      </c>
      <c r="F50" s="52" t="s">
        <v>12</v>
      </c>
      <c r="G50" s="57" t="s">
        <v>79</v>
      </c>
      <c r="H50" s="52" t="s">
        <v>2156</v>
      </c>
      <c r="I50" s="52" t="s">
        <v>70</v>
      </c>
      <c r="J50" s="113">
        <v>1</v>
      </c>
      <c r="K50" s="52">
        <v>1</v>
      </c>
      <c r="L50" s="52" t="s">
        <v>1000</v>
      </c>
      <c r="M50" s="52" t="s">
        <v>12</v>
      </c>
      <c r="N50" s="52" t="s">
        <v>14</v>
      </c>
      <c r="O50" s="52" t="s">
        <v>173</v>
      </c>
      <c r="P50" s="52">
        <v>10</v>
      </c>
      <c r="Q50" s="52" t="s">
        <v>275</v>
      </c>
      <c r="R50" s="57" t="s">
        <v>12</v>
      </c>
      <c r="S50" s="52">
        <v>0</v>
      </c>
      <c r="T50" s="52" t="s">
        <v>12</v>
      </c>
      <c r="U50" s="52">
        <v>0</v>
      </c>
      <c r="V50" s="53" t="e">
        <f>VLOOKUP(#REF!,$Z$4:$AA$9,2,0)</f>
        <v>#REF!</v>
      </c>
      <c r="W50" s="53" t="str">
        <f>VLOOKUP(INT(SUBSTITUTE($Q50,"1|","")),[1]Sheet1!$A:$B,2,0)&amp;"碎片"</f>
        <v>夜叉-金利碎片</v>
      </c>
      <c r="X50" s="53" t="e">
        <f>VLOOKUP(#REF!,$Z$4:$AB$9,3,0)</f>
        <v>#REF!</v>
      </c>
      <c r="AD50" s="53" t="str">
        <f>IFERROR(IF($K50&gt;5,"[[1,[48]],[3,[16,5]]]",IF($K50&lt;3,"[[1,[47]]]","[[1,[47]],[3,[2]],"&amp;VLOOKUP($A50,[2]伙伴碎片途径!$A:$E,5,0)&amp;"]")),"[]")</f>
        <v>[[1,[47]]]</v>
      </c>
    </row>
    <row r="51" spans="1:30" x14ac:dyDescent="0.35">
      <c r="A51" s="56">
        <v>10054</v>
      </c>
      <c r="B51" s="56" t="s">
        <v>413</v>
      </c>
      <c r="C51" s="105" t="s">
        <v>1798</v>
      </c>
      <c r="D51" s="52" t="str">
        <f t="shared" si="1"/>
        <v>集齐10个夜叉-碧涛碎片可以合成夜叉-碧涛</v>
      </c>
      <c r="E51" s="88">
        <v>2</v>
      </c>
      <c r="F51" s="52" t="s">
        <v>12</v>
      </c>
      <c r="G51" s="57" t="s">
        <v>79</v>
      </c>
      <c r="H51" s="52" t="s">
        <v>2156</v>
      </c>
      <c r="I51" s="52" t="s">
        <v>70</v>
      </c>
      <c r="J51" s="113">
        <v>1</v>
      </c>
      <c r="K51" s="52">
        <v>1</v>
      </c>
      <c r="L51" s="52" t="s">
        <v>1001</v>
      </c>
      <c r="M51" s="52" t="s">
        <v>12</v>
      </c>
      <c r="N51" s="52" t="s">
        <v>14</v>
      </c>
      <c r="O51" s="52" t="s">
        <v>173</v>
      </c>
      <c r="P51" s="52">
        <v>10</v>
      </c>
      <c r="Q51" s="52" t="s">
        <v>276</v>
      </c>
      <c r="R51" s="57" t="s">
        <v>12</v>
      </c>
      <c r="S51" s="52">
        <v>0</v>
      </c>
      <c r="T51" s="52" t="s">
        <v>12</v>
      </c>
      <c r="U51" s="52">
        <v>0</v>
      </c>
      <c r="V51" s="53" t="e">
        <f>VLOOKUP(#REF!,$Z$4:$AA$9,2,0)</f>
        <v>#REF!</v>
      </c>
      <c r="W51" s="53" t="str">
        <f>VLOOKUP(INT(SUBSTITUTE($Q51,"1|","")),[1]Sheet1!$A:$B,2,0)&amp;"碎片"</f>
        <v>夜叉-碧涛碎片</v>
      </c>
      <c r="X51" s="53" t="e">
        <f>VLOOKUP(#REF!,$Z$4:$AB$9,3,0)</f>
        <v>#REF!</v>
      </c>
      <c r="AD51" s="53" t="str">
        <f>IFERROR(IF($K51&gt;5,"[[1,[48]],[3,[16,5]]]",IF($K51&lt;3,"[[1,[47]]]","[[1,[47]],[3,[2]],"&amp;VLOOKUP($A51,[2]伙伴碎片途径!$A:$E,5,0)&amp;"]")),"[]")</f>
        <v>[[1,[47]]]</v>
      </c>
    </row>
    <row r="52" spans="1:30" x14ac:dyDescent="0.35">
      <c r="A52" s="56">
        <v>10055</v>
      </c>
      <c r="B52" s="56" t="s">
        <v>1120</v>
      </c>
      <c r="C52" s="105" t="s">
        <v>1121</v>
      </c>
      <c r="D52" s="52" t="str">
        <f t="shared" si="1"/>
        <v>集齐10个蟒精-雅芙碎片可以合成蟒精-雅芙</v>
      </c>
      <c r="E52" s="88">
        <v>2</v>
      </c>
      <c r="F52" s="52" t="s">
        <v>12</v>
      </c>
      <c r="G52" s="57" t="s">
        <v>73</v>
      </c>
      <c r="H52" s="52" t="s">
        <v>2156</v>
      </c>
      <c r="I52" s="52" t="s">
        <v>70</v>
      </c>
      <c r="J52" s="113">
        <v>1</v>
      </c>
      <c r="K52" s="52">
        <v>2</v>
      </c>
      <c r="L52" s="52" t="s">
        <v>993</v>
      </c>
      <c r="M52" s="52" t="s">
        <v>12</v>
      </c>
      <c r="N52" s="52" t="s">
        <v>14</v>
      </c>
      <c r="O52" s="52" t="s">
        <v>173</v>
      </c>
      <c r="P52" s="52">
        <v>10</v>
      </c>
      <c r="Q52" s="52" t="s">
        <v>277</v>
      </c>
      <c r="R52" s="57" t="s">
        <v>12</v>
      </c>
      <c r="S52" s="52">
        <v>0</v>
      </c>
      <c r="T52" s="52" t="s">
        <v>12</v>
      </c>
      <c r="U52" s="52">
        <v>0</v>
      </c>
      <c r="V52" s="53" t="e">
        <f>VLOOKUP(#REF!,$Z$4:$AA$9,2,0)</f>
        <v>#REF!</v>
      </c>
      <c r="W52" s="53" t="str">
        <f>VLOOKUP(INT(SUBSTITUTE($Q52,"1|","")),[1]Sheet1!$A:$B,2,0)&amp;"碎片"</f>
        <v>蟒精-雅芙碎片</v>
      </c>
      <c r="X52" s="53" t="e">
        <f>VLOOKUP(#REF!,$Z$4:$AB$9,3,0)</f>
        <v>#REF!</v>
      </c>
      <c r="AD52" s="53" t="str">
        <f>IFERROR(IF($K52&gt;5,"[[1,[48]],[3,[16,5]]]",IF($K52&lt;3,"[[1,[47]]]","[[1,[47]],[3,[2]],"&amp;VLOOKUP($A52,[2]伙伴碎片途径!$A:$E,5,0)&amp;"]")),"[]")</f>
        <v>[[1,[47]]]</v>
      </c>
    </row>
    <row r="53" spans="1:30" x14ac:dyDescent="0.35">
      <c r="A53" s="56">
        <v>10056</v>
      </c>
      <c r="B53" s="56" t="s">
        <v>1122</v>
      </c>
      <c r="C53" s="105" t="s">
        <v>1123</v>
      </c>
      <c r="D53" s="52" t="str">
        <f t="shared" si="1"/>
        <v>集齐10个蟒精-依娜碎片可以合成蟒精-依娜</v>
      </c>
      <c r="E53" s="88">
        <v>2</v>
      </c>
      <c r="F53" s="52" t="s">
        <v>12</v>
      </c>
      <c r="G53" s="57" t="s">
        <v>73</v>
      </c>
      <c r="H53" s="52" t="s">
        <v>2156</v>
      </c>
      <c r="I53" s="52" t="s">
        <v>70</v>
      </c>
      <c r="J53" s="113">
        <v>1</v>
      </c>
      <c r="K53" s="52">
        <v>2</v>
      </c>
      <c r="L53" s="52" t="s">
        <v>994</v>
      </c>
      <c r="M53" s="52" t="s">
        <v>12</v>
      </c>
      <c r="N53" s="52" t="s">
        <v>14</v>
      </c>
      <c r="O53" s="52" t="s">
        <v>173</v>
      </c>
      <c r="P53" s="52">
        <v>10</v>
      </c>
      <c r="Q53" s="52" t="s">
        <v>278</v>
      </c>
      <c r="R53" s="57" t="s">
        <v>12</v>
      </c>
      <c r="S53" s="52">
        <v>0</v>
      </c>
      <c r="T53" s="52" t="s">
        <v>12</v>
      </c>
      <c r="U53" s="52">
        <v>0</v>
      </c>
      <c r="V53" s="53" t="e">
        <f>VLOOKUP(#REF!,$Z$4:$AA$9,2,0)</f>
        <v>#REF!</v>
      </c>
      <c r="W53" s="53" t="str">
        <f>VLOOKUP(INT(SUBSTITUTE($Q53,"1|","")),[1]Sheet1!$A:$B,2,0)&amp;"碎片"</f>
        <v>蟒精-依娜碎片</v>
      </c>
      <c r="X53" s="53" t="e">
        <f>VLOOKUP(#REF!,$Z$4:$AB$9,3,0)</f>
        <v>#REF!</v>
      </c>
      <c r="AD53" s="53" t="str">
        <f>IFERROR(IF($K53&gt;5,"[[1,[48]],[3,[16,5]]]",IF($K53&lt;3,"[[1,[47]]]","[[1,[47]],[3,[2]],"&amp;VLOOKUP($A53,[2]伙伴碎片途径!$A:$E,5,0)&amp;"]")),"[]")</f>
        <v>[[1,[47]]]</v>
      </c>
    </row>
    <row r="54" spans="1:30" x14ac:dyDescent="0.35">
      <c r="A54" s="56">
        <v>10057</v>
      </c>
      <c r="B54" s="56" t="s">
        <v>1124</v>
      </c>
      <c r="C54" s="105" t="s">
        <v>1125</v>
      </c>
      <c r="D54" s="52" t="str">
        <f t="shared" si="1"/>
        <v>集齐10个狐狸-优璇碎片可以合成狐狸-优璇</v>
      </c>
      <c r="E54" s="88">
        <v>2</v>
      </c>
      <c r="F54" s="52" t="s">
        <v>12</v>
      </c>
      <c r="G54" s="57" t="s">
        <v>73</v>
      </c>
      <c r="H54" s="52" t="s">
        <v>2156</v>
      </c>
      <c r="I54" s="52" t="s">
        <v>70</v>
      </c>
      <c r="J54" s="113">
        <v>1</v>
      </c>
      <c r="K54" s="52">
        <v>2</v>
      </c>
      <c r="L54" s="52" t="s">
        <v>995</v>
      </c>
      <c r="M54" s="52" t="s">
        <v>12</v>
      </c>
      <c r="N54" s="52" t="s">
        <v>14</v>
      </c>
      <c r="O54" s="52" t="s">
        <v>173</v>
      </c>
      <c r="P54" s="52">
        <v>10</v>
      </c>
      <c r="Q54" s="52" t="s">
        <v>279</v>
      </c>
      <c r="R54" s="57" t="s">
        <v>12</v>
      </c>
      <c r="S54" s="52">
        <v>0</v>
      </c>
      <c r="T54" s="52" t="s">
        <v>12</v>
      </c>
      <c r="U54" s="52">
        <v>0</v>
      </c>
      <c r="V54" s="53" t="e">
        <f>VLOOKUP(#REF!,$Z$4:$AA$9,2,0)</f>
        <v>#REF!</v>
      </c>
      <c r="W54" s="53" t="str">
        <f>VLOOKUP(INT(SUBSTITUTE($Q54,"1|","")),[1]Sheet1!$A:$B,2,0)&amp;"碎片"</f>
        <v>狐狸-优璇碎片</v>
      </c>
      <c r="X54" s="53" t="e">
        <f>VLOOKUP(#REF!,$Z$4:$AB$9,3,0)</f>
        <v>#REF!</v>
      </c>
      <c r="AD54" s="53" t="str">
        <f>IFERROR(IF($K54&gt;5,"[[1,[48]],[3,[16,5]]]",IF($K54&lt;3,"[[1,[47]]]","[[1,[47]],[3,[2]],"&amp;VLOOKUP($A54,[2]伙伴碎片途径!$A:$E,5,0)&amp;"]")),"[]")</f>
        <v>[[1,[47]]]</v>
      </c>
    </row>
    <row r="55" spans="1:30" x14ac:dyDescent="0.35">
      <c r="A55" s="56">
        <v>10058</v>
      </c>
      <c r="B55" s="56" t="s">
        <v>1126</v>
      </c>
      <c r="C55" s="105" t="s">
        <v>1127</v>
      </c>
      <c r="D55" s="52" t="str">
        <f t="shared" si="1"/>
        <v>集齐10个狐狸-茹雪碎片可以合成狐狸-茹雪</v>
      </c>
      <c r="E55" s="88">
        <v>2</v>
      </c>
      <c r="F55" s="52" t="s">
        <v>12</v>
      </c>
      <c r="G55" s="57" t="s">
        <v>73</v>
      </c>
      <c r="H55" s="52" t="s">
        <v>2156</v>
      </c>
      <c r="I55" s="52" t="s">
        <v>70</v>
      </c>
      <c r="J55" s="113">
        <v>1</v>
      </c>
      <c r="K55" s="52">
        <v>2</v>
      </c>
      <c r="L55" s="52" t="s">
        <v>996</v>
      </c>
      <c r="M55" s="52" t="s">
        <v>12</v>
      </c>
      <c r="N55" s="52" t="s">
        <v>14</v>
      </c>
      <c r="O55" s="52" t="s">
        <v>173</v>
      </c>
      <c r="P55" s="52">
        <v>10</v>
      </c>
      <c r="Q55" s="52" t="s">
        <v>280</v>
      </c>
      <c r="R55" s="57" t="s">
        <v>12</v>
      </c>
      <c r="S55" s="52">
        <v>0</v>
      </c>
      <c r="T55" s="52" t="s">
        <v>12</v>
      </c>
      <c r="U55" s="52">
        <v>0</v>
      </c>
      <c r="V55" s="53" t="e">
        <f>VLOOKUP(#REF!,$Z$4:$AA$9,2,0)</f>
        <v>#REF!</v>
      </c>
      <c r="W55" s="53" t="str">
        <f>VLOOKUP(INT(SUBSTITUTE($Q55,"1|","")),[1]Sheet1!$A:$B,2,0)&amp;"碎片"</f>
        <v>狐狸-茹雪碎片</v>
      </c>
      <c r="X55" s="53" t="e">
        <f>VLOOKUP(#REF!,$Z$4:$AB$9,3,0)</f>
        <v>#REF!</v>
      </c>
      <c r="AD55" s="53" t="str">
        <f>IFERROR(IF($K55&gt;5,"[[1,[48]],[3,[16,5]]]",IF($K55&lt;3,"[[1,[47]]]","[[1,[47]],[3,[2]],"&amp;VLOOKUP($A55,[2]伙伴碎片途径!$A:$E,5,0)&amp;"]")),"[]")</f>
        <v>[[1,[47]]]</v>
      </c>
    </row>
    <row r="56" spans="1:30" x14ac:dyDescent="0.35">
      <c r="A56" s="56">
        <v>10059</v>
      </c>
      <c r="B56" s="56" t="s">
        <v>1128</v>
      </c>
      <c r="C56" s="105" t="s">
        <v>1129</v>
      </c>
      <c r="D56" s="52" t="str">
        <f t="shared" si="1"/>
        <v>集齐10个狐狸-若火碎片可以合成狐狸-若火</v>
      </c>
      <c r="E56" s="88">
        <v>2</v>
      </c>
      <c r="F56" s="52" t="s">
        <v>12</v>
      </c>
      <c r="G56" s="57" t="s">
        <v>73</v>
      </c>
      <c r="H56" s="52" t="s">
        <v>2156</v>
      </c>
      <c r="I56" s="52" t="s">
        <v>70</v>
      </c>
      <c r="J56" s="113">
        <v>1</v>
      </c>
      <c r="K56" s="52">
        <v>2</v>
      </c>
      <c r="L56" s="52" t="s">
        <v>997</v>
      </c>
      <c r="M56" s="52" t="s">
        <v>12</v>
      </c>
      <c r="N56" s="52" t="s">
        <v>14</v>
      </c>
      <c r="O56" s="52" t="s">
        <v>173</v>
      </c>
      <c r="P56" s="52">
        <v>10</v>
      </c>
      <c r="Q56" s="52" t="s">
        <v>281</v>
      </c>
      <c r="R56" s="57" t="s">
        <v>12</v>
      </c>
      <c r="S56" s="52">
        <v>0</v>
      </c>
      <c r="T56" s="52" t="s">
        <v>12</v>
      </c>
      <c r="U56" s="52">
        <v>0</v>
      </c>
      <c r="V56" s="53" t="e">
        <f>VLOOKUP(#REF!,$Z$4:$AA$9,2,0)</f>
        <v>#REF!</v>
      </c>
      <c r="W56" s="53" t="str">
        <f>VLOOKUP(INT(SUBSTITUTE($Q56,"1|","")),[1]Sheet1!$A:$B,2,0)&amp;"碎片"</f>
        <v>狐狸-若火碎片</v>
      </c>
      <c r="X56" s="53" t="e">
        <f>VLOOKUP(#REF!,$Z$4:$AB$9,3,0)</f>
        <v>#REF!</v>
      </c>
      <c r="AD56" s="53" t="str">
        <f>IFERROR(IF($K56&gt;5,"[[1,[48]],[3,[16,5]]]",IF($K56&lt;3,"[[1,[47]]]","[[1,[47]],[3,[2]],"&amp;VLOOKUP($A56,[2]伙伴碎片途径!$A:$E,5,0)&amp;"]")),"[]")</f>
        <v>[[1,[47]]]</v>
      </c>
    </row>
    <row r="57" spans="1:30" x14ac:dyDescent="0.35">
      <c r="A57" s="56">
        <v>10062</v>
      </c>
      <c r="B57" s="56" t="s">
        <v>414</v>
      </c>
      <c r="C57" s="105" t="s">
        <v>1130</v>
      </c>
      <c r="D57" s="52" t="str">
        <f t="shared" si="1"/>
        <v>集齐10个鲛人-嫦曦碎片可以合成鲛人-嫦曦</v>
      </c>
      <c r="E57" s="88">
        <v>2</v>
      </c>
      <c r="F57" s="52" t="s">
        <v>12</v>
      </c>
      <c r="G57" s="57" t="s">
        <v>73</v>
      </c>
      <c r="H57" s="52" t="s">
        <v>2156</v>
      </c>
      <c r="I57" s="52" t="s">
        <v>70</v>
      </c>
      <c r="J57" s="113">
        <v>1</v>
      </c>
      <c r="K57" s="52">
        <v>2</v>
      </c>
      <c r="L57" s="52" t="s">
        <v>998</v>
      </c>
      <c r="M57" s="52" t="s">
        <v>12</v>
      </c>
      <c r="N57" s="52" t="s">
        <v>14</v>
      </c>
      <c r="O57" s="52" t="s">
        <v>173</v>
      </c>
      <c r="P57" s="52">
        <v>10</v>
      </c>
      <c r="Q57" s="52" t="s">
        <v>282</v>
      </c>
      <c r="R57" s="57" t="s">
        <v>12</v>
      </c>
      <c r="S57" s="52">
        <v>0</v>
      </c>
      <c r="T57" s="52" t="s">
        <v>12</v>
      </c>
      <c r="U57" s="52">
        <v>0</v>
      </c>
      <c r="V57" s="53" t="e">
        <f>VLOOKUP(#REF!,$Z$4:$AA$9,2,0)</f>
        <v>#REF!</v>
      </c>
      <c r="W57" s="53" t="str">
        <f>VLOOKUP(INT(SUBSTITUTE($Q57,"1|","")),[1]Sheet1!$A:$B,2,0)&amp;"碎片"</f>
        <v>鲛人-嫦曦碎片</v>
      </c>
      <c r="X57" s="53" t="e">
        <f>VLOOKUP(#REF!,$Z$4:$AB$9,3,0)</f>
        <v>#REF!</v>
      </c>
      <c r="AD57" s="53" t="str">
        <f>IFERROR(IF($K57&gt;5,"[[1,[48]],[3,[16,5]]]",IF($K57&lt;3,"[[1,[47]]]","[[1,[47]],[3,[2]],"&amp;VLOOKUP($A57,[2]伙伴碎片途径!$A:$E,5,0)&amp;"]")),"[]")</f>
        <v>[[1,[47]]]</v>
      </c>
    </row>
    <row r="58" spans="1:30" x14ac:dyDescent="0.35">
      <c r="A58" s="56">
        <v>10063</v>
      </c>
      <c r="B58" s="56" t="s">
        <v>415</v>
      </c>
      <c r="C58" s="105" t="s">
        <v>1131</v>
      </c>
      <c r="D58" s="52" t="str">
        <f t="shared" si="1"/>
        <v>集齐10个鲛人-月婵碎片可以合成鲛人-月婵</v>
      </c>
      <c r="E58" s="88">
        <v>2</v>
      </c>
      <c r="F58" s="52" t="s">
        <v>12</v>
      </c>
      <c r="G58" s="57" t="s">
        <v>73</v>
      </c>
      <c r="H58" s="52" t="s">
        <v>2156</v>
      </c>
      <c r="I58" s="52" t="s">
        <v>70</v>
      </c>
      <c r="J58" s="113">
        <v>1</v>
      </c>
      <c r="K58" s="52">
        <v>2</v>
      </c>
      <c r="L58" s="52" t="s">
        <v>998</v>
      </c>
      <c r="M58" s="52" t="s">
        <v>12</v>
      </c>
      <c r="N58" s="52" t="s">
        <v>14</v>
      </c>
      <c r="O58" s="52" t="s">
        <v>173</v>
      </c>
      <c r="P58" s="52">
        <v>10</v>
      </c>
      <c r="Q58" s="52" t="s">
        <v>283</v>
      </c>
      <c r="R58" s="57" t="s">
        <v>12</v>
      </c>
      <c r="S58" s="52">
        <v>0</v>
      </c>
      <c r="T58" s="52" t="s">
        <v>12</v>
      </c>
      <c r="U58" s="52">
        <v>0</v>
      </c>
      <c r="V58" s="53" t="e">
        <f>VLOOKUP(#REF!,$Z$4:$AA$9,2,0)</f>
        <v>#REF!</v>
      </c>
      <c r="W58" s="53" t="str">
        <f>VLOOKUP(INT(SUBSTITUTE($Q58,"1|","")),[1]Sheet1!$A:$B,2,0)&amp;"碎片"</f>
        <v>鲛人-月婵碎片</v>
      </c>
      <c r="X58" s="53" t="e">
        <f>VLOOKUP(#REF!,$Z$4:$AB$9,3,0)</f>
        <v>#REF!</v>
      </c>
      <c r="AD58" s="53" t="str">
        <f>IFERROR(IF($K58&gt;5,"[[1,[48]],[3,[16,5]]]",IF($K58&lt;3,"[[1,[47]]]","[[1,[47]],[3,[2]],"&amp;VLOOKUP($A58,[2]伙伴碎片途径!$A:$E,5,0)&amp;"]")),"[]")</f>
        <v>[[1,[47]]]</v>
      </c>
    </row>
    <row r="59" spans="1:30" x14ac:dyDescent="0.35">
      <c r="A59" s="56">
        <v>10064</v>
      </c>
      <c r="B59" s="56" t="s">
        <v>1132</v>
      </c>
      <c r="C59" s="105" t="s">
        <v>1799</v>
      </c>
      <c r="D59" s="52" t="str">
        <f t="shared" si="1"/>
        <v>集齐10个天兵-金斌碎片可以合成天兵-金斌</v>
      </c>
      <c r="E59" s="88">
        <v>2</v>
      </c>
      <c r="F59" s="52" t="s">
        <v>12</v>
      </c>
      <c r="G59" s="57" t="s">
        <v>73</v>
      </c>
      <c r="H59" s="52" t="s">
        <v>2156</v>
      </c>
      <c r="I59" s="52" t="s">
        <v>70</v>
      </c>
      <c r="J59" s="113">
        <v>1</v>
      </c>
      <c r="K59" s="52">
        <v>1</v>
      </c>
      <c r="L59" s="52" t="s">
        <v>1134</v>
      </c>
      <c r="M59" s="52" t="s">
        <v>12</v>
      </c>
      <c r="N59" s="52" t="s">
        <v>14</v>
      </c>
      <c r="O59" s="52" t="s">
        <v>173</v>
      </c>
      <c r="P59" s="52">
        <v>10</v>
      </c>
      <c r="Q59" s="52" t="s">
        <v>1226</v>
      </c>
      <c r="R59" s="57" t="s">
        <v>12</v>
      </c>
      <c r="S59" s="52">
        <v>0</v>
      </c>
      <c r="T59" s="52" t="s">
        <v>12</v>
      </c>
      <c r="U59" s="52">
        <v>0</v>
      </c>
      <c r="V59" s="53" t="e">
        <f>VLOOKUP(#REF!,$Z$4:$AA$9,2,0)</f>
        <v>#REF!</v>
      </c>
      <c r="W59" s="53" t="str">
        <f>VLOOKUP(INT(SUBSTITUTE($Q59,"1|","")),[1]Sheet1!$A:$B,2,0)&amp;"碎片"</f>
        <v>天兵-金斌碎片</v>
      </c>
      <c r="X59" s="53" t="e">
        <f>VLOOKUP(#REF!,$Z$4:$AB$9,3,0)</f>
        <v>#REF!</v>
      </c>
      <c r="AD59" s="53" t="str">
        <f>IFERROR(IF($K59&gt;5,"[[1,[48]],[3,[16,5]]]",IF($K59&lt;3,"[[1,[47]]]","[[1,[47]],[3,[2]],"&amp;VLOOKUP($A59,[2]伙伴碎片途径!$A:$E,5,0)&amp;"]")),"[]")</f>
        <v>[[1,[47]]]</v>
      </c>
    </row>
    <row r="60" spans="1:30" x14ac:dyDescent="0.35">
      <c r="A60" s="56">
        <v>10065</v>
      </c>
      <c r="B60" s="56" t="s">
        <v>1135</v>
      </c>
      <c r="C60" s="105" t="s">
        <v>1800</v>
      </c>
      <c r="D60" s="52" t="str">
        <f t="shared" si="1"/>
        <v>集齐10个天兵-政仲碎片可以合成天兵-政仲</v>
      </c>
      <c r="E60" s="88">
        <v>2</v>
      </c>
      <c r="F60" s="52" t="s">
        <v>12</v>
      </c>
      <c r="G60" s="57" t="s">
        <v>73</v>
      </c>
      <c r="H60" s="52" t="s">
        <v>2156</v>
      </c>
      <c r="I60" s="52" t="s">
        <v>70</v>
      </c>
      <c r="J60" s="113">
        <v>1</v>
      </c>
      <c r="K60" s="52">
        <v>1</v>
      </c>
      <c r="L60" s="52" t="s">
        <v>1137</v>
      </c>
      <c r="M60" s="52" t="s">
        <v>12</v>
      </c>
      <c r="N60" s="52" t="s">
        <v>14</v>
      </c>
      <c r="O60" s="52" t="s">
        <v>173</v>
      </c>
      <c r="P60" s="52">
        <v>10</v>
      </c>
      <c r="Q60" s="52" t="s">
        <v>1227</v>
      </c>
      <c r="R60" s="57" t="s">
        <v>12</v>
      </c>
      <c r="S60" s="52">
        <v>0</v>
      </c>
      <c r="T60" s="52" t="s">
        <v>12</v>
      </c>
      <c r="U60" s="52">
        <v>0</v>
      </c>
      <c r="V60" s="53" t="e">
        <f>VLOOKUP(#REF!,$Z$4:$AA$9,2,0)</f>
        <v>#REF!</v>
      </c>
      <c r="W60" s="53" t="str">
        <f>VLOOKUP(INT(SUBSTITUTE($Q60,"1|","")),[1]Sheet1!$A:$B,2,0)&amp;"碎片"</f>
        <v>天兵-政仲碎片</v>
      </c>
      <c r="X60" s="53" t="e">
        <f>VLOOKUP(#REF!,$Z$4:$AB$9,3,0)</f>
        <v>#REF!</v>
      </c>
      <c r="AD60" s="53" t="str">
        <f>IFERROR(IF($K60&gt;5,"[[1,[48]],[3,[16,5]]]",IF($K60&lt;3,"[[1,[47]]]","[[1,[47]],[3,[2]],"&amp;VLOOKUP($A60,[2]伙伴碎片途径!$A:$E,5,0)&amp;"]")),"[]")</f>
        <v>[[1,[47]]]</v>
      </c>
    </row>
    <row r="61" spans="1:30" x14ac:dyDescent="0.35">
      <c r="A61" s="56">
        <v>10066</v>
      </c>
      <c r="B61" s="56" t="s">
        <v>1138</v>
      </c>
      <c r="C61" s="105" t="s">
        <v>1801</v>
      </c>
      <c r="D61" s="52" t="str">
        <f t="shared" si="1"/>
        <v>集齐10个天兵-火夕碎片可以合成天兵-火夕</v>
      </c>
      <c r="E61" s="88">
        <v>2</v>
      </c>
      <c r="F61" s="52" t="s">
        <v>12</v>
      </c>
      <c r="G61" s="57" t="s">
        <v>73</v>
      </c>
      <c r="H61" s="52" t="s">
        <v>2156</v>
      </c>
      <c r="I61" s="52" t="s">
        <v>70</v>
      </c>
      <c r="J61" s="113">
        <v>1</v>
      </c>
      <c r="K61" s="52">
        <v>1</v>
      </c>
      <c r="L61" s="52" t="s">
        <v>1140</v>
      </c>
      <c r="M61" s="52" t="s">
        <v>12</v>
      </c>
      <c r="N61" s="52" t="s">
        <v>14</v>
      </c>
      <c r="O61" s="52" t="s">
        <v>173</v>
      </c>
      <c r="P61" s="52">
        <v>10</v>
      </c>
      <c r="Q61" s="52" t="s">
        <v>1228</v>
      </c>
      <c r="R61" s="57" t="s">
        <v>12</v>
      </c>
      <c r="S61" s="52">
        <v>0</v>
      </c>
      <c r="T61" s="52" t="s">
        <v>12</v>
      </c>
      <c r="U61" s="52">
        <v>0</v>
      </c>
      <c r="V61" s="53" t="e">
        <f>VLOOKUP(#REF!,$Z$4:$AA$9,2,0)</f>
        <v>#REF!</v>
      </c>
      <c r="W61" s="53" t="str">
        <f>VLOOKUP(INT(SUBSTITUTE($Q61,"1|","")),[1]Sheet1!$A:$B,2,0)&amp;"碎片"</f>
        <v>天兵-火夕碎片</v>
      </c>
      <c r="X61" s="53" t="e">
        <f>VLOOKUP(#REF!,$Z$4:$AB$9,3,0)</f>
        <v>#REF!</v>
      </c>
      <c r="AD61" s="53" t="str">
        <f>IFERROR(IF($K61&gt;5,"[[1,[48]],[3,[16,5]]]",IF($K61&lt;3,"[[1,[47]]]","[[1,[47]],[3,[2]],"&amp;VLOOKUP($A61,[2]伙伴碎片途径!$A:$E,5,0)&amp;"]")),"[]")</f>
        <v>[[1,[47]]]</v>
      </c>
    </row>
    <row r="62" spans="1:30" x14ac:dyDescent="0.35">
      <c r="A62" s="56">
        <v>10067</v>
      </c>
      <c r="B62" s="56" t="s">
        <v>1141</v>
      </c>
      <c r="C62" s="105" t="s">
        <v>1802</v>
      </c>
      <c r="D62" s="52" t="str">
        <f t="shared" si="1"/>
        <v>集齐10个狼人-霍金碎片可以合成狼人-霍金</v>
      </c>
      <c r="E62" s="88">
        <v>2</v>
      </c>
      <c r="F62" s="52" t="s">
        <v>12</v>
      </c>
      <c r="G62" s="57" t="s">
        <v>73</v>
      </c>
      <c r="H62" s="52" t="s">
        <v>2156</v>
      </c>
      <c r="I62" s="52" t="s">
        <v>70</v>
      </c>
      <c r="J62" s="113">
        <v>1</v>
      </c>
      <c r="K62" s="52">
        <v>1</v>
      </c>
      <c r="L62" s="52" t="s">
        <v>1143</v>
      </c>
      <c r="M62" s="52" t="s">
        <v>12</v>
      </c>
      <c r="N62" s="52" t="s">
        <v>14</v>
      </c>
      <c r="O62" s="52" t="s">
        <v>173</v>
      </c>
      <c r="P62" s="52">
        <v>10</v>
      </c>
      <c r="Q62" s="52" t="s">
        <v>1229</v>
      </c>
      <c r="R62" s="57" t="s">
        <v>12</v>
      </c>
      <c r="S62" s="52">
        <v>0</v>
      </c>
      <c r="T62" s="52" t="s">
        <v>12</v>
      </c>
      <c r="U62" s="52">
        <v>0</v>
      </c>
      <c r="V62" s="53" t="e">
        <f>VLOOKUP(#REF!,$Z$4:$AA$9,2,0)</f>
        <v>#REF!</v>
      </c>
      <c r="W62" s="53" t="str">
        <f>VLOOKUP(INT(SUBSTITUTE($Q62,"1|","")),[1]Sheet1!$A:$B,2,0)&amp;"碎片"</f>
        <v>狼人-霍金碎片</v>
      </c>
      <c r="X62" s="53" t="e">
        <f>VLOOKUP(#REF!,$Z$4:$AB$9,3,0)</f>
        <v>#REF!</v>
      </c>
      <c r="AD62" s="53" t="str">
        <f>IFERROR(IF($K62&gt;5,"[[1,[48]],[3,[16,5]]]",IF($K62&lt;3,"[[1,[47]]]","[[1,[47]],[3,[2]],"&amp;VLOOKUP($A62,[2]伙伴碎片途径!$A:$E,5,0)&amp;"]")),"[]")</f>
        <v>[[1,[47]]]</v>
      </c>
    </row>
    <row r="63" spans="1:30" x14ac:dyDescent="0.35">
      <c r="A63" s="56">
        <v>10068</v>
      </c>
      <c r="B63" s="56" t="s">
        <v>1144</v>
      </c>
      <c r="C63" s="105" t="s">
        <v>1803</v>
      </c>
      <c r="D63" s="52" t="str">
        <f t="shared" si="1"/>
        <v>集齐10个狼人-霍文碎片可以合成狼人-霍文</v>
      </c>
      <c r="E63" s="88">
        <v>2</v>
      </c>
      <c r="F63" s="52" t="s">
        <v>12</v>
      </c>
      <c r="G63" s="57" t="s">
        <v>73</v>
      </c>
      <c r="H63" s="52" t="s">
        <v>2156</v>
      </c>
      <c r="I63" s="52" t="s">
        <v>70</v>
      </c>
      <c r="J63" s="113">
        <v>1</v>
      </c>
      <c r="K63" s="52">
        <v>1</v>
      </c>
      <c r="L63" s="52" t="s">
        <v>1146</v>
      </c>
      <c r="M63" s="52" t="s">
        <v>12</v>
      </c>
      <c r="N63" s="52" t="s">
        <v>14</v>
      </c>
      <c r="O63" s="52" t="s">
        <v>173</v>
      </c>
      <c r="P63" s="52">
        <v>10</v>
      </c>
      <c r="Q63" s="52" t="s">
        <v>1230</v>
      </c>
      <c r="R63" s="57" t="s">
        <v>12</v>
      </c>
      <c r="S63" s="52">
        <v>0</v>
      </c>
      <c r="T63" s="52" t="s">
        <v>12</v>
      </c>
      <c r="U63" s="52">
        <v>0</v>
      </c>
      <c r="V63" s="53" t="e">
        <f>VLOOKUP(#REF!,$Z$4:$AA$9,2,0)</f>
        <v>#REF!</v>
      </c>
      <c r="W63" s="53" t="str">
        <f>VLOOKUP(INT(SUBSTITUTE($Q63,"1|","")),[1]Sheet1!$A:$B,2,0)&amp;"碎片"</f>
        <v>狼人-霍文碎片</v>
      </c>
      <c r="X63" s="53" t="e">
        <f>VLOOKUP(#REF!,$Z$4:$AB$9,3,0)</f>
        <v>#REF!</v>
      </c>
      <c r="AD63" s="53" t="str">
        <f>IFERROR(IF($K63&gt;5,"[[1,[48]],[3,[16,5]]]",IF($K63&lt;3,"[[1,[47]]]","[[1,[47]],[3,[2]],"&amp;VLOOKUP($A63,[2]伙伴碎片途径!$A:$E,5,0)&amp;"]")),"[]")</f>
        <v>[[1,[47]]]</v>
      </c>
    </row>
    <row r="64" spans="1:30" x14ac:dyDescent="0.35">
      <c r="A64" s="56">
        <v>10069</v>
      </c>
      <c r="B64" s="56" t="s">
        <v>1147</v>
      </c>
      <c r="C64" s="105" t="s">
        <v>1804</v>
      </c>
      <c r="D64" s="52" t="str">
        <f t="shared" si="1"/>
        <v>集齐10个狼人-霍达碎片可以合成狼人-霍达</v>
      </c>
      <c r="E64" s="88">
        <v>2</v>
      </c>
      <c r="F64" s="52" t="s">
        <v>12</v>
      </c>
      <c r="G64" s="57" t="s">
        <v>73</v>
      </c>
      <c r="H64" s="52" t="s">
        <v>2156</v>
      </c>
      <c r="I64" s="52" t="s">
        <v>70</v>
      </c>
      <c r="J64" s="113">
        <v>1</v>
      </c>
      <c r="K64" s="52">
        <v>1</v>
      </c>
      <c r="L64" s="52" t="s">
        <v>1149</v>
      </c>
      <c r="M64" s="52" t="s">
        <v>12</v>
      </c>
      <c r="N64" s="52" t="s">
        <v>14</v>
      </c>
      <c r="O64" s="52" t="s">
        <v>173</v>
      </c>
      <c r="P64" s="52">
        <v>10</v>
      </c>
      <c r="Q64" s="52" t="s">
        <v>1231</v>
      </c>
      <c r="R64" s="57" t="s">
        <v>12</v>
      </c>
      <c r="S64" s="52">
        <v>0</v>
      </c>
      <c r="T64" s="52" t="s">
        <v>12</v>
      </c>
      <c r="U64" s="52">
        <v>0</v>
      </c>
      <c r="V64" s="53" t="e">
        <f>VLOOKUP(#REF!,$Z$4:$AA$9,2,0)</f>
        <v>#REF!</v>
      </c>
      <c r="W64" s="53" t="str">
        <f>VLOOKUP(INT(SUBSTITUTE($Q64,"1|","")),[1]Sheet1!$A:$B,2,0)&amp;"碎片"</f>
        <v>狼人-霍达碎片</v>
      </c>
      <c r="X64" s="53" t="e">
        <f>VLOOKUP(#REF!,$Z$4:$AB$9,3,0)</f>
        <v>#REF!</v>
      </c>
      <c r="AD64" s="53" t="str">
        <f>IFERROR(IF($K64&gt;5,"[[1,[48]],[3,[16,5]]]",IF($K64&lt;3,"[[1,[47]]]","[[1,[47]],[3,[2]],"&amp;VLOOKUP($A64,[2]伙伴碎片途径!$A:$E,5,0)&amp;"]")),"[]")</f>
        <v>[[1,[47]]]</v>
      </c>
    </row>
    <row r="65" spans="1:30" x14ac:dyDescent="0.35">
      <c r="A65" s="56">
        <v>10070</v>
      </c>
      <c r="B65" s="56" t="s">
        <v>1150</v>
      </c>
      <c r="C65" s="105" t="s">
        <v>1805</v>
      </c>
      <c r="D65" s="52" t="str">
        <f t="shared" si="1"/>
        <v>集齐10个狼人-霍格碎片可以合成狼人-霍格</v>
      </c>
      <c r="E65" s="88">
        <v>2</v>
      </c>
      <c r="F65" s="52" t="s">
        <v>12</v>
      </c>
      <c r="G65" s="57" t="s">
        <v>73</v>
      </c>
      <c r="H65" s="52" t="s">
        <v>2156</v>
      </c>
      <c r="I65" s="52" t="s">
        <v>70</v>
      </c>
      <c r="J65" s="113">
        <v>1</v>
      </c>
      <c r="K65" s="52">
        <v>1</v>
      </c>
      <c r="L65" s="52" t="s">
        <v>1152</v>
      </c>
      <c r="M65" s="52" t="s">
        <v>12</v>
      </c>
      <c r="N65" s="52" t="s">
        <v>14</v>
      </c>
      <c r="O65" s="52" t="s">
        <v>173</v>
      </c>
      <c r="P65" s="52">
        <v>10</v>
      </c>
      <c r="Q65" s="52" t="s">
        <v>1232</v>
      </c>
      <c r="R65" s="57" t="s">
        <v>12</v>
      </c>
      <c r="S65" s="52">
        <v>0</v>
      </c>
      <c r="T65" s="52" t="s">
        <v>12</v>
      </c>
      <c r="U65" s="52">
        <v>0</v>
      </c>
      <c r="V65" s="53" t="e">
        <f>VLOOKUP(#REF!,$Z$4:$AA$9,2,0)</f>
        <v>#REF!</v>
      </c>
      <c r="W65" s="53" t="str">
        <f>VLOOKUP(INT(SUBSTITUTE($Q65,"1|","")),[1]Sheet1!$A:$B,2,0)&amp;"碎片"</f>
        <v>狼人-霍格碎片</v>
      </c>
      <c r="X65" s="53" t="e">
        <f>VLOOKUP(#REF!,$Z$4:$AB$9,3,0)</f>
        <v>#REF!</v>
      </c>
      <c r="AD65" s="53" t="str">
        <f>IFERROR(IF($K65&gt;5,"[[1,[48]],[3,[16,5]]]",IF($K65&lt;3,"[[1,[47]]]","[[1,[47]],[3,[2]],"&amp;VLOOKUP($A65,[2]伙伴碎片途径!$A:$E,5,0)&amp;"]")),"[]")</f>
        <v>[[1,[47]]]</v>
      </c>
    </row>
    <row r="66" spans="1:30" x14ac:dyDescent="0.35">
      <c r="A66" s="56">
        <v>10071</v>
      </c>
      <c r="B66" s="56" t="s">
        <v>1153</v>
      </c>
      <c r="C66" s="105" t="s">
        <v>1806</v>
      </c>
      <c r="D66" s="52" t="str">
        <f t="shared" si="1"/>
        <v>集齐10个狼人-霍武碎片可以合成狼人-霍武</v>
      </c>
      <c r="E66" s="88">
        <v>2</v>
      </c>
      <c r="F66" s="52" t="s">
        <v>12</v>
      </c>
      <c r="G66" s="57" t="s">
        <v>73</v>
      </c>
      <c r="H66" s="52" t="s">
        <v>2156</v>
      </c>
      <c r="I66" s="52" t="s">
        <v>70</v>
      </c>
      <c r="J66" s="113">
        <v>1</v>
      </c>
      <c r="K66" s="52">
        <v>1</v>
      </c>
      <c r="L66" s="52" t="s">
        <v>1155</v>
      </c>
      <c r="M66" s="52" t="s">
        <v>12</v>
      </c>
      <c r="N66" s="52" t="s">
        <v>14</v>
      </c>
      <c r="O66" s="52" t="s">
        <v>173</v>
      </c>
      <c r="P66" s="52">
        <v>10</v>
      </c>
      <c r="Q66" s="52" t="s">
        <v>1233</v>
      </c>
      <c r="R66" s="57" t="s">
        <v>12</v>
      </c>
      <c r="S66" s="52">
        <v>0</v>
      </c>
      <c r="T66" s="52" t="s">
        <v>12</v>
      </c>
      <c r="U66" s="52">
        <v>0</v>
      </c>
      <c r="V66" s="53" t="e">
        <f>VLOOKUP(#REF!,$Z$4:$AA$9,2,0)</f>
        <v>#REF!</v>
      </c>
      <c r="W66" s="53" t="str">
        <f>VLOOKUP(INT(SUBSTITUTE($Q66,"1|","")),[1]Sheet1!$A:$B,2,0)&amp;"碎片"</f>
        <v>狼人-霍武碎片</v>
      </c>
      <c r="X66" s="53" t="e">
        <f>VLOOKUP(#REF!,$Z$4:$AB$9,3,0)</f>
        <v>#REF!</v>
      </c>
      <c r="AD66" s="53" t="str">
        <f>IFERROR(IF($K66&gt;5,"[[1,[48]],[3,[16,5]]]",IF($K66&lt;3,"[[1,[47]]]","[[1,[47]],[3,[2]],"&amp;VLOOKUP($A66,[2]伙伴碎片途径!$A:$E,5,0)&amp;"]")),"[]")</f>
        <v>[[1,[47]]]</v>
      </c>
    </row>
    <row r="67" spans="1:30" x14ac:dyDescent="0.35">
      <c r="A67" s="56">
        <v>10076</v>
      </c>
      <c r="B67" s="56" t="s">
        <v>1156</v>
      </c>
      <c r="C67" s="105" t="s">
        <v>1807</v>
      </c>
      <c r="D67" s="52" t="str">
        <f t="shared" si="1"/>
        <v>集齐10个骷髅-德明碎片可以合成骷髅-德明</v>
      </c>
      <c r="E67" s="88">
        <v>2</v>
      </c>
      <c r="F67" s="52" t="s">
        <v>12</v>
      </c>
      <c r="G67" s="57" t="s">
        <v>73</v>
      </c>
      <c r="H67" s="52" t="s">
        <v>2156</v>
      </c>
      <c r="I67" s="52" t="s">
        <v>70</v>
      </c>
      <c r="J67" s="113">
        <v>1</v>
      </c>
      <c r="K67" s="52">
        <v>1</v>
      </c>
      <c r="L67" s="52" t="s">
        <v>1158</v>
      </c>
      <c r="M67" s="52" t="s">
        <v>12</v>
      </c>
      <c r="N67" s="52" t="s">
        <v>14</v>
      </c>
      <c r="O67" s="52" t="s">
        <v>173</v>
      </c>
      <c r="P67" s="52">
        <v>10</v>
      </c>
      <c r="Q67" s="52" t="s">
        <v>1234</v>
      </c>
      <c r="R67" s="57" t="s">
        <v>12</v>
      </c>
      <c r="S67" s="52">
        <v>0</v>
      </c>
      <c r="T67" s="52" t="s">
        <v>12</v>
      </c>
      <c r="U67" s="52">
        <v>0</v>
      </c>
      <c r="V67" s="53" t="e">
        <f>VLOOKUP(#REF!,$Z$4:$AA$9,2,0)</f>
        <v>#REF!</v>
      </c>
      <c r="W67" s="53" t="str">
        <f>VLOOKUP(INT(SUBSTITUTE($Q67,"1|","")),[1]Sheet1!$A:$B,2,0)&amp;"碎片"</f>
        <v>骷髅-德明碎片</v>
      </c>
      <c r="X67" s="53" t="e">
        <f>VLOOKUP(#REF!,$Z$4:$AB$9,3,0)</f>
        <v>#REF!</v>
      </c>
      <c r="AD67" s="53" t="str">
        <f>IFERROR(IF($K67&gt;5,"[[1,[48]],[3,[16,5]]]",IF($K67&lt;3,"[[1,[47]]]","[[1,[47]],[3,[2]],"&amp;VLOOKUP($A67,[2]伙伴碎片途径!$A:$E,5,0)&amp;"]")),"[]")</f>
        <v>[[1,[47]]]</v>
      </c>
    </row>
    <row r="68" spans="1:30" x14ac:dyDescent="0.35">
      <c r="A68" s="56">
        <v>10077</v>
      </c>
      <c r="B68" s="56" t="s">
        <v>1159</v>
      </c>
      <c r="C68" s="105" t="s">
        <v>1808</v>
      </c>
      <c r="D68" s="52" t="str">
        <f t="shared" ref="D68:D99" si="2">"集齐"&amp;P68&amp;MID(C68,SEARCH("个",C68,1),100)</f>
        <v>集齐10个骷髅-奇伟碎片可以合成骷髅-奇伟</v>
      </c>
      <c r="E68" s="88">
        <v>2</v>
      </c>
      <c r="F68" s="52" t="s">
        <v>12</v>
      </c>
      <c r="G68" s="57" t="s">
        <v>73</v>
      </c>
      <c r="H68" s="52" t="s">
        <v>2156</v>
      </c>
      <c r="I68" s="52" t="s">
        <v>70</v>
      </c>
      <c r="J68" s="113">
        <v>1</v>
      </c>
      <c r="K68" s="52">
        <v>1</v>
      </c>
      <c r="L68" s="52" t="s">
        <v>1161</v>
      </c>
      <c r="M68" s="52" t="s">
        <v>12</v>
      </c>
      <c r="N68" s="52" t="s">
        <v>14</v>
      </c>
      <c r="O68" s="52" t="s">
        <v>173</v>
      </c>
      <c r="P68" s="52">
        <v>10</v>
      </c>
      <c r="Q68" s="52" t="s">
        <v>1235</v>
      </c>
      <c r="R68" s="57" t="s">
        <v>12</v>
      </c>
      <c r="S68" s="52">
        <v>0</v>
      </c>
      <c r="T68" s="52" t="s">
        <v>12</v>
      </c>
      <c r="U68" s="52">
        <v>0</v>
      </c>
      <c r="V68" s="53" t="e">
        <f>VLOOKUP(#REF!,$Z$4:$AA$9,2,0)</f>
        <v>#REF!</v>
      </c>
      <c r="W68" s="53" t="str">
        <f>VLOOKUP(INT(SUBSTITUTE($Q68,"1|","")),[1]Sheet1!$A:$B,2,0)&amp;"碎片"</f>
        <v>骷髅-奇伟碎片</v>
      </c>
      <c r="X68" s="53" t="e">
        <f>VLOOKUP(#REF!,$Z$4:$AB$9,3,0)</f>
        <v>#REF!</v>
      </c>
      <c r="AD68" s="53" t="str">
        <f>IFERROR(IF($K68&gt;5,"[[1,[48]],[3,[16,5]]]",IF($K68&lt;3,"[[1,[47]]]","[[1,[47]],[3,[2]],"&amp;VLOOKUP($A68,[2]伙伴碎片途径!$A:$E,5,0)&amp;"]")),"[]")</f>
        <v>[[1,[47]]]</v>
      </c>
    </row>
    <row r="69" spans="1:30" x14ac:dyDescent="0.35">
      <c r="A69" s="56">
        <v>10078</v>
      </c>
      <c r="B69" s="56" t="s">
        <v>1162</v>
      </c>
      <c r="C69" s="105" t="s">
        <v>1809</v>
      </c>
      <c r="D69" s="52" t="str">
        <f t="shared" si="2"/>
        <v>集齐10个骷髅-德元碎片可以合成骷髅-德元</v>
      </c>
      <c r="E69" s="88">
        <v>2</v>
      </c>
      <c r="F69" s="52" t="s">
        <v>12</v>
      </c>
      <c r="G69" s="57" t="s">
        <v>73</v>
      </c>
      <c r="H69" s="52" t="s">
        <v>2156</v>
      </c>
      <c r="I69" s="52" t="s">
        <v>70</v>
      </c>
      <c r="J69" s="113">
        <v>1</v>
      </c>
      <c r="K69" s="52">
        <v>1</v>
      </c>
      <c r="L69" s="52" t="s">
        <v>1164</v>
      </c>
      <c r="M69" s="52" t="s">
        <v>12</v>
      </c>
      <c r="N69" s="52" t="s">
        <v>14</v>
      </c>
      <c r="O69" s="52" t="s">
        <v>173</v>
      </c>
      <c r="P69" s="52">
        <v>10</v>
      </c>
      <c r="Q69" s="52" t="s">
        <v>1236</v>
      </c>
      <c r="R69" s="57" t="s">
        <v>12</v>
      </c>
      <c r="S69" s="52">
        <v>0</v>
      </c>
      <c r="T69" s="52" t="s">
        <v>12</v>
      </c>
      <c r="U69" s="52">
        <v>0</v>
      </c>
      <c r="V69" s="53" t="e">
        <f>VLOOKUP(#REF!,$Z$4:$AA$9,2,0)</f>
        <v>#REF!</v>
      </c>
      <c r="W69" s="53" t="str">
        <f>VLOOKUP(INT(SUBSTITUTE($Q69,"1|","")),[1]Sheet1!$A:$B,2,0)&amp;"碎片"</f>
        <v>骷髅-德元碎片</v>
      </c>
      <c r="X69" s="53" t="e">
        <f>VLOOKUP(#REF!,$Z$4:$AB$9,3,0)</f>
        <v>#REF!</v>
      </c>
      <c r="AD69" s="53" t="str">
        <f>IFERROR(IF($K69&gt;5,"[[1,[48]],[3,[16,5]]]",IF($K69&lt;3,"[[1,[47]]]","[[1,[47]],[3,[2]],"&amp;VLOOKUP($A69,[2]伙伴碎片途径!$A:$E,5,0)&amp;"]")),"[]")</f>
        <v>[[1,[47]]]</v>
      </c>
    </row>
    <row r="70" spans="1:30" x14ac:dyDescent="0.35">
      <c r="A70" s="56">
        <v>10079</v>
      </c>
      <c r="B70" s="56" t="s">
        <v>1165</v>
      </c>
      <c r="C70" s="105" t="s">
        <v>1810</v>
      </c>
      <c r="D70" s="52" t="str">
        <f t="shared" si="2"/>
        <v>集齐10个骷髅-彭泽碎片可以合成骷髅-彭泽</v>
      </c>
      <c r="E70" s="88">
        <v>2</v>
      </c>
      <c r="F70" s="52" t="s">
        <v>12</v>
      </c>
      <c r="G70" s="57" t="s">
        <v>73</v>
      </c>
      <c r="H70" s="52" t="s">
        <v>2156</v>
      </c>
      <c r="I70" s="52" t="s">
        <v>70</v>
      </c>
      <c r="J70" s="113">
        <v>1</v>
      </c>
      <c r="K70" s="52">
        <v>1</v>
      </c>
      <c r="L70" s="52" t="s">
        <v>1167</v>
      </c>
      <c r="M70" s="52" t="s">
        <v>12</v>
      </c>
      <c r="N70" s="52" t="s">
        <v>14</v>
      </c>
      <c r="O70" s="52" t="s">
        <v>173</v>
      </c>
      <c r="P70" s="52">
        <v>10</v>
      </c>
      <c r="Q70" s="52" t="s">
        <v>1237</v>
      </c>
      <c r="R70" s="57" t="s">
        <v>12</v>
      </c>
      <c r="S70" s="52">
        <v>0</v>
      </c>
      <c r="T70" s="52" t="s">
        <v>12</v>
      </c>
      <c r="U70" s="52">
        <v>0</v>
      </c>
      <c r="V70" s="53" t="e">
        <f>VLOOKUP(#REF!,$Z$4:$AA$9,2,0)</f>
        <v>#REF!</v>
      </c>
      <c r="W70" s="53" t="str">
        <f>VLOOKUP(INT(SUBSTITUTE($Q70,"1|","")),[1]Sheet1!$A:$B,2,0)&amp;"碎片"</f>
        <v>骷髅-彭泽碎片</v>
      </c>
      <c r="X70" s="53" t="e">
        <f>VLOOKUP(#REF!,$Z$4:$AB$9,3,0)</f>
        <v>#REF!</v>
      </c>
      <c r="AD70" s="53" t="str">
        <f>IFERROR(IF($K70&gt;5,"[[1,[48]],[3,[16,5]]]",IF($K70&lt;3,"[[1,[47]]]","[[1,[47]],[3,[2]],"&amp;VLOOKUP($A70,[2]伙伴碎片途径!$A:$E,5,0)&amp;"]")),"[]")</f>
        <v>[[1,[47]]]</v>
      </c>
    </row>
    <row r="71" spans="1:30" x14ac:dyDescent="0.35">
      <c r="A71" s="56">
        <v>10080</v>
      </c>
      <c r="B71" s="56" t="s">
        <v>1168</v>
      </c>
      <c r="C71" s="105" t="s">
        <v>1811</v>
      </c>
      <c r="D71" s="52" t="str">
        <f t="shared" si="2"/>
        <v>集齐10个蜘蛛-元瑶碎片可以合成蜘蛛-元瑶</v>
      </c>
      <c r="E71" s="88">
        <v>2</v>
      </c>
      <c r="F71" s="52" t="s">
        <v>12</v>
      </c>
      <c r="G71" s="57" t="s">
        <v>73</v>
      </c>
      <c r="H71" s="52" t="s">
        <v>2156</v>
      </c>
      <c r="I71" s="52" t="s">
        <v>70</v>
      </c>
      <c r="J71" s="113">
        <v>1</v>
      </c>
      <c r="K71" s="52">
        <v>1</v>
      </c>
      <c r="L71" s="52" t="s">
        <v>1170</v>
      </c>
      <c r="M71" s="52" t="s">
        <v>12</v>
      </c>
      <c r="N71" s="52" t="s">
        <v>14</v>
      </c>
      <c r="O71" s="52" t="s">
        <v>173</v>
      </c>
      <c r="P71" s="52">
        <v>10</v>
      </c>
      <c r="Q71" s="52" t="s">
        <v>1238</v>
      </c>
      <c r="R71" s="57" t="s">
        <v>12</v>
      </c>
      <c r="S71" s="52">
        <v>0</v>
      </c>
      <c r="T71" s="52" t="s">
        <v>12</v>
      </c>
      <c r="U71" s="52">
        <v>0</v>
      </c>
      <c r="V71" s="53" t="e">
        <f>VLOOKUP(#REF!,$Z$4:$AA$9,2,0)</f>
        <v>#REF!</v>
      </c>
      <c r="W71" s="53" t="str">
        <f>VLOOKUP(INT(SUBSTITUTE($Q71,"1|","")),[1]Sheet1!$A:$B,2,0)&amp;"碎片"</f>
        <v>蜘蛛-元瑶碎片</v>
      </c>
      <c r="X71" s="53" t="e">
        <f>VLOOKUP(#REF!,$Z$4:$AB$9,3,0)</f>
        <v>#REF!</v>
      </c>
      <c r="AD71" s="53" t="str">
        <f>IFERROR(IF($K71&gt;5,"[[1,[48]],[3,[16,5]]]",IF($K71&lt;3,"[[1,[47]]]","[[1,[47]],[3,[2]],"&amp;VLOOKUP($A71,[2]伙伴碎片途径!$A:$E,5,0)&amp;"]")),"[]")</f>
        <v>[[1,[47]]]</v>
      </c>
    </row>
    <row r="72" spans="1:30" x14ac:dyDescent="0.35">
      <c r="A72" s="56">
        <v>10081</v>
      </c>
      <c r="B72" s="56" t="s">
        <v>1171</v>
      </c>
      <c r="C72" s="105" t="s">
        <v>1812</v>
      </c>
      <c r="D72" s="52" t="str">
        <f t="shared" si="2"/>
        <v>集齐10个蜘蛛-怜寒碎片可以合成蜘蛛-怜寒</v>
      </c>
      <c r="E72" s="88">
        <v>2</v>
      </c>
      <c r="F72" s="52" t="s">
        <v>12</v>
      </c>
      <c r="G72" s="57" t="s">
        <v>73</v>
      </c>
      <c r="H72" s="52" t="s">
        <v>2156</v>
      </c>
      <c r="I72" s="52" t="s">
        <v>70</v>
      </c>
      <c r="J72" s="113">
        <v>1</v>
      </c>
      <c r="K72" s="52">
        <v>1</v>
      </c>
      <c r="L72" s="52" t="s">
        <v>1173</v>
      </c>
      <c r="M72" s="52" t="s">
        <v>12</v>
      </c>
      <c r="N72" s="52" t="s">
        <v>14</v>
      </c>
      <c r="O72" s="52" t="s">
        <v>173</v>
      </c>
      <c r="P72" s="52">
        <v>10</v>
      </c>
      <c r="Q72" s="52" t="s">
        <v>1239</v>
      </c>
      <c r="R72" s="57" t="s">
        <v>12</v>
      </c>
      <c r="S72" s="52">
        <v>0</v>
      </c>
      <c r="T72" s="52" t="s">
        <v>12</v>
      </c>
      <c r="U72" s="52">
        <v>0</v>
      </c>
      <c r="V72" s="53" t="e">
        <f>VLOOKUP(#REF!,$Z$4:$AA$9,2,0)</f>
        <v>#REF!</v>
      </c>
      <c r="W72" s="53" t="str">
        <f>VLOOKUP(INT(SUBSTITUTE($Q72,"1|","")),[1]Sheet1!$A:$B,2,0)&amp;"碎片"</f>
        <v>蜘蛛-怜寒碎片</v>
      </c>
      <c r="X72" s="53" t="e">
        <f>VLOOKUP(#REF!,$Z$4:$AB$9,3,0)</f>
        <v>#REF!</v>
      </c>
      <c r="AD72" s="53" t="str">
        <f>IFERROR(IF($K72&gt;5,"[[1,[48]],[3,[16,5]]]",IF($K72&lt;3,"[[1,[47]]]","[[1,[47]],[3,[2]],"&amp;VLOOKUP($A72,[2]伙伴碎片途径!$A:$E,5,0)&amp;"]")),"[]")</f>
        <v>[[1,[47]]]</v>
      </c>
    </row>
    <row r="73" spans="1:30" x14ac:dyDescent="0.35">
      <c r="A73" s="56">
        <v>10082</v>
      </c>
      <c r="B73" s="56" t="s">
        <v>1174</v>
      </c>
      <c r="C73" s="105" t="s">
        <v>1813</v>
      </c>
      <c r="D73" s="52" t="str">
        <f t="shared" si="2"/>
        <v>集齐10个蜘蛛-盼香碎片可以合成蜘蛛-盼香</v>
      </c>
      <c r="E73" s="88">
        <v>2</v>
      </c>
      <c r="F73" s="52" t="s">
        <v>12</v>
      </c>
      <c r="G73" s="57" t="s">
        <v>73</v>
      </c>
      <c r="H73" s="52" t="s">
        <v>2156</v>
      </c>
      <c r="I73" s="52" t="s">
        <v>70</v>
      </c>
      <c r="J73" s="113">
        <v>1</v>
      </c>
      <c r="K73" s="52">
        <v>1</v>
      </c>
      <c r="L73" s="52" t="s">
        <v>1176</v>
      </c>
      <c r="M73" s="52" t="s">
        <v>12</v>
      </c>
      <c r="N73" s="52" t="s">
        <v>14</v>
      </c>
      <c r="O73" s="52" t="s">
        <v>173</v>
      </c>
      <c r="P73" s="52">
        <v>10</v>
      </c>
      <c r="Q73" s="52" t="s">
        <v>1240</v>
      </c>
      <c r="R73" s="57" t="s">
        <v>12</v>
      </c>
      <c r="S73" s="52">
        <v>0</v>
      </c>
      <c r="T73" s="52" t="s">
        <v>12</v>
      </c>
      <c r="U73" s="52">
        <v>0</v>
      </c>
      <c r="V73" s="53" t="e">
        <f>VLOOKUP(#REF!,$Z$4:$AA$9,2,0)</f>
        <v>#REF!</v>
      </c>
      <c r="W73" s="53" t="str">
        <f>VLOOKUP(INT(SUBSTITUTE($Q73,"1|","")),[1]Sheet1!$A:$B,2,0)&amp;"碎片"</f>
        <v>蜘蛛-盼香碎片</v>
      </c>
      <c r="X73" s="53" t="e">
        <f>VLOOKUP(#REF!,$Z$4:$AB$9,3,0)</f>
        <v>#REF!</v>
      </c>
      <c r="AD73" s="53" t="str">
        <f>IFERROR(IF($K73&gt;5,"[[1,[48]],[3,[16,5]]]",IF($K73&lt;3,"[[1,[47]]]","[[1,[47]],[3,[2]],"&amp;VLOOKUP($A73,[2]伙伴碎片途径!$A:$E,5,0)&amp;"]")),"[]")</f>
        <v>[[1,[47]]]</v>
      </c>
    </row>
    <row r="74" spans="1:30" x14ac:dyDescent="0.35">
      <c r="A74" s="56">
        <v>10085</v>
      </c>
      <c r="B74" s="56" t="s">
        <v>1177</v>
      </c>
      <c r="C74" s="105" t="s">
        <v>1814</v>
      </c>
      <c r="D74" s="52" t="str">
        <f t="shared" si="2"/>
        <v>集齐10个女鬼-歆瑶碎片可以合成女鬼-歆瑶</v>
      </c>
      <c r="E74" s="88">
        <v>2</v>
      </c>
      <c r="F74" s="52" t="s">
        <v>12</v>
      </c>
      <c r="G74" s="57" t="s">
        <v>73</v>
      </c>
      <c r="H74" s="52" t="s">
        <v>2156</v>
      </c>
      <c r="I74" s="52" t="s">
        <v>70</v>
      </c>
      <c r="J74" s="113">
        <v>1</v>
      </c>
      <c r="K74" s="52">
        <v>1</v>
      </c>
      <c r="L74" s="52" t="s">
        <v>1179</v>
      </c>
      <c r="M74" s="52" t="s">
        <v>12</v>
      </c>
      <c r="N74" s="52" t="s">
        <v>14</v>
      </c>
      <c r="O74" s="52" t="s">
        <v>173</v>
      </c>
      <c r="P74" s="52">
        <v>10</v>
      </c>
      <c r="Q74" s="52" t="s">
        <v>1241</v>
      </c>
      <c r="R74" s="57" t="s">
        <v>12</v>
      </c>
      <c r="S74" s="52">
        <v>0</v>
      </c>
      <c r="T74" s="52" t="s">
        <v>12</v>
      </c>
      <c r="U74" s="52">
        <v>0</v>
      </c>
      <c r="V74" s="53" t="e">
        <f>VLOOKUP(#REF!,$Z$4:$AA$9,2,0)</f>
        <v>#REF!</v>
      </c>
      <c r="W74" s="53" t="str">
        <f>VLOOKUP(INT(SUBSTITUTE($Q74,"1|","")),[1]Sheet1!$A:$B,2,0)&amp;"碎片"</f>
        <v>女鬼-歆瑶碎片</v>
      </c>
      <c r="X74" s="53" t="e">
        <f>VLOOKUP(#REF!,$Z$4:$AB$9,3,0)</f>
        <v>#REF!</v>
      </c>
      <c r="AD74" s="53" t="str">
        <f>IFERROR(IF($K74&gt;5,"[[1,[48]],[3,[16,5]]]",IF($K74&lt;3,"[[1,[47]]]","[[1,[47]],[3,[2]],"&amp;VLOOKUP($A74,[2]伙伴碎片途径!$A:$E,5,0)&amp;"]")),"[]")</f>
        <v>[[1,[47]]]</v>
      </c>
    </row>
    <row r="75" spans="1:30" x14ac:dyDescent="0.35">
      <c r="A75" s="56">
        <v>10086</v>
      </c>
      <c r="B75" s="56" t="s">
        <v>1180</v>
      </c>
      <c r="C75" s="105" t="s">
        <v>1815</v>
      </c>
      <c r="D75" s="52" t="str">
        <f t="shared" si="2"/>
        <v>集齐10个女鬼-桑榆碎片可以合成女鬼-桑榆</v>
      </c>
      <c r="E75" s="88">
        <v>2</v>
      </c>
      <c r="F75" s="52" t="s">
        <v>12</v>
      </c>
      <c r="G75" s="57" t="s">
        <v>73</v>
      </c>
      <c r="H75" s="52" t="s">
        <v>2156</v>
      </c>
      <c r="I75" s="52" t="s">
        <v>70</v>
      </c>
      <c r="J75" s="113">
        <v>1</v>
      </c>
      <c r="K75" s="52">
        <v>1</v>
      </c>
      <c r="L75" s="52" t="s">
        <v>1182</v>
      </c>
      <c r="M75" s="52" t="s">
        <v>12</v>
      </c>
      <c r="N75" s="52" t="s">
        <v>14</v>
      </c>
      <c r="O75" s="52" t="s">
        <v>173</v>
      </c>
      <c r="P75" s="52">
        <v>10</v>
      </c>
      <c r="Q75" s="52" t="s">
        <v>1242</v>
      </c>
      <c r="R75" s="57" t="s">
        <v>12</v>
      </c>
      <c r="S75" s="52">
        <v>0</v>
      </c>
      <c r="T75" s="52" t="s">
        <v>12</v>
      </c>
      <c r="U75" s="52">
        <v>0</v>
      </c>
      <c r="V75" s="53" t="e">
        <f>VLOOKUP(#REF!,$Z$4:$AA$9,2,0)</f>
        <v>#REF!</v>
      </c>
      <c r="W75" s="53" t="str">
        <f>VLOOKUP(INT(SUBSTITUTE($Q75,"1|","")),[1]Sheet1!$A:$B,2,0)&amp;"碎片"</f>
        <v>女鬼-桑榆碎片</v>
      </c>
      <c r="X75" s="53" t="e">
        <f>VLOOKUP(#REF!,$Z$4:$AB$9,3,0)</f>
        <v>#REF!</v>
      </c>
      <c r="AD75" s="53" t="str">
        <f>IFERROR(IF($K75&gt;5,"[[1,[48]],[3,[16,5]]]",IF($K75&lt;3,"[[1,[47]]]","[[1,[47]],[3,[2]],"&amp;VLOOKUP($A75,[2]伙伴碎片途径!$A:$E,5,0)&amp;"]")),"[]")</f>
        <v>[[1,[47]]]</v>
      </c>
    </row>
    <row r="76" spans="1:30" x14ac:dyDescent="0.35">
      <c r="A76" s="56">
        <v>10087</v>
      </c>
      <c r="B76" s="56" t="s">
        <v>1183</v>
      </c>
      <c r="C76" s="105" t="s">
        <v>1816</v>
      </c>
      <c r="D76" s="52" t="str">
        <f t="shared" si="2"/>
        <v>集齐10个女鬼-语嫣碎片可以合成女鬼-语嫣</v>
      </c>
      <c r="E76" s="88">
        <v>2</v>
      </c>
      <c r="F76" s="52" t="s">
        <v>12</v>
      </c>
      <c r="G76" s="57" t="s">
        <v>73</v>
      </c>
      <c r="H76" s="52" t="s">
        <v>2156</v>
      </c>
      <c r="I76" s="52" t="s">
        <v>70</v>
      </c>
      <c r="J76" s="113">
        <v>1</v>
      </c>
      <c r="K76" s="52">
        <v>1</v>
      </c>
      <c r="L76" s="52" t="s">
        <v>1185</v>
      </c>
      <c r="M76" s="52" t="s">
        <v>12</v>
      </c>
      <c r="N76" s="52" t="s">
        <v>14</v>
      </c>
      <c r="O76" s="52" t="s">
        <v>173</v>
      </c>
      <c r="P76" s="52">
        <v>10</v>
      </c>
      <c r="Q76" s="52" t="s">
        <v>1243</v>
      </c>
      <c r="R76" s="57" t="s">
        <v>12</v>
      </c>
      <c r="S76" s="52">
        <v>0</v>
      </c>
      <c r="T76" s="52" t="s">
        <v>12</v>
      </c>
      <c r="U76" s="52">
        <v>0</v>
      </c>
      <c r="V76" s="53" t="e">
        <f>VLOOKUP(#REF!,$Z$4:$AA$9,2,0)</f>
        <v>#REF!</v>
      </c>
      <c r="W76" s="53" t="str">
        <f>VLOOKUP(INT(SUBSTITUTE($Q76,"1|","")),[1]Sheet1!$A:$B,2,0)&amp;"碎片"</f>
        <v>女鬼-语嫣碎片</v>
      </c>
      <c r="X76" s="53" t="e">
        <f>VLOOKUP(#REF!,$Z$4:$AB$9,3,0)</f>
        <v>#REF!</v>
      </c>
      <c r="AD76" s="53" t="str">
        <f>IFERROR(IF($K76&gt;5,"[[1,[48]],[3,[16,5]]]",IF($K76&lt;3,"[[1,[47]]]","[[1,[47]],[3,[2]],"&amp;VLOOKUP($A76,[2]伙伴碎片途径!$A:$E,5,0)&amp;"]")),"[]")</f>
        <v>[[1,[47]]]</v>
      </c>
    </row>
    <row r="77" spans="1:30" x14ac:dyDescent="0.35">
      <c r="A77" s="56">
        <v>10088</v>
      </c>
      <c r="B77" s="56" t="s">
        <v>1186</v>
      </c>
      <c r="C77" s="105" t="s">
        <v>1817</v>
      </c>
      <c r="D77" s="52" t="str">
        <f t="shared" si="2"/>
        <v>集齐10个女鬼-凌菲碎片可以合成女鬼-凌菲</v>
      </c>
      <c r="E77" s="88">
        <v>2</v>
      </c>
      <c r="F77" s="52" t="s">
        <v>12</v>
      </c>
      <c r="G77" s="57" t="s">
        <v>73</v>
      </c>
      <c r="H77" s="52" t="s">
        <v>2156</v>
      </c>
      <c r="I77" s="52" t="s">
        <v>70</v>
      </c>
      <c r="J77" s="113">
        <v>1</v>
      </c>
      <c r="K77" s="52">
        <v>1</v>
      </c>
      <c r="L77" s="52" t="s">
        <v>1188</v>
      </c>
      <c r="M77" s="52" t="s">
        <v>12</v>
      </c>
      <c r="N77" s="52" t="s">
        <v>14</v>
      </c>
      <c r="O77" s="52" t="s">
        <v>173</v>
      </c>
      <c r="P77" s="52">
        <v>10</v>
      </c>
      <c r="Q77" s="52" t="s">
        <v>1244</v>
      </c>
      <c r="R77" s="57" t="s">
        <v>12</v>
      </c>
      <c r="S77" s="52">
        <v>0</v>
      </c>
      <c r="T77" s="52" t="s">
        <v>12</v>
      </c>
      <c r="U77" s="52">
        <v>0</v>
      </c>
      <c r="V77" s="53" t="e">
        <f>VLOOKUP(#REF!,$Z$4:$AA$9,2,0)</f>
        <v>#REF!</v>
      </c>
      <c r="W77" s="53" t="str">
        <f>VLOOKUP(INT(SUBSTITUTE($Q77,"1|","")),[1]Sheet1!$A:$B,2,0)&amp;"碎片"</f>
        <v>女鬼-凌菲碎片</v>
      </c>
      <c r="X77" s="53" t="e">
        <f>VLOOKUP(#REF!,$Z$4:$AB$9,3,0)</f>
        <v>#REF!</v>
      </c>
      <c r="AD77" s="53" t="str">
        <f>IFERROR(IF($K77&gt;5,"[[1,[48]],[3,[16,5]]]",IF($K77&lt;3,"[[1,[47]]]","[[1,[47]],[3,[2]],"&amp;VLOOKUP($A77,[2]伙伴碎片途径!$A:$E,5,0)&amp;"]")),"[]")</f>
        <v>[[1,[47]]]</v>
      </c>
    </row>
    <row r="78" spans="1:30" x14ac:dyDescent="0.35">
      <c r="A78" s="56">
        <v>10092</v>
      </c>
      <c r="B78" s="56" t="s">
        <v>440</v>
      </c>
      <c r="C78" s="105" t="s">
        <v>1818</v>
      </c>
      <c r="D78" s="52" t="str">
        <f t="shared" si="2"/>
        <v>集齐40个琴仙碎片可以合成琴仙</v>
      </c>
      <c r="E78" s="88">
        <v>2</v>
      </c>
      <c r="F78" s="52" t="s">
        <v>12</v>
      </c>
      <c r="G78" s="57" t="s">
        <v>73</v>
      </c>
      <c r="H78" s="52" t="s">
        <v>2296</v>
      </c>
      <c r="I78" s="52" t="s">
        <v>70</v>
      </c>
      <c r="J78" s="113">
        <v>1</v>
      </c>
      <c r="K78" s="52">
        <v>3</v>
      </c>
      <c r="L78" s="52" t="s">
        <v>441</v>
      </c>
      <c r="M78" s="52" t="s">
        <v>12</v>
      </c>
      <c r="N78" s="52" t="s">
        <v>14</v>
      </c>
      <c r="O78" s="52" t="s">
        <v>173</v>
      </c>
      <c r="P78" s="52">
        <v>40</v>
      </c>
      <c r="Q78" s="52" t="s">
        <v>442</v>
      </c>
      <c r="R78" s="57" t="s">
        <v>12</v>
      </c>
      <c r="S78" s="52">
        <v>0</v>
      </c>
      <c r="T78" s="52" t="s">
        <v>12</v>
      </c>
      <c r="U78" s="52">
        <v>0</v>
      </c>
      <c r="V78" s="53" t="e">
        <f>VLOOKUP(#REF!,$Z$4:$AA$9,2,0)</f>
        <v>#REF!</v>
      </c>
      <c r="W78" s="53" t="str">
        <f>VLOOKUP(INT(SUBSTITUTE($Q78,"1|","")),[1]Sheet1!$A:$B,2,0)&amp;"碎片"</f>
        <v>琴仙碎片</v>
      </c>
      <c r="X78" s="53" t="e">
        <f>VLOOKUP(#REF!,$Z$4:$AB$9,3,0)</f>
        <v>#REF!</v>
      </c>
      <c r="AD78" s="53" t="str">
        <f>IFERROR(IF($K78&gt;5,"[[1,[48]],[3,[16,5]]]",IF($K78&lt;3,"[[1,[47]]]","[[1,[47]],[3,[2]],"&amp;VLOOKUP($A78,[2]伙伴碎片途径!$A:$E,5,0)&amp;"]")),"[]")</f>
        <v>[[1,[47]],[3,[2]],[2,[10079,10146,10326,10506,10686,10866,11046,11226]]]</v>
      </c>
    </row>
    <row r="79" spans="1:30" x14ac:dyDescent="0.35">
      <c r="A79" s="56">
        <v>10093</v>
      </c>
      <c r="B79" s="56" t="s">
        <v>1190</v>
      </c>
      <c r="C79" s="105" t="s">
        <v>1819</v>
      </c>
      <c r="D79" s="52" t="str">
        <f t="shared" si="2"/>
        <v>集齐10个猴兵碎片可以合成猴兵</v>
      </c>
      <c r="E79" s="88">
        <v>2</v>
      </c>
      <c r="F79" s="52" t="s">
        <v>12</v>
      </c>
      <c r="G79" s="57" t="s">
        <v>73</v>
      </c>
      <c r="H79" s="52" t="s">
        <v>2156</v>
      </c>
      <c r="I79" s="52" t="s">
        <v>70</v>
      </c>
      <c r="J79" s="113">
        <v>1</v>
      </c>
      <c r="K79" s="52">
        <v>1</v>
      </c>
      <c r="L79" s="52" t="s">
        <v>1192</v>
      </c>
      <c r="M79" s="52" t="s">
        <v>12</v>
      </c>
      <c r="N79" s="52" t="s">
        <v>14</v>
      </c>
      <c r="O79" s="52" t="s">
        <v>173</v>
      </c>
      <c r="P79" s="52">
        <v>10</v>
      </c>
      <c r="Q79" s="52" t="s">
        <v>1245</v>
      </c>
      <c r="R79" s="57" t="s">
        <v>12</v>
      </c>
      <c r="S79" s="52">
        <v>0</v>
      </c>
      <c r="T79" s="52" t="s">
        <v>12</v>
      </c>
      <c r="U79" s="52">
        <v>0</v>
      </c>
      <c r="V79" s="53" t="e">
        <f>VLOOKUP(#REF!,$Z$4:$AA$9,2,0)</f>
        <v>#REF!</v>
      </c>
      <c r="W79" s="53" t="str">
        <f>VLOOKUP(INT(SUBSTITUTE($Q79,"1|","")),[1]Sheet1!$A:$B,2,0)&amp;"碎片"</f>
        <v>猴兵碎片</v>
      </c>
      <c r="X79" s="53" t="e">
        <f>VLOOKUP(#REF!,$Z$4:$AB$9,3,0)</f>
        <v>#REF!</v>
      </c>
      <c r="AD79" s="53" t="str">
        <f>IFERROR(IF($K79&gt;5,"[[1,[48]],[3,[16,5]]]",IF($K79&lt;3,"[[1,[47]]]","[[1,[47]],[3,[2]],"&amp;VLOOKUP($A79,[2]伙伴碎片途径!$A:$E,5,0)&amp;"]")),"[]")</f>
        <v>[[1,[47]]]</v>
      </c>
    </row>
    <row r="80" spans="1:30" x14ac:dyDescent="0.35">
      <c r="A80" s="56">
        <v>10094</v>
      </c>
      <c r="B80" s="56" t="s">
        <v>1193</v>
      </c>
      <c r="C80" s="105" t="s">
        <v>1820</v>
      </c>
      <c r="D80" s="52" t="str">
        <f t="shared" si="2"/>
        <v>集齐10个山贼碎片可以合成山贼</v>
      </c>
      <c r="E80" s="88">
        <v>2</v>
      </c>
      <c r="F80" s="52" t="s">
        <v>12</v>
      </c>
      <c r="G80" s="57" t="s">
        <v>73</v>
      </c>
      <c r="H80" s="52" t="s">
        <v>2156</v>
      </c>
      <c r="I80" s="52" t="s">
        <v>70</v>
      </c>
      <c r="J80" s="113">
        <v>1</v>
      </c>
      <c r="K80" s="52">
        <v>1</v>
      </c>
      <c r="L80" s="52" t="s">
        <v>1195</v>
      </c>
      <c r="M80" s="52" t="s">
        <v>12</v>
      </c>
      <c r="N80" s="52" t="s">
        <v>14</v>
      </c>
      <c r="O80" s="52" t="s">
        <v>173</v>
      </c>
      <c r="P80" s="52">
        <v>10</v>
      </c>
      <c r="Q80" s="52" t="s">
        <v>1246</v>
      </c>
      <c r="R80" s="57" t="s">
        <v>12</v>
      </c>
      <c r="S80" s="52">
        <v>0</v>
      </c>
      <c r="T80" s="52" t="s">
        <v>12</v>
      </c>
      <c r="U80" s="52">
        <v>0</v>
      </c>
      <c r="V80" s="53" t="e">
        <f>VLOOKUP(#REF!,$Z$4:$AA$9,2,0)</f>
        <v>#REF!</v>
      </c>
      <c r="W80" s="53" t="str">
        <f>VLOOKUP(INT(SUBSTITUTE($Q80,"1|","")),[1]Sheet1!$A:$B,2,0)&amp;"碎片"</f>
        <v>山贼碎片</v>
      </c>
      <c r="X80" s="53" t="e">
        <f>VLOOKUP(#REF!,$Z$4:$AB$9,3,0)</f>
        <v>#REF!</v>
      </c>
      <c r="AD80" s="53" t="str">
        <f>IFERROR(IF($K80&gt;5,"[[1,[48]],[3,[16,5]]]",IF($K80&lt;3,"[[1,[47]]]","[[1,[47]],[3,[2]],"&amp;VLOOKUP($A80,[2]伙伴碎片途径!$A:$E,5,0)&amp;"]")),"[]")</f>
        <v>[[1,[47]]]</v>
      </c>
    </row>
    <row r="81" spans="1:30" x14ac:dyDescent="0.35">
      <c r="A81" s="56">
        <v>10101</v>
      </c>
      <c r="B81" s="56" t="s">
        <v>110</v>
      </c>
      <c r="C81" s="105" t="s">
        <v>1196</v>
      </c>
      <c r="D81" s="52" t="str">
        <f t="shared" si="2"/>
        <v>集齐80个阎罗王碎片可以合成阎罗王</v>
      </c>
      <c r="E81" s="88">
        <v>2</v>
      </c>
      <c r="F81" s="52" t="s">
        <v>12</v>
      </c>
      <c r="G81" s="57" t="s">
        <v>862</v>
      </c>
      <c r="H81" s="52" t="s">
        <v>2297</v>
      </c>
      <c r="I81" s="52" t="s">
        <v>70</v>
      </c>
      <c r="J81" s="113">
        <v>1</v>
      </c>
      <c r="K81" s="52">
        <v>4</v>
      </c>
      <c r="L81" s="52" t="s">
        <v>753</v>
      </c>
      <c r="M81" s="52" t="s">
        <v>12</v>
      </c>
      <c r="N81" s="52" t="s">
        <v>14</v>
      </c>
      <c r="O81" s="52" t="s">
        <v>173</v>
      </c>
      <c r="P81" s="52">
        <v>80</v>
      </c>
      <c r="Q81" s="52" t="s">
        <v>443</v>
      </c>
      <c r="R81" s="57" t="s">
        <v>12</v>
      </c>
      <c r="S81" s="52">
        <v>0</v>
      </c>
      <c r="T81" s="52" t="s">
        <v>12</v>
      </c>
      <c r="U81" s="52">
        <v>0</v>
      </c>
      <c r="V81" s="53" t="e">
        <f>VLOOKUP(#REF!,$Z$4:$AA$9,2,0)</f>
        <v>#REF!</v>
      </c>
      <c r="W81" s="53" t="str">
        <f>VLOOKUP(INT(SUBSTITUTE($Q81,"1|","")),[1]Sheet1!$A:$B,2,0)&amp;"碎片"</f>
        <v>阎罗王碎片</v>
      </c>
      <c r="X81" s="53" t="e">
        <f>VLOOKUP(#REF!,$Z$4:$AB$9,3,0)</f>
        <v>#REF!</v>
      </c>
      <c r="AD81" s="53" t="str">
        <f>IFERROR(IF($K81&gt;5,"[[1,[48]],[3,[16,5]]]",IF($K81&lt;3,"[[1,[47]]]","[[1,[47]],[3,[2]],"&amp;VLOOKUP($A81,[2]伙伴碎片途径!$A:$E,5,0)&amp;"]")),"[]")</f>
        <v>[[1,[47]],[3,[2]],[2,[10080,10289,10499,10709,10919,11129]]]</v>
      </c>
    </row>
    <row r="82" spans="1:30" x14ac:dyDescent="0.35">
      <c r="A82" s="56">
        <v>10102</v>
      </c>
      <c r="B82" s="56" t="s">
        <v>444</v>
      </c>
      <c r="C82" s="105" t="s">
        <v>1197</v>
      </c>
      <c r="D82" s="52" t="str">
        <f t="shared" si="2"/>
        <v>集齐80个人参娃碎片可以合成人参娃</v>
      </c>
      <c r="E82" s="88">
        <v>2</v>
      </c>
      <c r="F82" s="52" t="s">
        <v>12</v>
      </c>
      <c r="G82" s="57" t="s">
        <v>862</v>
      </c>
      <c r="H82" s="52" t="s">
        <v>2263</v>
      </c>
      <c r="I82" s="52" t="s">
        <v>70</v>
      </c>
      <c r="J82" s="113">
        <v>1</v>
      </c>
      <c r="K82" s="52">
        <v>4</v>
      </c>
      <c r="L82" s="52" t="s">
        <v>999</v>
      </c>
      <c r="M82" s="52" t="s">
        <v>12</v>
      </c>
      <c r="N82" s="52" t="s">
        <v>14</v>
      </c>
      <c r="O82" s="52" t="s">
        <v>173</v>
      </c>
      <c r="P82" s="52">
        <v>80</v>
      </c>
      <c r="Q82" s="52" t="s">
        <v>445</v>
      </c>
      <c r="R82" s="57" t="s">
        <v>12</v>
      </c>
      <c r="S82" s="52">
        <v>0</v>
      </c>
      <c r="T82" s="52" t="s">
        <v>12</v>
      </c>
      <c r="U82" s="52">
        <v>0</v>
      </c>
      <c r="V82" s="53" t="e">
        <f>VLOOKUP(#REF!,$Z$4:$AA$9,2,0)</f>
        <v>#REF!</v>
      </c>
      <c r="W82" s="53" t="str">
        <f>VLOOKUP(INT(SUBSTITUTE($Q82,"1|","")),[1]Sheet1!$A:$B,2,0)&amp;"碎片"</f>
        <v>人参娃碎片</v>
      </c>
      <c r="X82" s="53" t="e">
        <f>VLOOKUP(#REF!,$Z$4:$AB$9,3,0)</f>
        <v>#REF!</v>
      </c>
      <c r="AD82" s="53" t="str">
        <f>IFERROR(IF($K82&gt;5,"[[1,[48]],[3,[16,5]]]",IF($K82&lt;3,"[[1,[47]]]","[[1,[47]],[3,[2]],"&amp;VLOOKUP($A82,[2]伙伴碎片途径!$A:$E,5,0)&amp;"]")),"[]")</f>
        <v>[[1,[47]],[3,[2]],[2,[10149,10359,10569,10779,10989,11199]]]</v>
      </c>
    </row>
    <row r="83" spans="1:30" x14ac:dyDescent="0.35">
      <c r="A83" s="56">
        <v>10103</v>
      </c>
      <c r="B83" s="56" t="s">
        <v>893</v>
      </c>
      <c r="C83" s="105" t="s">
        <v>1198</v>
      </c>
      <c r="D83" s="52" t="str">
        <f t="shared" si="2"/>
        <v>集齐40个鬼使黑碎片可以合成鬼使黑</v>
      </c>
      <c r="E83" s="88">
        <v>2</v>
      </c>
      <c r="F83" s="52" t="s">
        <v>12</v>
      </c>
      <c r="G83" s="57" t="s">
        <v>862</v>
      </c>
      <c r="H83" s="52" t="s">
        <v>2298</v>
      </c>
      <c r="I83" s="52" t="s">
        <v>70</v>
      </c>
      <c r="J83" s="113">
        <v>1</v>
      </c>
      <c r="K83" s="52">
        <v>3</v>
      </c>
      <c r="L83" s="52" t="s">
        <v>896</v>
      </c>
      <c r="M83" s="52" t="s">
        <v>12</v>
      </c>
      <c r="N83" s="52" t="s">
        <v>14</v>
      </c>
      <c r="O83" s="52" t="s">
        <v>173</v>
      </c>
      <c r="P83" s="52">
        <v>40</v>
      </c>
      <c r="Q83" s="52" t="s">
        <v>446</v>
      </c>
      <c r="R83" s="57" t="s">
        <v>12</v>
      </c>
      <c r="S83" s="52">
        <v>0</v>
      </c>
      <c r="T83" s="52" t="s">
        <v>12</v>
      </c>
      <c r="U83" s="52">
        <v>0</v>
      </c>
      <c r="V83" s="53" t="e">
        <f>VLOOKUP(#REF!,$Z$4:$AA$9,2,0)</f>
        <v>#REF!</v>
      </c>
      <c r="W83" s="53" t="str">
        <f>VLOOKUP(INT(SUBSTITUTE($Q83,"1|","")),[1]Sheet1!$A:$B,2,0)&amp;"碎片"</f>
        <v>鬼使黑碎片</v>
      </c>
      <c r="X83" s="53" t="e">
        <f>VLOOKUP(#REF!,$Z$4:$AB$9,3,0)</f>
        <v>#REF!</v>
      </c>
      <c r="AD83" s="53" t="str">
        <f>IFERROR(IF($K83&gt;5,"[[1,[48]],[3,[16,5]]]",IF($K83&lt;3,"[[1,[47]]]","[[1,[47]],[3,[2]],"&amp;VLOOKUP($A83,[2]伙伴碎片途径!$A:$E,5,0)&amp;"]")),"[]")</f>
        <v>[[1,[47]],[3,[2]],[2,[10069,10136,10316,10496,10676,10856,11036,11216]]]</v>
      </c>
    </row>
    <row r="84" spans="1:30" x14ac:dyDescent="0.35">
      <c r="A84" s="56">
        <v>10104</v>
      </c>
      <c r="B84" s="56" t="s">
        <v>894</v>
      </c>
      <c r="C84" s="105" t="s">
        <v>1199</v>
      </c>
      <c r="D84" s="52" t="str">
        <f t="shared" si="2"/>
        <v>集齐40个鬼使白碎片可以合成鬼使白</v>
      </c>
      <c r="E84" s="88">
        <v>2</v>
      </c>
      <c r="F84" s="52" t="s">
        <v>12</v>
      </c>
      <c r="G84" s="57" t="s">
        <v>862</v>
      </c>
      <c r="H84" s="52" t="s">
        <v>2299</v>
      </c>
      <c r="I84" s="52" t="s">
        <v>70</v>
      </c>
      <c r="J84" s="113">
        <v>1</v>
      </c>
      <c r="K84" s="52">
        <v>3</v>
      </c>
      <c r="L84" s="52" t="s">
        <v>895</v>
      </c>
      <c r="M84" s="52" t="s">
        <v>12</v>
      </c>
      <c r="N84" s="52" t="s">
        <v>14</v>
      </c>
      <c r="O84" s="52" t="s">
        <v>173</v>
      </c>
      <c r="P84" s="52">
        <v>40</v>
      </c>
      <c r="Q84" s="52" t="s">
        <v>447</v>
      </c>
      <c r="R84" s="57" t="s">
        <v>12</v>
      </c>
      <c r="S84" s="52">
        <v>0</v>
      </c>
      <c r="T84" s="52" t="s">
        <v>12</v>
      </c>
      <c r="U84" s="52">
        <v>0</v>
      </c>
      <c r="V84" s="53" t="e">
        <f>VLOOKUP(#REF!,$Z$4:$AA$9,2,0)</f>
        <v>#REF!</v>
      </c>
      <c r="W84" s="53" t="str">
        <f>VLOOKUP(INT(SUBSTITUTE($Q84,"1|","")),[1]Sheet1!$A:$B,2,0)&amp;"碎片"</f>
        <v>鬼使白碎片</v>
      </c>
      <c r="X84" s="53" t="e">
        <f>VLOOKUP(#REF!,$Z$4:$AB$9,3,0)</f>
        <v>#REF!</v>
      </c>
      <c r="AD84" s="53" t="str">
        <f>IFERROR(IF($K84&gt;5,"[[1,[48]],[3,[16,5]]]",IF($K84&lt;3,"[[1,[47]]]","[[1,[47]],[3,[2]],"&amp;VLOOKUP($A84,[2]伙伴碎片途径!$A:$E,5,0)&amp;"]")),"[]")</f>
        <v>[[1,[47]],[3,[2]],[2,[10059,10126,10306,10486,10666,10846,11026,11206]]]</v>
      </c>
    </row>
    <row r="85" spans="1:30" x14ac:dyDescent="0.35">
      <c r="A85" s="56">
        <v>10105</v>
      </c>
      <c r="B85" s="56" t="s">
        <v>448</v>
      </c>
      <c r="C85" s="105" t="s">
        <v>1200</v>
      </c>
      <c r="D85" s="52" t="str">
        <f t="shared" si="2"/>
        <v>集齐40个马面碎片可以合成马面</v>
      </c>
      <c r="E85" s="88">
        <v>2</v>
      </c>
      <c r="F85" s="52" t="s">
        <v>12</v>
      </c>
      <c r="G85" s="57" t="s">
        <v>862</v>
      </c>
      <c r="H85" s="52" t="s">
        <v>2264</v>
      </c>
      <c r="I85" s="52" t="s">
        <v>70</v>
      </c>
      <c r="J85" s="113">
        <v>1</v>
      </c>
      <c r="K85" s="52">
        <v>3</v>
      </c>
      <c r="L85" s="52" t="s">
        <v>754</v>
      </c>
      <c r="M85" s="52" t="s">
        <v>12</v>
      </c>
      <c r="N85" s="52" t="s">
        <v>14</v>
      </c>
      <c r="O85" s="52" t="s">
        <v>173</v>
      </c>
      <c r="P85" s="52">
        <v>40</v>
      </c>
      <c r="Q85" s="52" t="s">
        <v>449</v>
      </c>
      <c r="R85" s="57" t="s">
        <v>12</v>
      </c>
      <c r="S85" s="52">
        <v>0</v>
      </c>
      <c r="T85" s="52" t="s">
        <v>12</v>
      </c>
      <c r="U85" s="52">
        <v>0</v>
      </c>
      <c r="V85" s="53" t="e">
        <f>VLOOKUP(#REF!,$Z$4:$AA$9,2,0)</f>
        <v>#REF!</v>
      </c>
      <c r="W85" s="53" t="str">
        <f>VLOOKUP(INT(SUBSTITUTE($Q85,"1|","")),[1]Sheet1!$A:$B,2,0)&amp;"碎片"</f>
        <v>马面碎片</v>
      </c>
      <c r="X85" s="53" t="e">
        <f>VLOOKUP(#REF!,$Z$4:$AB$9,3,0)</f>
        <v>#REF!</v>
      </c>
      <c r="AD85" s="53" t="str">
        <f>IFERROR(IF($K85&gt;5,"[[1,[48]],[3,[16,5]]]",IF($K85&lt;3,"[[1,[47]]]","[[1,[47]],[3,[2]],"&amp;VLOOKUP($A85,[2]伙伴碎片途径!$A:$E,5,0)&amp;"]")),"[]")</f>
        <v>[[1,[47]],[3,[2]],[2,[10046,10226,10406,10586,10766,10946,11126,11316]]]</v>
      </c>
    </row>
    <row r="86" spans="1:30" x14ac:dyDescent="0.35">
      <c r="A86" s="56">
        <v>10106</v>
      </c>
      <c r="B86" s="56" t="s">
        <v>450</v>
      </c>
      <c r="C86" s="105" t="s">
        <v>1201</v>
      </c>
      <c r="D86" s="52" t="str">
        <f t="shared" si="2"/>
        <v>集齐40个牛头碎片可以合成牛头</v>
      </c>
      <c r="E86" s="88">
        <v>2</v>
      </c>
      <c r="F86" s="52" t="s">
        <v>12</v>
      </c>
      <c r="G86" s="57" t="s">
        <v>862</v>
      </c>
      <c r="H86" s="52" t="s">
        <v>2265</v>
      </c>
      <c r="I86" s="52" t="s">
        <v>70</v>
      </c>
      <c r="J86" s="113">
        <v>1</v>
      </c>
      <c r="K86" s="52">
        <v>3</v>
      </c>
      <c r="L86" s="52" t="s">
        <v>755</v>
      </c>
      <c r="M86" s="52" t="s">
        <v>12</v>
      </c>
      <c r="N86" s="52" t="s">
        <v>14</v>
      </c>
      <c r="O86" s="52" t="s">
        <v>173</v>
      </c>
      <c r="P86" s="52">
        <v>40</v>
      </c>
      <c r="Q86" s="52" t="s">
        <v>451</v>
      </c>
      <c r="R86" s="57" t="s">
        <v>12</v>
      </c>
      <c r="S86" s="52">
        <v>0</v>
      </c>
      <c r="T86" s="52" t="s">
        <v>12</v>
      </c>
      <c r="U86" s="52">
        <v>0</v>
      </c>
      <c r="V86" s="53" t="e">
        <f>VLOOKUP(#REF!,$Z$4:$AA$9,2,0)</f>
        <v>#REF!</v>
      </c>
      <c r="W86" s="53" t="str">
        <f>VLOOKUP(INT(SUBSTITUTE($Q86,"1|","")),[1]Sheet1!$A:$B,2,0)&amp;"碎片"</f>
        <v>牛头碎片</v>
      </c>
      <c r="X86" s="53" t="e">
        <f>VLOOKUP(#REF!,$Z$4:$AB$9,3,0)</f>
        <v>#REF!</v>
      </c>
      <c r="AD86" s="53" t="str">
        <f>IFERROR(IF($K86&gt;5,"[[1,[48]],[3,[16,5]]]",IF($K86&lt;3,"[[1,[47]]]","[[1,[47]],[3,[2]],"&amp;VLOOKUP($A86,[2]伙伴碎片途径!$A:$E,5,0)&amp;"]")),"[]")</f>
        <v>[[1,[47]],[3,[2]],[2,[10036,10216,10396,10576,10756,10936,11116,11306]]]</v>
      </c>
    </row>
    <row r="87" spans="1:30" x14ac:dyDescent="0.35">
      <c r="A87" s="56">
        <v>10107</v>
      </c>
      <c r="B87" s="56" t="s">
        <v>1463</v>
      </c>
      <c r="C87" s="105" t="s">
        <v>1464</v>
      </c>
      <c r="D87" s="52" t="str">
        <f t="shared" si="2"/>
        <v>集齐80个引魂仙子碎片可以合成引魂仙子</v>
      </c>
      <c r="E87" s="88">
        <v>2</v>
      </c>
      <c r="F87" s="52" t="s">
        <v>12</v>
      </c>
      <c r="G87" s="57" t="s">
        <v>862</v>
      </c>
      <c r="H87" s="52" t="s">
        <v>2300</v>
      </c>
      <c r="I87" s="52" t="s">
        <v>70</v>
      </c>
      <c r="J87" s="113">
        <v>1</v>
      </c>
      <c r="K87" s="52">
        <v>4</v>
      </c>
      <c r="L87" s="52" t="s">
        <v>1465</v>
      </c>
      <c r="M87" s="52" t="s">
        <v>12</v>
      </c>
      <c r="N87" s="52" t="s">
        <v>14</v>
      </c>
      <c r="O87" s="52" t="s">
        <v>173</v>
      </c>
      <c r="P87" s="52">
        <v>80</v>
      </c>
      <c r="Q87" s="52" t="s">
        <v>453</v>
      </c>
      <c r="R87" s="57" t="s">
        <v>12</v>
      </c>
      <c r="S87" s="52">
        <v>0</v>
      </c>
      <c r="T87" s="52" t="s">
        <v>12</v>
      </c>
      <c r="U87" s="52">
        <v>0</v>
      </c>
      <c r="V87" s="53" t="e">
        <f>VLOOKUP(#REF!,$Z$4:$AA$9,2,0)</f>
        <v>#REF!</v>
      </c>
      <c r="W87" s="53" t="str">
        <f>VLOOKUP(INT(SUBSTITUTE($Q87,"1|","")),[1]Sheet1!$A:$B,2,0)&amp;"碎片"</f>
        <v>引魂仙子碎片</v>
      </c>
      <c r="X87" s="53" t="e">
        <f>VLOOKUP(#REF!,$Z$4:$AB$9,3,0)</f>
        <v>#REF!</v>
      </c>
      <c r="AD87" s="53" t="str">
        <f>IFERROR(IF($K87&gt;5,"[[1,[48]],[3,[16,5]]]",IF($K87&lt;3,"[[1,[47]]]","[[1,[47]],[3,[2]],"&amp;VLOOKUP($A87,[2]伙伴碎片途径!$A:$E,5,0)&amp;"]")),"[]")</f>
        <v>[[1,[47]],[3,[2]],[2,[10110,10319,10529,10739,10949,11159]]]</v>
      </c>
    </row>
    <row r="88" spans="1:30" x14ac:dyDescent="0.35">
      <c r="A88" s="56">
        <v>10108</v>
      </c>
      <c r="B88" s="56" t="s">
        <v>1466</v>
      </c>
      <c r="C88" s="105" t="s">
        <v>1467</v>
      </c>
      <c r="D88" s="52" t="str">
        <f t="shared" si="2"/>
        <v>集齐80个彩蝶仙童碎片可以合成彩蝶仙童</v>
      </c>
      <c r="E88" s="88">
        <v>2</v>
      </c>
      <c r="F88" s="52" t="s">
        <v>12</v>
      </c>
      <c r="G88" s="57" t="s">
        <v>862</v>
      </c>
      <c r="H88" s="52" t="s">
        <v>2301</v>
      </c>
      <c r="I88" s="52" t="s">
        <v>70</v>
      </c>
      <c r="J88" s="113">
        <v>1</v>
      </c>
      <c r="K88" s="52">
        <v>4</v>
      </c>
      <c r="L88" s="52" t="s">
        <v>1468</v>
      </c>
      <c r="M88" s="52" t="s">
        <v>12</v>
      </c>
      <c r="N88" s="52" t="s">
        <v>14</v>
      </c>
      <c r="O88" s="52" t="s">
        <v>173</v>
      </c>
      <c r="P88" s="52">
        <v>80</v>
      </c>
      <c r="Q88" s="52" t="s">
        <v>456</v>
      </c>
      <c r="R88" s="57" t="s">
        <v>12</v>
      </c>
      <c r="S88" s="52">
        <v>0</v>
      </c>
      <c r="T88" s="52" t="s">
        <v>12</v>
      </c>
      <c r="U88" s="52">
        <v>0</v>
      </c>
      <c r="V88" s="53" t="e">
        <f>VLOOKUP(#REF!,$Z$4:$AA$9,2,0)</f>
        <v>#REF!</v>
      </c>
      <c r="W88" s="53" t="str">
        <f>VLOOKUP(INT(SUBSTITUTE($Q88,"1|","")),[1]Sheet1!$A:$B,2,0)&amp;"碎片"</f>
        <v>彩蝶仙童碎片</v>
      </c>
      <c r="X88" s="53" t="e">
        <f>VLOOKUP(#REF!,$Z$4:$AB$9,3,0)</f>
        <v>#REF!</v>
      </c>
      <c r="AD88" s="53" t="str">
        <f>IFERROR(IF($K88&gt;5,"[[1,[48]],[3,[16,5]]]",IF($K88&lt;3,"[[1,[47]]]","[[1,[47]],[3,[2]],"&amp;VLOOKUP($A88,[2]伙伴碎片途径!$A:$E,5,0)&amp;"]")),"[]")</f>
        <v>[[1,[47]],[3,[2]],[2,[10090,10299,10509,10719,10929,11139]]]</v>
      </c>
    </row>
    <row r="89" spans="1:30" x14ac:dyDescent="0.35">
      <c r="A89" s="56">
        <v>10111</v>
      </c>
      <c r="B89" s="56" t="s">
        <v>457</v>
      </c>
      <c r="C89" s="105" t="s">
        <v>2049</v>
      </c>
      <c r="D89" s="52" t="str">
        <f t="shared" si="2"/>
        <v>集齐120个斗战胜佛碎片可以合成斗战胜佛</v>
      </c>
      <c r="E89" s="88">
        <v>2</v>
      </c>
      <c r="F89" s="52" t="s">
        <v>12</v>
      </c>
      <c r="G89" s="57" t="s">
        <v>862</v>
      </c>
      <c r="H89" s="52" t="s">
        <v>2320</v>
      </c>
      <c r="I89" s="52" t="s">
        <v>70</v>
      </c>
      <c r="J89" s="113">
        <v>1</v>
      </c>
      <c r="K89" s="52">
        <v>6</v>
      </c>
      <c r="L89" s="52" t="s">
        <v>757</v>
      </c>
      <c r="M89" s="52" t="s">
        <v>12</v>
      </c>
      <c r="N89" s="52" t="s">
        <v>14</v>
      </c>
      <c r="O89" s="52" t="s">
        <v>173</v>
      </c>
      <c r="P89" s="52">
        <v>120</v>
      </c>
      <c r="Q89" s="52" t="s">
        <v>458</v>
      </c>
      <c r="R89" s="57" t="s">
        <v>12</v>
      </c>
      <c r="S89" s="52">
        <v>0</v>
      </c>
      <c r="T89" s="52" t="s">
        <v>12</v>
      </c>
      <c r="U89" s="52">
        <v>0</v>
      </c>
      <c r="V89" s="53" t="e">
        <f>VLOOKUP(#REF!,$Z$4:$AA$9,2,0)</f>
        <v>#REF!</v>
      </c>
      <c r="W89" s="53" t="str">
        <f>VLOOKUP(INT(SUBSTITUTE($Q89,"1|","")),[1]Sheet1!$A:$B,2,0)&amp;"碎片"</f>
        <v>斗战胜佛碎片</v>
      </c>
      <c r="X89" s="53" t="e">
        <f>VLOOKUP(#REF!,$Z$4:$AB$9,3,0)</f>
        <v>#REF!</v>
      </c>
      <c r="AD89" s="53" t="str">
        <f>IFERROR(IF($K89&gt;5,"[[1,[48]],[3,[16,5]]]",IF($K89&lt;3,"[[1,[47]]]","[[1,[47]],[3,[2]],"&amp;VLOOKUP($A89,[2]伙伴碎片途径!$A:$E,5,0)&amp;"]")),"[]")</f>
        <v>[[1,[48]],[3,[16,5]]]</v>
      </c>
    </row>
    <row r="90" spans="1:30" x14ac:dyDescent="0.35">
      <c r="A90" s="56">
        <v>10112</v>
      </c>
      <c r="B90" s="56" t="s">
        <v>459</v>
      </c>
      <c r="C90" s="105" t="s">
        <v>1205</v>
      </c>
      <c r="D90" s="52" t="str">
        <f t="shared" si="2"/>
        <v>集齐100个金蝉子碎片可以合成金蝉子</v>
      </c>
      <c r="E90" s="88">
        <v>2</v>
      </c>
      <c r="F90" s="52" t="s">
        <v>12</v>
      </c>
      <c r="G90" s="57" t="s">
        <v>862</v>
      </c>
      <c r="H90" s="52" t="s">
        <v>2266</v>
      </c>
      <c r="I90" s="52" t="s">
        <v>70</v>
      </c>
      <c r="J90" s="113">
        <v>1</v>
      </c>
      <c r="K90" s="52">
        <v>5</v>
      </c>
      <c r="L90" s="52" t="s">
        <v>758</v>
      </c>
      <c r="M90" s="52" t="s">
        <v>12</v>
      </c>
      <c r="N90" s="52" t="s">
        <v>14</v>
      </c>
      <c r="O90" s="52" t="s">
        <v>173</v>
      </c>
      <c r="P90" s="52">
        <v>100</v>
      </c>
      <c r="Q90" s="52" t="s">
        <v>460</v>
      </c>
      <c r="R90" s="57" t="s">
        <v>12</v>
      </c>
      <c r="S90" s="52">
        <v>0</v>
      </c>
      <c r="T90" s="52" t="s">
        <v>12</v>
      </c>
      <c r="U90" s="52">
        <v>0</v>
      </c>
      <c r="V90" s="53" t="e">
        <f>VLOOKUP(#REF!,$Z$4:$AA$9,2,0)</f>
        <v>#REF!</v>
      </c>
      <c r="W90" s="53" t="str">
        <f>VLOOKUP(INT(SUBSTITUTE($Q90,"1|","")),[1]Sheet1!$A:$B,2,0)&amp;"碎片"</f>
        <v>金蝉子碎片</v>
      </c>
      <c r="X90" s="53" t="e">
        <f>VLOOKUP(#REF!,$Z$4:$AB$9,3,0)</f>
        <v>#REF!</v>
      </c>
      <c r="AD90" s="53" t="str">
        <f>IFERROR(IF($K90&gt;5,"[[1,[48]],[3,[16,5]]]",IF($K90&lt;3,"[[1,[47]]]","[[1,[47]],[3,[2]],"&amp;VLOOKUP($A90,[2]伙伴碎片途径!$A:$E,5,0)&amp;"]")),"[]")</f>
        <v>[[1,[47]],[3,[2]],[2,[10250,10400,10550,10700,10850,11000,11150,11300]]]</v>
      </c>
    </row>
    <row r="91" spans="1:30" x14ac:dyDescent="0.35">
      <c r="A91" s="56">
        <v>10113</v>
      </c>
      <c r="B91" s="56" t="s">
        <v>461</v>
      </c>
      <c r="C91" s="105" t="s">
        <v>1206</v>
      </c>
      <c r="D91" s="52" t="str">
        <f t="shared" si="2"/>
        <v>集齐100个龙帝碎片可以合成龙帝</v>
      </c>
      <c r="E91" s="88">
        <v>2</v>
      </c>
      <c r="F91" s="52" t="s">
        <v>12</v>
      </c>
      <c r="G91" s="57" t="s">
        <v>862</v>
      </c>
      <c r="H91" s="52" t="s">
        <v>2267</v>
      </c>
      <c r="I91" s="52" t="s">
        <v>70</v>
      </c>
      <c r="J91" s="113">
        <v>1</v>
      </c>
      <c r="K91" s="52">
        <v>5</v>
      </c>
      <c r="L91" s="52" t="s">
        <v>759</v>
      </c>
      <c r="M91" s="52" t="s">
        <v>12</v>
      </c>
      <c r="N91" s="52" t="s">
        <v>14</v>
      </c>
      <c r="O91" s="52" t="s">
        <v>173</v>
      </c>
      <c r="P91" s="52">
        <v>100</v>
      </c>
      <c r="Q91" s="52" t="s">
        <v>462</v>
      </c>
      <c r="R91" s="57" t="s">
        <v>12</v>
      </c>
      <c r="S91" s="52">
        <v>0</v>
      </c>
      <c r="T91" s="52" t="s">
        <v>12</v>
      </c>
      <c r="U91" s="52">
        <v>0</v>
      </c>
      <c r="V91" s="53" t="e">
        <f>VLOOKUP(#REF!,$Z$4:$AA$9,2,0)</f>
        <v>#REF!</v>
      </c>
      <c r="W91" s="53" t="str">
        <f>VLOOKUP(INT(SUBSTITUTE($Q91,"1|","")),[1]Sheet1!$A:$B,2,0)&amp;"碎片"</f>
        <v>龙帝碎片</v>
      </c>
      <c r="X91" s="53" t="e">
        <f>VLOOKUP(#REF!,$Z$4:$AB$9,3,0)</f>
        <v>#REF!</v>
      </c>
      <c r="AD91" s="53" t="str">
        <f>IFERROR(IF($K91&gt;5,"[[1,[48]],[3,[16,5]]]",IF($K91&lt;3,"[[1,[47]]]","[[1,[47]],[3,[2]],"&amp;VLOOKUP($A91,[2]伙伴碎片途径!$A:$E,5,0)&amp;"]")),"[]")</f>
        <v>[[1,[47]],[3,[2]],[2,[10180,10330,10480,10630,10780,10930,11080,11230]]]</v>
      </c>
    </row>
    <row r="92" spans="1:30" x14ac:dyDescent="0.35">
      <c r="A92" s="56">
        <v>10114</v>
      </c>
      <c r="B92" s="56" t="s">
        <v>463</v>
      </c>
      <c r="C92" s="105" t="s">
        <v>1207</v>
      </c>
      <c r="D92" s="52" t="str">
        <f t="shared" si="2"/>
        <v>集齐100个八部天龙碎片可以合成八部天龙</v>
      </c>
      <c r="E92" s="88">
        <v>2</v>
      </c>
      <c r="F92" s="52" t="s">
        <v>12</v>
      </c>
      <c r="G92" s="57" t="s">
        <v>862</v>
      </c>
      <c r="H92" s="52" t="s">
        <v>2268</v>
      </c>
      <c r="I92" s="52" t="s">
        <v>70</v>
      </c>
      <c r="J92" s="113">
        <v>1</v>
      </c>
      <c r="K92" s="52">
        <v>5</v>
      </c>
      <c r="L92" s="52" t="s">
        <v>760</v>
      </c>
      <c r="M92" s="52" t="s">
        <v>12</v>
      </c>
      <c r="N92" s="52" t="s">
        <v>14</v>
      </c>
      <c r="O92" s="52" t="s">
        <v>173</v>
      </c>
      <c r="P92" s="52">
        <v>100</v>
      </c>
      <c r="Q92" s="52" t="s">
        <v>464</v>
      </c>
      <c r="R92" s="57" t="s">
        <v>12</v>
      </c>
      <c r="S92" s="52">
        <v>0</v>
      </c>
      <c r="T92" s="52" t="s">
        <v>12</v>
      </c>
      <c r="U92" s="52">
        <v>0</v>
      </c>
      <c r="V92" s="53" t="e">
        <f>VLOOKUP(#REF!,$Z$4:$AA$9,2,0)</f>
        <v>#REF!</v>
      </c>
      <c r="W92" s="53" t="str">
        <f>VLOOKUP(INT(SUBSTITUTE($Q92,"1|","")),[1]Sheet1!$A:$B,2,0)&amp;"碎片"</f>
        <v>八部天龙碎片</v>
      </c>
      <c r="X92" s="53" t="e">
        <f>VLOOKUP(#REF!,$Z$4:$AB$9,3,0)</f>
        <v>#REF!</v>
      </c>
      <c r="AD92" s="53" t="str">
        <f>IFERROR(IF($K92&gt;5,"[[1,[48]],[3,[16,5]]]",IF($K92&lt;3,"[[1,[47]]]","[[1,[47]],[3,[2]],"&amp;VLOOKUP($A92,[2]伙伴碎片途径!$A:$E,5,0)&amp;"]")),"[]")</f>
        <v>[[1,[47]],[3,[2]],[2,[10260,10410,10560,10710,10860,11010,11160,11310]]]</v>
      </c>
    </row>
    <row r="93" spans="1:30" x14ac:dyDescent="0.35">
      <c r="A93" s="56">
        <v>10115</v>
      </c>
      <c r="B93" s="56" t="s">
        <v>1034</v>
      </c>
      <c r="C93" s="105" t="s">
        <v>1048</v>
      </c>
      <c r="D93" s="52" t="str">
        <f t="shared" si="2"/>
        <v>集齐100个观世音碎片可以合成观世音</v>
      </c>
      <c r="E93" s="88">
        <v>2</v>
      </c>
      <c r="F93" s="52" t="s">
        <v>12</v>
      </c>
      <c r="G93" s="57" t="s">
        <v>862</v>
      </c>
      <c r="H93" s="52" t="s">
        <v>2269</v>
      </c>
      <c r="I93" s="52" t="s">
        <v>70</v>
      </c>
      <c r="J93" s="113">
        <v>1</v>
      </c>
      <c r="K93" s="52">
        <v>5</v>
      </c>
      <c r="L93" s="52" t="s">
        <v>1620</v>
      </c>
      <c r="M93" s="52" t="s">
        <v>12</v>
      </c>
      <c r="N93" s="52" t="s">
        <v>14</v>
      </c>
      <c r="O93" s="52" t="s">
        <v>173</v>
      </c>
      <c r="P93" s="52">
        <v>100</v>
      </c>
      <c r="Q93" s="52" t="s">
        <v>466</v>
      </c>
      <c r="R93" s="57" t="s">
        <v>12</v>
      </c>
      <c r="S93" s="52">
        <v>0</v>
      </c>
      <c r="T93" s="52" t="s">
        <v>12</v>
      </c>
      <c r="U93" s="52">
        <v>0</v>
      </c>
      <c r="V93" s="53" t="e">
        <f>VLOOKUP(#REF!,$Z$4:$AA$9,2,0)</f>
        <v>#REF!</v>
      </c>
      <c r="W93" s="53" t="str">
        <f>VLOOKUP(INT(SUBSTITUTE($Q93,"1|","")),[1]Sheet1!$A:$B,2,0)&amp;"碎片"</f>
        <v>观世音碎片</v>
      </c>
      <c r="X93" s="53" t="e">
        <f>VLOOKUP(#REF!,$Z$4:$AB$9,3,0)</f>
        <v>#REF!</v>
      </c>
      <c r="AD93" s="53" t="str">
        <f>IFERROR(IF($K93&gt;5,"[[1,[48]],[3,[16,5]]]",IF($K93&lt;3,"[[1,[47]]]","[[1,[47]],[3,[2]],"&amp;VLOOKUP($A93,[2]伙伴碎片途径!$A:$E,5,0)&amp;"]")),"[]")</f>
        <v>[[1,[47]],[3,[2]],[2,[10160,10310,10460,10610,10760,10910,11060,11210]]]</v>
      </c>
    </row>
    <row r="94" spans="1:30" x14ac:dyDescent="0.35">
      <c r="A94" s="56">
        <v>10116</v>
      </c>
      <c r="B94" s="56" t="s">
        <v>467</v>
      </c>
      <c r="C94" s="105" t="s">
        <v>1209</v>
      </c>
      <c r="D94" s="52" t="str">
        <f t="shared" si="2"/>
        <v>集齐80个女儿国国王碎片可以合成女儿国国王</v>
      </c>
      <c r="E94" s="88">
        <v>2</v>
      </c>
      <c r="F94" s="52" t="s">
        <v>12</v>
      </c>
      <c r="G94" s="57" t="s">
        <v>862</v>
      </c>
      <c r="H94" s="52" t="s">
        <v>2302</v>
      </c>
      <c r="I94" s="52" t="s">
        <v>70</v>
      </c>
      <c r="J94" s="113">
        <v>1</v>
      </c>
      <c r="K94" s="52">
        <v>4</v>
      </c>
      <c r="L94" s="52" t="s">
        <v>762</v>
      </c>
      <c r="M94" s="52" t="s">
        <v>12</v>
      </c>
      <c r="N94" s="52" t="s">
        <v>14</v>
      </c>
      <c r="O94" s="52" t="s">
        <v>173</v>
      </c>
      <c r="P94" s="52">
        <v>80</v>
      </c>
      <c r="Q94" s="52" t="s">
        <v>468</v>
      </c>
      <c r="R94" s="57" t="s">
        <v>12</v>
      </c>
      <c r="S94" s="52">
        <v>0</v>
      </c>
      <c r="T94" s="52" t="s">
        <v>12</v>
      </c>
      <c r="U94" s="52">
        <v>0</v>
      </c>
      <c r="V94" s="53" t="e">
        <f>VLOOKUP(#REF!,$Z$4:$AA$9,2,0)</f>
        <v>#REF!</v>
      </c>
      <c r="W94" s="53" t="str">
        <f>VLOOKUP(INT(SUBSTITUTE($Q94,"1|","")),[1]Sheet1!$A:$B,2,0)&amp;"碎片"</f>
        <v>女儿国国王碎片</v>
      </c>
      <c r="X94" s="53" t="e">
        <f>VLOOKUP(#REF!,$Z$4:$AB$9,3,0)</f>
        <v>#REF!</v>
      </c>
      <c r="AD94" s="53" t="str">
        <f>IFERROR(IF($K94&gt;5,"[[1,[48]],[3,[16,5]]]",IF($K94&lt;3,"[[1,[47]]]","[[1,[47]],[3,[2]],"&amp;VLOOKUP($A94,[2]伙伴碎片途径!$A:$E,5,0)&amp;"]")),"[]")</f>
        <v>[[1,[47]],[3,[2]],[2,[10050,10259,10469,10679,10889,11099,11309]]]</v>
      </c>
    </row>
    <row r="95" spans="1:30" x14ac:dyDescent="0.35">
      <c r="A95" s="56">
        <v>10117</v>
      </c>
      <c r="B95" s="56" t="s">
        <v>1210</v>
      </c>
      <c r="C95" s="105" t="s">
        <v>1821</v>
      </c>
      <c r="D95" s="52" t="str">
        <f t="shared" si="2"/>
        <v>集齐10个虾兵碎片可以合成虾兵</v>
      </c>
      <c r="E95" s="88">
        <v>2</v>
      </c>
      <c r="F95" s="52" t="s">
        <v>12</v>
      </c>
      <c r="G95" s="57" t="s">
        <v>1315</v>
      </c>
      <c r="H95" s="52" t="s">
        <v>2156</v>
      </c>
      <c r="I95" s="52" t="s">
        <v>70</v>
      </c>
      <c r="J95" s="113">
        <v>1</v>
      </c>
      <c r="K95" s="52">
        <v>1</v>
      </c>
      <c r="L95" s="52" t="s">
        <v>1212</v>
      </c>
      <c r="M95" s="52" t="s">
        <v>12</v>
      </c>
      <c r="N95" s="52" t="s">
        <v>14</v>
      </c>
      <c r="O95" s="52" t="s">
        <v>173</v>
      </c>
      <c r="P95" s="52">
        <v>10</v>
      </c>
      <c r="Q95" s="52" t="s">
        <v>1247</v>
      </c>
      <c r="R95" s="57" t="s">
        <v>12</v>
      </c>
      <c r="S95" s="52">
        <v>0</v>
      </c>
      <c r="T95" s="52" t="s">
        <v>12</v>
      </c>
      <c r="U95" s="52">
        <v>0</v>
      </c>
      <c r="V95" s="53" t="e">
        <f>VLOOKUP(#REF!,$Z$4:$AA$9,2,0)</f>
        <v>#REF!</v>
      </c>
      <c r="W95" s="53" t="str">
        <f>VLOOKUP(INT(SUBSTITUTE($Q95,"1|","")),[1]Sheet1!$A:$B,2,0)&amp;"碎片"</f>
        <v>虾兵碎片</v>
      </c>
      <c r="X95" s="53" t="e">
        <f>VLOOKUP(#REF!,$Z$4:$AB$9,3,0)</f>
        <v>#REF!</v>
      </c>
      <c r="AD95" s="53" t="str">
        <f>IFERROR(IF($K95&gt;5,"[[1,[48]],[3,[16,5]]]",IF($K95&lt;3,"[[1,[47]]]","[[1,[47]],[3,[2]],"&amp;VLOOKUP($A95,[2]伙伴碎片途径!$A:$E,5,0)&amp;"]")),"[]")</f>
        <v>[[1,[47]]]</v>
      </c>
    </row>
    <row r="96" spans="1:30" x14ac:dyDescent="0.35">
      <c r="A96" s="56">
        <v>10118</v>
      </c>
      <c r="B96" s="56" t="s">
        <v>921</v>
      </c>
      <c r="C96" s="105" t="s">
        <v>1213</v>
      </c>
      <c r="D96" s="52" t="str">
        <f t="shared" si="2"/>
        <v>集齐100个白无常碎片可以合成白无常</v>
      </c>
      <c r="E96" s="88">
        <v>2</v>
      </c>
      <c r="F96" s="52" t="s">
        <v>12</v>
      </c>
      <c r="G96" s="57" t="s">
        <v>862</v>
      </c>
      <c r="H96" s="52" t="s">
        <v>2270</v>
      </c>
      <c r="I96" s="52" t="s">
        <v>70</v>
      </c>
      <c r="J96" s="113">
        <v>1</v>
      </c>
      <c r="K96" s="52">
        <v>5</v>
      </c>
      <c r="L96" s="52" t="s">
        <v>923</v>
      </c>
      <c r="M96" s="52" t="s">
        <v>12</v>
      </c>
      <c r="N96" s="52" t="s">
        <v>14</v>
      </c>
      <c r="O96" s="52" t="s">
        <v>173</v>
      </c>
      <c r="P96" s="52">
        <v>100</v>
      </c>
      <c r="Q96" s="52" t="s">
        <v>924</v>
      </c>
      <c r="R96" s="57" t="s">
        <v>12</v>
      </c>
      <c r="S96" s="52">
        <v>0</v>
      </c>
      <c r="T96" s="52" t="s">
        <v>12</v>
      </c>
      <c r="U96" s="52">
        <v>0</v>
      </c>
      <c r="V96" s="53" t="e">
        <f>VLOOKUP(#REF!,$Z$4:$AA$9,2,0)</f>
        <v>#REF!</v>
      </c>
      <c r="W96" s="53" t="str">
        <f>VLOOKUP(INT(SUBSTITUTE($Q96,"1|","")),[1]Sheet1!$A:$B,2,0)&amp;"碎片"</f>
        <v>白无常碎片</v>
      </c>
      <c r="X96" s="53" t="e">
        <f>VLOOKUP(#REF!,$Z$4:$AB$9,3,0)</f>
        <v>#REF!</v>
      </c>
      <c r="AD96" s="53" t="str">
        <f>IFERROR(IF($K96&gt;5,"[[1,[48]],[3,[16,5]]]",IF($K96&lt;3,"[[1,[47]]]","[[1,[47]],[3,[2]],"&amp;VLOOKUP($A96,[2]伙伴碎片途径!$A:$E,5,0)&amp;"]")),"[]")</f>
        <v>[[1,[47]],[3,[2]],[2,[10230,10380,10530,10680,10830,10980,11130,11280]]]</v>
      </c>
    </row>
    <row r="97" spans="1:30" x14ac:dyDescent="0.35">
      <c r="A97" s="56">
        <v>10119</v>
      </c>
      <c r="B97" s="56" t="s">
        <v>922</v>
      </c>
      <c r="C97" s="105" t="s">
        <v>1214</v>
      </c>
      <c r="D97" s="52" t="str">
        <f t="shared" si="2"/>
        <v>集齐100个黑无常碎片可以合成黑无常</v>
      </c>
      <c r="E97" s="88">
        <v>2</v>
      </c>
      <c r="F97" s="52" t="s">
        <v>12</v>
      </c>
      <c r="G97" s="57" t="s">
        <v>862</v>
      </c>
      <c r="H97" s="52" t="s">
        <v>2271</v>
      </c>
      <c r="I97" s="52" t="s">
        <v>70</v>
      </c>
      <c r="J97" s="113">
        <v>1</v>
      </c>
      <c r="K97" s="52">
        <v>5</v>
      </c>
      <c r="L97" s="52" t="s">
        <v>925</v>
      </c>
      <c r="M97" s="52" t="s">
        <v>12</v>
      </c>
      <c r="N97" s="52" t="s">
        <v>14</v>
      </c>
      <c r="O97" s="52" t="s">
        <v>173</v>
      </c>
      <c r="P97" s="52">
        <v>100</v>
      </c>
      <c r="Q97" s="52" t="s">
        <v>926</v>
      </c>
      <c r="R97" s="57" t="s">
        <v>12</v>
      </c>
      <c r="S97" s="52">
        <v>0</v>
      </c>
      <c r="T97" s="52" t="s">
        <v>12</v>
      </c>
      <c r="U97" s="52">
        <v>0</v>
      </c>
      <c r="V97" s="53" t="e">
        <f>VLOOKUP(#REF!,$Z$4:$AA$9,2,0)</f>
        <v>#REF!</v>
      </c>
      <c r="W97" s="53" t="str">
        <f>VLOOKUP(INT(SUBSTITUTE($Q97,"1|","")),[1]Sheet1!$A:$B,2,0)&amp;"碎片"</f>
        <v>黑无常碎片</v>
      </c>
      <c r="X97" s="53" t="e">
        <f>VLOOKUP(#REF!,$Z$4:$AB$9,3,0)</f>
        <v>#REF!</v>
      </c>
      <c r="AD97" s="53" t="str">
        <f>IFERROR(IF($K97&gt;5,"[[1,[48]],[3,[16,5]]]",IF($K97&lt;3,"[[1,[47]]]","[[1,[47]],[3,[2]],"&amp;VLOOKUP($A97,[2]伙伴碎片途径!$A:$E,5,0)&amp;"]")),"[]")</f>
        <v>[[1,[47]],[3,[2]],[2,[10140,10290,10440,10590,10740,10890,11040,11190]]]</v>
      </c>
    </row>
    <row r="98" spans="1:30" x14ac:dyDescent="0.35">
      <c r="A98" s="56">
        <v>10120</v>
      </c>
      <c r="B98" s="56" t="s">
        <v>1030</v>
      </c>
      <c r="C98" s="105" t="s">
        <v>1822</v>
      </c>
      <c r="D98" s="52" t="str">
        <f t="shared" si="2"/>
        <v>集齐120个九头虫碎片可以合成九头虫</v>
      </c>
      <c r="E98" s="88">
        <v>2</v>
      </c>
      <c r="F98" s="52" t="s">
        <v>12</v>
      </c>
      <c r="G98" s="57" t="s">
        <v>862</v>
      </c>
      <c r="H98" s="52" t="s">
        <v>2320</v>
      </c>
      <c r="I98" s="52" t="s">
        <v>70</v>
      </c>
      <c r="J98" s="113">
        <v>1</v>
      </c>
      <c r="K98" s="52">
        <v>6</v>
      </c>
      <c r="L98" s="52" t="s">
        <v>178</v>
      </c>
      <c r="M98" s="52" t="s">
        <v>12</v>
      </c>
      <c r="N98" s="52" t="s">
        <v>14</v>
      </c>
      <c r="O98" s="52" t="s">
        <v>173</v>
      </c>
      <c r="P98" s="52">
        <v>120</v>
      </c>
      <c r="Q98" s="52" t="s">
        <v>1057</v>
      </c>
      <c r="R98" s="57" t="s">
        <v>12</v>
      </c>
      <c r="S98" s="52">
        <v>0</v>
      </c>
      <c r="T98" s="52" t="s">
        <v>12</v>
      </c>
      <c r="U98" s="52">
        <v>0</v>
      </c>
      <c r="V98" s="53" t="e">
        <f>VLOOKUP(#REF!,$Z$4:$AA$9,2,0)</f>
        <v>#REF!</v>
      </c>
      <c r="W98" s="53" t="str">
        <f>VLOOKUP(INT(SUBSTITUTE($Q98,"1|","")),[1]Sheet1!$A:$B,2,0)&amp;"碎片"</f>
        <v>九头虫碎片</v>
      </c>
      <c r="X98" s="53" t="e">
        <f>VLOOKUP(#REF!,$Z$4:$AB$9,3,0)</f>
        <v>#REF!</v>
      </c>
      <c r="AD98" s="53" t="str">
        <f>IFERROR(IF($K98&gt;5,"[[1,[48]],[3,[16,5]]]",IF($K98&lt;3,"[[1,[47]]]","[[1,[47]],[3,[2]],"&amp;VLOOKUP($A98,[2]伙伴碎片途径!$A:$E,5,0)&amp;"]")),"[]")</f>
        <v>[[1,[48]],[3,[16,5]]]</v>
      </c>
    </row>
    <row r="99" spans="1:30" x14ac:dyDescent="0.35">
      <c r="A99" s="56">
        <v>10121</v>
      </c>
      <c r="B99" s="56" t="s">
        <v>1031</v>
      </c>
      <c r="C99" s="105" t="s">
        <v>1823</v>
      </c>
      <c r="D99" s="52" t="str">
        <f t="shared" si="2"/>
        <v>集齐120个镇元大仙碎片可以合成镇元大仙</v>
      </c>
      <c r="E99" s="88">
        <v>2</v>
      </c>
      <c r="F99" s="52" t="s">
        <v>12</v>
      </c>
      <c r="G99" s="57" t="s">
        <v>862</v>
      </c>
      <c r="H99" s="52" t="s">
        <v>2320</v>
      </c>
      <c r="I99" s="52" t="s">
        <v>70</v>
      </c>
      <c r="J99" s="113">
        <v>1</v>
      </c>
      <c r="K99" s="52">
        <v>6</v>
      </c>
      <c r="L99" s="52" t="s">
        <v>178</v>
      </c>
      <c r="M99" s="52" t="s">
        <v>12</v>
      </c>
      <c r="N99" s="52" t="s">
        <v>14</v>
      </c>
      <c r="O99" s="52" t="s">
        <v>173</v>
      </c>
      <c r="P99" s="52">
        <v>120</v>
      </c>
      <c r="Q99" s="52" t="s">
        <v>1058</v>
      </c>
      <c r="R99" s="57" t="s">
        <v>12</v>
      </c>
      <c r="S99" s="52">
        <v>0</v>
      </c>
      <c r="T99" s="52" t="s">
        <v>12</v>
      </c>
      <c r="U99" s="52">
        <v>0</v>
      </c>
      <c r="V99" s="53" t="e">
        <f>VLOOKUP(#REF!,$Z$4:$AA$9,2,0)</f>
        <v>#REF!</v>
      </c>
      <c r="W99" s="53" t="str">
        <f>VLOOKUP(INT(SUBSTITUTE($Q99,"1|","")),[1]Sheet1!$A:$B,2,0)&amp;"碎片"</f>
        <v>镇元大仙碎片</v>
      </c>
      <c r="X99" s="53" t="e">
        <f>VLOOKUP(#REF!,$Z$4:$AB$9,3,0)</f>
        <v>#REF!</v>
      </c>
      <c r="AD99" s="53" t="str">
        <f>IFERROR(IF($K99&gt;5,"[[1,[48]],[3,[16,5]]]",IF($K99&lt;3,"[[1,[47]]]","[[1,[47]],[3,[2]],"&amp;VLOOKUP($A99,[2]伙伴碎片途径!$A:$E,5,0)&amp;"]")),"[]")</f>
        <v>[[1,[48]],[3,[16,5]]]</v>
      </c>
    </row>
    <row r="100" spans="1:30" x14ac:dyDescent="0.35">
      <c r="A100" s="56">
        <v>10122</v>
      </c>
      <c r="B100" s="56" t="s">
        <v>1032</v>
      </c>
      <c r="C100" s="105" t="s">
        <v>1824</v>
      </c>
      <c r="D100" s="52" t="str">
        <f t="shared" ref="D100:D114" si="3">"集齐"&amp;P100&amp;MID(C100,SEARCH("个",C100,1),100)</f>
        <v>集齐120个如来佛祖碎片可以合成如来佛祖</v>
      </c>
      <c r="E100" s="88">
        <v>2</v>
      </c>
      <c r="F100" s="52" t="s">
        <v>12</v>
      </c>
      <c r="G100" s="57" t="s">
        <v>862</v>
      </c>
      <c r="H100" s="52" t="s">
        <v>2320</v>
      </c>
      <c r="I100" s="52" t="s">
        <v>70</v>
      </c>
      <c r="J100" s="113">
        <v>1</v>
      </c>
      <c r="K100" s="52">
        <v>6</v>
      </c>
      <c r="L100" s="52" t="s">
        <v>178</v>
      </c>
      <c r="M100" s="52" t="s">
        <v>12</v>
      </c>
      <c r="N100" s="52" t="s">
        <v>14</v>
      </c>
      <c r="O100" s="52" t="s">
        <v>173</v>
      </c>
      <c r="P100" s="52">
        <v>120</v>
      </c>
      <c r="Q100" s="52" t="s">
        <v>1059</v>
      </c>
      <c r="R100" s="57" t="s">
        <v>12</v>
      </c>
      <c r="S100" s="52">
        <v>0</v>
      </c>
      <c r="T100" s="52" t="s">
        <v>12</v>
      </c>
      <c r="U100" s="52">
        <v>0</v>
      </c>
      <c r="V100" s="53" t="e">
        <f>VLOOKUP(#REF!,$Z$4:$AA$9,2,0)</f>
        <v>#REF!</v>
      </c>
      <c r="W100" s="53" t="str">
        <f>VLOOKUP(INT(SUBSTITUTE($Q100,"1|","")),[1]Sheet1!$A:$B,2,0)&amp;"碎片"</f>
        <v>如来佛祖碎片</v>
      </c>
      <c r="X100" s="53" t="e">
        <f>VLOOKUP(#REF!,$Z$4:$AB$9,3,0)</f>
        <v>#REF!</v>
      </c>
      <c r="AD100" s="53" t="str">
        <f>IFERROR(IF($K100&gt;5,"[[1,[48]],[3,[16,5]]]",IF($K100&lt;3,"[[1,[47]]]","[[1,[47]],[3,[2]],"&amp;VLOOKUP($A100,[2]伙伴碎片途径!$A:$E,5,0)&amp;"]")),"[]")</f>
        <v>[[1,[48]],[3,[16,5]]]</v>
      </c>
    </row>
    <row r="101" spans="1:30" x14ac:dyDescent="0.35">
      <c r="A101" s="56">
        <v>10123</v>
      </c>
      <c r="B101" s="56" t="s">
        <v>1033</v>
      </c>
      <c r="C101" s="105" t="s">
        <v>1825</v>
      </c>
      <c r="D101" s="52" t="str">
        <f t="shared" si="3"/>
        <v>集齐120个孔雀大明王碎片可以合成孔雀大明王</v>
      </c>
      <c r="E101" s="88">
        <v>2</v>
      </c>
      <c r="F101" s="52" t="s">
        <v>12</v>
      </c>
      <c r="G101" s="57" t="s">
        <v>862</v>
      </c>
      <c r="H101" s="52" t="s">
        <v>2320</v>
      </c>
      <c r="I101" s="52" t="s">
        <v>70</v>
      </c>
      <c r="J101" s="113">
        <v>1</v>
      </c>
      <c r="K101" s="52">
        <v>6</v>
      </c>
      <c r="L101" s="52" t="s">
        <v>1043</v>
      </c>
      <c r="M101" s="52" t="s">
        <v>12</v>
      </c>
      <c r="N101" s="52" t="s">
        <v>14</v>
      </c>
      <c r="O101" s="52" t="s">
        <v>173</v>
      </c>
      <c r="P101" s="52">
        <v>120</v>
      </c>
      <c r="Q101" s="52" t="s">
        <v>1060</v>
      </c>
      <c r="R101" s="57" t="s">
        <v>12</v>
      </c>
      <c r="S101" s="52">
        <v>0</v>
      </c>
      <c r="T101" s="52" t="s">
        <v>12</v>
      </c>
      <c r="U101" s="52">
        <v>0</v>
      </c>
      <c r="V101" s="53" t="e">
        <f>VLOOKUP(#REF!,$Z$4:$AA$9,2,0)</f>
        <v>#REF!</v>
      </c>
      <c r="W101" s="53" t="str">
        <f>VLOOKUP(INT(SUBSTITUTE($Q101,"1|","")),[1]Sheet1!$A:$B,2,0)&amp;"碎片"</f>
        <v>孔雀大明王碎片</v>
      </c>
      <c r="X101" s="53" t="e">
        <f>VLOOKUP(#REF!,$Z$4:$AB$9,3,0)</f>
        <v>#REF!</v>
      </c>
      <c r="AD101" s="53" t="str">
        <f>IFERROR(IF($K101&gt;5,"[[1,[48]],[3,[16,5]]]",IF($K101&lt;3,"[[1,[47]]]","[[1,[47]],[3,[2]],"&amp;VLOOKUP($A101,[2]伙伴碎片途径!$A:$E,5,0)&amp;"]")),"[]")</f>
        <v>[[1,[48]],[3,[16,5]]]</v>
      </c>
    </row>
    <row r="102" spans="1:30" x14ac:dyDescent="0.35">
      <c r="A102" s="56">
        <v>10124</v>
      </c>
      <c r="B102" s="56" t="s">
        <v>2176</v>
      </c>
      <c r="C102" s="105" t="s">
        <v>1048</v>
      </c>
      <c r="D102" s="52" t="str">
        <f t="shared" si="3"/>
        <v>集齐100个观世音碎片可以合成观世音</v>
      </c>
      <c r="E102" s="88">
        <v>2</v>
      </c>
      <c r="F102" s="52" t="s">
        <v>12</v>
      </c>
      <c r="G102" s="57" t="s">
        <v>862</v>
      </c>
      <c r="H102" s="52" t="s">
        <v>12</v>
      </c>
      <c r="I102" s="52" t="s">
        <v>70</v>
      </c>
      <c r="J102" s="113">
        <v>1</v>
      </c>
      <c r="K102" s="52">
        <v>5</v>
      </c>
      <c r="L102" s="52" t="s">
        <v>178</v>
      </c>
      <c r="M102" s="52" t="s">
        <v>12</v>
      </c>
      <c r="N102" s="52" t="s">
        <v>14</v>
      </c>
      <c r="O102" s="52" t="s">
        <v>173</v>
      </c>
      <c r="P102" s="52">
        <v>100</v>
      </c>
      <c r="Q102" s="52" t="s">
        <v>1061</v>
      </c>
      <c r="R102" s="57" t="s">
        <v>12</v>
      </c>
      <c r="S102" s="52">
        <v>0</v>
      </c>
      <c r="T102" s="52" t="s">
        <v>12</v>
      </c>
      <c r="U102" s="52">
        <v>0</v>
      </c>
      <c r="V102" s="53" t="e">
        <f>VLOOKUP(#REF!,$Z$4:$AA$9,2,0)</f>
        <v>#REF!</v>
      </c>
      <c r="W102" s="53" t="str">
        <f>VLOOKUP(INT(SUBSTITUTE($Q102,"1|","")),[1]Sheet1!$A:$B,2,0)&amp;"碎片"</f>
        <v>观世音(废弃)碎片</v>
      </c>
      <c r="X102" s="53" t="e">
        <f>VLOOKUP(#REF!,$Z$4:$AB$9,3,0)</f>
        <v>#REF!</v>
      </c>
      <c r="AD102" s="53" t="str">
        <f>IFERROR(IF($K102&gt;5,"[[1,[48]],[3,[16,5]]]",IF($K102&lt;3,"[[1,[47]]]","[[1,[47]],[3,[2]],"&amp;VLOOKUP($A102,[2]伙伴碎片途径!$A:$E,5,0)&amp;"]")),"[]")</f>
        <v>[]</v>
      </c>
    </row>
    <row r="103" spans="1:30" x14ac:dyDescent="0.35">
      <c r="A103" s="56">
        <v>10125</v>
      </c>
      <c r="B103" s="56" t="s">
        <v>1035</v>
      </c>
      <c r="C103" s="105" t="s">
        <v>1826</v>
      </c>
      <c r="D103" s="52" t="str">
        <f t="shared" si="3"/>
        <v>集齐120个观世阴碎片可以合成观世阴</v>
      </c>
      <c r="E103" s="88">
        <v>2</v>
      </c>
      <c r="F103" s="52" t="s">
        <v>12</v>
      </c>
      <c r="G103" s="57" t="s">
        <v>862</v>
      </c>
      <c r="H103" s="52" t="s">
        <v>2320</v>
      </c>
      <c r="I103" s="52" t="s">
        <v>70</v>
      </c>
      <c r="J103" s="113">
        <v>1</v>
      </c>
      <c r="K103" s="52">
        <v>6</v>
      </c>
      <c r="L103" s="52" t="s">
        <v>178</v>
      </c>
      <c r="M103" s="52" t="s">
        <v>12</v>
      </c>
      <c r="N103" s="52" t="s">
        <v>14</v>
      </c>
      <c r="O103" s="52" t="s">
        <v>173</v>
      </c>
      <c r="P103" s="52">
        <v>120</v>
      </c>
      <c r="Q103" s="52" t="s">
        <v>1062</v>
      </c>
      <c r="R103" s="57" t="s">
        <v>12</v>
      </c>
      <c r="S103" s="52">
        <v>0</v>
      </c>
      <c r="T103" s="52" t="s">
        <v>12</v>
      </c>
      <c r="U103" s="52">
        <v>0</v>
      </c>
      <c r="V103" s="53" t="e">
        <f>VLOOKUP(#REF!,$Z$4:$AA$9,2,0)</f>
        <v>#REF!</v>
      </c>
      <c r="W103" s="53" t="str">
        <f>VLOOKUP(INT(SUBSTITUTE($Q103,"1|","")),[1]Sheet1!$A:$B,2,0)&amp;"碎片"</f>
        <v>观世阴碎片</v>
      </c>
      <c r="X103" s="53" t="e">
        <f>VLOOKUP(#REF!,$Z$4:$AB$9,3,0)</f>
        <v>#REF!</v>
      </c>
      <c r="AD103" s="53" t="str">
        <f>IFERROR(IF($K103&gt;5,"[[1,[48]],[3,[16,5]]]",IF($K103&lt;3,"[[1,[47]]]","[[1,[47]],[3,[2]],"&amp;VLOOKUP($A103,[2]伙伴碎片途径!$A:$E,5,0)&amp;"]")),"[]")</f>
        <v>[[1,[48]],[3,[16,5]]]</v>
      </c>
    </row>
    <row r="104" spans="1:30" x14ac:dyDescent="0.35">
      <c r="A104" s="56">
        <v>10126</v>
      </c>
      <c r="B104" s="56" t="s">
        <v>1036</v>
      </c>
      <c r="C104" s="105" t="s">
        <v>1215</v>
      </c>
      <c r="D104" s="52" t="str">
        <f t="shared" si="3"/>
        <v>集齐40个扇子精碎片可以合成扇子精</v>
      </c>
      <c r="E104" s="88">
        <v>2</v>
      </c>
      <c r="F104" s="52" t="s">
        <v>12</v>
      </c>
      <c r="G104" s="57" t="s">
        <v>862</v>
      </c>
      <c r="H104" s="52" t="s">
        <v>2303</v>
      </c>
      <c r="I104" s="52" t="s">
        <v>70</v>
      </c>
      <c r="J104" s="113">
        <v>1</v>
      </c>
      <c r="K104" s="52">
        <v>3</v>
      </c>
      <c r="L104" s="52" t="s">
        <v>1216</v>
      </c>
      <c r="M104" s="52" t="s">
        <v>12</v>
      </c>
      <c r="N104" s="52" t="s">
        <v>14</v>
      </c>
      <c r="O104" s="52" t="s">
        <v>173</v>
      </c>
      <c r="P104" s="52">
        <v>40</v>
      </c>
      <c r="Q104" s="52" t="s">
        <v>1063</v>
      </c>
      <c r="R104" s="57" t="s">
        <v>12</v>
      </c>
      <c r="S104" s="52">
        <v>0</v>
      </c>
      <c r="T104" s="52" t="s">
        <v>12</v>
      </c>
      <c r="U104" s="52">
        <v>0</v>
      </c>
      <c r="V104" s="53" t="e">
        <f>VLOOKUP(#REF!,$Z$4:$AA$9,2,0)</f>
        <v>#REF!</v>
      </c>
      <c r="W104" s="53" t="str">
        <f>VLOOKUP(INT(SUBSTITUTE($Q104,"1|","")),[1]Sheet1!$A:$B,2,0)&amp;"碎片"</f>
        <v>扇子精碎片</v>
      </c>
      <c r="X104" s="53" t="e">
        <f>VLOOKUP(#REF!,$Z$4:$AB$9,3,0)</f>
        <v>#REF!</v>
      </c>
      <c r="AD104" s="53" t="str">
        <f>IFERROR(IF($K104&gt;5,"[[1,[48]],[3,[16,5]]]",IF($K104&lt;3,"[[1,[47]]]","[[1,[47]],[3,[2]],"&amp;VLOOKUP($A104,[2]伙伴碎片途径!$A:$E,5,0)&amp;"]")),"[]")</f>
        <v>[[1,[47]],[3,[2]],[2,[10049,10116,10296,10476,10656,10836,11016,11196]]]</v>
      </c>
    </row>
    <row r="105" spans="1:30" x14ac:dyDescent="0.35">
      <c r="A105" s="56">
        <v>10127</v>
      </c>
      <c r="B105" s="56" t="s">
        <v>1037</v>
      </c>
      <c r="C105" s="105" t="s">
        <v>1827</v>
      </c>
      <c r="D105" s="52" t="str">
        <f t="shared" si="3"/>
        <v>集齐120个太上老君碎片可以合成太上老君</v>
      </c>
      <c r="E105" s="88">
        <v>2</v>
      </c>
      <c r="F105" s="52" t="s">
        <v>12</v>
      </c>
      <c r="G105" s="57" t="s">
        <v>1315</v>
      </c>
      <c r="H105" s="52" t="s">
        <v>2320</v>
      </c>
      <c r="I105" s="52" t="s">
        <v>70</v>
      </c>
      <c r="J105" s="113">
        <v>1</v>
      </c>
      <c r="K105" s="52">
        <v>6</v>
      </c>
      <c r="L105" s="52" t="s">
        <v>178</v>
      </c>
      <c r="M105" s="52" t="s">
        <v>12</v>
      </c>
      <c r="N105" s="52" t="s">
        <v>14</v>
      </c>
      <c r="O105" s="52" t="s">
        <v>173</v>
      </c>
      <c r="P105" s="52">
        <v>120</v>
      </c>
      <c r="Q105" s="52" t="s">
        <v>1064</v>
      </c>
      <c r="R105" s="57" t="s">
        <v>12</v>
      </c>
      <c r="S105" s="52">
        <v>0</v>
      </c>
      <c r="T105" s="52" t="s">
        <v>12</v>
      </c>
      <c r="U105" s="52">
        <v>0</v>
      </c>
      <c r="V105" s="53" t="e">
        <f>VLOOKUP(#REF!,$Z$4:$AA$9,2,0)</f>
        <v>#REF!</v>
      </c>
      <c r="W105" s="53" t="str">
        <f>VLOOKUP(INT(SUBSTITUTE($Q105,"1|","")),[1]Sheet1!$A:$B,2,0)&amp;"碎片"</f>
        <v>太上老君碎片</v>
      </c>
      <c r="X105" s="53" t="e">
        <f>VLOOKUP(#REF!,$Z$4:$AB$9,3,0)</f>
        <v>#REF!</v>
      </c>
      <c r="AD105" s="53" t="str">
        <f>IFERROR(IF($K105&gt;5,"[[1,[48]],[3,[16,5]]]",IF($K105&lt;3,"[[1,[47]]]","[[1,[47]],[3,[2]],"&amp;VLOOKUP($A105,[2]伙伴碎片途径!$A:$E,5,0)&amp;"]")),"[]")</f>
        <v>[[1,[48]],[3,[16,5]]]</v>
      </c>
    </row>
    <row r="106" spans="1:30" x14ac:dyDescent="0.35">
      <c r="A106" s="56">
        <v>10401</v>
      </c>
      <c r="B106" s="56" t="s">
        <v>1217</v>
      </c>
      <c r="C106" s="105" t="s">
        <v>1828</v>
      </c>
      <c r="D106" s="52" t="str">
        <f t="shared" si="3"/>
        <v>集齐10个侍女碎片可以合成侍女</v>
      </c>
      <c r="E106" s="88">
        <v>2</v>
      </c>
      <c r="F106" s="52" t="s">
        <v>12</v>
      </c>
      <c r="G106" s="57" t="s">
        <v>1315</v>
      </c>
      <c r="H106" s="52" t="s">
        <v>2156</v>
      </c>
      <c r="I106" s="52" t="s">
        <v>70</v>
      </c>
      <c r="J106" s="113">
        <v>1</v>
      </c>
      <c r="K106" s="52">
        <v>1</v>
      </c>
      <c r="L106" s="52" t="s">
        <v>1219</v>
      </c>
      <c r="M106" s="52" t="s">
        <v>12</v>
      </c>
      <c r="N106" s="52" t="s">
        <v>14</v>
      </c>
      <c r="O106" s="52" t="s">
        <v>173</v>
      </c>
      <c r="P106" s="52">
        <v>10</v>
      </c>
      <c r="Q106" s="52" t="s">
        <v>1248</v>
      </c>
      <c r="R106" s="57" t="s">
        <v>12</v>
      </c>
      <c r="S106" s="52">
        <v>0</v>
      </c>
      <c r="T106" s="52" t="s">
        <v>12</v>
      </c>
      <c r="U106" s="52">
        <v>0</v>
      </c>
      <c r="V106" s="53" t="e">
        <f>VLOOKUP(#REF!,$Z$4:$AA$9,2,0)</f>
        <v>#REF!</v>
      </c>
      <c r="W106" s="53" t="str">
        <f>VLOOKUP(INT(SUBSTITUTE($Q106,"1|","")),[1]Sheet1!$A:$B,2,0)&amp;"碎片"</f>
        <v>侍女碎片</v>
      </c>
      <c r="X106" s="53" t="e">
        <f>VLOOKUP(#REF!,$Z$4:$AB$9,3,0)</f>
        <v>#REF!</v>
      </c>
      <c r="AD106" s="53" t="str">
        <f>IFERROR(IF($K106&gt;5,"[[1,[48]],[3,[16,5]]]",IF($K106&lt;3,"[[1,[47]]]","[[1,[47]],[3,[2]],"&amp;VLOOKUP($A106,[2]伙伴碎片途径!$A:$E,5,0)&amp;"]")),"[]")</f>
        <v>[[1,[47]]]</v>
      </c>
    </row>
    <row r="107" spans="1:30" x14ac:dyDescent="0.35">
      <c r="A107" s="56">
        <v>10402</v>
      </c>
      <c r="B107" s="56" t="s">
        <v>1220</v>
      </c>
      <c r="C107" s="105" t="s">
        <v>1829</v>
      </c>
      <c r="D107" s="52" t="str">
        <f t="shared" si="3"/>
        <v>集齐10个强盗碎片可以合成强盗</v>
      </c>
      <c r="E107" s="88">
        <v>2</v>
      </c>
      <c r="F107" s="52" t="s">
        <v>12</v>
      </c>
      <c r="G107" s="57" t="s">
        <v>1315</v>
      </c>
      <c r="H107" s="52" t="s">
        <v>2156</v>
      </c>
      <c r="I107" s="52" t="s">
        <v>70</v>
      </c>
      <c r="J107" s="113">
        <v>1</v>
      </c>
      <c r="K107" s="52">
        <v>1</v>
      </c>
      <c r="L107" s="52" t="s">
        <v>1222</v>
      </c>
      <c r="M107" s="52" t="s">
        <v>12</v>
      </c>
      <c r="N107" s="52" t="s">
        <v>14</v>
      </c>
      <c r="O107" s="52" t="s">
        <v>173</v>
      </c>
      <c r="P107" s="52">
        <v>10</v>
      </c>
      <c r="Q107" s="52" t="s">
        <v>1249</v>
      </c>
      <c r="R107" s="57" t="s">
        <v>12</v>
      </c>
      <c r="S107" s="52">
        <v>0</v>
      </c>
      <c r="T107" s="52" t="s">
        <v>12</v>
      </c>
      <c r="U107" s="52">
        <v>0</v>
      </c>
      <c r="V107" s="53" t="e">
        <f>VLOOKUP(#REF!,$Z$4:$AA$9,2,0)</f>
        <v>#REF!</v>
      </c>
      <c r="W107" s="53" t="str">
        <f>VLOOKUP(INT(SUBSTITUTE($Q107,"1|","")),[1]Sheet1!$A:$B,2,0)&amp;"碎片"</f>
        <v>强盗碎片</v>
      </c>
      <c r="X107" s="53" t="e">
        <f>VLOOKUP(#REF!,$Z$4:$AB$9,3,0)</f>
        <v>#REF!</v>
      </c>
      <c r="AD107" s="53" t="str">
        <f>IFERROR(IF($K107&gt;5,"[[1,[48]],[3,[16,5]]]",IF($K107&lt;3,"[[1,[47]]]","[[1,[47]],[3,[2]],"&amp;VLOOKUP($A107,[2]伙伴碎片途径!$A:$E,5,0)&amp;"]")),"[]")</f>
        <v>[[1,[47]]]</v>
      </c>
    </row>
    <row r="108" spans="1:30" x14ac:dyDescent="0.35">
      <c r="A108" s="56">
        <v>10403</v>
      </c>
      <c r="B108" s="56" t="s">
        <v>1223</v>
      </c>
      <c r="C108" s="105" t="s">
        <v>1830</v>
      </c>
      <c r="D108" s="52" t="str">
        <f t="shared" si="3"/>
        <v>集齐10个野猪怪碎片可以合成野猪怪</v>
      </c>
      <c r="E108" s="88">
        <v>2</v>
      </c>
      <c r="F108" s="52" t="s">
        <v>12</v>
      </c>
      <c r="G108" s="57" t="s">
        <v>1315</v>
      </c>
      <c r="H108" s="52" t="s">
        <v>2156</v>
      </c>
      <c r="I108" s="52" t="s">
        <v>70</v>
      </c>
      <c r="J108" s="113">
        <v>1</v>
      </c>
      <c r="K108" s="52">
        <v>1</v>
      </c>
      <c r="L108" s="52" t="s">
        <v>1225</v>
      </c>
      <c r="M108" s="52" t="s">
        <v>12</v>
      </c>
      <c r="N108" s="52" t="s">
        <v>14</v>
      </c>
      <c r="O108" s="52" t="s">
        <v>173</v>
      </c>
      <c r="P108" s="52">
        <v>10</v>
      </c>
      <c r="Q108" s="52" t="s">
        <v>1250</v>
      </c>
      <c r="R108" s="57" t="s">
        <v>12</v>
      </c>
      <c r="S108" s="52">
        <v>0</v>
      </c>
      <c r="T108" s="52" t="s">
        <v>12</v>
      </c>
      <c r="U108" s="52">
        <v>0</v>
      </c>
      <c r="V108" s="53" t="e">
        <f>VLOOKUP(#REF!,$Z$4:$AA$9,2,0)</f>
        <v>#REF!</v>
      </c>
      <c r="W108" s="53" t="str">
        <f>VLOOKUP(INT(SUBSTITUTE($Q108,"1|","")),[1]Sheet1!$A:$B,2,0)&amp;"碎片"</f>
        <v>野猪怪碎片</v>
      </c>
      <c r="X108" s="53" t="e">
        <f>VLOOKUP(#REF!,$Z$4:$AB$9,3,0)</f>
        <v>#REF!</v>
      </c>
      <c r="AD108" s="53" t="str">
        <f>IFERROR(IF($K108&gt;5,"[[1,[48]],[3,[16,5]]]",IF($K108&lt;3,"[[1,[47]]]","[[1,[47]],[3,[2]],"&amp;VLOOKUP($A108,[2]伙伴碎片途径!$A:$E,5,0)&amp;"]")),"[]")</f>
        <v>[[1,[47]]]</v>
      </c>
    </row>
    <row r="109" spans="1:30" x14ac:dyDescent="0.35">
      <c r="A109" s="56">
        <v>10404</v>
      </c>
      <c r="B109" s="56" t="s">
        <v>1018</v>
      </c>
      <c r="C109" s="105" t="s">
        <v>1831</v>
      </c>
      <c r="D109" s="52" t="str">
        <f t="shared" si="3"/>
        <v>集齐40个蟹将碎片可以合成蟹将</v>
      </c>
      <c r="E109" s="88">
        <v>2</v>
      </c>
      <c r="F109" s="52" t="s">
        <v>12</v>
      </c>
      <c r="G109" s="57" t="s">
        <v>1315</v>
      </c>
      <c r="H109" s="52" t="s">
        <v>2272</v>
      </c>
      <c r="I109" s="52" t="s">
        <v>70</v>
      </c>
      <c r="J109" s="113">
        <v>1</v>
      </c>
      <c r="K109" s="52">
        <v>3</v>
      </c>
      <c r="L109" s="52" t="s">
        <v>1038</v>
      </c>
      <c r="M109" s="52" t="s">
        <v>12</v>
      </c>
      <c r="N109" s="52" t="s">
        <v>14</v>
      </c>
      <c r="O109" s="52" t="s">
        <v>173</v>
      </c>
      <c r="P109" s="52">
        <v>40</v>
      </c>
      <c r="Q109" s="52" t="s">
        <v>1052</v>
      </c>
      <c r="R109" s="57" t="s">
        <v>12</v>
      </c>
      <c r="S109" s="52">
        <v>0</v>
      </c>
      <c r="T109" s="52" t="s">
        <v>12</v>
      </c>
      <c r="U109" s="52">
        <v>0</v>
      </c>
      <c r="V109" s="53" t="e">
        <f>VLOOKUP(#REF!,$Z$4:$AA$9,2,0)</f>
        <v>#REF!</v>
      </c>
      <c r="W109" s="53" t="str">
        <f>VLOOKUP(INT(SUBSTITUTE($Q109,"1|","")),[1]Sheet1!$A:$B,2,0)&amp;"碎片"</f>
        <v>蟹将碎片</v>
      </c>
      <c r="X109" s="53" t="e">
        <f>VLOOKUP(#REF!,$Z$4:$AB$9,3,0)</f>
        <v>#REF!</v>
      </c>
      <c r="AD109" s="53" t="str">
        <f>IFERROR(IF($K109&gt;5,"[[1,[48]],[3,[16,5]]]",IF($K109&lt;3,"[[1,[47]]]","[[1,[47]],[3,[2]],"&amp;VLOOKUP($A109,[2]伙伴碎片途径!$A:$E,5,0)&amp;"]")),"[]")</f>
        <v>[[1,[47]],[3,[2]],[2,[10025,10206,10386,10566,10746,10926,11106,11296]]]</v>
      </c>
    </row>
    <row r="110" spans="1:30" x14ac:dyDescent="0.35">
      <c r="A110" s="56">
        <v>10405</v>
      </c>
      <c r="B110" s="56" t="s">
        <v>1020</v>
      </c>
      <c r="C110" s="105" t="s">
        <v>1021</v>
      </c>
      <c r="D110" s="52" t="str">
        <f t="shared" si="3"/>
        <v>集齐10个狂豹碎片可以合成狂豹</v>
      </c>
      <c r="E110" s="88">
        <v>2</v>
      </c>
      <c r="F110" s="52" t="s">
        <v>12</v>
      </c>
      <c r="G110" s="57" t="s">
        <v>1315</v>
      </c>
      <c r="H110" s="52" t="s">
        <v>2156</v>
      </c>
      <c r="I110" s="52" t="s">
        <v>70</v>
      </c>
      <c r="J110" s="113">
        <v>1</v>
      </c>
      <c r="K110" s="52">
        <v>2</v>
      </c>
      <c r="L110" s="52" t="s">
        <v>1039</v>
      </c>
      <c r="M110" s="52" t="s">
        <v>12</v>
      </c>
      <c r="N110" s="52" t="s">
        <v>14</v>
      </c>
      <c r="O110" s="52" t="s">
        <v>173</v>
      </c>
      <c r="P110" s="52">
        <v>10</v>
      </c>
      <c r="Q110" s="52" t="s">
        <v>1053</v>
      </c>
      <c r="R110" s="57" t="s">
        <v>12</v>
      </c>
      <c r="S110" s="52">
        <v>0</v>
      </c>
      <c r="T110" s="52" t="s">
        <v>12</v>
      </c>
      <c r="U110" s="52">
        <v>0</v>
      </c>
      <c r="V110" s="53" t="e">
        <f>VLOOKUP(#REF!,$Z$4:$AA$9,2,0)</f>
        <v>#REF!</v>
      </c>
      <c r="W110" s="53" t="str">
        <f>VLOOKUP(INT(SUBSTITUTE($Q110,"1|","")),[1]Sheet1!$A:$B,2,0)&amp;"碎片"</f>
        <v>狂豹碎片</v>
      </c>
      <c r="X110" s="53" t="e">
        <f>VLOOKUP(#REF!,$Z$4:$AB$9,3,0)</f>
        <v>#REF!</v>
      </c>
      <c r="AD110" s="53" t="str">
        <f>IFERROR(IF($K110&gt;5,"[[1,[48]],[3,[16,5]]]",IF($K110&lt;3,"[[1,[47]]]","[[1,[47]],[3,[2]],"&amp;VLOOKUP($A110,[2]伙伴碎片途径!$A:$E,5,0)&amp;"]")),"[]")</f>
        <v>[[1,[47]]]</v>
      </c>
    </row>
    <row r="111" spans="1:30" x14ac:dyDescent="0.35">
      <c r="A111" s="56">
        <v>10406</v>
      </c>
      <c r="B111" s="56" t="s">
        <v>1022</v>
      </c>
      <c r="C111" s="105" t="s">
        <v>1023</v>
      </c>
      <c r="D111" s="52" t="str">
        <f t="shared" si="3"/>
        <v>集齐10个护卫碎片可以合成护卫</v>
      </c>
      <c r="E111" s="88">
        <v>2</v>
      </c>
      <c r="F111" s="52" t="s">
        <v>12</v>
      </c>
      <c r="G111" s="57" t="s">
        <v>1315</v>
      </c>
      <c r="H111" s="52" t="s">
        <v>2156</v>
      </c>
      <c r="I111" s="52" t="s">
        <v>70</v>
      </c>
      <c r="J111" s="113">
        <v>1</v>
      </c>
      <c r="K111" s="52">
        <v>2</v>
      </c>
      <c r="L111" s="52" t="s">
        <v>1040</v>
      </c>
      <c r="M111" s="52" t="s">
        <v>12</v>
      </c>
      <c r="N111" s="52" t="s">
        <v>14</v>
      </c>
      <c r="O111" s="52" t="s">
        <v>173</v>
      </c>
      <c r="P111" s="52">
        <v>10</v>
      </c>
      <c r="Q111" s="52" t="s">
        <v>1054</v>
      </c>
      <c r="R111" s="57" t="s">
        <v>12</v>
      </c>
      <c r="S111" s="52">
        <v>0</v>
      </c>
      <c r="T111" s="52" t="s">
        <v>12</v>
      </c>
      <c r="U111" s="52">
        <v>0</v>
      </c>
      <c r="V111" s="53" t="e">
        <f>VLOOKUP(#REF!,$Z$4:$AA$9,2,0)</f>
        <v>#REF!</v>
      </c>
      <c r="W111" s="53" t="str">
        <f>VLOOKUP(INT(SUBSTITUTE($Q111,"1|","")),[1]Sheet1!$A:$B,2,0)&amp;"碎片"</f>
        <v>护卫碎片</v>
      </c>
      <c r="X111" s="53" t="e">
        <f>VLOOKUP(#REF!,$Z$4:$AB$9,3,0)</f>
        <v>#REF!</v>
      </c>
      <c r="AD111" s="53" t="str">
        <f>IFERROR(IF($K111&gt;5,"[[1,[48]],[3,[16,5]]]",IF($K111&lt;3,"[[1,[47]]]","[[1,[47]],[3,[2]],"&amp;VLOOKUP($A111,[2]伙伴碎片途径!$A:$E,5,0)&amp;"]")),"[]")</f>
        <v>[[1,[47]]]</v>
      </c>
    </row>
    <row r="112" spans="1:30" x14ac:dyDescent="0.35">
      <c r="A112" s="56">
        <v>10407</v>
      </c>
      <c r="B112" s="56" t="s">
        <v>1024</v>
      </c>
      <c r="C112" s="105" t="s">
        <v>1025</v>
      </c>
      <c r="D112" s="52" t="str">
        <f t="shared" si="3"/>
        <v>集齐10个龟丞相碎片可以合成龟丞相</v>
      </c>
      <c r="E112" s="88">
        <v>2</v>
      </c>
      <c r="F112" s="52" t="s">
        <v>12</v>
      </c>
      <c r="G112" s="57" t="s">
        <v>1315</v>
      </c>
      <c r="H112" s="52" t="s">
        <v>2156</v>
      </c>
      <c r="I112" s="52" t="s">
        <v>70</v>
      </c>
      <c r="J112" s="113">
        <v>1</v>
      </c>
      <c r="K112" s="52">
        <v>2</v>
      </c>
      <c r="L112" s="52" t="s">
        <v>1041</v>
      </c>
      <c r="M112" s="52" t="s">
        <v>12</v>
      </c>
      <c r="N112" s="52" t="s">
        <v>14</v>
      </c>
      <c r="O112" s="52" t="s">
        <v>173</v>
      </c>
      <c r="P112" s="52">
        <v>10</v>
      </c>
      <c r="Q112" s="52" t="s">
        <v>1055</v>
      </c>
      <c r="R112" s="57" t="s">
        <v>12</v>
      </c>
      <c r="S112" s="52">
        <v>0</v>
      </c>
      <c r="T112" s="52" t="s">
        <v>12</v>
      </c>
      <c r="U112" s="52">
        <v>0</v>
      </c>
      <c r="V112" s="53" t="e">
        <f>VLOOKUP(#REF!,$Z$4:$AA$9,2,0)</f>
        <v>#REF!</v>
      </c>
      <c r="W112" s="53" t="str">
        <f>VLOOKUP(INT(SUBSTITUTE($Q112,"1|","")),[1]Sheet1!$A:$B,2,0)&amp;"碎片"</f>
        <v>龟丞相碎片</v>
      </c>
      <c r="X112" s="53" t="e">
        <f>VLOOKUP(#REF!,$Z$4:$AB$9,3,0)</f>
        <v>#REF!</v>
      </c>
      <c r="AD112" s="53" t="str">
        <f>IFERROR(IF($K112&gt;5,"[[1,[48]],[3,[16,5]]]",IF($K112&lt;3,"[[1,[47]]]","[[1,[47]],[3,[2]],"&amp;VLOOKUP($A112,[2]伙伴碎片途径!$A:$E,5,0)&amp;"]")),"[]")</f>
        <v>[[1,[47]]]</v>
      </c>
    </row>
    <row r="113" spans="1:30" x14ac:dyDescent="0.35">
      <c r="A113" s="56">
        <v>10408</v>
      </c>
      <c r="B113" s="56" t="s">
        <v>1026</v>
      </c>
      <c r="C113" s="105" t="s">
        <v>1027</v>
      </c>
      <c r="D113" s="52" t="str">
        <f t="shared" si="3"/>
        <v>集齐10个炎魔碎片可以合成炎魔</v>
      </c>
      <c r="E113" s="88">
        <v>2</v>
      </c>
      <c r="F113" s="52" t="s">
        <v>12</v>
      </c>
      <c r="G113" s="57" t="s">
        <v>1315</v>
      </c>
      <c r="H113" s="52" t="s">
        <v>2156</v>
      </c>
      <c r="I113" s="52" t="s">
        <v>70</v>
      </c>
      <c r="J113" s="113">
        <v>1</v>
      </c>
      <c r="K113" s="52">
        <v>2</v>
      </c>
      <c r="L113" s="52" t="s">
        <v>1042</v>
      </c>
      <c r="M113" s="52" t="s">
        <v>12</v>
      </c>
      <c r="N113" s="52" t="s">
        <v>14</v>
      </c>
      <c r="O113" s="52" t="s">
        <v>173</v>
      </c>
      <c r="P113" s="52">
        <v>10</v>
      </c>
      <c r="Q113" s="52" t="s">
        <v>1056</v>
      </c>
      <c r="R113" s="57" t="s">
        <v>12</v>
      </c>
      <c r="S113" s="52">
        <v>0</v>
      </c>
      <c r="T113" s="52" t="s">
        <v>12</v>
      </c>
      <c r="U113" s="52">
        <v>0</v>
      </c>
      <c r="V113" s="53" t="e">
        <f>VLOOKUP(#REF!,$Z$4:$AA$9,2,0)</f>
        <v>#REF!</v>
      </c>
      <c r="W113" s="53" t="str">
        <f>VLOOKUP(INT(SUBSTITUTE($Q113,"1|","")),[1]Sheet1!$A:$B,2,0)&amp;"碎片"</f>
        <v>炎魔碎片</v>
      </c>
      <c r="X113" s="53" t="e">
        <f>VLOOKUP(#REF!,$Z$4:$AB$9,3,0)</f>
        <v>#REF!</v>
      </c>
      <c r="AD113" s="53" t="str">
        <f>IFERROR(IF($K113&gt;5,"[[1,[48]],[3,[16,5]]]",IF($K113&lt;3,"[[1,[47]]]","[[1,[47]],[3,[2]],"&amp;VLOOKUP($A113,[2]伙伴碎片途径!$A:$E,5,0)&amp;"]")),"[]")</f>
        <v>[[1,[47]]]</v>
      </c>
    </row>
    <row r="114" spans="1:30" x14ac:dyDescent="0.35">
      <c r="A114" s="56">
        <v>10409</v>
      </c>
      <c r="B114" s="56" t="s">
        <v>1028</v>
      </c>
      <c r="C114" s="105" t="s">
        <v>1029</v>
      </c>
      <c r="D114" s="52" t="str">
        <f t="shared" si="3"/>
        <v>集齐10个天将碎片可以合成天将</v>
      </c>
      <c r="E114" s="88">
        <v>2</v>
      </c>
      <c r="F114" s="52" t="s">
        <v>12</v>
      </c>
      <c r="G114" s="57" t="s">
        <v>1315</v>
      </c>
      <c r="H114" s="52" t="s">
        <v>2156</v>
      </c>
      <c r="I114" s="52" t="s">
        <v>70</v>
      </c>
      <c r="J114" s="113">
        <v>1</v>
      </c>
      <c r="K114" s="52">
        <v>2</v>
      </c>
      <c r="L114" s="52" t="s">
        <v>1017</v>
      </c>
      <c r="M114" s="52" t="s">
        <v>12</v>
      </c>
      <c r="N114" s="52" t="s">
        <v>14</v>
      </c>
      <c r="O114" s="52" t="s">
        <v>173</v>
      </c>
      <c r="P114" s="52">
        <v>10</v>
      </c>
      <c r="Q114" s="52" t="s">
        <v>1621</v>
      </c>
      <c r="R114" s="57" t="s">
        <v>12</v>
      </c>
      <c r="S114" s="52">
        <v>0</v>
      </c>
      <c r="T114" s="52" t="s">
        <v>12</v>
      </c>
      <c r="U114" s="52">
        <v>0</v>
      </c>
      <c r="V114" s="53" t="e">
        <f>VLOOKUP(#REF!,$Z$4:$AA$9,2,0)</f>
        <v>#REF!</v>
      </c>
      <c r="W114" s="53" t="str">
        <f>VLOOKUP(INT(SUBSTITUTE($Q114,"1|","")),[1]Sheet1!$A:$B,2,0)&amp;"碎片"</f>
        <v>天将碎片</v>
      </c>
      <c r="X114" s="53" t="e">
        <f>VLOOKUP(#REF!,$Z$4:$AB$9,3,0)</f>
        <v>#REF!</v>
      </c>
      <c r="AD114" s="53" t="str">
        <f>IFERROR(IF($K114&gt;5,"[[1,[48]],[3,[16,5]]]",IF($K114&lt;3,"[[1,[47]]]","[[1,[47]],[3,[2]],"&amp;VLOOKUP($A114,[2]伙伴碎片途径!$A:$E,5,0)&amp;"]")),"[]")</f>
        <v>[[1,[47]]]</v>
      </c>
    </row>
    <row r="115" spans="1:30" x14ac:dyDescent="0.35">
      <c r="A115" s="58">
        <v>11001</v>
      </c>
      <c r="B115" s="58" t="s">
        <v>1999</v>
      </c>
      <c r="C115" s="105" t="s">
        <v>1990</v>
      </c>
      <c r="D115" s="52" t="s">
        <v>1990</v>
      </c>
      <c r="E115" s="88">
        <v>1</v>
      </c>
      <c r="F115" s="52" t="s">
        <v>12</v>
      </c>
      <c r="G115" s="57" t="s">
        <v>1316</v>
      </c>
      <c r="H115" s="52" t="s">
        <v>2178</v>
      </c>
      <c r="I115" s="52" t="s">
        <v>70</v>
      </c>
      <c r="J115" s="113" t="s">
        <v>13</v>
      </c>
      <c r="K115" s="52" t="s">
        <v>194</v>
      </c>
      <c r="L115" s="52" t="s">
        <v>781</v>
      </c>
      <c r="M115" s="52" t="s">
        <v>12</v>
      </c>
      <c r="N115" s="52" t="s">
        <v>14</v>
      </c>
      <c r="O115" s="52" t="s">
        <v>13</v>
      </c>
      <c r="P115" s="52" t="s">
        <v>728</v>
      </c>
      <c r="Q115" s="52" t="s">
        <v>431</v>
      </c>
      <c r="R115" s="57" t="s">
        <v>12</v>
      </c>
      <c r="S115" s="52" t="s">
        <v>14</v>
      </c>
      <c r="T115" s="52" t="s">
        <v>12</v>
      </c>
      <c r="U115" s="52" t="s">
        <v>14</v>
      </c>
      <c r="AB115" s="53" t="str">
        <f>IF(INT($K115)&gt;=6,"[[1,[48]]]","[[1,[15]],[3,[4]],"&amp;VLOOKUP($A115,[2]装备碎片途径!$A:$E,5,0)&amp;"]")</f>
        <v>[[1,[15]],[3,[4]],[2,[10059,10119]]]</v>
      </c>
    </row>
    <row r="116" spans="1:30" x14ac:dyDescent="0.35">
      <c r="A116" s="58">
        <v>11002</v>
      </c>
      <c r="B116" s="58" t="s">
        <v>2000</v>
      </c>
      <c r="C116" s="105" t="s">
        <v>1991</v>
      </c>
      <c r="D116" s="52" t="s">
        <v>1991</v>
      </c>
      <c r="E116" s="88">
        <v>1</v>
      </c>
      <c r="F116" s="52" t="s">
        <v>12</v>
      </c>
      <c r="G116" s="57" t="s">
        <v>1316</v>
      </c>
      <c r="H116" s="52" t="s">
        <v>2179</v>
      </c>
      <c r="I116" s="52" t="s">
        <v>70</v>
      </c>
      <c r="J116" s="113" t="s">
        <v>13</v>
      </c>
      <c r="K116" s="52" t="s">
        <v>194</v>
      </c>
      <c r="L116" s="52" t="s">
        <v>787</v>
      </c>
      <c r="M116" s="52" t="s">
        <v>12</v>
      </c>
      <c r="N116" s="52" t="s">
        <v>14</v>
      </c>
      <c r="O116" s="52" t="s">
        <v>13</v>
      </c>
      <c r="P116" s="52" t="s">
        <v>728</v>
      </c>
      <c r="Q116" s="52" t="s">
        <v>202</v>
      </c>
      <c r="R116" s="57" t="s">
        <v>12</v>
      </c>
      <c r="S116" s="52" t="s">
        <v>14</v>
      </c>
      <c r="T116" s="52" t="s">
        <v>12</v>
      </c>
      <c r="U116" s="52" t="s">
        <v>14</v>
      </c>
      <c r="AB116" s="53" t="str">
        <f>IF(INT($K116)&gt;=6,"[[1,[48]]]","[[1,[15]],[3,[4]],"&amp;VLOOKUP($A116,[2]装备碎片途径!$A:$E,5,0)&amp;"]")</f>
        <v>[[1,[15]],[3,[4]],[2,[10060,10120]]]</v>
      </c>
    </row>
    <row r="117" spans="1:30" x14ac:dyDescent="0.35">
      <c r="A117" s="58">
        <v>11003</v>
      </c>
      <c r="B117" s="58" t="s">
        <v>645</v>
      </c>
      <c r="C117" s="105" t="s">
        <v>1618</v>
      </c>
      <c r="D117" s="52" t="s">
        <v>1618</v>
      </c>
      <c r="E117" s="88">
        <v>1</v>
      </c>
      <c r="F117" s="52" t="s">
        <v>12</v>
      </c>
      <c r="G117" s="57" t="s">
        <v>1316</v>
      </c>
      <c r="H117" s="52" t="s">
        <v>2180</v>
      </c>
      <c r="I117" s="52" t="s">
        <v>70</v>
      </c>
      <c r="J117" s="113" t="s">
        <v>13</v>
      </c>
      <c r="K117" s="52" t="s">
        <v>194</v>
      </c>
      <c r="L117" s="52" t="s">
        <v>788</v>
      </c>
      <c r="M117" s="52" t="s">
        <v>12</v>
      </c>
      <c r="N117" s="52" t="s">
        <v>14</v>
      </c>
      <c r="O117" s="52" t="s">
        <v>13</v>
      </c>
      <c r="P117" s="52" t="s">
        <v>728</v>
      </c>
      <c r="Q117" s="52" t="s">
        <v>203</v>
      </c>
      <c r="R117" s="57" t="s">
        <v>12</v>
      </c>
      <c r="S117" s="52" t="s">
        <v>14</v>
      </c>
      <c r="T117" s="52" t="s">
        <v>12</v>
      </c>
      <c r="U117" s="52" t="s">
        <v>14</v>
      </c>
      <c r="AB117" s="53" t="str">
        <f>IF(INT($K117)&gt;=6,"[[1,[48]]]","[[1,[15]],[3,[4]],"&amp;VLOOKUP($A117,[2]装备碎片途径!$A:$E,5,0)&amp;"]")</f>
        <v>[[1,[15]],[3,[4]],[2,[10050,10110]]]</v>
      </c>
    </row>
    <row r="118" spans="1:30" x14ac:dyDescent="0.35">
      <c r="A118" s="58">
        <v>11004</v>
      </c>
      <c r="B118" s="58" t="s">
        <v>2001</v>
      </c>
      <c r="C118" s="105" t="s">
        <v>1992</v>
      </c>
      <c r="D118" s="52" t="s">
        <v>1992</v>
      </c>
      <c r="E118" s="88">
        <v>1</v>
      </c>
      <c r="F118" s="52" t="s">
        <v>12</v>
      </c>
      <c r="G118" s="57" t="s">
        <v>1316</v>
      </c>
      <c r="H118" s="52" t="s">
        <v>2181</v>
      </c>
      <c r="I118" s="52" t="s">
        <v>70</v>
      </c>
      <c r="J118" s="113" t="s">
        <v>13</v>
      </c>
      <c r="K118" s="52" t="s">
        <v>194</v>
      </c>
      <c r="L118" s="52" t="s">
        <v>789</v>
      </c>
      <c r="M118" s="52" t="s">
        <v>12</v>
      </c>
      <c r="N118" s="52" t="s">
        <v>14</v>
      </c>
      <c r="O118" s="52" t="s">
        <v>13</v>
      </c>
      <c r="P118" s="52" t="s">
        <v>728</v>
      </c>
      <c r="Q118" s="52" t="s">
        <v>204</v>
      </c>
      <c r="R118" s="57" t="s">
        <v>12</v>
      </c>
      <c r="S118" s="52" t="s">
        <v>14</v>
      </c>
      <c r="T118" s="52" t="s">
        <v>12</v>
      </c>
      <c r="U118" s="52" t="s">
        <v>14</v>
      </c>
      <c r="AB118" s="53" t="str">
        <f>IF(INT($K118)&gt;=6,"[[1,[48]]]","[[1,[15]],[3,[4]],"&amp;VLOOKUP($A118,[2]装备碎片途径!$A:$E,5,0)&amp;"]")</f>
        <v>[[1,[15]],[3,[4]],[2,[10049,10109]]]</v>
      </c>
    </row>
    <row r="119" spans="1:30" x14ac:dyDescent="0.35">
      <c r="A119" s="59">
        <v>11005</v>
      </c>
      <c r="B119" s="59" t="s">
        <v>1765</v>
      </c>
      <c r="C119" s="105" t="s">
        <v>1739</v>
      </c>
      <c r="D119" s="52" t="s">
        <v>1739</v>
      </c>
      <c r="E119" s="88">
        <v>1</v>
      </c>
      <c r="F119" s="52" t="s">
        <v>12</v>
      </c>
      <c r="G119" s="57" t="s">
        <v>1316</v>
      </c>
      <c r="H119" s="52" t="s">
        <v>2182</v>
      </c>
      <c r="I119" s="52" t="s">
        <v>70</v>
      </c>
      <c r="J119" s="113" t="s">
        <v>13</v>
      </c>
      <c r="K119" s="52" t="s">
        <v>194</v>
      </c>
      <c r="L119" s="52" t="s">
        <v>1611</v>
      </c>
      <c r="M119" s="52" t="s">
        <v>12</v>
      </c>
      <c r="N119" s="52" t="s">
        <v>14</v>
      </c>
      <c r="O119" s="52" t="s">
        <v>13</v>
      </c>
      <c r="P119" s="52" t="s">
        <v>728</v>
      </c>
      <c r="Q119" s="52" t="s">
        <v>205</v>
      </c>
      <c r="R119" s="57" t="s">
        <v>12</v>
      </c>
      <c r="S119" s="52" t="s">
        <v>14</v>
      </c>
      <c r="T119" s="52" t="s">
        <v>12</v>
      </c>
      <c r="U119" s="52" t="s">
        <v>14</v>
      </c>
      <c r="AB119" s="53" t="str">
        <f>IF(INT($K119)&gt;=6,"[[1,[48]]]","[[1,[15]],[3,[4]],"&amp;VLOOKUP($A119,[2]装备碎片途径!$A:$E,5,0)&amp;"]")</f>
        <v>[[1,[15]],[3,[4]],[2,[10099,10159]]]</v>
      </c>
    </row>
    <row r="120" spans="1:30" ht="17.25" customHeight="1" x14ac:dyDescent="0.35">
      <c r="A120" s="59">
        <v>11006</v>
      </c>
      <c r="B120" s="59" t="s">
        <v>1766</v>
      </c>
      <c r="C120" s="105" t="s">
        <v>1740</v>
      </c>
      <c r="D120" s="52" t="s">
        <v>1740</v>
      </c>
      <c r="E120" s="88">
        <v>1</v>
      </c>
      <c r="F120" s="52" t="s">
        <v>12</v>
      </c>
      <c r="G120" s="57" t="s">
        <v>1316</v>
      </c>
      <c r="H120" s="52" t="s">
        <v>2183</v>
      </c>
      <c r="I120" s="52" t="s">
        <v>70</v>
      </c>
      <c r="J120" s="113" t="s">
        <v>13</v>
      </c>
      <c r="K120" s="52" t="s">
        <v>194</v>
      </c>
      <c r="L120" s="52" t="s">
        <v>1612</v>
      </c>
      <c r="M120" s="52" t="s">
        <v>12</v>
      </c>
      <c r="N120" s="52" t="s">
        <v>14</v>
      </c>
      <c r="O120" s="52" t="s">
        <v>13</v>
      </c>
      <c r="P120" s="52" t="s">
        <v>728</v>
      </c>
      <c r="Q120" s="52" t="s">
        <v>206</v>
      </c>
      <c r="R120" s="57" t="s">
        <v>12</v>
      </c>
      <c r="S120" s="52" t="s">
        <v>14</v>
      </c>
      <c r="T120" s="52" t="s">
        <v>12</v>
      </c>
      <c r="U120" s="52" t="s">
        <v>14</v>
      </c>
      <c r="AB120" s="53" t="str">
        <f>IF(INT($K120)&gt;=6,"[[1,[48]]]","[[1,[15]],[3,[4]],"&amp;VLOOKUP($A120,[2]装备碎片途径!$A:$E,5,0)&amp;"]")</f>
        <v>[[1,[15]],[3,[4]],[2,[10100,10160]]]</v>
      </c>
    </row>
    <row r="121" spans="1:30" ht="17.25" customHeight="1" x14ac:dyDescent="0.35">
      <c r="A121" s="59">
        <v>11007</v>
      </c>
      <c r="B121" s="59" t="s">
        <v>1767</v>
      </c>
      <c r="C121" s="105" t="s">
        <v>1741</v>
      </c>
      <c r="D121" s="52" t="s">
        <v>1741</v>
      </c>
      <c r="E121" s="88">
        <v>1</v>
      </c>
      <c r="F121" s="52" t="s">
        <v>12</v>
      </c>
      <c r="G121" s="57" t="s">
        <v>1316</v>
      </c>
      <c r="H121" s="52" t="s">
        <v>2184</v>
      </c>
      <c r="I121" s="52" t="s">
        <v>70</v>
      </c>
      <c r="J121" s="113" t="s">
        <v>13</v>
      </c>
      <c r="K121" s="52" t="s">
        <v>194</v>
      </c>
      <c r="L121" s="52" t="s">
        <v>790</v>
      </c>
      <c r="M121" s="52" t="s">
        <v>12</v>
      </c>
      <c r="N121" s="52" t="s">
        <v>14</v>
      </c>
      <c r="O121" s="52" t="s">
        <v>13</v>
      </c>
      <c r="P121" s="52" t="s">
        <v>728</v>
      </c>
      <c r="Q121" s="52" t="s">
        <v>207</v>
      </c>
      <c r="R121" s="57" t="s">
        <v>12</v>
      </c>
      <c r="S121" s="52" t="s">
        <v>14</v>
      </c>
      <c r="T121" s="52" t="s">
        <v>12</v>
      </c>
      <c r="U121" s="52" t="s">
        <v>14</v>
      </c>
      <c r="AB121" s="53" t="str">
        <f>IF(INT($K121)&gt;=6,"[[1,[48]]]","[[1,[15]],[3,[4]],"&amp;VLOOKUP($A121,[2]装备碎片途径!$A:$E,5,0)&amp;"]")</f>
        <v>[[1,[15]],[3,[4]],[2,[10090,10150]]]</v>
      </c>
    </row>
    <row r="122" spans="1:30" ht="17.25" customHeight="1" x14ac:dyDescent="0.35">
      <c r="A122" s="59">
        <v>11008</v>
      </c>
      <c r="B122" s="59" t="s">
        <v>1768</v>
      </c>
      <c r="C122" s="105" t="s">
        <v>1742</v>
      </c>
      <c r="D122" s="52" t="s">
        <v>1742</v>
      </c>
      <c r="E122" s="88">
        <v>1</v>
      </c>
      <c r="F122" s="52" t="s">
        <v>12</v>
      </c>
      <c r="G122" s="57" t="s">
        <v>1316</v>
      </c>
      <c r="H122" s="52" t="s">
        <v>2185</v>
      </c>
      <c r="I122" s="52" t="s">
        <v>70</v>
      </c>
      <c r="J122" s="113" t="s">
        <v>13</v>
      </c>
      <c r="K122" s="52" t="s">
        <v>194</v>
      </c>
      <c r="L122" s="52" t="s">
        <v>782</v>
      </c>
      <c r="M122" s="52" t="s">
        <v>12</v>
      </c>
      <c r="N122" s="52" t="s">
        <v>14</v>
      </c>
      <c r="O122" s="52" t="s">
        <v>13</v>
      </c>
      <c r="P122" s="52" t="s">
        <v>728</v>
      </c>
      <c r="Q122" s="52" t="s">
        <v>208</v>
      </c>
      <c r="R122" s="57" t="s">
        <v>12</v>
      </c>
      <c r="S122" s="52" t="s">
        <v>14</v>
      </c>
      <c r="T122" s="52" t="s">
        <v>12</v>
      </c>
      <c r="U122" s="52" t="s">
        <v>14</v>
      </c>
      <c r="AB122" s="53" t="str">
        <f>IF(INT($K122)&gt;=6,"[[1,[48]]]","[[1,[15]],[3,[4]],"&amp;VLOOKUP($A122,[2]装备碎片途径!$A:$E,5,0)&amp;"]")</f>
        <v>[[1,[15]],[3,[4]],[2,[10089,10149]]]</v>
      </c>
    </row>
    <row r="123" spans="1:30" ht="17.25" customHeight="1" x14ac:dyDescent="0.35">
      <c r="A123" s="60">
        <v>11009</v>
      </c>
      <c r="B123" s="60" t="s">
        <v>1769</v>
      </c>
      <c r="C123" s="105" t="s">
        <v>1743</v>
      </c>
      <c r="D123" s="52" t="s">
        <v>1743</v>
      </c>
      <c r="E123" s="88">
        <v>1</v>
      </c>
      <c r="F123" s="52" t="s">
        <v>12</v>
      </c>
      <c r="G123" s="57" t="s">
        <v>1316</v>
      </c>
      <c r="H123" s="52" t="s">
        <v>2186</v>
      </c>
      <c r="I123" s="52" t="s">
        <v>70</v>
      </c>
      <c r="J123" s="113" t="s">
        <v>13</v>
      </c>
      <c r="K123" s="52" t="s">
        <v>194</v>
      </c>
      <c r="L123" s="52" t="s">
        <v>783</v>
      </c>
      <c r="M123" s="52" t="s">
        <v>12</v>
      </c>
      <c r="N123" s="52" t="s">
        <v>14</v>
      </c>
      <c r="O123" s="52" t="s">
        <v>13</v>
      </c>
      <c r="P123" s="52" t="s">
        <v>728</v>
      </c>
      <c r="Q123" s="52" t="s">
        <v>626</v>
      </c>
      <c r="R123" s="57" t="s">
        <v>12</v>
      </c>
      <c r="S123" s="52" t="s">
        <v>14</v>
      </c>
      <c r="T123" s="52" t="s">
        <v>12</v>
      </c>
      <c r="U123" s="52" t="s">
        <v>14</v>
      </c>
      <c r="AB123" s="53" t="str">
        <f>IF(INT($K123)&gt;=6,"[[1,[48]]]","[[1,[15]],[3,[4]],"&amp;VLOOKUP($A123,[2]装备碎片途径!$A:$E,5,0)&amp;"]")</f>
        <v>[[1,[15]],[3,[4]],[2,[10079,10139]]]</v>
      </c>
    </row>
    <row r="124" spans="1:30" ht="17.25" customHeight="1" x14ac:dyDescent="0.35">
      <c r="A124" s="60">
        <v>11010</v>
      </c>
      <c r="B124" s="60" t="s">
        <v>1770</v>
      </c>
      <c r="C124" s="105" t="s">
        <v>1744</v>
      </c>
      <c r="D124" s="52" t="s">
        <v>1744</v>
      </c>
      <c r="E124" s="88">
        <v>1</v>
      </c>
      <c r="F124" s="52" t="s">
        <v>12</v>
      </c>
      <c r="G124" s="57" t="s">
        <v>1316</v>
      </c>
      <c r="H124" s="52" t="s">
        <v>2187</v>
      </c>
      <c r="I124" s="52" t="s">
        <v>70</v>
      </c>
      <c r="J124" s="113" t="s">
        <v>13</v>
      </c>
      <c r="K124" s="52" t="s">
        <v>194</v>
      </c>
      <c r="L124" s="52" t="s">
        <v>784</v>
      </c>
      <c r="M124" s="52" t="s">
        <v>12</v>
      </c>
      <c r="N124" s="52" t="s">
        <v>14</v>
      </c>
      <c r="O124" s="52" t="s">
        <v>13</v>
      </c>
      <c r="P124" s="52" t="s">
        <v>728</v>
      </c>
      <c r="Q124" s="52" t="s">
        <v>627</v>
      </c>
      <c r="R124" s="57" t="s">
        <v>12</v>
      </c>
      <c r="S124" s="52" t="s">
        <v>14</v>
      </c>
      <c r="T124" s="52" t="s">
        <v>12</v>
      </c>
      <c r="U124" s="52" t="s">
        <v>14</v>
      </c>
      <c r="AB124" s="53" t="str">
        <f>IF(INT($K124)&gt;=6,"[[1,[48]]]","[[1,[15]],[3,[4]],"&amp;VLOOKUP($A124,[2]装备碎片途径!$A:$E,5,0)&amp;"]")</f>
        <v>[[1,[15]],[3,[4]],[2,[10080,10140]]]</v>
      </c>
    </row>
    <row r="125" spans="1:30" ht="17.25" customHeight="1" x14ac:dyDescent="0.35">
      <c r="A125" s="60">
        <v>11011</v>
      </c>
      <c r="B125" s="60" t="s">
        <v>1771</v>
      </c>
      <c r="C125" s="105" t="s">
        <v>1745</v>
      </c>
      <c r="D125" s="52" t="s">
        <v>1745</v>
      </c>
      <c r="E125" s="88">
        <v>1</v>
      </c>
      <c r="F125" s="52" t="s">
        <v>12</v>
      </c>
      <c r="G125" s="57" t="s">
        <v>1316</v>
      </c>
      <c r="H125" s="52" t="s">
        <v>2188</v>
      </c>
      <c r="I125" s="52" t="s">
        <v>70</v>
      </c>
      <c r="J125" s="113" t="s">
        <v>13</v>
      </c>
      <c r="K125" s="52" t="s">
        <v>194</v>
      </c>
      <c r="L125" s="52" t="s">
        <v>785</v>
      </c>
      <c r="M125" s="52" t="s">
        <v>12</v>
      </c>
      <c r="N125" s="52" t="s">
        <v>14</v>
      </c>
      <c r="O125" s="52" t="s">
        <v>13</v>
      </c>
      <c r="P125" s="52" t="s">
        <v>728</v>
      </c>
      <c r="Q125" s="52" t="s">
        <v>628</v>
      </c>
      <c r="R125" s="57" t="s">
        <v>12</v>
      </c>
      <c r="S125" s="52" t="s">
        <v>14</v>
      </c>
      <c r="T125" s="52" t="s">
        <v>12</v>
      </c>
      <c r="U125" s="52" t="s">
        <v>14</v>
      </c>
      <c r="AB125" s="53" t="str">
        <f>IF(INT($K125)&gt;=6,"[[1,[48]]]","[[1,[15]],[3,[4]],"&amp;VLOOKUP($A125,[2]装备碎片途径!$A:$E,5,0)&amp;"]")</f>
        <v>[[1,[15]],[3,[4]],[2,[10070,10130]]]</v>
      </c>
    </row>
    <row r="126" spans="1:30" ht="17.25" customHeight="1" x14ac:dyDescent="0.35">
      <c r="A126" s="60">
        <v>11012</v>
      </c>
      <c r="B126" s="60" t="s">
        <v>1772</v>
      </c>
      <c r="C126" s="105" t="s">
        <v>1746</v>
      </c>
      <c r="D126" s="52" t="s">
        <v>1746</v>
      </c>
      <c r="E126" s="88">
        <v>1</v>
      </c>
      <c r="F126" s="52" t="s">
        <v>12</v>
      </c>
      <c r="G126" s="57" t="s">
        <v>1316</v>
      </c>
      <c r="H126" s="52" t="s">
        <v>2189</v>
      </c>
      <c r="I126" s="52" t="s">
        <v>70</v>
      </c>
      <c r="J126" s="113" t="s">
        <v>13</v>
      </c>
      <c r="K126" s="52" t="s">
        <v>194</v>
      </c>
      <c r="L126" s="52" t="s">
        <v>786</v>
      </c>
      <c r="M126" s="52" t="s">
        <v>12</v>
      </c>
      <c r="N126" s="52" t="s">
        <v>14</v>
      </c>
      <c r="O126" s="52" t="s">
        <v>13</v>
      </c>
      <c r="P126" s="52" t="s">
        <v>728</v>
      </c>
      <c r="Q126" s="52" t="s">
        <v>629</v>
      </c>
      <c r="R126" s="57" t="s">
        <v>12</v>
      </c>
      <c r="S126" s="52" t="s">
        <v>14</v>
      </c>
      <c r="T126" s="52" t="s">
        <v>12</v>
      </c>
      <c r="U126" s="52" t="s">
        <v>14</v>
      </c>
      <c r="AB126" s="53" t="str">
        <f>IF(INT($K126)&gt;=6,"[[1,[48]]]","[[1,[15]],[3,[4]],"&amp;VLOOKUP($A126,[2]装备碎片途径!$A:$E,5,0)&amp;"]")</f>
        <v>[[1,[15]],[3,[4]],[2,[10069,10129]]]</v>
      </c>
    </row>
    <row r="127" spans="1:30" ht="17.25" customHeight="1" x14ac:dyDescent="0.35">
      <c r="A127" s="61">
        <v>11013</v>
      </c>
      <c r="B127" s="61" t="s">
        <v>2002</v>
      </c>
      <c r="C127" s="105" t="s">
        <v>1993</v>
      </c>
      <c r="D127" s="52" t="s">
        <v>1993</v>
      </c>
      <c r="E127" s="88">
        <v>1</v>
      </c>
      <c r="F127" s="52" t="s">
        <v>12</v>
      </c>
      <c r="G127" s="57" t="s">
        <v>1316</v>
      </c>
      <c r="H127" s="52" t="s">
        <v>2190</v>
      </c>
      <c r="I127" s="52" t="s">
        <v>70</v>
      </c>
      <c r="J127" s="113" t="s">
        <v>13</v>
      </c>
      <c r="K127" s="52" t="s">
        <v>173</v>
      </c>
      <c r="L127" s="52" t="s">
        <v>791</v>
      </c>
      <c r="M127" s="52" t="s">
        <v>12</v>
      </c>
      <c r="N127" s="52" t="s">
        <v>14</v>
      </c>
      <c r="O127" s="52" t="s">
        <v>13</v>
      </c>
      <c r="P127" s="52" t="s">
        <v>1004</v>
      </c>
      <c r="Q127" s="52" t="s">
        <v>209</v>
      </c>
      <c r="R127" s="57" t="s">
        <v>12</v>
      </c>
      <c r="S127" s="52" t="s">
        <v>14</v>
      </c>
      <c r="T127" s="52" t="s">
        <v>12</v>
      </c>
      <c r="U127" s="52" t="s">
        <v>14</v>
      </c>
      <c r="AB127" s="53" t="str">
        <f>IF(INT($K127)&gt;=6,"[[1,[48]]]","[[1,[15]],[3,[4]],"&amp;VLOOKUP($A127,[2]装备碎片途径!$A:$E,5,0)&amp;"]")</f>
        <v>[[1,[15]],[3,[4]],[2,[10179,10239,10299,10359]]]</v>
      </c>
    </row>
    <row r="128" spans="1:30" ht="17.25" customHeight="1" x14ac:dyDescent="0.35">
      <c r="A128" s="61">
        <v>11014</v>
      </c>
      <c r="B128" s="61" t="s">
        <v>1773</v>
      </c>
      <c r="C128" s="105" t="s">
        <v>1747</v>
      </c>
      <c r="D128" s="52" t="s">
        <v>1747</v>
      </c>
      <c r="E128" s="88">
        <v>1</v>
      </c>
      <c r="F128" s="52" t="s">
        <v>12</v>
      </c>
      <c r="G128" s="57" t="s">
        <v>1316</v>
      </c>
      <c r="H128" s="52" t="s">
        <v>2191</v>
      </c>
      <c r="I128" s="52" t="s">
        <v>70</v>
      </c>
      <c r="J128" s="113" t="s">
        <v>13</v>
      </c>
      <c r="K128" s="52" t="s">
        <v>173</v>
      </c>
      <c r="L128" s="52" t="s">
        <v>792</v>
      </c>
      <c r="M128" s="52" t="s">
        <v>12</v>
      </c>
      <c r="N128" s="52" t="s">
        <v>14</v>
      </c>
      <c r="O128" s="52" t="s">
        <v>13</v>
      </c>
      <c r="P128" s="52" t="s">
        <v>1004</v>
      </c>
      <c r="Q128" s="52" t="s">
        <v>210</v>
      </c>
      <c r="R128" s="57" t="s">
        <v>12</v>
      </c>
      <c r="S128" s="52" t="s">
        <v>14</v>
      </c>
      <c r="T128" s="52" t="s">
        <v>12</v>
      </c>
      <c r="U128" s="52" t="s">
        <v>14</v>
      </c>
      <c r="AB128" s="53" t="str">
        <f>IF(INT($K128)&gt;=6,"[[1,[48]]]","[[1,[15]],[3,[4]],"&amp;VLOOKUP($A128,[2]装备碎片途径!$A:$E,5,0)&amp;"]")</f>
        <v>[[1,[15]],[3,[4]],[2,[10180,10240,10300,10360]]]</v>
      </c>
    </row>
    <row r="129" spans="1:28" ht="17.25" customHeight="1" x14ac:dyDescent="0.35">
      <c r="A129" s="61">
        <v>11015</v>
      </c>
      <c r="B129" s="61" t="s">
        <v>2003</v>
      </c>
      <c r="C129" s="105" t="s">
        <v>1994</v>
      </c>
      <c r="D129" s="52" t="s">
        <v>1994</v>
      </c>
      <c r="E129" s="88">
        <v>1</v>
      </c>
      <c r="F129" s="52" t="s">
        <v>12</v>
      </c>
      <c r="G129" s="57" t="s">
        <v>1316</v>
      </c>
      <c r="H129" s="52" t="s">
        <v>2192</v>
      </c>
      <c r="I129" s="52" t="s">
        <v>70</v>
      </c>
      <c r="J129" s="113" t="s">
        <v>13</v>
      </c>
      <c r="K129" s="52" t="s">
        <v>173</v>
      </c>
      <c r="L129" s="52" t="s">
        <v>793</v>
      </c>
      <c r="M129" s="52" t="s">
        <v>12</v>
      </c>
      <c r="N129" s="52" t="s">
        <v>14</v>
      </c>
      <c r="O129" s="52" t="s">
        <v>13</v>
      </c>
      <c r="P129" s="52" t="s">
        <v>1004</v>
      </c>
      <c r="Q129" s="52" t="s">
        <v>211</v>
      </c>
      <c r="R129" s="57" t="s">
        <v>12</v>
      </c>
      <c r="S129" s="52" t="s">
        <v>14</v>
      </c>
      <c r="T129" s="52" t="s">
        <v>12</v>
      </c>
      <c r="U129" s="52" t="s">
        <v>14</v>
      </c>
      <c r="AB129" s="53" t="str">
        <f>IF(INT($K129)&gt;=6,"[[1,[48]]]","[[1,[15]],[3,[4]],"&amp;VLOOKUP($A129,[2]装备碎片途径!$A:$E,5,0)&amp;"]")</f>
        <v>[[1,[15]],[3,[4]],[2,[10170,10230,10290,10350]]]</v>
      </c>
    </row>
    <row r="130" spans="1:28" ht="17.25" customHeight="1" x14ac:dyDescent="0.35">
      <c r="A130" s="61">
        <v>11016</v>
      </c>
      <c r="B130" s="61" t="s">
        <v>2004</v>
      </c>
      <c r="C130" s="105" t="s">
        <v>1995</v>
      </c>
      <c r="D130" s="52" t="s">
        <v>1995</v>
      </c>
      <c r="E130" s="88">
        <v>1</v>
      </c>
      <c r="F130" s="52" t="s">
        <v>12</v>
      </c>
      <c r="G130" s="57" t="s">
        <v>1316</v>
      </c>
      <c r="H130" s="52" t="s">
        <v>2193</v>
      </c>
      <c r="I130" s="52" t="s">
        <v>70</v>
      </c>
      <c r="J130" s="113" t="s">
        <v>13</v>
      </c>
      <c r="K130" s="52" t="s">
        <v>173</v>
      </c>
      <c r="L130" s="52" t="s">
        <v>794</v>
      </c>
      <c r="M130" s="52" t="s">
        <v>12</v>
      </c>
      <c r="N130" s="52" t="s">
        <v>14</v>
      </c>
      <c r="O130" s="52" t="s">
        <v>13</v>
      </c>
      <c r="P130" s="52" t="s">
        <v>1004</v>
      </c>
      <c r="Q130" s="52" t="s">
        <v>212</v>
      </c>
      <c r="R130" s="57" t="s">
        <v>12</v>
      </c>
      <c r="S130" s="52" t="s">
        <v>14</v>
      </c>
      <c r="T130" s="52" t="s">
        <v>12</v>
      </c>
      <c r="U130" s="52" t="s">
        <v>14</v>
      </c>
      <c r="AB130" s="53" t="str">
        <f>IF(INT($K130)&gt;=6,"[[1,[48]]]","[[1,[15]],[3,[4]],"&amp;VLOOKUP($A130,[2]装备碎片途径!$A:$E,5,0)&amp;"]")</f>
        <v>[[1,[15]],[3,[4]],[2,[10169,10229,10289,10349]]]</v>
      </c>
    </row>
    <row r="131" spans="1:28" x14ac:dyDescent="0.35">
      <c r="A131" s="62">
        <v>11017</v>
      </c>
      <c r="B131" s="62" t="s">
        <v>1774</v>
      </c>
      <c r="C131" s="105" t="s">
        <v>1748</v>
      </c>
      <c r="D131" s="52" t="s">
        <v>1748</v>
      </c>
      <c r="E131" s="88">
        <v>1</v>
      </c>
      <c r="F131" s="52" t="s">
        <v>12</v>
      </c>
      <c r="G131" s="57" t="s">
        <v>1316</v>
      </c>
      <c r="H131" s="52" t="s">
        <v>2194</v>
      </c>
      <c r="I131" s="52" t="s">
        <v>70</v>
      </c>
      <c r="J131" s="113" t="s">
        <v>13</v>
      </c>
      <c r="K131" s="52" t="s">
        <v>173</v>
      </c>
      <c r="L131" s="52" t="s">
        <v>795</v>
      </c>
      <c r="M131" s="52" t="s">
        <v>12</v>
      </c>
      <c r="N131" s="52" t="s">
        <v>14</v>
      </c>
      <c r="O131" s="52" t="s">
        <v>13</v>
      </c>
      <c r="P131" s="52" t="s">
        <v>1004</v>
      </c>
      <c r="Q131" s="52" t="s">
        <v>213</v>
      </c>
      <c r="R131" s="57" t="s">
        <v>12</v>
      </c>
      <c r="S131" s="52" t="s">
        <v>14</v>
      </c>
      <c r="T131" s="52" t="s">
        <v>12</v>
      </c>
      <c r="U131" s="52" t="s">
        <v>14</v>
      </c>
      <c r="AB131" s="53" t="str">
        <f>IF(INT($K131)&gt;=6,"[[1,[48]]]","[[1,[15]],[3,[4]],"&amp;VLOOKUP($A131,[2]装备碎片途径!$A:$E,5,0)&amp;"]")</f>
        <v>[[1,[15]],[3,[4]],[2,[10199,10259,10319,10379]]]</v>
      </c>
    </row>
    <row r="132" spans="1:28" x14ac:dyDescent="0.35">
      <c r="A132" s="62">
        <v>11018</v>
      </c>
      <c r="B132" s="62" t="s">
        <v>1775</v>
      </c>
      <c r="C132" s="105" t="s">
        <v>1749</v>
      </c>
      <c r="D132" s="52" t="s">
        <v>1749</v>
      </c>
      <c r="E132" s="88">
        <v>1</v>
      </c>
      <c r="F132" s="52" t="s">
        <v>12</v>
      </c>
      <c r="G132" s="57" t="s">
        <v>1316</v>
      </c>
      <c r="H132" s="52" t="s">
        <v>2195</v>
      </c>
      <c r="I132" s="52" t="s">
        <v>70</v>
      </c>
      <c r="J132" s="113" t="s">
        <v>13</v>
      </c>
      <c r="K132" s="52" t="s">
        <v>173</v>
      </c>
      <c r="L132" s="52" t="s">
        <v>796</v>
      </c>
      <c r="M132" s="52" t="s">
        <v>12</v>
      </c>
      <c r="N132" s="52" t="s">
        <v>14</v>
      </c>
      <c r="O132" s="52" t="s">
        <v>13</v>
      </c>
      <c r="P132" s="52" t="s">
        <v>1004</v>
      </c>
      <c r="Q132" s="52" t="s">
        <v>214</v>
      </c>
      <c r="R132" s="57" t="s">
        <v>12</v>
      </c>
      <c r="S132" s="52" t="s">
        <v>14</v>
      </c>
      <c r="T132" s="52" t="s">
        <v>12</v>
      </c>
      <c r="U132" s="52" t="s">
        <v>14</v>
      </c>
      <c r="AB132" s="53" t="str">
        <f>IF(INT($K132)&gt;=6,"[[1,[48]]]","[[1,[15]],[3,[4]],"&amp;VLOOKUP($A132,[2]装备碎片途径!$A:$E,5,0)&amp;"]")</f>
        <v>[[1,[15]],[3,[4]],[2,[10200,10260,10320,10380]]]</v>
      </c>
    </row>
    <row r="133" spans="1:28" x14ac:dyDescent="0.35">
      <c r="A133" s="62">
        <v>11019</v>
      </c>
      <c r="B133" s="62" t="s">
        <v>1776</v>
      </c>
      <c r="C133" s="105" t="s">
        <v>1750</v>
      </c>
      <c r="D133" s="52" t="s">
        <v>1750</v>
      </c>
      <c r="E133" s="88">
        <v>1</v>
      </c>
      <c r="F133" s="52" t="s">
        <v>12</v>
      </c>
      <c r="G133" s="57" t="s">
        <v>1316</v>
      </c>
      <c r="H133" s="52" t="s">
        <v>2196</v>
      </c>
      <c r="I133" s="52" t="s">
        <v>70</v>
      </c>
      <c r="J133" s="113" t="s">
        <v>13</v>
      </c>
      <c r="K133" s="52" t="s">
        <v>173</v>
      </c>
      <c r="L133" s="52" t="s">
        <v>797</v>
      </c>
      <c r="M133" s="52" t="s">
        <v>12</v>
      </c>
      <c r="N133" s="52" t="s">
        <v>14</v>
      </c>
      <c r="O133" s="52" t="s">
        <v>13</v>
      </c>
      <c r="P133" s="52" t="s">
        <v>1004</v>
      </c>
      <c r="Q133" s="52" t="s">
        <v>215</v>
      </c>
      <c r="R133" s="57" t="s">
        <v>12</v>
      </c>
      <c r="S133" s="52" t="s">
        <v>14</v>
      </c>
      <c r="T133" s="52" t="s">
        <v>12</v>
      </c>
      <c r="U133" s="52" t="s">
        <v>14</v>
      </c>
      <c r="AB133" s="53" t="str">
        <f>IF(INT($K133)&gt;=6,"[[1,[48]]]","[[1,[15]],[3,[4]],"&amp;VLOOKUP($A133,[2]装备碎片途径!$A:$E,5,0)&amp;"]")</f>
        <v>[[1,[15]],[3,[4]],[2,[10190,10250,10310,10370]]]</v>
      </c>
    </row>
    <row r="134" spans="1:28" x14ac:dyDescent="0.35">
      <c r="A134" s="62">
        <v>11020</v>
      </c>
      <c r="B134" s="62" t="s">
        <v>1777</v>
      </c>
      <c r="C134" s="105" t="s">
        <v>1751</v>
      </c>
      <c r="D134" s="52" t="s">
        <v>1751</v>
      </c>
      <c r="E134" s="88">
        <v>1</v>
      </c>
      <c r="F134" s="52" t="s">
        <v>12</v>
      </c>
      <c r="G134" s="57" t="s">
        <v>1316</v>
      </c>
      <c r="H134" s="52" t="s">
        <v>2197</v>
      </c>
      <c r="I134" s="52" t="s">
        <v>70</v>
      </c>
      <c r="J134" s="113" t="s">
        <v>13</v>
      </c>
      <c r="K134" s="52" t="s">
        <v>173</v>
      </c>
      <c r="L134" s="52" t="s">
        <v>798</v>
      </c>
      <c r="M134" s="52" t="s">
        <v>12</v>
      </c>
      <c r="N134" s="52" t="s">
        <v>14</v>
      </c>
      <c r="O134" s="52" t="s">
        <v>13</v>
      </c>
      <c r="P134" s="52" t="s">
        <v>1004</v>
      </c>
      <c r="Q134" s="52" t="s">
        <v>216</v>
      </c>
      <c r="R134" s="57" t="s">
        <v>12</v>
      </c>
      <c r="S134" s="52" t="s">
        <v>14</v>
      </c>
      <c r="T134" s="52" t="s">
        <v>12</v>
      </c>
      <c r="U134" s="52" t="s">
        <v>14</v>
      </c>
      <c r="AB134" s="53" t="str">
        <f>IF(INT($K134)&gt;=6,"[[1,[48]]]","[[1,[15]],[3,[4]],"&amp;VLOOKUP($A134,[2]装备碎片途径!$A:$E,5,0)&amp;"]")</f>
        <v>[[1,[15]],[3,[4]],[2,[10189,10249,10309,10369]]]</v>
      </c>
    </row>
    <row r="135" spans="1:28" x14ac:dyDescent="0.35">
      <c r="A135" s="61">
        <v>11021</v>
      </c>
      <c r="B135" s="61" t="s">
        <v>1778</v>
      </c>
      <c r="C135" s="105" t="s">
        <v>1752</v>
      </c>
      <c r="D135" s="52" t="s">
        <v>1752</v>
      </c>
      <c r="E135" s="88">
        <v>1</v>
      </c>
      <c r="F135" s="52" t="s">
        <v>12</v>
      </c>
      <c r="G135" s="57" t="s">
        <v>1316</v>
      </c>
      <c r="H135" s="52" t="s">
        <v>2198</v>
      </c>
      <c r="I135" s="52" t="s">
        <v>70</v>
      </c>
      <c r="J135" s="113" t="s">
        <v>13</v>
      </c>
      <c r="K135" s="52" t="s">
        <v>173</v>
      </c>
      <c r="L135" s="52" t="s">
        <v>799</v>
      </c>
      <c r="M135" s="52" t="s">
        <v>12</v>
      </c>
      <c r="N135" s="52" t="s">
        <v>14</v>
      </c>
      <c r="O135" s="52" t="s">
        <v>13</v>
      </c>
      <c r="P135" s="52" t="s">
        <v>1004</v>
      </c>
      <c r="Q135" s="52" t="s">
        <v>432</v>
      </c>
      <c r="R135" s="57" t="s">
        <v>12</v>
      </c>
      <c r="S135" s="52" t="s">
        <v>14</v>
      </c>
      <c r="T135" s="52" t="s">
        <v>12</v>
      </c>
      <c r="U135" s="52" t="s">
        <v>14</v>
      </c>
      <c r="AB135" s="53" t="str">
        <f>IF(INT($K135)&gt;=6,"[[1,[48]]]","[[1,[15]],[3,[4]],"&amp;VLOOKUP($A135,[2]装备碎片途径!$A:$E,5,0)&amp;"]")</f>
        <v>[[1,[15]],[3,[4]],[2,[10219,10279,10339,10399]]]</v>
      </c>
    </row>
    <row r="136" spans="1:28" x14ac:dyDescent="0.35">
      <c r="A136" s="61">
        <v>11022</v>
      </c>
      <c r="B136" s="61" t="s">
        <v>1779</v>
      </c>
      <c r="C136" s="105" t="s">
        <v>1753</v>
      </c>
      <c r="D136" s="52" t="s">
        <v>1753</v>
      </c>
      <c r="E136" s="88">
        <v>1</v>
      </c>
      <c r="F136" s="52" t="s">
        <v>12</v>
      </c>
      <c r="G136" s="57" t="s">
        <v>1316</v>
      </c>
      <c r="H136" s="52" t="s">
        <v>2199</v>
      </c>
      <c r="I136" s="52" t="s">
        <v>70</v>
      </c>
      <c r="J136" s="113" t="s">
        <v>13</v>
      </c>
      <c r="K136" s="52" t="s">
        <v>173</v>
      </c>
      <c r="L136" s="52" t="s">
        <v>800</v>
      </c>
      <c r="M136" s="52" t="s">
        <v>12</v>
      </c>
      <c r="N136" s="52" t="s">
        <v>14</v>
      </c>
      <c r="O136" s="52" t="s">
        <v>13</v>
      </c>
      <c r="P136" s="52" t="s">
        <v>1004</v>
      </c>
      <c r="Q136" s="52" t="s">
        <v>433</v>
      </c>
      <c r="R136" s="57" t="s">
        <v>12</v>
      </c>
      <c r="S136" s="52" t="s">
        <v>14</v>
      </c>
      <c r="T136" s="52" t="s">
        <v>12</v>
      </c>
      <c r="U136" s="52" t="s">
        <v>14</v>
      </c>
      <c r="AB136" s="53" t="str">
        <f>IF(INT($K136)&gt;=6,"[[1,[48]]]","[[1,[15]],[3,[4]],"&amp;VLOOKUP($A136,[2]装备碎片途径!$A:$E,5,0)&amp;"]")</f>
        <v>[[1,[15]],[3,[4]],[2,[10220,10280,10340,10400]]]</v>
      </c>
    </row>
    <row r="137" spans="1:28" x14ac:dyDescent="0.35">
      <c r="A137" s="61">
        <v>11023</v>
      </c>
      <c r="B137" s="61" t="s">
        <v>1780</v>
      </c>
      <c r="C137" s="105" t="s">
        <v>1754</v>
      </c>
      <c r="D137" s="52" t="s">
        <v>1754</v>
      </c>
      <c r="E137" s="88">
        <v>1</v>
      </c>
      <c r="F137" s="52" t="s">
        <v>12</v>
      </c>
      <c r="G137" s="57" t="s">
        <v>1316</v>
      </c>
      <c r="H137" s="52" t="s">
        <v>2200</v>
      </c>
      <c r="I137" s="52" t="s">
        <v>70</v>
      </c>
      <c r="J137" s="113" t="s">
        <v>13</v>
      </c>
      <c r="K137" s="52" t="s">
        <v>173</v>
      </c>
      <c r="L137" s="52" t="s">
        <v>801</v>
      </c>
      <c r="M137" s="52" t="s">
        <v>12</v>
      </c>
      <c r="N137" s="52" t="s">
        <v>14</v>
      </c>
      <c r="O137" s="52" t="s">
        <v>13</v>
      </c>
      <c r="P137" s="52" t="s">
        <v>1004</v>
      </c>
      <c r="Q137" s="52" t="s">
        <v>434</v>
      </c>
      <c r="R137" s="57" t="s">
        <v>12</v>
      </c>
      <c r="S137" s="52" t="s">
        <v>14</v>
      </c>
      <c r="T137" s="52" t="s">
        <v>12</v>
      </c>
      <c r="U137" s="52" t="s">
        <v>14</v>
      </c>
      <c r="AB137" s="53" t="str">
        <f>IF(INT($K137)&gt;=6,"[[1,[48]]]","[[1,[15]],[3,[4]],"&amp;VLOOKUP($A137,[2]装备碎片途径!$A:$E,5,0)&amp;"]")</f>
        <v>[[1,[15]],[3,[4]],[2,[10210,10270,10330,10390]]]</v>
      </c>
    </row>
    <row r="138" spans="1:28" x14ac:dyDescent="0.35">
      <c r="A138" s="61">
        <v>11024</v>
      </c>
      <c r="B138" s="61" t="s">
        <v>1781</v>
      </c>
      <c r="C138" s="105" t="s">
        <v>1755</v>
      </c>
      <c r="D138" s="52" t="s">
        <v>1755</v>
      </c>
      <c r="E138" s="88">
        <v>1</v>
      </c>
      <c r="F138" s="52" t="s">
        <v>12</v>
      </c>
      <c r="G138" s="57" t="s">
        <v>1316</v>
      </c>
      <c r="H138" s="52" t="s">
        <v>2201</v>
      </c>
      <c r="I138" s="52" t="s">
        <v>70</v>
      </c>
      <c r="J138" s="113" t="s">
        <v>13</v>
      </c>
      <c r="K138" s="52" t="s">
        <v>173</v>
      </c>
      <c r="L138" s="52" t="s">
        <v>802</v>
      </c>
      <c r="M138" s="52" t="s">
        <v>12</v>
      </c>
      <c r="N138" s="52" t="s">
        <v>14</v>
      </c>
      <c r="O138" s="52" t="s">
        <v>13</v>
      </c>
      <c r="P138" s="52" t="s">
        <v>1004</v>
      </c>
      <c r="Q138" s="52" t="s">
        <v>435</v>
      </c>
      <c r="R138" s="57" t="s">
        <v>12</v>
      </c>
      <c r="S138" s="52" t="s">
        <v>14</v>
      </c>
      <c r="T138" s="52" t="s">
        <v>12</v>
      </c>
      <c r="U138" s="52" t="s">
        <v>14</v>
      </c>
      <c r="AB138" s="53" t="str">
        <f>IF(INT($K138)&gt;=6,"[[1,[48]]]","[[1,[15]],[3,[4]],"&amp;VLOOKUP($A138,[2]装备碎片途径!$A:$E,5,0)&amp;"]")</f>
        <v>[[1,[15]],[3,[4]],[2,[10209,10269,10329,10389]]]</v>
      </c>
    </row>
    <row r="139" spans="1:28" x14ac:dyDescent="0.35">
      <c r="A139" s="63">
        <v>11025</v>
      </c>
      <c r="B139" s="63" t="s">
        <v>2005</v>
      </c>
      <c r="C139" s="105" t="s">
        <v>1996</v>
      </c>
      <c r="D139" s="52" t="s">
        <v>1996</v>
      </c>
      <c r="E139" s="88">
        <v>1</v>
      </c>
      <c r="F139" s="52" t="s">
        <v>12</v>
      </c>
      <c r="G139" s="57" t="s">
        <v>1316</v>
      </c>
      <c r="H139" s="52" t="s">
        <v>2273</v>
      </c>
      <c r="I139" s="52" t="s">
        <v>70</v>
      </c>
      <c r="J139" s="113" t="s">
        <v>13</v>
      </c>
      <c r="K139" s="52" t="s">
        <v>38</v>
      </c>
      <c r="L139" s="52" t="s">
        <v>419</v>
      </c>
      <c r="M139" s="52" t="s">
        <v>12</v>
      </c>
      <c r="N139" s="52" t="s">
        <v>14</v>
      </c>
      <c r="O139" s="52" t="s">
        <v>13</v>
      </c>
      <c r="P139" s="52" t="s">
        <v>729</v>
      </c>
      <c r="Q139" s="52" t="s">
        <v>217</v>
      </c>
      <c r="R139" s="57" t="s">
        <v>12</v>
      </c>
      <c r="S139" s="52" t="s">
        <v>14</v>
      </c>
      <c r="T139" s="52" t="s">
        <v>12</v>
      </c>
      <c r="U139" s="52" t="s">
        <v>14</v>
      </c>
      <c r="AB139" s="53" t="str">
        <f>IF(INT($K139)&gt;=6,"[[1,[48]]]","[[1,[15]],[3,[4]],"&amp;VLOOKUP($A139,[2]装备碎片途径!$A:$E,5,0)&amp;"]")</f>
        <v>[[1,[15]],[3,[4]],[2,[10419,10479,10539,10599,10659,10719,10779,10839,10899,10959,11019,11079,11139,11199,11259,11319]]]</v>
      </c>
    </row>
    <row r="140" spans="1:28" x14ac:dyDescent="0.35">
      <c r="A140" s="63">
        <v>11026</v>
      </c>
      <c r="B140" s="63" t="s">
        <v>2006</v>
      </c>
      <c r="C140" s="105" t="s">
        <v>1997</v>
      </c>
      <c r="D140" s="52" t="s">
        <v>1997</v>
      </c>
      <c r="E140" s="88">
        <v>1</v>
      </c>
      <c r="F140" s="52" t="s">
        <v>12</v>
      </c>
      <c r="G140" s="57" t="s">
        <v>1316</v>
      </c>
      <c r="H140" s="52" t="s">
        <v>2274</v>
      </c>
      <c r="I140" s="52" t="s">
        <v>70</v>
      </c>
      <c r="J140" s="113" t="s">
        <v>13</v>
      </c>
      <c r="K140" s="52" t="s">
        <v>26</v>
      </c>
      <c r="L140" s="52" t="s">
        <v>420</v>
      </c>
      <c r="M140" s="52" t="s">
        <v>12</v>
      </c>
      <c r="N140" s="52" t="s">
        <v>14</v>
      </c>
      <c r="O140" s="52" t="s">
        <v>13</v>
      </c>
      <c r="P140" s="52" t="s">
        <v>729</v>
      </c>
      <c r="Q140" s="52" t="s">
        <v>218</v>
      </c>
      <c r="R140" s="57" t="s">
        <v>12</v>
      </c>
      <c r="S140" s="52" t="s">
        <v>14</v>
      </c>
      <c r="T140" s="52" t="s">
        <v>12</v>
      </c>
      <c r="U140" s="52" t="s">
        <v>14</v>
      </c>
      <c r="AB140" s="53" t="str">
        <f>IF(INT($K140)&gt;=6,"[[1,[48]]]","[[1,[15]],[3,[4]],"&amp;VLOOKUP($A140,[2]装备碎片途径!$A:$E,5,0)&amp;"]")</f>
        <v>[[1,[15]],[3,[4]],[2,[10420,10480,10540,10600,10660,10720,10780,10840,10900,10960,11020,11080,11140,11200,11260,11320]]]</v>
      </c>
    </row>
    <row r="141" spans="1:28" x14ac:dyDescent="0.35">
      <c r="A141" s="63">
        <v>11027</v>
      </c>
      <c r="B141" s="63" t="s">
        <v>1782</v>
      </c>
      <c r="C141" s="105" t="s">
        <v>1756</v>
      </c>
      <c r="D141" s="52" t="s">
        <v>1756</v>
      </c>
      <c r="E141" s="88">
        <v>1</v>
      </c>
      <c r="F141" s="52" t="s">
        <v>12</v>
      </c>
      <c r="G141" s="57" t="s">
        <v>1316</v>
      </c>
      <c r="H141" s="52" t="s">
        <v>2275</v>
      </c>
      <c r="I141" s="52" t="s">
        <v>70</v>
      </c>
      <c r="J141" s="113" t="s">
        <v>13</v>
      </c>
      <c r="K141" s="52" t="s">
        <v>172</v>
      </c>
      <c r="L141" s="52" t="s">
        <v>421</v>
      </c>
      <c r="M141" s="52" t="s">
        <v>12</v>
      </c>
      <c r="N141" s="52" t="s">
        <v>14</v>
      </c>
      <c r="O141" s="52" t="s">
        <v>13</v>
      </c>
      <c r="P141" s="52" t="s">
        <v>729</v>
      </c>
      <c r="Q141" s="52" t="s">
        <v>219</v>
      </c>
      <c r="R141" s="57" t="s">
        <v>12</v>
      </c>
      <c r="S141" s="52" t="s">
        <v>14</v>
      </c>
      <c r="T141" s="52" t="s">
        <v>12</v>
      </c>
      <c r="U141" s="52" t="s">
        <v>14</v>
      </c>
      <c r="AB141" s="53" t="str">
        <f>IF(INT($K141)&gt;=6,"[[1,[48]]]","[[1,[15]],[3,[4]],"&amp;VLOOKUP($A141,[2]装备碎片途径!$A:$E,5,0)&amp;"]")</f>
        <v>[[1,[15]],[3,[4]],[2,[10410,10470,10530,10590,10650,10710,10770,10830,10890,10950,11010,11070,11130,11190,11250,11310]]]</v>
      </c>
    </row>
    <row r="142" spans="1:28" x14ac:dyDescent="0.35">
      <c r="A142" s="63">
        <v>11028</v>
      </c>
      <c r="B142" s="63" t="s">
        <v>2007</v>
      </c>
      <c r="C142" s="105" t="s">
        <v>1998</v>
      </c>
      <c r="D142" s="52" t="s">
        <v>1998</v>
      </c>
      <c r="E142" s="88">
        <v>1</v>
      </c>
      <c r="F142" s="52" t="s">
        <v>12</v>
      </c>
      <c r="G142" s="57" t="s">
        <v>1316</v>
      </c>
      <c r="H142" s="52" t="s">
        <v>2276</v>
      </c>
      <c r="I142" s="52" t="s">
        <v>70</v>
      </c>
      <c r="J142" s="113" t="s">
        <v>13</v>
      </c>
      <c r="K142" s="52" t="s">
        <v>172</v>
      </c>
      <c r="L142" s="52" t="s">
        <v>803</v>
      </c>
      <c r="M142" s="52" t="s">
        <v>12</v>
      </c>
      <c r="N142" s="52" t="s">
        <v>14</v>
      </c>
      <c r="O142" s="52" t="s">
        <v>13</v>
      </c>
      <c r="P142" s="52" t="s">
        <v>729</v>
      </c>
      <c r="Q142" s="52" t="s">
        <v>220</v>
      </c>
      <c r="R142" s="57" t="s">
        <v>12</v>
      </c>
      <c r="S142" s="52" t="s">
        <v>14</v>
      </c>
      <c r="T142" s="52" t="s">
        <v>12</v>
      </c>
      <c r="U142" s="52" t="s">
        <v>14</v>
      </c>
      <c r="AB142" s="53" t="str">
        <f>IF(INT($K142)&gt;=6,"[[1,[48]]]","[[1,[15]],[3,[4]],"&amp;VLOOKUP($A142,[2]装备碎片途径!$A:$E,5,0)&amp;"]")</f>
        <v>[[1,[15]],[3,[4]],[2,[10409,10469,10529,10589,10649,10709,10769,10829,10889,10949,11009,11069,11129,11189,11249,11309]]]</v>
      </c>
    </row>
    <row r="143" spans="1:28" x14ac:dyDescent="0.35">
      <c r="A143" s="64">
        <v>11029</v>
      </c>
      <c r="B143" s="64" t="s">
        <v>1783</v>
      </c>
      <c r="C143" s="105" t="s">
        <v>1757</v>
      </c>
      <c r="D143" s="52" t="s">
        <v>1757</v>
      </c>
      <c r="E143" s="88">
        <v>1</v>
      </c>
      <c r="F143" s="52" t="s">
        <v>12</v>
      </c>
      <c r="G143" s="57" t="s">
        <v>1316</v>
      </c>
      <c r="H143" s="52" t="s">
        <v>2277</v>
      </c>
      <c r="I143" s="52" t="s">
        <v>70</v>
      </c>
      <c r="J143" s="113" t="s">
        <v>35</v>
      </c>
      <c r="K143" s="52">
        <v>5</v>
      </c>
      <c r="L143" s="52" t="s">
        <v>804</v>
      </c>
      <c r="M143" s="52" t="s">
        <v>12</v>
      </c>
      <c r="N143" s="52" t="s">
        <v>14</v>
      </c>
      <c r="O143" s="52" t="s">
        <v>35</v>
      </c>
      <c r="P143" s="52" t="s">
        <v>729</v>
      </c>
      <c r="Q143" s="52" t="s">
        <v>221</v>
      </c>
      <c r="R143" s="57" t="s">
        <v>12</v>
      </c>
      <c r="S143" s="52" t="s">
        <v>14</v>
      </c>
      <c r="T143" s="52" t="s">
        <v>12</v>
      </c>
      <c r="U143" s="52" t="s">
        <v>14</v>
      </c>
      <c r="AB143" s="53" t="str">
        <f>IF(INT($K143)&gt;=6,"[[1,[48]]]","[[1,[15]],[3,[4]],"&amp;VLOOKUP($A143,[2]装备碎片途径!$A:$E,5,0)&amp;"]")</f>
        <v>[[1,[15]],[3,[4]],[2,[10439,10499,10559,10619,10679,10739,10799,10859,10919,10979,11039,11099,11159,11219,11279]]]</v>
      </c>
    </row>
    <row r="144" spans="1:28" x14ac:dyDescent="0.35">
      <c r="A144" s="64">
        <v>11030</v>
      </c>
      <c r="B144" s="64" t="s">
        <v>1784</v>
      </c>
      <c r="C144" s="105" t="s">
        <v>1758</v>
      </c>
      <c r="D144" s="52" t="s">
        <v>1758</v>
      </c>
      <c r="E144" s="88">
        <v>1</v>
      </c>
      <c r="F144" s="52" t="s">
        <v>12</v>
      </c>
      <c r="G144" s="57" t="s">
        <v>1316</v>
      </c>
      <c r="H144" s="52" t="s">
        <v>2278</v>
      </c>
      <c r="I144" s="52" t="s">
        <v>70</v>
      </c>
      <c r="J144" s="113" t="s">
        <v>30</v>
      </c>
      <c r="K144" s="52">
        <v>5</v>
      </c>
      <c r="L144" s="52" t="s">
        <v>805</v>
      </c>
      <c r="M144" s="52" t="s">
        <v>12</v>
      </c>
      <c r="N144" s="52" t="s">
        <v>14</v>
      </c>
      <c r="O144" s="52" t="s">
        <v>35</v>
      </c>
      <c r="P144" s="52" t="s">
        <v>729</v>
      </c>
      <c r="Q144" s="52" t="s">
        <v>222</v>
      </c>
      <c r="R144" s="57" t="s">
        <v>12</v>
      </c>
      <c r="S144" s="52" t="s">
        <v>14</v>
      </c>
      <c r="T144" s="52" t="s">
        <v>12</v>
      </c>
      <c r="U144" s="52" t="s">
        <v>14</v>
      </c>
      <c r="AB144" s="53" t="str">
        <f>IF(INT($K144)&gt;=6,"[[1,[48]]]","[[1,[15]],[3,[4]],"&amp;VLOOKUP($A144,[2]装备碎片途径!$A:$E,5,0)&amp;"]")</f>
        <v>[[1,[15]],[3,[4]],[2,[10440,10500,10560,10620,10680,10740,10800,10860,10920,10980,11040,11100,11160,11220,11280]]]</v>
      </c>
    </row>
    <row r="145" spans="1:28" x14ac:dyDescent="0.35">
      <c r="A145" s="64">
        <v>11031</v>
      </c>
      <c r="B145" s="64" t="s">
        <v>1785</v>
      </c>
      <c r="C145" s="105" t="s">
        <v>1759</v>
      </c>
      <c r="D145" s="52" t="s">
        <v>1759</v>
      </c>
      <c r="E145" s="88">
        <v>1</v>
      </c>
      <c r="F145" s="52" t="s">
        <v>12</v>
      </c>
      <c r="G145" s="57" t="s">
        <v>1316</v>
      </c>
      <c r="H145" s="52" t="s">
        <v>2279</v>
      </c>
      <c r="I145" s="52" t="s">
        <v>70</v>
      </c>
      <c r="J145" s="113" t="s">
        <v>30</v>
      </c>
      <c r="K145" s="52">
        <v>5</v>
      </c>
      <c r="L145" s="52" t="s">
        <v>806</v>
      </c>
      <c r="M145" s="52" t="s">
        <v>12</v>
      </c>
      <c r="N145" s="52" t="s">
        <v>14</v>
      </c>
      <c r="O145" s="52" t="s">
        <v>13</v>
      </c>
      <c r="P145" s="52" t="s">
        <v>729</v>
      </c>
      <c r="Q145" s="52" t="s">
        <v>223</v>
      </c>
      <c r="R145" s="57" t="s">
        <v>12</v>
      </c>
      <c r="S145" s="52" t="s">
        <v>14</v>
      </c>
      <c r="T145" s="52" t="s">
        <v>12</v>
      </c>
      <c r="U145" s="52" t="s">
        <v>14</v>
      </c>
      <c r="AB145" s="53" t="str">
        <f>IF(INT($K145)&gt;=6,"[[1,[48]]]","[[1,[15]],[3,[4]],"&amp;VLOOKUP($A145,[2]装备碎片途径!$A:$E,5,0)&amp;"]")</f>
        <v>[[1,[15]],[3,[4]],[2,[10430,10490,10550,10610,10670,10730,10790,10850,10910,10970,11030,11090,11150,11210,11270]]]</v>
      </c>
    </row>
    <row r="146" spans="1:28" x14ac:dyDescent="0.35">
      <c r="A146" s="64">
        <v>11032</v>
      </c>
      <c r="B146" s="64" t="s">
        <v>1786</v>
      </c>
      <c r="C146" s="105" t="s">
        <v>1760</v>
      </c>
      <c r="D146" s="52" t="s">
        <v>1760</v>
      </c>
      <c r="E146" s="88">
        <v>1</v>
      </c>
      <c r="F146" s="52" t="s">
        <v>12</v>
      </c>
      <c r="G146" s="57" t="s">
        <v>1316</v>
      </c>
      <c r="H146" s="52" t="s">
        <v>2280</v>
      </c>
      <c r="I146" s="52" t="s">
        <v>70</v>
      </c>
      <c r="J146" s="113" t="s">
        <v>35</v>
      </c>
      <c r="K146" s="52">
        <v>5</v>
      </c>
      <c r="L146" s="52" t="s">
        <v>807</v>
      </c>
      <c r="M146" s="52" t="s">
        <v>12</v>
      </c>
      <c r="N146" s="52" t="s">
        <v>14</v>
      </c>
      <c r="O146" s="52" t="s">
        <v>13</v>
      </c>
      <c r="P146" s="52" t="s">
        <v>729</v>
      </c>
      <c r="Q146" s="52" t="s">
        <v>224</v>
      </c>
      <c r="R146" s="57" t="s">
        <v>12</v>
      </c>
      <c r="S146" s="52" t="s">
        <v>14</v>
      </c>
      <c r="T146" s="52" t="s">
        <v>12</v>
      </c>
      <c r="U146" s="52" t="s">
        <v>14</v>
      </c>
      <c r="AB146" s="53" t="str">
        <f>IF(INT($K146)&gt;=6,"[[1,[48]]]","[[1,[15]],[3,[4]],"&amp;VLOOKUP($A146,[2]装备碎片途径!$A:$E,5,0)&amp;"]")</f>
        <v>[[1,[15]],[3,[4]],[2,[10429,10489,10549,10609,10669,10729,10789,10849,10909,10969,11029,11089,11149,11209,11269]]]</v>
      </c>
    </row>
    <row r="147" spans="1:28" x14ac:dyDescent="0.35">
      <c r="A147" s="65">
        <v>11033</v>
      </c>
      <c r="B147" s="65" t="s">
        <v>1787</v>
      </c>
      <c r="C147" s="105" t="s">
        <v>1761</v>
      </c>
      <c r="D147" s="52" t="s">
        <v>1761</v>
      </c>
      <c r="E147" s="88">
        <v>1</v>
      </c>
      <c r="F147" s="52" t="s">
        <v>12</v>
      </c>
      <c r="G147" s="57" t="s">
        <v>1316</v>
      </c>
      <c r="H147" s="52" t="s">
        <v>2281</v>
      </c>
      <c r="I147" s="52" t="s">
        <v>70</v>
      </c>
      <c r="J147" s="113" t="s">
        <v>30</v>
      </c>
      <c r="K147" s="52">
        <v>5</v>
      </c>
      <c r="L147" s="52" t="s">
        <v>1613</v>
      </c>
      <c r="M147" s="52" t="s">
        <v>12</v>
      </c>
      <c r="N147" s="52" t="s">
        <v>14</v>
      </c>
      <c r="O147" s="52" t="s">
        <v>13</v>
      </c>
      <c r="P147" s="52" t="s">
        <v>729</v>
      </c>
      <c r="Q147" s="52" t="s">
        <v>225</v>
      </c>
      <c r="R147" s="57" t="s">
        <v>12</v>
      </c>
      <c r="S147" s="52" t="s">
        <v>14</v>
      </c>
      <c r="T147" s="52" t="s">
        <v>12</v>
      </c>
      <c r="U147" s="52" t="s">
        <v>14</v>
      </c>
      <c r="AB147" s="53" t="str">
        <f>IF(INT($K147)&gt;=6,"[[1,[48]]]","[[1,[15]],[3,[4]],"&amp;VLOOKUP($A147,[2]装备碎片途径!$A:$E,5,0)&amp;"]")</f>
        <v>[[1,[15]],[3,[4]],[2,[10459,10519,10579,10639,10699,10759,10819,10879,10939,10999,11059,11119,11179,11239,11299]]]</v>
      </c>
    </row>
    <row r="148" spans="1:28" x14ac:dyDescent="0.35">
      <c r="A148" s="65">
        <v>11034</v>
      </c>
      <c r="B148" s="65" t="s">
        <v>1788</v>
      </c>
      <c r="C148" s="105" t="s">
        <v>1762</v>
      </c>
      <c r="D148" s="52" t="s">
        <v>1762</v>
      </c>
      <c r="E148" s="88">
        <v>1</v>
      </c>
      <c r="F148" s="52" t="s">
        <v>12</v>
      </c>
      <c r="G148" s="57" t="s">
        <v>1316</v>
      </c>
      <c r="H148" s="52" t="s">
        <v>2282</v>
      </c>
      <c r="I148" s="52" t="s">
        <v>70</v>
      </c>
      <c r="J148" s="113" t="s">
        <v>35</v>
      </c>
      <c r="K148" s="52">
        <v>5</v>
      </c>
      <c r="L148" s="52" t="s">
        <v>1614</v>
      </c>
      <c r="M148" s="52" t="s">
        <v>12</v>
      </c>
      <c r="N148" s="52" t="s">
        <v>14</v>
      </c>
      <c r="O148" s="52" t="s">
        <v>13</v>
      </c>
      <c r="P148" s="52" t="s">
        <v>729</v>
      </c>
      <c r="Q148" s="52" t="s">
        <v>226</v>
      </c>
      <c r="R148" s="57" t="s">
        <v>12</v>
      </c>
      <c r="S148" s="52" t="s">
        <v>14</v>
      </c>
      <c r="T148" s="52" t="s">
        <v>12</v>
      </c>
      <c r="U148" s="52" t="s">
        <v>14</v>
      </c>
      <c r="AB148" s="53" t="str">
        <f>IF(INT($K148)&gt;=6,"[[1,[48]]]","[[1,[15]],[3,[4]],"&amp;VLOOKUP($A148,[2]装备碎片途径!$A:$E,5,0)&amp;"]")</f>
        <v>[[1,[15]],[3,[4]],[2,[10460,10520,10580,10640,10700,10760,10820,10880,10940,11000,11060,11120,11180,11240,11300]]]</v>
      </c>
    </row>
    <row r="149" spans="1:28" x14ac:dyDescent="0.35">
      <c r="A149" s="65">
        <v>11035</v>
      </c>
      <c r="B149" s="65" t="s">
        <v>1789</v>
      </c>
      <c r="C149" s="105" t="s">
        <v>1763</v>
      </c>
      <c r="D149" s="52" t="s">
        <v>1763</v>
      </c>
      <c r="E149" s="88">
        <v>1</v>
      </c>
      <c r="F149" s="52" t="s">
        <v>12</v>
      </c>
      <c r="G149" s="57" t="s">
        <v>1316</v>
      </c>
      <c r="H149" s="52" t="s">
        <v>2283</v>
      </c>
      <c r="I149" s="52" t="s">
        <v>70</v>
      </c>
      <c r="J149" s="113" t="s">
        <v>30</v>
      </c>
      <c r="K149" s="52">
        <v>5</v>
      </c>
      <c r="L149" s="52" t="s">
        <v>1615</v>
      </c>
      <c r="M149" s="52" t="s">
        <v>12</v>
      </c>
      <c r="N149" s="52" t="s">
        <v>14</v>
      </c>
      <c r="O149" s="52" t="s">
        <v>13</v>
      </c>
      <c r="P149" s="52" t="s">
        <v>729</v>
      </c>
      <c r="Q149" s="52" t="s">
        <v>227</v>
      </c>
      <c r="R149" s="57" t="s">
        <v>12</v>
      </c>
      <c r="S149" s="52" t="s">
        <v>14</v>
      </c>
      <c r="T149" s="52" t="s">
        <v>12</v>
      </c>
      <c r="U149" s="52" t="s">
        <v>14</v>
      </c>
      <c r="AB149" s="53" t="str">
        <f>IF(INT($K149)&gt;=6,"[[1,[48]]]","[[1,[15]],[3,[4]],"&amp;VLOOKUP($A149,[2]装备碎片途径!$A:$E,5,0)&amp;"]")</f>
        <v>[[1,[15]],[3,[4]],[2,[10450,10510,10570,10630,10690,10750,10810,10870,10930,10990,11050,11110,11170,11230,11290]]]</v>
      </c>
    </row>
    <row r="150" spans="1:28" x14ac:dyDescent="0.35">
      <c r="A150" s="65">
        <v>11036</v>
      </c>
      <c r="B150" s="65" t="s">
        <v>1790</v>
      </c>
      <c r="C150" s="105" t="s">
        <v>1764</v>
      </c>
      <c r="D150" s="52" t="s">
        <v>1764</v>
      </c>
      <c r="E150" s="88">
        <v>1</v>
      </c>
      <c r="F150" s="52" t="s">
        <v>12</v>
      </c>
      <c r="G150" s="57" t="s">
        <v>1316</v>
      </c>
      <c r="H150" s="52" t="s">
        <v>2284</v>
      </c>
      <c r="I150" s="52" t="s">
        <v>70</v>
      </c>
      <c r="J150" s="113" t="s">
        <v>30</v>
      </c>
      <c r="K150" s="52">
        <v>5</v>
      </c>
      <c r="L150" s="52" t="s">
        <v>1616</v>
      </c>
      <c r="M150" s="52" t="s">
        <v>12</v>
      </c>
      <c r="N150" s="52" t="s">
        <v>14</v>
      </c>
      <c r="O150" s="52" t="s">
        <v>13</v>
      </c>
      <c r="P150" s="52" t="s">
        <v>729</v>
      </c>
      <c r="Q150" s="52" t="s">
        <v>228</v>
      </c>
      <c r="R150" s="57" t="s">
        <v>12</v>
      </c>
      <c r="S150" s="52" t="s">
        <v>14</v>
      </c>
      <c r="T150" s="52" t="s">
        <v>12</v>
      </c>
      <c r="U150" s="52" t="s">
        <v>14</v>
      </c>
      <c r="AB150" s="53" t="str">
        <f>IF(INT($K150)&gt;=6,"[[1,[48]]]","[[1,[15]],[3,[4]],"&amp;VLOOKUP($A150,[2]装备碎片途径!$A:$E,5,0)&amp;"]")</f>
        <v>[[1,[15]],[3,[4]],[2,[10449,10509,10569,10629,10689,10749,10809,10869,10929,10989,11049,11109,11169,11229,11289]]]</v>
      </c>
    </row>
    <row r="151" spans="1:28" x14ac:dyDescent="0.35">
      <c r="A151" s="75">
        <v>11037</v>
      </c>
      <c r="B151" s="75" t="s">
        <v>2053</v>
      </c>
      <c r="C151" s="105" t="s">
        <v>2057</v>
      </c>
      <c r="D151" s="52" t="s">
        <v>2057</v>
      </c>
      <c r="E151" s="88">
        <v>1</v>
      </c>
      <c r="F151" s="52" t="s">
        <v>12</v>
      </c>
      <c r="G151" s="57" t="s">
        <v>1316</v>
      </c>
      <c r="H151" s="52" t="s">
        <v>2177</v>
      </c>
      <c r="I151" s="52" t="s">
        <v>70</v>
      </c>
      <c r="J151" s="113" t="s">
        <v>30</v>
      </c>
      <c r="K151" s="52">
        <v>6</v>
      </c>
      <c r="L151" s="52" t="s">
        <v>2061</v>
      </c>
      <c r="M151" s="52" t="s">
        <v>12</v>
      </c>
      <c r="N151" s="52" t="s">
        <v>14</v>
      </c>
      <c r="O151" s="52" t="s">
        <v>13</v>
      </c>
      <c r="P151" s="52">
        <v>60</v>
      </c>
      <c r="Q151" s="52" t="s">
        <v>2066</v>
      </c>
      <c r="R151" s="57" t="s">
        <v>12</v>
      </c>
      <c r="S151" s="52" t="s">
        <v>14</v>
      </c>
      <c r="T151" s="52" t="s">
        <v>12</v>
      </c>
      <c r="U151" s="52" t="s">
        <v>14</v>
      </c>
      <c r="AB151" s="53" t="str">
        <f>IF(INT($K151)&gt;=6,"[[1,[48]]]","[[1,[15]],[3,[4]],"&amp;VLOOKUP($A151,[2]装备碎片途径!$A:$E,5,0)&amp;"]")</f>
        <v>[[1,[48]]]</v>
      </c>
    </row>
    <row r="152" spans="1:28" x14ac:dyDescent="0.35">
      <c r="A152" s="75">
        <v>11038</v>
      </c>
      <c r="B152" s="75" t="s">
        <v>2054</v>
      </c>
      <c r="C152" s="105" t="s">
        <v>2058</v>
      </c>
      <c r="D152" s="52" t="s">
        <v>2058</v>
      </c>
      <c r="E152" s="88">
        <v>1</v>
      </c>
      <c r="F152" s="52" t="s">
        <v>12</v>
      </c>
      <c r="G152" s="57" t="s">
        <v>1316</v>
      </c>
      <c r="H152" s="52" t="s">
        <v>2177</v>
      </c>
      <c r="I152" s="52" t="s">
        <v>70</v>
      </c>
      <c r="J152" s="113" t="s">
        <v>35</v>
      </c>
      <c r="K152" s="52">
        <v>6</v>
      </c>
      <c r="L152" s="52" t="s">
        <v>2062</v>
      </c>
      <c r="M152" s="52" t="s">
        <v>12</v>
      </c>
      <c r="N152" s="52" t="s">
        <v>14</v>
      </c>
      <c r="O152" s="52" t="s">
        <v>13</v>
      </c>
      <c r="P152" s="52">
        <v>60</v>
      </c>
      <c r="Q152" s="52" t="s">
        <v>2067</v>
      </c>
      <c r="R152" s="57" t="s">
        <v>12</v>
      </c>
      <c r="S152" s="52" t="s">
        <v>14</v>
      </c>
      <c r="T152" s="52" t="s">
        <v>12</v>
      </c>
      <c r="U152" s="52" t="s">
        <v>14</v>
      </c>
      <c r="AB152" s="53" t="str">
        <f>IF(INT($K152)&gt;=6,"[[1,[48]]]","[[1,[15]],[3,[4]],"&amp;VLOOKUP($A152,[2]装备碎片途径!$A:$E,5,0)&amp;"]")</f>
        <v>[[1,[48]]]</v>
      </c>
    </row>
    <row r="153" spans="1:28" x14ac:dyDescent="0.35">
      <c r="A153" s="75">
        <v>11039</v>
      </c>
      <c r="B153" s="75" t="s">
        <v>2055</v>
      </c>
      <c r="C153" s="105" t="s">
        <v>2059</v>
      </c>
      <c r="D153" s="52" t="s">
        <v>2059</v>
      </c>
      <c r="E153" s="88">
        <v>1</v>
      </c>
      <c r="F153" s="52" t="s">
        <v>12</v>
      </c>
      <c r="G153" s="57" t="s">
        <v>1316</v>
      </c>
      <c r="H153" s="52" t="s">
        <v>2177</v>
      </c>
      <c r="I153" s="52" t="s">
        <v>70</v>
      </c>
      <c r="J153" s="113" t="s">
        <v>30</v>
      </c>
      <c r="K153" s="52">
        <v>6</v>
      </c>
      <c r="L153" s="52" t="s">
        <v>2063</v>
      </c>
      <c r="M153" s="52" t="s">
        <v>12</v>
      </c>
      <c r="N153" s="52" t="s">
        <v>14</v>
      </c>
      <c r="O153" s="52" t="s">
        <v>13</v>
      </c>
      <c r="P153" s="52">
        <v>60</v>
      </c>
      <c r="Q153" s="52" t="s">
        <v>2068</v>
      </c>
      <c r="R153" s="57" t="s">
        <v>12</v>
      </c>
      <c r="S153" s="52" t="s">
        <v>14</v>
      </c>
      <c r="T153" s="52" t="s">
        <v>12</v>
      </c>
      <c r="U153" s="52" t="s">
        <v>14</v>
      </c>
      <c r="AB153" s="53" t="str">
        <f>IF(INT($K153)&gt;=6,"[[1,[48]]]","[[1,[15]],[3,[4]],"&amp;VLOOKUP($A153,[2]装备碎片途径!$A:$E,5,0)&amp;"]")</f>
        <v>[[1,[48]]]</v>
      </c>
    </row>
    <row r="154" spans="1:28" x14ac:dyDescent="0.35">
      <c r="A154" s="75">
        <v>11040</v>
      </c>
      <c r="B154" s="75" t="s">
        <v>2056</v>
      </c>
      <c r="C154" s="105" t="s">
        <v>2060</v>
      </c>
      <c r="D154" s="52" t="s">
        <v>2060</v>
      </c>
      <c r="E154" s="88">
        <v>1</v>
      </c>
      <c r="F154" s="52" t="s">
        <v>12</v>
      </c>
      <c r="G154" s="57" t="s">
        <v>1316</v>
      </c>
      <c r="H154" s="52" t="s">
        <v>2177</v>
      </c>
      <c r="I154" s="52" t="s">
        <v>70</v>
      </c>
      <c r="J154" s="113" t="s">
        <v>30</v>
      </c>
      <c r="K154" s="52">
        <v>6</v>
      </c>
      <c r="L154" s="52" t="s">
        <v>2064</v>
      </c>
      <c r="M154" s="52" t="s">
        <v>12</v>
      </c>
      <c r="N154" s="52" t="s">
        <v>14</v>
      </c>
      <c r="O154" s="52" t="s">
        <v>13</v>
      </c>
      <c r="P154" s="52">
        <v>60</v>
      </c>
      <c r="Q154" s="52" t="s">
        <v>2069</v>
      </c>
      <c r="R154" s="57" t="s">
        <v>12</v>
      </c>
      <c r="S154" s="52" t="s">
        <v>14</v>
      </c>
      <c r="T154" s="52" t="s">
        <v>12</v>
      </c>
      <c r="U154" s="52" t="s">
        <v>14</v>
      </c>
      <c r="AB154" s="53" t="str">
        <f>IF(INT($K154)&gt;=6,"[[1,[48]]]","[[1,[15]],[3,[4]],"&amp;VLOOKUP($A154,[2]装备碎片途径!$A:$E,5,0)&amp;"]")</f>
        <v>[[1,[48]]]</v>
      </c>
    </row>
    <row r="155" spans="1:28" x14ac:dyDescent="0.35">
      <c r="A155" s="60">
        <v>12001</v>
      </c>
      <c r="B155" s="60" t="s">
        <v>1681</v>
      </c>
      <c r="C155" s="105" t="s">
        <v>1681</v>
      </c>
      <c r="D155" s="52" t="s">
        <v>1681</v>
      </c>
      <c r="E155" s="88">
        <v>3</v>
      </c>
      <c r="F155" s="52" t="s">
        <v>12</v>
      </c>
      <c r="G155" s="57" t="s">
        <v>321</v>
      </c>
      <c r="H155" s="52" t="s">
        <v>1426</v>
      </c>
      <c r="I155" s="52" t="s">
        <v>70</v>
      </c>
      <c r="J155" s="113" t="s">
        <v>13</v>
      </c>
      <c r="K155" s="52" t="s">
        <v>24</v>
      </c>
      <c r="L155" s="52">
        <v>3001</v>
      </c>
      <c r="M155" s="52" t="s">
        <v>12</v>
      </c>
      <c r="N155" s="52" t="s">
        <v>14</v>
      </c>
      <c r="O155" s="52" t="s">
        <v>31</v>
      </c>
      <c r="P155" s="52" t="s">
        <v>31</v>
      </c>
      <c r="Q155" s="52" t="s">
        <v>284</v>
      </c>
      <c r="R155" s="57" t="s">
        <v>12</v>
      </c>
      <c r="S155" s="52" t="s">
        <v>14</v>
      </c>
      <c r="T155" s="52" t="s">
        <v>12</v>
      </c>
      <c r="U155" s="52" t="s">
        <v>14</v>
      </c>
    </row>
    <row r="156" spans="1:28" x14ac:dyDescent="0.35">
      <c r="A156" s="60">
        <v>12002</v>
      </c>
      <c r="B156" s="60" t="s">
        <v>1682</v>
      </c>
      <c r="C156" s="105" t="s">
        <v>1682</v>
      </c>
      <c r="D156" s="52" t="s">
        <v>1682</v>
      </c>
      <c r="E156" s="88">
        <v>3</v>
      </c>
      <c r="F156" s="52" t="s">
        <v>12</v>
      </c>
      <c r="G156" s="57" t="s">
        <v>321</v>
      </c>
      <c r="H156" s="52" t="s">
        <v>1426</v>
      </c>
      <c r="I156" s="52" t="s">
        <v>70</v>
      </c>
      <c r="J156" s="113" t="s">
        <v>13</v>
      </c>
      <c r="K156" s="52" t="s">
        <v>24</v>
      </c>
      <c r="L156" s="52">
        <v>3001</v>
      </c>
      <c r="M156" s="52" t="s">
        <v>12</v>
      </c>
      <c r="N156" s="52" t="s">
        <v>14</v>
      </c>
      <c r="O156" s="52" t="s">
        <v>31</v>
      </c>
      <c r="P156" s="52" t="s">
        <v>31</v>
      </c>
      <c r="Q156" s="52" t="s">
        <v>284</v>
      </c>
      <c r="R156" s="57" t="s">
        <v>12</v>
      </c>
      <c r="S156" s="52" t="s">
        <v>14</v>
      </c>
      <c r="T156" s="52" t="s">
        <v>12</v>
      </c>
      <c r="U156" s="52" t="s">
        <v>14</v>
      </c>
    </row>
    <row r="157" spans="1:28" ht="17.25" customHeight="1" x14ac:dyDescent="0.35">
      <c r="A157" s="60">
        <v>12003</v>
      </c>
      <c r="B157" s="60" t="s">
        <v>1683</v>
      </c>
      <c r="C157" s="105" t="s">
        <v>1683</v>
      </c>
      <c r="D157" s="52" t="s">
        <v>1683</v>
      </c>
      <c r="E157" s="88">
        <v>3</v>
      </c>
      <c r="F157" s="52" t="s">
        <v>12</v>
      </c>
      <c r="G157" s="57" t="s">
        <v>321</v>
      </c>
      <c r="H157" s="52" t="s">
        <v>1426</v>
      </c>
      <c r="I157" s="52" t="s">
        <v>70</v>
      </c>
      <c r="J157" s="113" t="s">
        <v>13</v>
      </c>
      <c r="K157" s="52" t="s">
        <v>24</v>
      </c>
      <c r="L157" s="52">
        <v>3001</v>
      </c>
      <c r="M157" s="52" t="s">
        <v>12</v>
      </c>
      <c r="N157" s="52" t="s">
        <v>14</v>
      </c>
      <c r="O157" s="52" t="s">
        <v>31</v>
      </c>
      <c r="P157" s="52" t="s">
        <v>31</v>
      </c>
      <c r="Q157" s="52" t="s">
        <v>284</v>
      </c>
      <c r="R157" s="57" t="s">
        <v>12</v>
      </c>
      <c r="S157" s="52" t="s">
        <v>14</v>
      </c>
      <c r="T157" s="52" t="s">
        <v>12</v>
      </c>
      <c r="U157" s="52" t="s">
        <v>14</v>
      </c>
    </row>
    <row r="158" spans="1:28" ht="17.25" customHeight="1" x14ac:dyDescent="0.35">
      <c r="A158" s="60">
        <v>12004</v>
      </c>
      <c r="B158" s="60" t="s">
        <v>819</v>
      </c>
      <c r="C158" s="105" t="s">
        <v>819</v>
      </c>
      <c r="D158" s="52" t="s">
        <v>819</v>
      </c>
      <c r="E158" s="88">
        <v>3</v>
      </c>
      <c r="F158" s="52" t="s">
        <v>12</v>
      </c>
      <c r="G158" s="57" t="s">
        <v>321</v>
      </c>
      <c r="H158" s="52" t="s">
        <v>1426</v>
      </c>
      <c r="I158" s="52" t="s">
        <v>70</v>
      </c>
      <c r="J158" s="113" t="s">
        <v>13</v>
      </c>
      <c r="K158" s="52" t="s">
        <v>24</v>
      </c>
      <c r="L158" s="52">
        <v>3002</v>
      </c>
      <c r="M158" s="52" t="s">
        <v>12</v>
      </c>
      <c r="N158" s="52" t="s">
        <v>14</v>
      </c>
      <c r="O158" s="52" t="s">
        <v>31</v>
      </c>
      <c r="P158" s="52" t="s">
        <v>31</v>
      </c>
      <c r="Q158" s="52" t="s">
        <v>285</v>
      </c>
      <c r="R158" s="57" t="s">
        <v>12</v>
      </c>
      <c r="S158" s="52" t="s">
        <v>14</v>
      </c>
      <c r="T158" s="52" t="s">
        <v>12</v>
      </c>
      <c r="U158" s="52" t="s">
        <v>14</v>
      </c>
    </row>
    <row r="159" spans="1:28" ht="17.25" customHeight="1" x14ac:dyDescent="0.35">
      <c r="A159" s="60">
        <v>12005</v>
      </c>
      <c r="B159" s="60" t="s">
        <v>820</v>
      </c>
      <c r="C159" s="105" t="s">
        <v>820</v>
      </c>
      <c r="D159" s="52" t="s">
        <v>820</v>
      </c>
      <c r="E159" s="88">
        <v>3</v>
      </c>
      <c r="F159" s="52" t="s">
        <v>12</v>
      </c>
      <c r="G159" s="57" t="s">
        <v>321</v>
      </c>
      <c r="H159" s="52" t="s">
        <v>1426</v>
      </c>
      <c r="I159" s="52" t="s">
        <v>70</v>
      </c>
      <c r="J159" s="113" t="s">
        <v>13</v>
      </c>
      <c r="K159" s="52" t="s">
        <v>24</v>
      </c>
      <c r="L159" s="52">
        <v>3002</v>
      </c>
      <c r="M159" s="52" t="s">
        <v>12</v>
      </c>
      <c r="N159" s="52" t="s">
        <v>14</v>
      </c>
      <c r="O159" s="52" t="s">
        <v>40</v>
      </c>
      <c r="P159" s="52" t="s">
        <v>31</v>
      </c>
      <c r="Q159" s="52" t="s">
        <v>285</v>
      </c>
      <c r="R159" s="57" t="s">
        <v>12</v>
      </c>
      <c r="S159" s="52" t="s">
        <v>14</v>
      </c>
      <c r="T159" s="52" t="s">
        <v>12</v>
      </c>
      <c r="U159" s="52" t="s">
        <v>14</v>
      </c>
    </row>
    <row r="160" spans="1:28" ht="17.25" customHeight="1" x14ac:dyDescent="0.35">
      <c r="A160" s="60">
        <v>12006</v>
      </c>
      <c r="B160" s="60" t="s">
        <v>821</v>
      </c>
      <c r="C160" s="105" t="s">
        <v>821</v>
      </c>
      <c r="D160" s="52" t="s">
        <v>821</v>
      </c>
      <c r="E160" s="88">
        <v>3</v>
      </c>
      <c r="F160" s="52" t="s">
        <v>12</v>
      </c>
      <c r="G160" s="57" t="s">
        <v>321</v>
      </c>
      <c r="H160" s="52" t="s">
        <v>1426</v>
      </c>
      <c r="I160" s="52" t="s">
        <v>70</v>
      </c>
      <c r="J160" s="113" t="s">
        <v>35</v>
      </c>
      <c r="K160" s="52" t="s">
        <v>24</v>
      </c>
      <c r="L160" s="52">
        <v>3002</v>
      </c>
      <c r="M160" s="52" t="s">
        <v>12</v>
      </c>
      <c r="N160" s="52" t="s">
        <v>14</v>
      </c>
      <c r="O160" s="52" t="s">
        <v>31</v>
      </c>
      <c r="P160" s="52" t="s">
        <v>40</v>
      </c>
      <c r="Q160" s="52" t="s">
        <v>285</v>
      </c>
      <c r="R160" s="57" t="s">
        <v>12</v>
      </c>
      <c r="S160" s="52" t="s">
        <v>14</v>
      </c>
      <c r="T160" s="52" t="s">
        <v>12</v>
      </c>
      <c r="U160" s="52" t="s">
        <v>14</v>
      </c>
    </row>
    <row r="161" spans="1:22" s="68" customFormat="1" ht="17.25" customHeight="1" x14ac:dyDescent="0.35">
      <c r="A161" s="66">
        <v>12007</v>
      </c>
      <c r="B161" s="66" t="s">
        <v>819</v>
      </c>
      <c r="C161" s="106" t="s">
        <v>819</v>
      </c>
      <c r="D161" s="67" t="s">
        <v>819</v>
      </c>
      <c r="E161" s="91">
        <v>3</v>
      </c>
      <c r="F161" s="67" t="s">
        <v>12</v>
      </c>
      <c r="G161" s="67" t="s">
        <v>321</v>
      </c>
      <c r="H161" s="67" t="s">
        <v>1426</v>
      </c>
      <c r="I161" s="67" t="s">
        <v>70</v>
      </c>
      <c r="J161" s="114" t="s">
        <v>35</v>
      </c>
      <c r="K161" s="67" t="s">
        <v>36</v>
      </c>
      <c r="L161" s="67">
        <v>3001</v>
      </c>
      <c r="M161" s="67" t="s">
        <v>12</v>
      </c>
      <c r="N161" s="67" t="s">
        <v>14</v>
      </c>
      <c r="O161" s="67" t="s">
        <v>40</v>
      </c>
      <c r="P161" s="67" t="s">
        <v>40</v>
      </c>
      <c r="Q161" s="67" t="s">
        <v>730</v>
      </c>
      <c r="R161" s="67" t="s">
        <v>12</v>
      </c>
      <c r="S161" s="67" t="s">
        <v>14</v>
      </c>
      <c r="T161" s="67" t="s">
        <v>12</v>
      </c>
      <c r="U161" s="67" t="s">
        <v>14</v>
      </c>
      <c r="V161" s="53"/>
    </row>
    <row r="162" spans="1:22" s="68" customFormat="1" ht="17.25" customHeight="1" x14ac:dyDescent="0.35">
      <c r="A162" s="66">
        <v>12008</v>
      </c>
      <c r="B162" s="66" t="s">
        <v>820</v>
      </c>
      <c r="C162" s="106" t="s">
        <v>820</v>
      </c>
      <c r="D162" s="67" t="s">
        <v>820</v>
      </c>
      <c r="E162" s="91">
        <v>3</v>
      </c>
      <c r="F162" s="67" t="s">
        <v>12</v>
      </c>
      <c r="G162" s="67" t="s">
        <v>321</v>
      </c>
      <c r="H162" s="67" t="s">
        <v>1426</v>
      </c>
      <c r="I162" s="67" t="s">
        <v>70</v>
      </c>
      <c r="J162" s="114" t="s">
        <v>35</v>
      </c>
      <c r="K162" s="67" t="s">
        <v>36</v>
      </c>
      <c r="L162" s="67">
        <v>3001</v>
      </c>
      <c r="M162" s="67" t="s">
        <v>12</v>
      </c>
      <c r="N162" s="67" t="s">
        <v>14</v>
      </c>
      <c r="O162" s="67" t="s">
        <v>40</v>
      </c>
      <c r="P162" s="67" t="s">
        <v>40</v>
      </c>
      <c r="Q162" s="67" t="s">
        <v>730</v>
      </c>
      <c r="R162" s="67" t="s">
        <v>12</v>
      </c>
      <c r="S162" s="67" t="s">
        <v>14</v>
      </c>
      <c r="T162" s="67" t="s">
        <v>12</v>
      </c>
      <c r="U162" s="67" t="s">
        <v>14</v>
      </c>
      <c r="V162" s="53"/>
    </row>
    <row r="163" spans="1:22" s="68" customFormat="1" ht="17.25" customHeight="1" x14ac:dyDescent="0.35">
      <c r="A163" s="66">
        <v>12009</v>
      </c>
      <c r="B163" s="66" t="s">
        <v>821</v>
      </c>
      <c r="C163" s="106" t="s">
        <v>821</v>
      </c>
      <c r="D163" s="67" t="s">
        <v>821</v>
      </c>
      <c r="E163" s="91">
        <v>3</v>
      </c>
      <c r="F163" s="67" t="s">
        <v>12</v>
      </c>
      <c r="G163" s="67" t="s">
        <v>321</v>
      </c>
      <c r="H163" s="67" t="s">
        <v>1426</v>
      </c>
      <c r="I163" s="67" t="s">
        <v>70</v>
      </c>
      <c r="J163" s="114" t="s">
        <v>35</v>
      </c>
      <c r="K163" s="67" t="s">
        <v>36</v>
      </c>
      <c r="L163" s="67">
        <v>3001</v>
      </c>
      <c r="M163" s="67" t="s">
        <v>12</v>
      </c>
      <c r="N163" s="67" t="s">
        <v>14</v>
      </c>
      <c r="O163" s="67" t="s">
        <v>40</v>
      </c>
      <c r="P163" s="67" t="s">
        <v>40</v>
      </c>
      <c r="Q163" s="67" t="s">
        <v>730</v>
      </c>
      <c r="R163" s="67" t="s">
        <v>12</v>
      </c>
      <c r="S163" s="67" t="s">
        <v>14</v>
      </c>
      <c r="T163" s="67" t="s">
        <v>12</v>
      </c>
      <c r="U163" s="67" t="s">
        <v>14</v>
      </c>
      <c r="V163" s="53"/>
    </row>
    <row r="164" spans="1:22" s="68" customFormat="1" ht="17.25" customHeight="1" x14ac:dyDescent="0.35">
      <c r="A164" s="66">
        <v>12010</v>
      </c>
      <c r="B164" s="66" t="s">
        <v>822</v>
      </c>
      <c r="C164" s="106" t="s">
        <v>822</v>
      </c>
      <c r="D164" s="67" t="s">
        <v>822</v>
      </c>
      <c r="E164" s="91">
        <v>3</v>
      </c>
      <c r="F164" s="67" t="s">
        <v>12</v>
      </c>
      <c r="G164" s="67" t="s">
        <v>321</v>
      </c>
      <c r="H164" s="67" t="s">
        <v>1426</v>
      </c>
      <c r="I164" s="67" t="s">
        <v>70</v>
      </c>
      <c r="J164" s="114" t="s">
        <v>30</v>
      </c>
      <c r="K164" s="67" t="s">
        <v>36</v>
      </c>
      <c r="L164" s="67">
        <v>3002</v>
      </c>
      <c r="M164" s="67" t="s">
        <v>12</v>
      </c>
      <c r="N164" s="67" t="s">
        <v>14</v>
      </c>
      <c r="O164" s="67" t="s">
        <v>40</v>
      </c>
      <c r="P164" s="67" t="s">
        <v>40</v>
      </c>
      <c r="Q164" s="67" t="s">
        <v>731</v>
      </c>
      <c r="R164" s="67" t="s">
        <v>12</v>
      </c>
      <c r="S164" s="67" t="s">
        <v>14</v>
      </c>
      <c r="T164" s="67" t="s">
        <v>12</v>
      </c>
      <c r="U164" s="67" t="s">
        <v>14</v>
      </c>
      <c r="V164" s="53"/>
    </row>
    <row r="165" spans="1:22" s="68" customFormat="1" ht="17.25" customHeight="1" x14ac:dyDescent="0.35">
      <c r="A165" s="66">
        <v>12011</v>
      </c>
      <c r="B165" s="66" t="s">
        <v>823</v>
      </c>
      <c r="C165" s="106" t="s">
        <v>823</v>
      </c>
      <c r="D165" s="67" t="s">
        <v>823</v>
      </c>
      <c r="E165" s="91">
        <v>3</v>
      </c>
      <c r="F165" s="67" t="s">
        <v>12</v>
      </c>
      <c r="G165" s="67" t="s">
        <v>321</v>
      </c>
      <c r="H165" s="67" t="s">
        <v>1426</v>
      </c>
      <c r="I165" s="67" t="s">
        <v>70</v>
      </c>
      <c r="J165" s="114" t="s">
        <v>30</v>
      </c>
      <c r="K165" s="67" t="s">
        <v>36</v>
      </c>
      <c r="L165" s="67">
        <v>3002</v>
      </c>
      <c r="M165" s="67" t="s">
        <v>12</v>
      </c>
      <c r="N165" s="67" t="s">
        <v>14</v>
      </c>
      <c r="O165" s="67" t="s">
        <v>40</v>
      </c>
      <c r="P165" s="67" t="s">
        <v>40</v>
      </c>
      <c r="Q165" s="67" t="s">
        <v>731</v>
      </c>
      <c r="R165" s="67" t="s">
        <v>12</v>
      </c>
      <c r="S165" s="67" t="s">
        <v>14</v>
      </c>
      <c r="T165" s="67" t="s">
        <v>12</v>
      </c>
      <c r="U165" s="67" t="s">
        <v>14</v>
      </c>
      <c r="V165" s="53"/>
    </row>
    <row r="166" spans="1:22" s="68" customFormat="1" ht="17.25" customHeight="1" x14ac:dyDescent="0.35">
      <c r="A166" s="66">
        <v>12012</v>
      </c>
      <c r="B166" s="66" t="s">
        <v>824</v>
      </c>
      <c r="C166" s="106" t="s">
        <v>824</v>
      </c>
      <c r="D166" s="67" t="s">
        <v>824</v>
      </c>
      <c r="E166" s="91">
        <v>3</v>
      </c>
      <c r="F166" s="67" t="s">
        <v>12</v>
      </c>
      <c r="G166" s="67" t="s">
        <v>321</v>
      </c>
      <c r="H166" s="67" t="s">
        <v>1426</v>
      </c>
      <c r="I166" s="67" t="s">
        <v>70</v>
      </c>
      <c r="J166" s="114" t="s">
        <v>35</v>
      </c>
      <c r="K166" s="67" t="s">
        <v>36</v>
      </c>
      <c r="L166" s="67">
        <v>3002</v>
      </c>
      <c r="M166" s="67" t="s">
        <v>12</v>
      </c>
      <c r="N166" s="67" t="s">
        <v>14</v>
      </c>
      <c r="O166" s="67" t="s">
        <v>40</v>
      </c>
      <c r="P166" s="67" t="s">
        <v>40</v>
      </c>
      <c r="Q166" s="67" t="s">
        <v>731</v>
      </c>
      <c r="R166" s="67" t="s">
        <v>12</v>
      </c>
      <c r="S166" s="67" t="s">
        <v>14</v>
      </c>
      <c r="T166" s="67" t="s">
        <v>12</v>
      </c>
      <c r="U166" s="67" t="s">
        <v>14</v>
      </c>
      <c r="V166" s="53"/>
    </row>
    <row r="167" spans="1:22" ht="17.25" customHeight="1" x14ac:dyDescent="0.35">
      <c r="A167" s="61">
        <v>12013</v>
      </c>
      <c r="B167" s="61" t="s">
        <v>1688</v>
      </c>
      <c r="C167" s="105" t="s">
        <v>1688</v>
      </c>
      <c r="D167" s="52" t="s">
        <v>1688</v>
      </c>
      <c r="E167" s="88">
        <v>3</v>
      </c>
      <c r="F167" s="52" t="s">
        <v>12</v>
      </c>
      <c r="G167" s="57" t="s">
        <v>321</v>
      </c>
      <c r="H167" s="52" t="s">
        <v>1426</v>
      </c>
      <c r="I167" s="52" t="s">
        <v>70</v>
      </c>
      <c r="J167" s="113" t="s">
        <v>30</v>
      </c>
      <c r="K167" s="52" t="s">
        <v>25</v>
      </c>
      <c r="L167" s="52">
        <v>3005</v>
      </c>
      <c r="M167" s="52" t="s">
        <v>12</v>
      </c>
      <c r="N167" s="52" t="s">
        <v>14</v>
      </c>
      <c r="O167" s="52" t="s">
        <v>31</v>
      </c>
      <c r="P167" s="52" t="s">
        <v>31</v>
      </c>
      <c r="Q167" s="52" t="s">
        <v>286</v>
      </c>
      <c r="R167" s="57" t="s">
        <v>12</v>
      </c>
      <c r="S167" s="52" t="s">
        <v>14</v>
      </c>
      <c r="T167" s="52" t="s">
        <v>12</v>
      </c>
      <c r="U167" s="52" t="s">
        <v>14</v>
      </c>
    </row>
    <row r="168" spans="1:22" ht="17.25" customHeight="1" x14ac:dyDescent="0.35">
      <c r="A168" s="61">
        <v>12014</v>
      </c>
      <c r="B168" s="61" t="s">
        <v>1689</v>
      </c>
      <c r="C168" s="105" t="s">
        <v>1689</v>
      </c>
      <c r="D168" s="52" t="s">
        <v>1689</v>
      </c>
      <c r="E168" s="88">
        <v>3</v>
      </c>
      <c r="F168" s="52" t="s">
        <v>12</v>
      </c>
      <c r="G168" s="57" t="s">
        <v>321</v>
      </c>
      <c r="H168" s="52" t="s">
        <v>1426</v>
      </c>
      <c r="I168" s="52" t="s">
        <v>70</v>
      </c>
      <c r="J168" s="113" t="s">
        <v>30</v>
      </c>
      <c r="K168" s="52" t="s">
        <v>25</v>
      </c>
      <c r="L168" s="52">
        <v>3005</v>
      </c>
      <c r="M168" s="52" t="s">
        <v>12</v>
      </c>
      <c r="N168" s="52" t="s">
        <v>14</v>
      </c>
      <c r="O168" s="52" t="s">
        <v>31</v>
      </c>
      <c r="P168" s="52" t="s">
        <v>31</v>
      </c>
      <c r="Q168" s="52" t="s">
        <v>286</v>
      </c>
      <c r="R168" s="57" t="s">
        <v>12</v>
      </c>
      <c r="S168" s="52" t="s">
        <v>14</v>
      </c>
      <c r="T168" s="52" t="s">
        <v>12</v>
      </c>
      <c r="U168" s="52" t="s">
        <v>14</v>
      </c>
    </row>
    <row r="169" spans="1:22" ht="17.25" customHeight="1" x14ac:dyDescent="0.35">
      <c r="A169" s="61">
        <v>12015</v>
      </c>
      <c r="B169" s="61" t="s">
        <v>1690</v>
      </c>
      <c r="C169" s="105" t="s">
        <v>1690</v>
      </c>
      <c r="D169" s="52" t="s">
        <v>1690</v>
      </c>
      <c r="E169" s="88">
        <v>3</v>
      </c>
      <c r="F169" s="52" t="s">
        <v>12</v>
      </c>
      <c r="G169" s="57" t="s">
        <v>321</v>
      </c>
      <c r="H169" s="52" t="s">
        <v>1426</v>
      </c>
      <c r="I169" s="52" t="s">
        <v>70</v>
      </c>
      <c r="J169" s="113" t="s">
        <v>30</v>
      </c>
      <c r="K169" s="52" t="s">
        <v>25</v>
      </c>
      <c r="L169" s="52">
        <v>3005</v>
      </c>
      <c r="M169" s="52" t="s">
        <v>12</v>
      </c>
      <c r="N169" s="52" t="s">
        <v>14</v>
      </c>
      <c r="O169" s="52" t="s">
        <v>31</v>
      </c>
      <c r="P169" s="52" t="s">
        <v>31</v>
      </c>
      <c r="Q169" s="52" t="s">
        <v>286</v>
      </c>
      <c r="R169" s="57" t="s">
        <v>12</v>
      </c>
      <c r="S169" s="52" t="s">
        <v>14</v>
      </c>
      <c r="T169" s="52" t="s">
        <v>12</v>
      </c>
      <c r="U169" s="52" t="s">
        <v>14</v>
      </c>
    </row>
    <row r="170" spans="1:22" ht="17.25" customHeight="1" x14ac:dyDescent="0.35">
      <c r="A170" s="61">
        <v>12016</v>
      </c>
      <c r="B170" s="61" t="s">
        <v>1691</v>
      </c>
      <c r="C170" s="105" t="s">
        <v>1691</v>
      </c>
      <c r="D170" s="52" t="s">
        <v>1691</v>
      </c>
      <c r="E170" s="88">
        <v>3</v>
      </c>
      <c r="F170" s="52" t="s">
        <v>12</v>
      </c>
      <c r="G170" s="57" t="s">
        <v>321</v>
      </c>
      <c r="H170" s="52" t="s">
        <v>1426</v>
      </c>
      <c r="I170" s="52" t="s">
        <v>70</v>
      </c>
      <c r="J170" s="113" t="s">
        <v>30</v>
      </c>
      <c r="K170" s="52" t="s">
        <v>25</v>
      </c>
      <c r="L170" s="52">
        <v>3005</v>
      </c>
      <c r="M170" s="52" t="s">
        <v>12</v>
      </c>
      <c r="N170" s="52" t="s">
        <v>14</v>
      </c>
      <c r="O170" s="52" t="s">
        <v>31</v>
      </c>
      <c r="P170" s="52" t="s">
        <v>31</v>
      </c>
      <c r="Q170" s="52" t="s">
        <v>286</v>
      </c>
      <c r="R170" s="57" t="s">
        <v>12</v>
      </c>
      <c r="S170" s="52" t="s">
        <v>14</v>
      </c>
      <c r="T170" s="52" t="s">
        <v>12</v>
      </c>
      <c r="U170" s="52" t="s">
        <v>14</v>
      </c>
    </row>
    <row r="171" spans="1:22" ht="17.25" customHeight="1" x14ac:dyDescent="0.35">
      <c r="A171" s="61">
        <v>12017</v>
      </c>
      <c r="B171" s="61" t="s">
        <v>1684</v>
      </c>
      <c r="C171" s="105" t="s">
        <v>1684</v>
      </c>
      <c r="D171" s="52" t="s">
        <v>1684</v>
      </c>
      <c r="E171" s="88">
        <v>3</v>
      </c>
      <c r="F171" s="52" t="s">
        <v>12</v>
      </c>
      <c r="G171" s="57" t="s">
        <v>321</v>
      </c>
      <c r="H171" s="52" t="s">
        <v>1426</v>
      </c>
      <c r="I171" s="52" t="s">
        <v>70</v>
      </c>
      <c r="J171" s="113" t="s">
        <v>30</v>
      </c>
      <c r="K171" s="52" t="s">
        <v>25</v>
      </c>
      <c r="L171" s="52">
        <v>3006</v>
      </c>
      <c r="M171" s="52" t="s">
        <v>12</v>
      </c>
      <c r="N171" s="52" t="s">
        <v>14</v>
      </c>
      <c r="O171" s="52" t="s">
        <v>31</v>
      </c>
      <c r="P171" s="52" t="s">
        <v>31</v>
      </c>
      <c r="Q171" s="52" t="s">
        <v>287</v>
      </c>
      <c r="R171" s="57" t="s">
        <v>12</v>
      </c>
      <c r="S171" s="52" t="s">
        <v>14</v>
      </c>
      <c r="T171" s="52" t="s">
        <v>12</v>
      </c>
      <c r="U171" s="52" t="s">
        <v>14</v>
      </c>
    </row>
    <row r="172" spans="1:22" ht="17.25" customHeight="1" x14ac:dyDescent="0.35">
      <c r="A172" s="61">
        <v>12018</v>
      </c>
      <c r="B172" s="61" t="s">
        <v>1685</v>
      </c>
      <c r="C172" s="105" t="s">
        <v>1685</v>
      </c>
      <c r="D172" s="52" t="s">
        <v>1685</v>
      </c>
      <c r="E172" s="88">
        <v>3</v>
      </c>
      <c r="F172" s="52" t="s">
        <v>12</v>
      </c>
      <c r="G172" s="57" t="s">
        <v>321</v>
      </c>
      <c r="H172" s="52" t="s">
        <v>1426</v>
      </c>
      <c r="I172" s="52" t="s">
        <v>70</v>
      </c>
      <c r="J172" s="113" t="s">
        <v>30</v>
      </c>
      <c r="K172" s="52" t="s">
        <v>25</v>
      </c>
      <c r="L172" s="52">
        <v>3006</v>
      </c>
      <c r="M172" s="52" t="s">
        <v>12</v>
      </c>
      <c r="N172" s="52" t="s">
        <v>14</v>
      </c>
      <c r="O172" s="52" t="s">
        <v>31</v>
      </c>
      <c r="P172" s="52" t="s">
        <v>31</v>
      </c>
      <c r="Q172" s="52" t="s">
        <v>287</v>
      </c>
      <c r="R172" s="57" t="s">
        <v>12</v>
      </c>
      <c r="S172" s="52" t="s">
        <v>14</v>
      </c>
      <c r="T172" s="52" t="s">
        <v>12</v>
      </c>
      <c r="U172" s="52" t="s">
        <v>14</v>
      </c>
    </row>
    <row r="173" spans="1:22" ht="17.25" customHeight="1" x14ac:dyDescent="0.35">
      <c r="A173" s="61">
        <v>12019</v>
      </c>
      <c r="B173" s="61" t="s">
        <v>1686</v>
      </c>
      <c r="C173" s="105" t="s">
        <v>1686</v>
      </c>
      <c r="D173" s="52" t="s">
        <v>1686</v>
      </c>
      <c r="E173" s="88">
        <v>3</v>
      </c>
      <c r="F173" s="52" t="s">
        <v>12</v>
      </c>
      <c r="G173" s="57" t="s">
        <v>321</v>
      </c>
      <c r="H173" s="52" t="s">
        <v>1426</v>
      </c>
      <c r="I173" s="52" t="s">
        <v>70</v>
      </c>
      <c r="J173" s="113" t="s">
        <v>30</v>
      </c>
      <c r="K173" s="52" t="s">
        <v>25</v>
      </c>
      <c r="L173" s="52">
        <v>3006</v>
      </c>
      <c r="M173" s="52" t="s">
        <v>12</v>
      </c>
      <c r="N173" s="52" t="s">
        <v>14</v>
      </c>
      <c r="O173" s="52" t="s">
        <v>31</v>
      </c>
      <c r="P173" s="52" t="s">
        <v>31</v>
      </c>
      <c r="Q173" s="52" t="s">
        <v>287</v>
      </c>
      <c r="R173" s="57" t="s">
        <v>12</v>
      </c>
      <c r="S173" s="52" t="s">
        <v>14</v>
      </c>
      <c r="T173" s="52" t="s">
        <v>12</v>
      </c>
      <c r="U173" s="52" t="s">
        <v>14</v>
      </c>
    </row>
    <row r="174" spans="1:22" ht="17.25" customHeight="1" x14ac:dyDescent="0.35">
      <c r="A174" s="61">
        <v>12020</v>
      </c>
      <c r="B174" s="61" t="s">
        <v>1687</v>
      </c>
      <c r="C174" s="105" t="s">
        <v>1687</v>
      </c>
      <c r="D174" s="52" t="s">
        <v>1687</v>
      </c>
      <c r="E174" s="88">
        <v>3</v>
      </c>
      <c r="F174" s="52" t="s">
        <v>12</v>
      </c>
      <c r="G174" s="57" t="s">
        <v>321</v>
      </c>
      <c r="H174" s="52" t="s">
        <v>1426</v>
      </c>
      <c r="I174" s="52" t="s">
        <v>70</v>
      </c>
      <c r="J174" s="113" t="s">
        <v>30</v>
      </c>
      <c r="K174" s="52" t="s">
        <v>25</v>
      </c>
      <c r="L174" s="52">
        <v>3006</v>
      </c>
      <c r="M174" s="52" t="s">
        <v>12</v>
      </c>
      <c r="N174" s="52" t="s">
        <v>14</v>
      </c>
      <c r="O174" s="52" t="s">
        <v>31</v>
      </c>
      <c r="P174" s="52" t="s">
        <v>31</v>
      </c>
      <c r="Q174" s="52" t="s">
        <v>287</v>
      </c>
      <c r="R174" s="57" t="s">
        <v>12</v>
      </c>
      <c r="S174" s="52" t="s">
        <v>14</v>
      </c>
      <c r="T174" s="52" t="s">
        <v>12</v>
      </c>
      <c r="U174" s="52" t="s">
        <v>14</v>
      </c>
    </row>
    <row r="175" spans="1:22" ht="17.25" customHeight="1" x14ac:dyDescent="0.35">
      <c r="A175" s="61">
        <v>12021</v>
      </c>
      <c r="B175" s="61" t="s">
        <v>1696</v>
      </c>
      <c r="C175" s="105" t="s">
        <v>1696</v>
      </c>
      <c r="D175" s="52" t="s">
        <v>1696</v>
      </c>
      <c r="E175" s="88">
        <v>3</v>
      </c>
      <c r="F175" s="52" t="s">
        <v>12</v>
      </c>
      <c r="G175" s="57" t="s">
        <v>321</v>
      </c>
      <c r="H175" s="52" t="s">
        <v>1426</v>
      </c>
      <c r="I175" s="52" t="s">
        <v>70</v>
      </c>
      <c r="J175" s="113" t="s">
        <v>35</v>
      </c>
      <c r="K175" s="52" t="s">
        <v>37</v>
      </c>
      <c r="L175" s="52">
        <v>3007</v>
      </c>
      <c r="M175" s="52" t="s">
        <v>12</v>
      </c>
      <c r="N175" s="52" t="s">
        <v>14</v>
      </c>
      <c r="O175" s="52" t="s">
        <v>40</v>
      </c>
      <c r="P175" s="52" t="s">
        <v>40</v>
      </c>
      <c r="Q175" s="52" t="s">
        <v>732</v>
      </c>
      <c r="R175" s="57" t="s">
        <v>12</v>
      </c>
      <c r="S175" s="52" t="s">
        <v>14</v>
      </c>
      <c r="T175" s="52" t="s">
        <v>12</v>
      </c>
      <c r="U175" s="52" t="s">
        <v>14</v>
      </c>
    </row>
    <row r="176" spans="1:22" ht="17.25" customHeight="1" x14ac:dyDescent="0.35">
      <c r="A176" s="61">
        <v>12022</v>
      </c>
      <c r="B176" s="61" t="s">
        <v>1697</v>
      </c>
      <c r="C176" s="105" t="s">
        <v>1697</v>
      </c>
      <c r="D176" s="52" t="s">
        <v>1697</v>
      </c>
      <c r="E176" s="88">
        <v>3</v>
      </c>
      <c r="F176" s="52" t="s">
        <v>12</v>
      </c>
      <c r="G176" s="57" t="s">
        <v>321</v>
      </c>
      <c r="H176" s="52" t="s">
        <v>1426</v>
      </c>
      <c r="I176" s="52" t="s">
        <v>70</v>
      </c>
      <c r="J176" s="113" t="s">
        <v>35</v>
      </c>
      <c r="K176" s="52" t="s">
        <v>37</v>
      </c>
      <c r="L176" s="52">
        <v>3007</v>
      </c>
      <c r="M176" s="52" t="s">
        <v>12</v>
      </c>
      <c r="N176" s="52" t="s">
        <v>14</v>
      </c>
      <c r="O176" s="52" t="s">
        <v>40</v>
      </c>
      <c r="P176" s="52" t="s">
        <v>40</v>
      </c>
      <c r="Q176" s="52" t="s">
        <v>732</v>
      </c>
      <c r="R176" s="57" t="s">
        <v>12</v>
      </c>
      <c r="S176" s="52" t="s">
        <v>14</v>
      </c>
      <c r="T176" s="52" t="s">
        <v>12</v>
      </c>
      <c r="U176" s="52" t="s">
        <v>14</v>
      </c>
    </row>
    <row r="177" spans="1:22" ht="17.25" customHeight="1" x14ac:dyDescent="0.35">
      <c r="A177" s="61">
        <v>12023</v>
      </c>
      <c r="B177" s="61" t="s">
        <v>1698</v>
      </c>
      <c r="C177" s="105" t="s">
        <v>1698</v>
      </c>
      <c r="D177" s="52" t="s">
        <v>1698</v>
      </c>
      <c r="E177" s="88">
        <v>3</v>
      </c>
      <c r="F177" s="52" t="s">
        <v>12</v>
      </c>
      <c r="G177" s="57" t="s">
        <v>321</v>
      </c>
      <c r="H177" s="52" t="s">
        <v>1426</v>
      </c>
      <c r="I177" s="52" t="s">
        <v>70</v>
      </c>
      <c r="J177" s="113" t="s">
        <v>35</v>
      </c>
      <c r="K177" s="52" t="s">
        <v>37</v>
      </c>
      <c r="L177" s="52">
        <v>3007</v>
      </c>
      <c r="M177" s="52" t="s">
        <v>12</v>
      </c>
      <c r="N177" s="52" t="s">
        <v>14</v>
      </c>
      <c r="O177" s="52" t="s">
        <v>40</v>
      </c>
      <c r="P177" s="52" t="s">
        <v>40</v>
      </c>
      <c r="Q177" s="52" t="s">
        <v>732</v>
      </c>
      <c r="R177" s="57" t="s">
        <v>12</v>
      </c>
      <c r="S177" s="52" t="s">
        <v>14</v>
      </c>
      <c r="T177" s="52" t="s">
        <v>12</v>
      </c>
      <c r="U177" s="52" t="s">
        <v>14</v>
      </c>
    </row>
    <row r="178" spans="1:22" ht="17.25" customHeight="1" x14ac:dyDescent="0.35">
      <c r="A178" s="61">
        <v>12024</v>
      </c>
      <c r="B178" s="61" t="s">
        <v>1699</v>
      </c>
      <c r="C178" s="105" t="s">
        <v>1699</v>
      </c>
      <c r="D178" s="52" t="s">
        <v>1699</v>
      </c>
      <c r="E178" s="88">
        <v>3</v>
      </c>
      <c r="F178" s="52" t="s">
        <v>12</v>
      </c>
      <c r="G178" s="57" t="s">
        <v>321</v>
      </c>
      <c r="H178" s="52" t="s">
        <v>1426</v>
      </c>
      <c r="I178" s="52" t="s">
        <v>70</v>
      </c>
      <c r="J178" s="113" t="s">
        <v>35</v>
      </c>
      <c r="K178" s="52" t="s">
        <v>37</v>
      </c>
      <c r="L178" s="52">
        <v>3007</v>
      </c>
      <c r="M178" s="52" t="s">
        <v>12</v>
      </c>
      <c r="N178" s="52" t="s">
        <v>14</v>
      </c>
      <c r="O178" s="52" t="s">
        <v>40</v>
      </c>
      <c r="P178" s="52" t="s">
        <v>40</v>
      </c>
      <c r="Q178" s="52" t="s">
        <v>732</v>
      </c>
      <c r="R178" s="57" t="s">
        <v>12</v>
      </c>
      <c r="S178" s="52" t="s">
        <v>14</v>
      </c>
      <c r="T178" s="52" t="s">
        <v>12</v>
      </c>
      <c r="U178" s="52" t="s">
        <v>14</v>
      </c>
    </row>
    <row r="179" spans="1:22" ht="17.25" customHeight="1" x14ac:dyDescent="0.35">
      <c r="A179" s="61">
        <v>12025</v>
      </c>
      <c r="B179" s="61" t="s">
        <v>1692</v>
      </c>
      <c r="C179" s="105" t="s">
        <v>1692</v>
      </c>
      <c r="D179" s="52" t="s">
        <v>1692</v>
      </c>
      <c r="E179" s="88">
        <v>3</v>
      </c>
      <c r="F179" s="52" t="s">
        <v>12</v>
      </c>
      <c r="G179" s="57" t="s">
        <v>321</v>
      </c>
      <c r="H179" s="52" t="s">
        <v>1426</v>
      </c>
      <c r="I179" s="52" t="s">
        <v>70</v>
      </c>
      <c r="J179" s="113" t="s">
        <v>35</v>
      </c>
      <c r="K179" s="52" t="s">
        <v>37</v>
      </c>
      <c r="L179" s="52">
        <v>3008</v>
      </c>
      <c r="M179" s="52" t="s">
        <v>12</v>
      </c>
      <c r="N179" s="52" t="s">
        <v>14</v>
      </c>
      <c r="O179" s="52" t="s">
        <v>40</v>
      </c>
      <c r="P179" s="52" t="s">
        <v>40</v>
      </c>
      <c r="Q179" s="52" t="s">
        <v>733</v>
      </c>
      <c r="R179" s="57" t="s">
        <v>12</v>
      </c>
      <c r="S179" s="52" t="s">
        <v>14</v>
      </c>
      <c r="T179" s="52" t="s">
        <v>12</v>
      </c>
      <c r="U179" s="52" t="s">
        <v>14</v>
      </c>
    </row>
    <row r="180" spans="1:22" ht="17.25" customHeight="1" x14ac:dyDescent="0.35">
      <c r="A180" s="61">
        <v>12026</v>
      </c>
      <c r="B180" s="61" t="s">
        <v>1693</v>
      </c>
      <c r="C180" s="105" t="s">
        <v>1693</v>
      </c>
      <c r="D180" s="52" t="s">
        <v>1693</v>
      </c>
      <c r="E180" s="88">
        <v>3</v>
      </c>
      <c r="F180" s="52" t="s">
        <v>12</v>
      </c>
      <c r="G180" s="57" t="s">
        <v>321</v>
      </c>
      <c r="H180" s="52" t="s">
        <v>1426</v>
      </c>
      <c r="I180" s="52" t="s">
        <v>70</v>
      </c>
      <c r="J180" s="113" t="s">
        <v>35</v>
      </c>
      <c r="K180" s="52" t="s">
        <v>37</v>
      </c>
      <c r="L180" s="52">
        <v>3008</v>
      </c>
      <c r="M180" s="52" t="s">
        <v>12</v>
      </c>
      <c r="N180" s="52" t="s">
        <v>14</v>
      </c>
      <c r="O180" s="52" t="s">
        <v>40</v>
      </c>
      <c r="P180" s="52" t="s">
        <v>40</v>
      </c>
      <c r="Q180" s="52" t="s">
        <v>733</v>
      </c>
      <c r="R180" s="57" t="s">
        <v>12</v>
      </c>
      <c r="S180" s="52" t="s">
        <v>14</v>
      </c>
      <c r="T180" s="52" t="s">
        <v>12</v>
      </c>
      <c r="U180" s="52" t="s">
        <v>14</v>
      </c>
    </row>
    <row r="181" spans="1:22" ht="17.25" customHeight="1" x14ac:dyDescent="0.35">
      <c r="A181" s="61">
        <v>12027</v>
      </c>
      <c r="B181" s="61" t="s">
        <v>1694</v>
      </c>
      <c r="C181" s="105" t="s">
        <v>1694</v>
      </c>
      <c r="D181" s="52" t="s">
        <v>1694</v>
      </c>
      <c r="E181" s="88">
        <v>3</v>
      </c>
      <c r="F181" s="52" t="s">
        <v>12</v>
      </c>
      <c r="G181" s="57" t="s">
        <v>321</v>
      </c>
      <c r="H181" s="52" t="s">
        <v>1426</v>
      </c>
      <c r="I181" s="52" t="s">
        <v>70</v>
      </c>
      <c r="J181" s="113" t="s">
        <v>35</v>
      </c>
      <c r="K181" s="52" t="s">
        <v>37</v>
      </c>
      <c r="L181" s="52">
        <v>3008</v>
      </c>
      <c r="M181" s="52" t="s">
        <v>12</v>
      </c>
      <c r="N181" s="52" t="s">
        <v>14</v>
      </c>
      <c r="O181" s="52" t="s">
        <v>40</v>
      </c>
      <c r="P181" s="52" t="s">
        <v>40</v>
      </c>
      <c r="Q181" s="52" t="s">
        <v>733</v>
      </c>
      <c r="R181" s="57" t="s">
        <v>12</v>
      </c>
      <c r="S181" s="52" t="s">
        <v>14</v>
      </c>
      <c r="T181" s="52" t="s">
        <v>12</v>
      </c>
      <c r="U181" s="52" t="s">
        <v>14</v>
      </c>
    </row>
    <row r="182" spans="1:22" ht="17.25" customHeight="1" x14ac:dyDescent="0.35">
      <c r="A182" s="61">
        <v>12028</v>
      </c>
      <c r="B182" s="61" t="s">
        <v>1695</v>
      </c>
      <c r="C182" s="105" t="s">
        <v>1695</v>
      </c>
      <c r="D182" s="52" t="s">
        <v>1695</v>
      </c>
      <c r="E182" s="88">
        <v>3</v>
      </c>
      <c r="F182" s="52" t="s">
        <v>12</v>
      </c>
      <c r="G182" s="57" t="s">
        <v>321</v>
      </c>
      <c r="H182" s="52" t="s">
        <v>1426</v>
      </c>
      <c r="I182" s="52" t="s">
        <v>70</v>
      </c>
      <c r="J182" s="113" t="s">
        <v>35</v>
      </c>
      <c r="K182" s="52" t="s">
        <v>37</v>
      </c>
      <c r="L182" s="52">
        <v>3008</v>
      </c>
      <c r="M182" s="52" t="s">
        <v>12</v>
      </c>
      <c r="N182" s="52" t="s">
        <v>14</v>
      </c>
      <c r="O182" s="52" t="s">
        <v>40</v>
      </c>
      <c r="P182" s="52" t="s">
        <v>40</v>
      </c>
      <c r="Q182" s="52" t="s">
        <v>733</v>
      </c>
      <c r="R182" s="57" t="s">
        <v>12</v>
      </c>
      <c r="S182" s="52" t="s">
        <v>14</v>
      </c>
      <c r="T182" s="52" t="s">
        <v>12</v>
      </c>
      <c r="U182" s="52" t="s">
        <v>14</v>
      </c>
    </row>
    <row r="183" spans="1:22" ht="17.25" customHeight="1" x14ac:dyDescent="0.35">
      <c r="A183" s="69">
        <v>12029</v>
      </c>
      <c r="B183" s="69" t="s">
        <v>701</v>
      </c>
      <c r="C183" s="107" t="s">
        <v>701</v>
      </c>
      <c r="D183" s="70" t="s">
        <v>701</v>
      </c>
      <c r="E183" s="92">
        <v>3</v>
      </c>
      <c r="F183" s="52" t="s">
        <v>12</v>
      </c>
      <c r="G183" s="57" t="s">
        <v>321</v>
      </c>
      <c r="H183" s="52" t="s">
        <v>1426</v>
      </c>
      <c r="I183" s="52" t="s">
        <v>70</v>
      </c>
      <c r="J183" s="115" t="s">
        <v>35</v>
      </c>
      <c r="K183" s="70" t="s">
        <v>37</v>
      </c>
      <c r="L183" s="70">
        <v>3005</v>
      </c>
      <c r="M183" s="70" t="s">
        <v>12</v>
      </c>
      <c r="N183" s="70" t="s">
        <v>14</v>
      </c>
      <c r="O183" s="70" t="s">
        <v>40</v>
      </c>
      <c r="P183" s="70" t="s">
        <v>40</v>
      </c>
      <c r="Q183" s="70" t="s">
        <v>734</v>
      </c>
      <c r="R183" s="57" t="s">
        <v>12</v>
      </c>
      <c r="S183" s="70" t="s">
        <v>14</v>
      </c>
      <c r="T183" s="70" t="s">
        <v>12</v>
      </c>
      <c r="U183" s="70" t="s">
        <v>14</v>
      </c>
    </row>
    <row r="184" spans="1:22" ht="17.25" customHeight="1" x14ac:dyDescent="0.35">
      <c r="A184" s="69">
        <v>12030</v>
      </c>
      <c r="B184" s="69" t="s">
        <v>705</v>
      </c>
      <c r="C184" s="107" t="s">
        <v>705</v>
      </c>
      <c r="D184" s="70" t="s">
        <v>705</v>
      </c>
      <c r="E184" s="92">
        <v>3</v>
      </c>
      <c r="F184" s="52" t="s">
        <v>12</v>
      </c>
      <c r="G184" s="57" t="s">
        <v>321</v>
      </c>
      <c r="H184" s="52" t="s">
        <v>1426</v>
      </c>
      <c r="I184" s="52" t="s">
        <v>70</v>
      </c>
      <c r="J184" s="115" t="s">
        <v>35</v>
      </c>
      <c r="K184" s="70" t="s">
        <v>37</v>
      </c>
      <c r="L184" s="70">
        <v>3005</v>
      </c>
      <c r="M184" s="70" t="s">
        <v>12</v>
      </c>
      <c r="N184" s="70" t="s">
        <v>14</v>
      </c>
      <c r="O184" s="70" t="s">
        <v>40</v>
      </c>
      <c r="P184" s="70" t="s">
        <v>40</v>
      </c>
      <c r="Q184" s="70" t="s">
        <v>734</v>
      </c>
      <c r="R184" s="57" t="s">
        <v>12</v>
      </c>
      <c r="S184" s="70" t="s">
        <v>14</v>
      </c>
      <c r="T184" s="70" t="s">
        <v>12</v>
      </c>
      <c r="U184" s="70" t="s">
        <v>14</v>
      </c>
    </row>
    <row r="185" spans="1:22" s="71" customFormat="1" ht="17.25" customHeight="1" x14ac:dyDescent="0.35">
      <c r="A185" s="69">
        <v>12031</v>
      </c>
      <c r="B185" s="69" t="s">
        <v>710</v>
      </c>
      <c r="C185" s="107" t="s">
        <v>710</v>
      </c>
      <c r="D185" s="70" t="s">
        <v>710</v>
      </c>
      <c r="E185" s="92">
        <v>3</v>
      </c>
      <c r="F185" s="52" t="s">
        <v>12</v>
      </c>
      <c r="G185" s="57" t="s">
        <v>321</v>
      </c>
      <c r="H185" s="52" t="s">
        <v>1426</v>
      </c>
      <c r="I185" s="52" t="s">
        <v>70</v>
      </c>
      <c r="J185" s="115" t="s">
        <v>35</v>
      </c>
      <c r="K185" s="70" t="s">
        <v>37</v>
      </c>
      <c r="L185" s="70">
        <v>3005</v>
      </c>
      <c r="M185" s="70" t="s">
        <v>12</v>
      </c>
      <c r="N185" s="70" t="s">
        <v>14</v>
      </c>
      <c r="O185" s="70" t="s">
        <v>40</v>
      </c>
      <c r="P185" s="70" t="s">
        <v>40</v>
      </c>
      <c r="Q185" s="70" t="s">
        <v>734</v>
      </c>
      <c r="R185" s="57" t="s">
        <v>12</v>
      </c>
      <c r="S185" s="70" t="s">
        <v>14</v>
      </c>
      <c r="T185" s="70" t="s">
        <v>12</v>
      </c>
      <c r="U185" s="70" t="s">
        <v>14</v>
      </c>
      <c r="V185" s="53"/>
    </row>
    <row r="186" spans="1:22" s="71" customFormat="1" ht="17.25" customHeight="1" x14ac:dyDescent="0.35">
      <c r="A186" s="69">
        <v>12032</v>
      </c>
      <c r="B186" s="69" t="s">
        <v>715</v>
      </c>
      <c r="C186" s="107" t="s">
        <v>715</v>
      </c>
      <c r="D186" s="70" t="s">
        <v>715</v>
      </c>
      <c r="E186" s="92">
        <v>3</v>
      </c>
      <c r="F186" s="52" t="s">
        <v>12</v>
      </c>
      <c r="G186" s="57" t="s">
        <v>321</v>
      </c>
      <c r="H186" s="52" t="s">
        <v>1426</v>
      </c>
      <c r="I186" s="52" t="s">
        <v>70</v>
      </c>
      <c r="J186" s="115" t="s">
        <v>35</v>
      </c>
      <c r="K186" s="70" t="s">
        <v>37</v>
      </c>
      <c r="L186" s="70">
        <v>3005</v>
      </c>
      <c r="M186" s="70" t="s">
        <v>12</v>
      </c>
      <c r="N186" s="70" t="s">
        <v>14</v>
      </c>
      <c r="O186" s="70" t="s">
        <v>40</v>
      </c>
      <c r="P186" s="70" t="s">
        <v>40</v>
      </c>
      <c r="Q186" s="70" t="s">
        <v>734</v>
      </c>
      <c r="R186" s="57" t="s">
        <v>12</v>
      </c>
      <c r="S186" s="70" t="s">
        <v>14</v>
      </c>
      <c r="T186" s="70" t="s">
        <v>12</v>
      </c>
      <c r="U186" s="70" t="s">
        <v>14</v>
      </c>
      <c r="V186" s="53"/>
    </row>
    <row r="187" spans="1:22" s="71" customFormat="1" ht="17.25" customHeight="1" x14ac:dyDescent="0.35">
      <c r="A187" s="69">
        <v>12033</v>
      </c>
      <c r="B187" s="69" t="s">
        <v>702</v>
      </c>
      <c r="C187" s="107" t="s">
        <v>702</v>
      </c>
      <c r="D187" s="70" t="s">
        <v>702</v>
      </c>
      <c r="E187" s="92">
        <v>3</v>
      </c>
      <c r="F187" s="52" t="s">
        <v>12</v>
      </c>
      <c r="G187" s="57" t="s">
        <v>321</v>
      </c>
      <c r="H187" s="52" t="s">
        <v>1426</v>
      </c>
      <c r="I187" s="52" t="s">
        <v>70</v>
      </c>
      <c r="J187" s="115" t="s">
        <v>35</v>
      </c>
      <c r="K187" s="70" t="s">
        <v>37</v>
      </c>
      <c r="L187" s="70">
        <v>3006</v>
      </c>
      <c r="M187" s="70" t="s">
        <v>12</v>
      </c>
      <c r="N187" s="70" t="s">
        <v>14</v>
      </c>
      <c r="O187" s="70" t="s">
        <v>40</v>
      </c>
      <c r="P187" s="70" t="s">
        <v>40</v>
      </c>
      <c r="Q187" s="70" t="s">
        <v>752</v>
      </c>
      <c r="R187" s="57" t="s">
        <v>12</v>
      </c>
      <c r="S187" s="70" t="s">
        <v>14</v>
      </c>
      <c r="T187" s="70" t="s">
        <v>12</v>
      </c>
      <c r="U187" s="70" t="s">
        <v>14</v>
      </c>
      <c r="V187" s="53"/>
    </row>
    <row r="188" spans="1:22" s="71" customFormat="1" ht="17.25" customHeight="1" x14ac:dyDescent="0.35">
      <c r="A188" s="69">
        <v>12034</v>
      </c>
      <c r="B188" s="69" t="s">
        <v>706</v>
      </c>
      <c r="C188" s="107" t="s">
        <v>706</v>
      </c>
      <c r="D188" s="70" t="s">
        <v>706</v>
      </c>
      <c r="E188" s="92">
        <v>3</v>
      </c>
      <c r="F188" s="52" t="s">
        <v>12</v>
      </c>
      <c r="G188" s="57" t="s">
        <v>321</v>
      </c>
      <c r="H188" s="52" t="s">
        <v>1426</v>
      </c>
      <c r="I188" s="52" t="s">
        <v>70</v>
      </c>
      <c r="J188" s="115" t="s">
        <v>35</v>
      </c>
      <c r="K188" s="70" t="s">
        <v>37</v>
      </c>
      <c r="L188" s="70">
        <v>3006</v>
      </c>
      <c r="M188" s="70" t="s">
        <v>12</v>
      </c>
      <c r="N188" s="70" t="s">
        <v>14</v>
      </c>
      <c r="O188" s="70" t="s">
        <v>40</v>
      </c>
      <c r="P188" s="70" t="s">
        <v>40</v>
      </c>
      <c r="Q188" s="70" t="s">
        <v>752</v>
      </c>
      <c r="R188" s="57" t="s">
        <v>12</v>
      </c>
      <c r="S188" s="70" t="s">
        <v>14</v>
      </c>
      <c r="T188" s="70" t="s">
        <v>12</v>
      </c>
      <c r="U188" s="70" t="s">
        <v>14</v>
      </c>
      <c r="V188" s="53"/>
    </row>
    <row r="189" spans="1:22" s="71" customFormat="1" ht="17.25" customHeight="1" x14ac:dyDescent="0.35">
      <c r="A189" s="69">
        <v>12035</v>
      </c>
      <c r="B189" s="69" t="s">
        <v>711</v>
      </c>
      <c r="C189" s="107" t="s">
        <v>711</v>
      </c>
      <c r="D189" s="70" t="s">
        <v>711</v>
      </c>
      <c r="E189" s="92">
        <v>3</v>
      </c>
      <c r="F189" s="52" t="s">
        <v>12</v>
      </c>
      <c r="G189" s="57" t="s">
        <v>321</v>
      </c>
      <c r="H189" s="52" t="s">
        <v>1426</v>
      </c>
      <c r="I189" s="52" t="s">
        <v>70</v>
      </c>
      <c r="J189" s="115" t="s">
        <v>35</v>
      </c>
      <c r="K189" s="70" t="s">
        <v>37</v>
      </c>
      <c r="L189" s="70">
        <v>3006</v>
      </c>
      <c r="M189" s="70" t="s">
        <v>12</v>
      </c>
      <c r="N189" s="70" t="s">
        <v>14</v>
      </c>
      <c r="O189" s="70" t="s">
        <v>40</v>
      </c>
      <c r="P189" s="70" t="s">
        <v>40</v>
      </c>
      <c r="Q189" s="70" t="s">
        <v>752</v>
      </c>
      <c r="R189" s="57" t="s">
        <v>12</v>
      </c>
      <c r="S189" s="70" t="s">
        <v>14</v>
      </c>
      <c r="T189" s="70" t="s">
        <v>12</v>
      </c>
      <c r="U189" s="70" t="s">
        <v>14</v>
      </c>
      <c r="V189" s="53"/>
    </row>
    <row r="190" spans="1:22" s="71" customFormat="1" ht="17.25" customHeight="1" x14ac:dyDescent="0.35">
      <c r="A190" s="69">
        <v>12036</v>
      </c>
      <c r="B190" s="69" t="s">
        <v>716</v>
      </c>
      <c r="C190" s="107" t="s">
        <v>716</v>
      </c>
      <c r="D190" s="70" t="s">
        <v>716</v>
      </c>
      <c r="E190" s="92">
        <v>3</v>
      </c>
      <c r="F190" s="52" t="s">
        <v>12</v>
      </c>
      <c r="G190" s="57" t="s">
        <v>321</v>
      </c>
      <c r="H190" s="52" t="s">
        <v>1426</v>
      </c>
      <c r="I190" s="52" t="s">
        <v>70</v>
      </c>
      <c r="J190" s="115" t="s">
        <v>35</v>
      </c>
      <c r="K190" s="70" t="s">
        <v>37</v>
      </c>
      <c r="L190" s="70">
        <v>3006</v>
      </c>
      <c r="M190" s="70" t="s">
        <v>12</v>
      </c>
      <c r="N190" s="70" t="s">
        <v>14</v>
      </c>
      <c r="O190" s="70" t="s">
        <v>40</v>
      </c>
      <c r="P190" s="70" t="s">
        <v>40</v>
      </c>
      <c r="Q190" s="70" t="s">
        <v>752</v>
      </c>
      <c r="R190" s="57" t="s">
        <v>12</v>
      </c>
      <c r="S190" s="70" t="s">
        <v>14</v>
      </c>
      <c r="T190" s="70" t="s">
        <v>12</v>
      </c>
      <c r="U190" s="70" t="s">
        <v>14</v>
      </c>
      <c r="V190" s="53"/>
    </row>
    <row r="191" spans="1:22" s="71" customFormat="1" ht="17.25" customHeight="1" x14ac:dyDescent="0.35">
      <c r="A191" s="65">
        <v>12037</v>
      </c>
      <c r="B191" s="65" t="s">
        <v>851</v>
      </c>
      <c r="C191" s="105" t="s">
        <v>851</v>
      </c>
      <c r="D191" s="52" t="s">
        <v>851</v>
      </c>
      <c r="E191" s="88">
        <v>3</v>
      </c>
      <c r="F191" s="52" t="s">
        <v>12</v>
      </c>
      <c r="G191" s="57" t="s">
        <v>321</v>
      </c>
      <c r="H191" s="52" t="s">
        <v>1427</v>
      </c>
      <c r="I191" s="52" t="s">
        <v>70</v>
      </c>
      <c r="J191" s="113" t="s">
        <v>30</v>
      </c>
      <c r="K191" s="52" t="s">
        <v>26</v>
      </c>
      <c r="L191" s="52">
        <v>3011</v>
      </c>
      <c r="M191" s="52" t="s">
        <v>12</v>
      </c>
      <c r="N191" s="52" t="s">
        <v>14</v>
      </c>
      <c r="O191" s="52" t="s">
        <v>31</v>
      </c>
      <c r="P191" s="52" t="s">
        <v>31</v>
      </c>
      <c r="Q191" s="52" t="s">
        <v>288</v>
      </c>
      <c r="R191" s="57" t="s">
        <v>12</v>
      </c>
      <c r="S191" s="52" t="s">
        <v>14</v>
      </c>
      <c r="T191" s="52" t="s">
        <v>12</v>
      </c>
      <c r="U191" s="52" t="s">
        <v>14</v>
      </c>
      <c r="V191" s="53"/>
    </row>
    <row r="192" spans="1:22" s="71" customFormat="1" ht="17.25" customHeight="1" x14ac:dyDescent="0.35">
      <c r="A192" s="65">
        <v>12038</v>
      </c>
      <c r="B192" s="65" t="s">
        <v>852</v>
      </c>
      <c r="C192" s="105" t="s">
        <v>852</v>
      </c>
      <c r="D192" s="52" t="s">
        <v>852</v>
      </c>
      <c r="E192" s="88">
        <v>3</v>
      </c>
      <c r="F192" s="52" t="s">
        <v>12</v>
      </c>
      <c r="G192" s="57" t="s">
        <v>321</v>
      </c>
      <c r="H192" s="52" t="s">
        <v>1427</v>
      </c>
      <c r="I192" s="52" t="s">
        <v>70</v>
      </c>
      <c r="J192" s="113" t="s">
        <v>30</v>
      </c>
      <c r="K192" s="52" t="s">
        <v>26</v>
      </c>
      <c r="L192" s="52">
        <v>3011</v>
      </c>
      <c r="M192" s="52" t="s">
        <v>12</v>
      </c>
      <c r="N192" s="52" t="s">
        <v>14</v>
      </c>
      <c r="O192" s="52" t="s">
        <v>31</v>
      </c>
      <c r="P192" s="52" t="s">
        <v>31</v>
      </c>
      <c r="Q192" s="52" t="s">
        <v>288</v>
      </c>
      <c r="R192" s="57" t="s">
        <v>12</v>
      </c>
      <c r="S192" s="52" t="s">
        <v>14</v>
      </c>
      <c r="T192" s="52" t="s">
        <v>12</v>
      </c>
      <c r="U192" s="52" t="s">
        <v>14</v>
      </c>
      <c r="V192" s="53"/>
    </row>
    <row r="193" spans="1:21" ht="17.25" customHeight="1" x14ac:dyDescent="0.35">
      <c r="A193" s="65">
        <v>12039</v>
      </c>
      <c r="B193" s="65" t="s">
        <v>853</v>
      </c>
      <c r="C193" s="105" t="s">
        <v>853</v>
      </c>
      <c r="D193" s="52" t="s">
        <v>853</v>
      </c>
      <c r="E193" s="88">
        <v>3</v>
      </c>
      <c r="F193" s="52" t="s">
        <v>12</v>
      </c>
      <c r="G193" s="57" t="s">
        <v>321</v>
      </c>
      <c r="H193" s="52" t="s">
        <v>1427</v>
      </c>
      <c r="I193" s="52" t="s">
        <v>70</v>
      </c>
      <c r="J193" s="113" t="s">
        <v>30</v>
      </c>
      <c r="K193" s="52" t="s">
        <v>26</v>
      </c>
      <c r="L193" s="52">
        <v>3011</v>
      </c>
      <c r="M193" s="52" t="s">
        <v>12</v>
      </c>
      <c r="N193" s="52" t="s">
        <v>14</v>
      </c>
      <c r="O193" s="52" t="s">
        <v>31</v>
      </c>
      <c r="P193" s="52" t="s">
        <v>31</v>
      </c>
      <c r="Q193" s="52" t="s">
        <v>288</v>
      </c>
      <c r="R193" s="57" t="s">
        <v>12</v>
      </c>
      <c r="S193" s="52" t="s">
        <v>14</v>
      </c>
      <c r="T193" s="52" t="s">
        <v>12</v>
      </c>
      <c r="U193" s="52" t="s">
        <v>14</v>
      </c>
    </row>
    <row r="194" spans="1:21" ht="17.25" customHeight="1" x14ac:dyDescent="0.35">
      <c r="A194" s="65">
        <v>12040</v>
      </c>
      <c r="B194" s="65" t="s">
        <v>854</v>
      </c>
      <c r="C194" s="105" t="s">
        <v>854</v>
      </c>
      <c r="D194" s="52" t="s">
        <v>854</v>
      </c>
      <c r="E194" s="88">
        <v>3</v>
      </c>
      <c r="F194" s="52" t="s">
        <v>12</v>
      </c>
      <c r="G194" s="57" t="s">
        <v>321</v>
      </c>
      <c r="H194" s="52" t="s">
        <v>1427</v>
      </c>
      <c r="I194" s="52" t="s">
        <v>70</v>
      </c>
      <c r="J194" s="113" t="s">
        <v>30</v>
      </c>
      <c r="K194" s="52" t="s">
        <v>26</v>
      </c>
      <c r="L194" s="52">
        <v>3011</v>
      </c>
      <c r="M194" s="52" t="s">
        <v>12</v>
      </c>
      <c r="N194" s="52" t="s">
        <v>14</v>
      </c>
      <c r="O194" s="52" t="s">
        <v>31</v>
      </c>
      <c r="P194" s="52" t="s">
        <v>31</v>
      </c>
      <c r="Q194" s="52" t="s">
        <v>288</v>
      </c>
      <c r="R194" s="57" t="s">
        <v>12</v>
      </c>
      <c r="S194" s="52" t="s">
        <v>14</v>
      </c>
      <c r="T194" s="52" t="s">
        <v>12</v>
      </c>
      <c r="U194" s="52" t="s">
        <v>14</v>
      </c>
    </row>
    <row r="195" spans="1:21" ht="17.25" customHeight="1" x14ac:dyDescent="0.35">
      <c r="A195" s="65">
        <v>12041</v>
      </c>
      <c r="B195" s="65" t="s">
        <v>855</v>
      </c>
      <c r="C195" s="105" t="s">
        <v>855</v>
      </c>
      <c r="D195" s="52" t="s">
        <v>855</v>
      </c>
      <c r="E195" s="88">
        <v>3</v>
      </c>
      <c r="F195" s="52" t="s">
        <v>12</v>
      </c>
      <c r="G195" s="57" t="s">
        <v>321</v>
      </c>
      <c r="H195" s="52" t="s">
        <v>1427</v>
      </c>
      <c r="I195" s="52" t="s">
        <v>70</v>
      </c>
      <c r="J195" s="113" t="s">
        <v>30</v>
      </c>
      <c r="K195" s="52" t="s">
        <v>26</v>
      </c>
      <c r="L195" s="52">
        <v>3011</v>
      </c>
      <c r="M195" s="52" t="s">
        <v>12</v>
      </c>
      <c r="N195" s="52" t="s">
        <v>14</v>
      </c>
      <c r="O195" s="52" t="s">
        <v>31</v>
      </c>
      <c r="P195" s="52" t="s">
        <v>31</v>
      </c>
      <c r="Q195" s="52" t="s">
        <v>288</v>
      </c>
      <c r="R195" s="57" t="s">
        <v>12</v>
      </c>
      <c r="S195" s="52" t="s">
        <v>14</v>
      </c>
      <c r="T195" s="52" t="s">
        <v>12</v>
      </c>
      <c r="U195" s="52" t="s">
        <v>14</v>
      </c>
    </row>
    <row r="196" spans="1:21" ht="17.25" customHeight="1" x14ac:dyDescent="0.35">
      <c r="A196" s="65">
        <v>12042</v>
      </c>
      <c r="B196" s="65" t="s">
        <v>1700</v>
      </c>
      <c r="C196" s="105" t="s">
        <v>1700</v>
      </c>
      <c r="D196" s="52" t="s">
        <v>1700</v>
      </c>
      <c r="E196" s="88">
        <v>3</v>
      </c>
      <c r="F196" s="52" t="s">
        <v>12</v>
      </c>
      <c r="G196" s="57" t="s">
        <v>321</v>
      </c>
      <c r="H196" s="52" t="s">
        <v>1427</v>
      </c>
      <c r="I196" s="52" t="s">
        <v>70</v>
      </c>
      <c r="J196" s="113" t="s">
        <v>30</v>
      </c>
      <c r="K196" s="52" t="s">
        <v>26</v>
      </c>
      <c r="L196" s="52">
        <v>3012</v>
      </c>
      <c r="M196" s="52" t="s">
        <v>12</v>
      </c>
      <c r="N196" s="52" t="s">
        <v>14</v>
      </c>
      <c r="O196" s="52" t="s">
        <v>31</v>
      </c>
      <c r="P196" s="52" t="s">
        <v>31</v>
      </c>
      <c r="Q196" s="52" t="s">
        <v>289</v>
      </c>
      <c r="R196" s="57" t="s">
        <v>12</v>
      </c>
      <c r="S196" s="52" t="s">
        <v>14</v>
      </c>
      <c r="T196" s="52" t="s">
        <v>12</v>
      </c>
      <c r="U196" s="52" t="s">
        <v>14</v>
      </c>
    </row>
    <row r="197" spans="1:21" ht="17.25" customHeight="1" x14ac:dyDescent="0.35">
      <c r="A197" s="65">
        <v>12043</v>
      </c>
      <c r="B197" s="65" t="s">
        <v>1701</v>
      </c>
      <c r="C197" s="105" t="s">
        <v>1701</v>
      </c>
      <c r="D197" s="52" t="s">
        <v>1701</v>
      </c>
      <c r="E197" s="88">
        <v>3</v>
      </c>
      <c r="F197" s="52" t="s">
        <v>12</v>
      </c>
      <c r="G197" s="57" t="s">
        <v>321</v>
      </c>
      <c r="H197" s="52" t="s">
        <v>1427</v>
      </c>
      <c r="I197" s="52" t="s">
        <v>70</v>
      </c>
      <c r="J197" s="113" t="s">
        <v>30</v>
      </c>
      <c r="K197" s="52" t="s">
        <v>26</v>
      </c>
      <c r="L197" s="52">
        <v>3012</v>
      </c>
      <c r="M197" s="52" t="s">
        <v>12</v>
      </c>
      <c r="N197" s="52" t="s">
        <v>14</v>
      </c>
      <c r="O197" s="52" t="s">
        <v>31</v>
      </c>
      <c r="P197" s="52" t="s">
        <v>31</v>
      </c>
      <c r="Q197" s="52" t="s">
        <v>289</v>
      </c>
      <c r="R197" s="57" t="s">
        <v>12</v>
      </c>
      <c r="S197" s="52" t="s">
        <v>14</v>
      </c>
      <c r="T197" s="52" t="s">
        <v>12</v>
      </c>
      <c r="U197" s="52" t="s">
        <v>14</v>
      </c>
    </row>
    <row r="198" spans="1:21" ht="17.25" customHeight="1" x14ac:dyDescent="0.35">
      <c r="A198" s="65">
        <v>12044</v>
      </c>
      <c r="B198" s="65" t="s">
        <v>1702</v>
      </c>
      <c r="C198" s="105" t="s">
        <v>1702</v>
      </c>
      <c r="D198" s="52" t="s">
        <v>1702</v>
      </c>
      <c r="E198" s="88">
        <v>3</v>
      </c>
      <c r="F198" s="52" t="s">
        <v>12</v>
      </c>
      <c r="G198" s="57" t="s">
        <v>321</v>
      </c>
      <c r="H198" s="52" t="s">
        <v>1427</v>
      </c>
      <c r="I198" s="52" t="s">
        <v>70</v>
      </c>
      <c r="J198" s="113" t="s">
        <v>30</v>
      </c>
      <c r="K198" s="52" t="s">
        <v>26</v>
      </c>
      <c r="L198" s="52">
        <v>3012</v>
      </c>
      <c r="M198" s="52" t="s">
        <v>12</v>
      </c>
      <c r="N198" s="52" t="s">
        <v>14</v>
      </c>
      <c r="O198" s="52" t="s">
        <v>31</v>
      </c>
      <c r="P198" s="52" t="s">
        <v>31</v>
      </c>
      <c r="Q198" s="52" t="s">
        <v>289</v>
      </c>
      <c r="R198" s="57" t="s">
        <v>12</v>
      </c>
      <c r="S198" s="52" t="s">
        <v>14</v>
      </c>
      <c r="T198" s="52" t="s">
        <v>12</v>
      </c>
      <c r="U198" s="52" t="s">
        <v>14</v>
      </c>
    </row>
    <row r="199" spans="1:21" ht="17.25" customHeight="1" x14ac:dyDescent="0.35">
      <c r="A199" s="65">
        <v>12045</v>
      </c>
      <c r="B199" s="65" t="s">
        <v>1703</v>
      </c>
      <c r="C199" s="105" t="s">
        <v>1703</v>
      </c>
      <c r="D199" s="52" t="s">
        <v>1703</v>
      </c>
      <c r="E199" s="88">
        <v>3</v>
      </c>
      <c r="F199" s="52" t="s">
        <v>12</v>
      </c>
      <c r="G199" s="57" t="s">
        <v>321</v>
      </c>
      <c r="H199" s="52" t="s">
        <v>1427</v>
      </c>
      <c r="I199" s="52" t="s">
        <v>70</v>
      </c>
      <c r="J199" s="113" t="s">
        <v>30</v>
      </c>
      <c r="K199" s="52" t="s">
        <v>26</v>
      </c>
      <c r="L199" s="52">
        <v>3012</v>
      </c>
      <c r="M199" s="52" t="s">
        <v>12</v>
      </c>
      <c r="N199" s="52" t="s">
        <v>14</v>
      </c>
      <c r="O199" s="52" t="s">
        <v>31</v>
      </c>
      <c r="P199" s="52" t="s">
        <v>31</v>
      </c>
      <c r="Q199" s="52" t="s">
        <v>289</v>
      </c>
      <c r="R199" s="57" t="s">
        <v>12</v>
      </c>
      <c r="S199" s="52" t="s">
        <v>14</v>
      </c>
      <c r="T199" s="52" t="s">
        <v>12</v>
      </c>
      <c r="U199" s="52" t="s">
        <v>14</v>
      </c>
    </row>
    <row r="200" spans="1:21" ht="17.25" customHeight="1" x14ac:dyDescent="0.35">
      <c r="A200" s="65">
        <v>12046</v>
      </c>
      <c r="B200" s="65" t="s">
        <v>1704</v>
      </c>
      <c r="C200" s="105" t="s">
        <v>1704</v>
      </c>
      <c r="D200" s="52" t="s">
        <v>1704</v>
      </c>
      <c r="E200" s="88">
        <v>3</v>
      </c>
      <c r="F200" s="52" t="s">
        <v>12</v>
      </c>
      <c r="G200" s="57" t="s">
        <v>321</v>
      </c>
      <c r="H200" s="52" t="s">
        <v>1427</v>
      </c>
      <c r="I200" s="52" t="s">
        <v>70</v>
      </c>
      <c r="J200" s="113" t="s">
        <v>30</v>
      </c>
      <c r="K200" s="52" t="s">
        <v>26</v>
      </c>
      <c r="L200" s="52">
        <v>3012</v>
      </c>
      <c r="M200" s="52" t="s">
        <v>12</v>
      </c>
      <c r="N200" s="52" t="s">
        <v>14</v>
      </c>
      <c r="O200" s="52" t="s">
        <v>31</v>
      </c>
      <c r="P200" s="52" t="s">
        <v>31</v>
      </c>
      <c r="Q200" s="52" t="s">
        <v>289</v>
      </c>
      <c r="R200" s="57" t="s">
        <v>12</v>
      </c>
      <c r="S200" s="52" t="s">
        <v>14</v>
      </c>
      <c r="T200" s="52" t="s">
        <v>12</v>
      </c>
      <c r="U200" s="52" t="s">
        <v>14</v>
      </c>
    </row>
    <row r="201" spans="1:21" ht="17.25" customHeight="1" x14ac:dyDescent="0.35">
      <c r="A201" s="65">
        <v>12047</v>
      </c>
      <c r="B201" s="65" t="s">
        <v>1710</v>
      </c>
      <c r="C201" s="105" t="s">
        <v>1710</v>
      </c>
      <c r="D201" s="52" t="s">
        <v>1710</v>
      </c>
      <c r="E201" s="88">
        <v>3</v>
      </c>
      <c r="F201" s="52" t="s">
        <v>12</v>
      </c>
      <c r="G201" s="57" t="s">
        <v>321</v>
      </c>
      <c r="H201" s="52" t="s">
        <v>1427</v>
      </c>
      <c r="I201" s="52" t="s">
        <v>70</v>
      </c>
      <c r="J201" s="113" t="s">
        <v>35</v>
      </c>
      <c r="K201" s="52" t="s">
        <v>38</v>
      </c>
      <c r="L201" s="52">
        <v>3013</v>
      </c>
      <c r="M201" s="52" t="s">
        <v>12</v>
      </c>
      <c r="N201" s="52" t="s">
        <v>14</v>
      </c>
      <c r="O201" s="52" t="s">
        <v>40</v>
      </c>
      <c r="P201" s="52" t="s">
        <v>40</v>
      </c>
      <c r="Q201" s="52" t="s">
        <v>735</v>
      </c>
      <c r="R201" s="57" t="s">
        <v>12</v>
      </c>
      <c r="S201" s="52" t="s">
        <v>14</v>
      </c>
      <c r="T201" s="52" t="s">
        <v>12</v>
      </c>
      <c r="U201" s="52" t="s">
        <v>14</v>
      </c>
    </row>
    <row r="202" spans="1:21" ht="17.25" customHeight="1" x14ac:dyDescent="0.35">
      <c r="A202" s="65">
        <v>12048</v>
      </c>
      <c r="B202" s="65" t="s">
        <v>1711</v>
      </c>
      <c r="C202" s="105" t="s">
        <v>1711</v>
      </c>
      <c r="D202" s="52" t="s">
        <v>1711</v>
      </c>
      <c r="E202" s="88">
        <v>3</v>
      </c>
      <c r="F202" s="52" t="s">
        <v>12</v>
      </c>
      <c r="G202" s="57" t="s">
        <v>321</v>
      </c>
      <c r="H202" s="52" t="s">
        <v>1427</v>
      </c>
      <c r="I202" s="52" t="s">
        <v>70</v>
      </c>
      <c r="J202" s="113" t="s">
        <v>35</v>
      </c>
      <c r="K202" s="52" t="s">
        <v>38</v>
      </c>
      <c r="L202" s="52">
        <v>3013</v>
      </c>
      <c r="M202" s="52" t="s">
        <v>12</v>
      </c>
      <c r="N202" s="52" t="s">
        <v>14</v>
      </c>
      <c r="O202" s="52" t="s">
        <v>40</v>
      </c>
      <c r="P202" s="52" t="s">
        <v>40</v>
      </c>
      <c r="Q202" s="52" t="s">
        <v>735</v>
      </c>
      <c r="R202" s="57" t="s">
        <v>12</v>
      </c>
      <c r="S202" s="52" t="s">
        <v>14</v>
      </c>
      <c r="T202" s="52" t="s">
        <v>12</v>
      </c>
      <c r="U202" s="52" t="s">
        <v>14</v>
      </c>
    </row>
    <row r="203" spans="1:21" ht="17.25" customHeight="1" x14ac:dyDescent="0.35">
      <c r="A203" s="65">
        <v>12049</v>
      </c>
      <c r="B203" s="65" t="s">
        <v>1712</v>
      </c>
      <c r="C203" s="105" t="s">
        <v>1712</v>
      </c>
      <c r="D203" s="52" t="s">
        <v>1712</v>
      </c>
      <c r="E203" s="88">
        <v>3</v>
      </c>
      <c r="F203" s="52" t="s">
        <v>12</v>
      </c>
      <c r="G203" s="57" t="s">
        <v>321</v>
      </c>
      <c r="H203" s="52" t="s">
        <v>1427</v>
      </c>
      <c r="I203" s="52" t="s">
        <v>70</v>
      </c>
      <c r="J203" s="113" t="s">
        <v>35</v>
      </c>
      <c r="K203" s="52" t="s">
        <v>38</v>
      </c>
      <c r="L203" s="52">
        <v>3013</v>
      </c>
      <c r="M203" s="52" t="s">
        <v>12</v>
      </c>
      <c r="N203" s="52" t="s">
        <v>14</v>
      </c>
      <c r="O203" s="52" t="s">
        <v>40</v>
      </c>
      <c r="P203" s="52" t="s">
        <v>40</v>
      </c>
      <c r="Q203" s="52" t="s">
        <v>735</v>
      </c>
      <c r="R203" s="57" t="s">
        <v>12</v>
      </c>
      <c r="S203" s="52" t="s">
        <v>14</v>
      </c>
      <c r="T203" s="52" t="s">
        <v>12</v>
      </c>
      <c r="U203" s="52" t="s">
        <v>14</v>
      </c>
    </row>
    <row r="204" spans="1:21" ht="17.25" customHeight="1" x14ac:dyDescent="0.35">
      <c r="A204" s="65">
        <v>12050</v>
      </c>
      <c r="B204" s="65" t="s">
        <v>1713</v>
      </c>
      <c r="C204" s="105" t="s">
        <v>1713</v>
      </c>
      <c r="D204" s="52" t="s">
        <v>1713</v>
      </c>
      <c r="E204" s="88">
        <v>3</v>
      </c>
      <c r="F204" s="52" t="s">
        <v>12</v>
      </c>
      <c r="G204" s="57" t="s">
        <v>321</v>
      </c>
      <c r="H204" s="52" t="s">
        <v>1427</v>
      </c>
      <c r="I204" s="52" t="s">
        <v>70</v>
      </c>
      <c r="J204" s="113" t="s">
        <v>35</v>
      </c>
      <c r="K204" s="52" t="s">
        <v>38</v>
      </c>
      <c r="L204" s="52">
        <v>3013</v>
      </c>
      <c r="M204" s="52" t="s">
        <v>12</v>
      </c>
      <c r="N204" s="52" t="s">
        <v>14</v>
      </c>
      <c r="O204" s="52" t="s">
        <v>40</v>
      </c>
      <c r="P204" s="52" t="s">
        <v>40</v>
      </c>
      <c r="Q204" s="52" t="s">
        <v>735</v>
      </c>
      <c r="R204" s="57" t="s">
        <v>12</v>
      </c>
      <c r="S204" s="52" t="s">
        <v>14</v>
      </c>
      <c r="T204" s="52" t="s">
        <v>12</v>
      </c>
      <c r="U204" s="52" t="s">
        <v>14</v>
      </c>
    </row>
    <row r="205" spans="1:21" ht="17.25" customHeight="1" x14ac:dyDescent="0.35">
      <c r="A205" s="65">
        <v>12051</v>
      </c>
      <c r="B205" s="65" t="s">
        <v>1714</v>
      </c>
      <c r="C205" s="105" t="s">
        <v>1714</v>
      </c>
      <c r="D205" s="52" t="s">
        <v>1714</v>
      </c>
      <c r="E205" s="88">
        <v>3</v>
      </c>
      <c r="F205" s="52" t="s">
        <v>12</v>
      </c>
      <c r="G205" s="57" t="s">
        <v>321</v>
      </c>
      <c r="H205" s="52" t="s">
        <v>1427</v>
      </c>
      <c r="I205" s="52" t="s">
        <v>70</v>
      </c>
      <c r="J205" s="113" t="s">
        <v>35</v>
      </c>
      <c r="K205" s="52" t="s">
        <v>38</v>
      </c>
      <c r="L205" s="52">
        <v>3013</v>
      </c>
      <c r="M205" s="52" t="s">
        <v>12</v>
      </c>
      <c r="N205" s="52" t="s">
        <v>14</v>
      </c>
      <c r="O205" s="52" t="s">
        <v>40</v>
      </c>
      <c r="P205" s="52" t="s">
        <v>40</v>
      </c>
      <c r="Q205" s="52" t="s">
        <v>735</v>
      </c>
      <c r="R205" s="57" t="s">
        <v>12</v>
      </c>
      <c r="S205" s="52" t="s">
        <v>14</v>
      </c>
      <c r="T205" s="52" t="s">
        <v>12</v>
      </c>
      <c r="U205" s="52" t="s">
        <v>14</v>
      </c>
    </row>
    <row r="206" spans="1:21" ht="17.25" customHeight="1" x14ac:dyDescent="0.35">
      <c r="A206" s="65">
        <v>12052</v>
      </c>
      <c r="B206" s="65" t="s">
        <v>1705</v>
      </c>
      <c r="C206" s="105" t="s">
        <v>1705</v>
      </c>
      <c r="D206" s="52" t="s">
        <v>1705</v>
      </c>
      <c r="E206" s="88">
        <v>3</v>
      </c>
      <c r="F206" s="52" t="s">
        <v>12</v>
      </c>
      <c r="G206" s="57" t="s">
        <v>321</v>
      </c>
      <c r="H206" s="52" t="s">
        <v>1427</v>
      </c>
      <c r="I206" s="52" t="s">
        <v>70</v>
      </c>
      <c r="J206" s="113" t="s">
        <v>35</v>
      </c>
      <c r="K206" s="52" t="s">
        <v>38</v>
      </c>
      <c r="L206" s="52">
        <v>3014</v>
      </c>
      <c r="M206" s="52" t="s">
        <v>12</v>
      </c>
      <c r="N206" s="52" t="s">
        <v>14</v>
      </c>
      <c r="O206" s="52" t="s">
        <v>40</v>
      </c>
      <c r="P206" s="52" t="s">
        <v>40</v>
      </c>
      <c r="Q206" s="52" t="s">
        <v>736</v>
      </c>
      <c r="R206" s="57" t="s">
        <v>12</v>
      </c>
      <c r="S206" s="52" t="s">
        <v>14</v>
      </c>
      <c r="T206" s="52" t="s">
        <v>12</v>
      </c>
      <c r="U206" s="52" t="s">
        <v>14</v>
      </c>
    </row>
    <row r="207" spans="1:21" ht="17.25" customHeight="1" x14ac:dyDescent="0.35">
      <c r="A207" s="65">
        <v>12053</v>
      </c>
      <c r="B207" s="65" t="s">
        <v>1706</v>
      </c>
      <c r="C207" s="105" t="s">
        <v>1706</v>
      </c>
      <c r="D207" s="52" t="s">
        <v>1706</v>
      </c>
      <c r="E207" s="88">
        <v>3</v>
      </c>
      <c r="F207" s="52" t="s">
        <v>12</v>
      </c>
      <c r="G207" s="57" t="s">
        <v>321</v>
      </c>
      <c r="H207" s="52" t="s">
        <v>1427</v>
      </c>
      <c r="I207" s="52" t="s">
        <v>70</v>
      </c>
      <c r="J207" s="113" t="s">
        <v>35</v>
      </c>
      <c r="K207" s="52" t="s">
        <v>38</v>
      </c>
      <c r="L207" s="52">
        <v>3014</v>
      </c>
      <c r="M207" s="52" t="s">
        <v>12</v>
      </c>
      <c r="N207" s="52" t="s">
        <v>14</v>
      </c>
      <c r="O207" s="52" t="s">
        <v>40</v>
      </c>
      <c r="P207" s="52" t="s">
        <v>40</v>
      </c>
      <c r="Q207" s="52" t="s">
        <v>736</v>
      </c>
      <c r="R207" s="57" t="s">
        <v>12</v>
      </c>
      <c r="S207" s="52" t="s">
        <v>14</v>
      </c>
      <c r="T207" s="52" t="s">
        <v>12</v>
      </c>
      <c r="U207" s="52" t="s">
        <v>14</v>
      </c>
    </row>
    <row r="208" spans="1:21" ht="17.25" customHeight="1" x14ac:dyDescent="0.35">
      <c r="A208" s="65">
        <v>12054</v>
      </c>
      <c r="B208" s="65" t="s">
        <v>1707</v>
      </c>
      <c r="C208" s="105" t="s">
        <v>1707</v>
      </c>
      <c r="D208" s="52" t="s">
        <v>1707</v>
      </c>
      <c r="E208" s="88">
        <v>3</v>
      </c>
      <c r="F208" s="52" t="s">
        <v>12</v>
      </c>
      <c r="G208" s="57" t="s">
        <v>321</v>
      </c>
      <c r="H208" s="52" t="s">
        <v>1427</v>
      </c>
      <c r="I208" s="52" t="s">
        <v>70</v>
      </c>
      <c r="J208" s="113" t="s">
        <v>35</v>
      </c>
      <c r="K208" s="52" t="s">
        <v>38</v>
      </c>
      <c r="L208" s="52">
        <v>3014</v>
      </c>
      <c r="M208" s="52" t="s">
        <v>12</v>
      </c>
      <c r="N208" s="52" t="s">
        <v>14</v>
      </c>
      <c r="O208" s="52" t="s">
        <v>40</v>
      </c>
      <c r="P208" s="52" t="s">
        <v>40</v>
      </c>
      <c r="Q208" s="52" t="s">
        <v>736</v>
      </c>
      <c r="R208" s="57" t="s">
        <v>12</v>
      </c>
      <c r="S208" s="52" t="s">
        <v>14</v>
      </c>
      <c r="T208" s="52" t="s">
        <v>12</v>
      </c>
      <c r="U208" s="52" t="s">
        <v>14</v>
      </c>
    </row>
    <row r="209" spans="1:22" ht="17.25" customHeight="1" x14ac:dyDescent="0.35">
      <c r="A209" s="65">
        <v>12055</v>
      </c>
      <c r="B209" s="65" t="s">
        <v>1708</v>
      </c>
      <c r="C209" s="105" t="s">
        <v>1708</v>
      </c>
      <c r="D209" s="52" t="s">
        <v>1708</v>
      </c>
      <c r="E209" s="88">
        <v>3</v>
      </c>
      <c r="F209" s="52" t="s">
        <v>12</v>
      </c>
      <c r="G209" s="57" t="s">
        <v>321</v>
      </c>
      <c r="H209" s="52" t="s">
        <v>1427</v>
      </c>
      <c r="I209" s="52" t="s">
        <v>70</v>
      </c>
      <c r="J209" s="113" t="s">
        <v>35</v>
      </c>
      <c r="K209" s="52" t="s">
        <v>38</v>
      </c>
      <c r="L209" s="52">
        <v>3014</v>
      </c>
      <c r="M209" s="52" t="s">
        <v>12</v>
      </c>
      <c r="N209" s="52" t="s">
        <v>14</v>
      </c>
      <c r="O209" s="52" t="s">
        <v>40</v>
      </c>
      <c r="P209" s="52" t="s">
        <v>40</v>
      </c>
      <c r="Q209" s="52" t="s">
        <v>736</v>
      </c>
      <c r="R209" s="57" t="s">
        <v>12</v>
      </c>
      <c r="S209" s="52" t="s">
        <v>14</v>
      </c>
      <c r="T209" s="52" t="s">
        <v>12</v>
      </c>
      <c r="U209" s="52" t="s">
        <v>14</v>
      </c>
    </row>
    <row r="210" spans="1:22" ht="17.25" customHeight="1" x14ac:dyDescent="0.35">
      <c r="A210" s="65">
        <v>12056</v>
      </c>
      <c r="B210" s="65" t="s">
        <v>1709</v>
      </c>
      <c r="C210" s="105" t="s">
        <v>1709</v>
      </c>
      <c r="D210" s="52" t="s">
        <v>1709</v>
      </c>
      <c r="E210" s="88">
        <v>3</v>
      </c>
      <c r="F210" s="52" t="s">
        <v>12</v>
      </c>
      <c r="G210" s="57" t="s">
        <v>321</v>
      </c>
      <c r="H210" s="52" t="s">
        <v>1427</v>
      </c>
      <c r="I210" s="52" t="s">
        <v>70</v>
      </c>
      <c r="J210" s="113" t="s">
        <v>35</v>
      </c>
      <c r="K210" s="52" t="s">
        <v>38</v>
      </c>
      <c r="L210" s="52">
        <v>3014</v>
      </c>
      <c r="M210" s="52" t="s">
        <v>12</v>
      </c>
      <c r="N210" s="52" t="s">
        <v>14</v>
      </c>
      <c r="O210" s="52" t="s">
        <v>40</v>
      </c>
      <c r="P210" s="52" t="s">
        <v>40</v>
      </c>
      <c r="Q210" s="52" t="s">
        <v>736</v>
      </c>
      <c r="R210" s="57" t="s">
        <v>12</v>
      </c>
      <c r="S210" s="52" t="s">
        <v>14</v>
      </c>
      <c r="T210" s="52" t="s">
        <v>12</v>
      </c>
      <c r="U210" s="52" t="s">
        <v>14</v>
      </c>
    </row>
    <row r="211" spans="1:22" ht="17.25" customHeight="1" x14ac:dyDescent="0.35">
      <c r="A211" s="72">
        <v>12057</v>
      </c>
      <c r="B211" s="72" t="s">
        <v>703</v>
      </c>
      <c r="C211" s="107" t="s">
        <v>703</v>
      </c>
      <c r="D211" s="70" t="s">
        <v>703</v>
      </c>
      <c r="E211" s="92">
        <v>3</v>
      </c>
      <c r="F211" s="52" t="s">
        <v>12</v>
      </c>
      <c r="G211" s="57" t="s">
        <v>321</v>
      </c>
      <c r="H211" s="52" t="s">
        <v>1427</v>
      </c>
      <c r="I211" s="52" t="s">
        <v>70</v>
      </c>
      <c r="J211" s="115" t="s">
        <v>35</v>
      </c>
      <c r="K211" s="70" t="s">
        <v>26</v>
      </c>
      <c r="L211" s="70">
        <v>3011</v>
      </c>
      <c r="M211" s="70" t="s">
        <v>12</v>
      </c>
      <c r="N211" s="70" t="s">
        <v>14</v>
      </c>
      <c r="O211" s="70" t="s">
        <v>40</v>
      </c>
      <c r="P211" s="70" t="s">
        <v>40</v>
      </c>
      <c r="Q211" s="70" t="s">
        <v>750</v>
      </c>
      <c r="R211" s="57" t="s">
        <v>12</v>
      </c>
      <c r="S211" s="70" t="s">
        <v>14</v>
      </c>
      <c r="T211" s="70" t="s">
        <v>12</v>
      </c>
      <c r="U211" s="70" t="s">
        <v>14</v>
      </c>
    </row>
    <row r="212" spans="1:22" ht="17.25" customHeight="1" x14ac:dyDescent="0.35">
      <c r="A212" s="72">
        <v>12058</v>
      </c>
      <c r="B212" s="72" t="s">
        <v>707</v>
      </c>
      <c r="C212" s="107" t="s">
        <v>707</v>
      </c>
      <c r="D212" s="70" t="s">
        <v>707</v>
      </c>
      <c r="E212" s="92">
        <v>3</v>
      </c>
      <c r="F212" s="52" t="s">
        <v>12</v>
      </c>
      <c r="G212" s="57" t="s">
        <v>321</v>
      </c>
      <c r="H212" s="52" t="s">
        <v>1427</v>
      </c>
      <c r="I212" s="52" t="s">
        <v>70</v>
      </c>
      <c r="J212" s="115" t="s">
        <v>35</v>
      </c>
      <c r="K212" s="70" t="s">
        <v>26</v>
      </c>
      <c r="L212" s="70">
        <v>3011</v>
      </c>
      <c r="M212" s="70" t="s">
        <v>12</v>
      </c>
      <c r="N212" s="70" t="s">
        <v>14</v>
      </c>
      <c r="O212" s="70" t="s">
        <v>40</v>
      </c>
      <c r="P212" s="70" t="s">
        <v>40</v>
      </c>
      <c r="Q212" s="70" t="s">
        <v>750</v>
      </c>
      <c r="R212" s="57" t="s">
        <v>12</v>
      </c>
      <c r="S212" s="70" t="s">
        <v>14</v>
      </c>
      <c r="T212" s="70" t="s">
        <v>12</v>
      </c>
      <c r="U212" s="70" t="s">
        <v>14</v>
      </c>
    </row>
    <row r="213" spans="1:22" s="71" customFormat="1" ht="17.25" customHeight="1" x14ac:dyDescent="0.35">
      <c r="A213" s="72">
        <v>12059</v>
      </c>
      <c r="B213" s="72" t="s">
        <v>712</v>
      </c>
      <c r="C213" s="107" t="s">
        <v>712</v>
      </c>
      <c r="D213" s="70" t="s">
        <v>712</v>
      </c>
      <c r="E213" s="92">
        <v>3</v>
      </c>
      <c r="F213" s="52" t="s">
        <v>12</v>
      </c>
      <c r="G213" s="57" t="s">
        <v>321</v>
      </c>
      <c r="H213" s="52" t="s">
        <v>1427</v>
      </c>
      <c r="I213" s="52" t="s">
        <v>70</v>
      </c>
      <c r="J213" s="115" t="s">
        <v>35</v>
      </c>
      <c r="K213" s="70" t="s">
        <v>26</v>
      </c>
      <c r="L213" s="70">
        <v>3011</v>
      </c>
      <c r="M213" s="70" t="s">
        <v>12</v>
      </c>
      <c r="N213" s="70" t="s">
        <v>14</v>
      </c>
      <c r="O213" s="70" t="s">
        <v>40</v>
      </c>
      <c r="P213" s="70" t="s">
        <v>40</v>
      </c>
      <c r="Q213" s="70" t="s">
        <v>750</v>
      </c>
      <c r="R213" s="57" t="s">
        <v>12</v>
      </c>
      <c r="S213" s="70" t="s">
        <v>14</v>
      </c>
      <c r="T213" s="70" t="s">
        <v>12</v>
      </c>
      <c r="U213" s="70" t="s">
        <v>14</v>
      </c>
      <c r="V213" s="53"/>
    </row>
    <row r="214" spans="1:22" s="71" customFormat="1" ht="17.25" customHeight="1" x14ac:dyDescent="0.35">
      <c r="A214" s="72">
        <v>12060</v>
      </c>
      <c r="B214" s="72" t="s">
        <v>717</v>
      </c>
      <c r="C214" s="107" t="s">
        <v>717</v>
      </c>
      <c r="D214" s="70" t="s">
        <v>717</v>
      </c>
      <c r="E214" s="92">
        <v>3</v>
      </c>
      <c r="F214" s="52" t="s">
        <v>12</v>
      </c>
      <c r="G214" s="57" t="s">
        <v>321</v>
      </c>
      <c r="H214" s="52" t="s">
        <v>1427</v>
      </c>
      <c r="I214" s="52" t="s">
        <v>70</v>
      </c>
      <c r="J214" s="115" t="s">
        <v>35</v>
      </c>
      <c r="K214" s="70" t="s">
        <v>26</v>
      </c>
      <c r="L214" s="70">
        <v>3011</v>
      </c>
      <c r="M214" s="70" t="s">
        <v>12</v>
      </c>
      <c r="N214" s="70" t="s">
        <v>14</v>
      </c>
      <c r="O214" s="70" t="s">
        <v>40</v>
      </c>
      <c r="P214" s="70" t="s">
        <v>40</v>
      </c>
      <c r="Q214" s="70" t="s">
        <v>750</v>
      </c>
      <c r="R214" s="57" t="s">
        <v>12</v>
      </c>
      <c r="S214" s="70" t="s">
        <v>14</v>
      </c>
      <c r="T214" s="70" t="s">
        <v>12</v>
      </c>
      <c r="U214" s="70" t="s">
        <v>14</v>
      </c>
      <c r="V214" s="53"/>
    </row>
    <row r="215" spans="1:22" s="71" customFormat="1" ht="17.25" customHeight="1" x14ac:dyDescent="0.35">
      <c r="A215" s="72">
        <v>12061</v>
      </c>
      <c r="B215" s="72" t="s">
        <v>720</v>
      </c>
      <c r="C215" s="107" t="s">
        <v>720</v>
      </c>
      <c r="D215" s="70" t="s">
        <v>720</v>
      </c>
      <c r="E215" s="92">
        <v>3</v>
      </c>
      <c r="F215" s="52" t="s">
        <v>12</v>
      </c>
      <c r="G215" s="57" t="s">
        <v>321</v>
      </c>
      <c r="H215" s="52" t="s">
        <v>1427</v>
      </c>
      <c r="I215" s="52" t="s">
        <v>70</v>
      </c>
      <c r="J215" s="115" t="s">
        <v>35</v>
      </c>
      <c r="K215" s="70" t="s">
        <v>26</v>
      </c>
      <c r="L215" s="70">
        <v>3011</v>
      </c>
      <c r="M215" s="70" t="s">
        <v>12</v>
      </c>
      <c r="N215" s="70" t="s">
        <v>14</v>
      </c>
      <c r="O215" s="70" t="s">
        <v>40</v>
      </c>
      <c r="P215" s="70" t="s">
        <v>40</v>
      </c>
      <c r="Q215" s="70" t="s">
        <v>750</v>
      </c>
      <c r="R215" s="57" t="s">
        <v>12</v>
      </c>
      <c r="S215" s="70" t="s">
        <v>14</v>
      </c>
      <c r="T215" s="70" t="s">
        <v>12</v>
      </c>
      <c r="U215" s="70" t="s">
        <v>14</v>
      </c>
      <c r="V215" s="53"/>
    </row>
    <row r="216" spans="1:22" s="71" customFormat="1" ht="17.25" customHeight="1" x14ac:dyDescent="0.35">
      <c r="A216" s="72">
        <v>12062</v>
      </c>
      <c r="B216" s="72" t="s">
        <v>704</v>
      </c>
      <c r="C216" s="107" t="s">
        <v>704</v>
      </c>
      <c r="D216" s="70" t="s">
        <v>704</v>
      </c>
      <c r="E216" s="92">
        <v>3</v>
      </c>
      <c r="F216" s="52" t="s">
        <v>12</v>
      </c>
      <c r="G216" s="57" t="s">
        <v>321</v>
      </c>
      <c r="H216" s="52" t="s">
        <v>1427</v>
      </c>
      <c r="I216" s="52" t="s">
        <v>70</v>
      </c>
      <c r="J216" s="115" t="s">
        <v>35</v>
      </c>
      <c r="K216" s="70" t="s">
        <v>26</v>
      </c>
      <c r="L216" s="70">
        <v>3012</v>
      </c>
      <c r="M216" s="70" t="s">
        <v>12</v>
      </c>
      <c r="N216" s="70" t="s">
        <v>14</v>
      </c>
      <c r="O216" s="70" t="s">
        <v>40</v>
      </c>
      <c r="P216" s="70" t="s">
        <v>40</v>
      </c>
      <c r="Q216" s="70" t="s">
        <v>751</v>
      </c>
      <c r="R216" s="57" t="s">
        <v>12</v>
      </c>
      <c r="S216" s="70" t="s">
        <v>14</v>
      </c>
      <c r="T216" s="70" t="s">
        <v>12</v>
      </c>
      <c r="U216" s="70" t="s">
        <v>14</v>
      </c>
      <c r="V216" s="53"/>
    </row>
    <row r="217" spans="1:22" s="71" customFormat="1" ht="17.25" customHeight="1" x14ac:dyDescent="0.35">
      <c r="A217" s="72">
        <v>12063</v>
      </c>
      <c r="B217" s="72" t="s">
        <v>708</v>
      </c>
      <c r="C217" s="107" t="s">
        <v>708</v>
      </c>
      <c r="D217" s="70" t="s">
        <v>708</v>
      </c>
      <c r="E217" s="92">
        <v>3</v>
      </c>
      <c r="F217" s="52" t="s">
        <v>12</v>
      </c>
      <c r="G217" s="57" t="s">
        <v>321</v>
      </c>
      <c r="H217" s="52" t="s">
        <v>1427</v>
      </c>
      <c r="I217" s="52" t="s">
        <v>70</v>
      </c>
      <c r="J217" s="115" t="s">
        <v>35</v>
      </c>
      <c r="K217" s="70" t="s">
        <v>26</v>
      </c>
      <c r="L217" s="70">
        <v>3012</v>
      </c>
      <c r="M217" s="70" t="s">
        <v>12</v>
      </c>
      <c r="N217" s="70" t="s">
        <v>14</v>
      </c>
      <c r="O217" s="70" t="s">
        <v>40</v>
      </c>
      <c r="P217" s="70" t="s">
        <v>40</v>
      </c>
      <c r="Q217" s="70" t="s">
        <v>751</v>
      </c>
      <c r="R217" s="57" t="s">
        <v>12</v>
      </c>
      <c r="S217" s="70" t="s">
        <v>14</v>
      </c>
      <c r="T217" s="70" t="s">
        <v>12</v>
      </c>
      <c r="U217" s="70" t="s">
        <v>14</v>
      </c>
      <c r="V217" s="53"/>
    </row>
    <row r="218" spans="1:22" s="71" customFormat="1" ht="17.25" customHeight="1" x14ac:dyDescent="0.35">
      <c r="A218" s="72">
        <v>12064</v>
      </c>
      <c r="B218" s="72" t="s">
        <v>713</v>
      </c>
      <c r="C218" s="107" t="s">
        <v>713</v>
      </c>
      <c r="D218" s="70" t="s">
        <v>713</v>
      </c>
      <c r="E218" s="92">
        <v>3</v>
      </c>
      <c r="F218" s="52" t="s">
        <v>12</v>
      </c>
      <c r="G218" s="57" t="s">
        <v>321</v>
      </c>
      <c r="H218" s="52" t="s">
        <v>1427</v>
      </c>
      <c r="I218" s="52" t="s">
        <v>70</v>
      </c>
      <c r="J218" s="115" t="s">
        <v>35</v>
      </c>
      <c r="K218" s="70" t="s">
        <v>26</v>
      </c>
      <c r="L218" s="70">
        <v>3012</v>
      </c>
      <c r="M218" s="70" t="s">
        <v>12</v>
      </c>
      <c r="N218" s="70" t="s">
        <v>14</v>
      </c>
      <c r="O218" s="70" t="s">
        <v>40</v>
      </c>
      <c r="P218" s="70" t="s">
        <v>40</v>
      </c>
      <c r="Q218" s="70" t="s">
        <v>751</v>
      </c>
      <c r="R218" s="57" t="s">
        <v>12</v>
      </c>
      <c r="S218" s="70" t="s">
        <v>14</v>
      </c>
      <c r="T218" s="70" t="s">
        <v>12</v>
      </c>
      <c r="U218" s="70" t="s">
        <v>14</v>
      </c>
      <c r="V218" s="53"/>
    </row>
    <row r="219" spans="1:22" s="71" customFormat="1" ht="17.25" customHeight="1" x14ac:dyDescent="0.35">
      <c r="A219" s="72">
        <v>12065</v>
      </c>
      <c r="B219" s="72" t="s">
        <v>718</v>
      </c>
      <c r="C219" s="107" t="s">
        <v>718</v>
      </c>
      <c r="D219" s="70" t="s">
        <v>718</v>
      </c>
      <c r="E219" s="92">
        <v>3</v>
      </c>
      <c r="F219" s="52" t="s">
        <v>12</v>
      </c>
      <c r="G219" s="57" t="s">
        <v>321</v>
      </c>
      <c r="H219" s="52" t="s">
        <v>1427</v>
      </c>
      <c r="I219" s="52" t="s">
        <v>70</v>
      </c>
      <c r="J219" s="115" t="s">
        <v>35</v>
      </c>
      <c r="K219" s="70" t="s">
        <v>26</v>
      </c>
      <c r="L219" s="70">
        <v>3012</v>
      </c>
      <c r="M219" s="70" t="s">
        <v>12</v>
      </c>
      <c r="N219" s="70" t="s">
        <v>14</v>
      </c>
      <c r="O219" s="70" t="s">
        <v>40</v>
      </c>
      <c r="P219" s="70" t="s">
        <v>40</v>
      </c>
      <c r="Q219" s="70" t="s">
        <v>751</v>
      </c>
      <c r="R219" s="57" t="s">
        <v>12</v>
      </c>
      <c r="S219" s="70" t="s">
        <v>14</v>
      </c>
      <c r="T219" s="70" t="s">
        <v>12</v>
      </c>
      <c r="U219" s="70" t="s">
        <v>14</v>
      </c>
      <c r="V219" s="53"/>
    </row>
    <row r="220" spans="1:22" s="71" customFormat="1" ht="17.25" customHeight="1" x14ac:dyDescent="0.35">
      <c r="A220" s="72">
        <v>12066</v>
      </c>
      <c r="B220" s="72" t="s">
        <v>721</v>
      </c>
      <c r="C220" s="107" t="s">
        <v>721</v>
      </c>
      <c r="D220" s="70" t="s">
        <v>721</v>
      </c>
      <c r="E220" s="92">
        <v>3</v>
      </c>
      <c r="F220" s="52" t="s">
        <v>12</v>
      </c>
      <c r="G220" s="57" t="s">
        <v>321</v>
      </c>
      <c r="H220" s="52" t="s">
        <v>1427</v>
      </c>
      <c r="I220" s="52" t="s">
        <v>70</v>
      </c>
      <c r="J220" s="115" t="s">
        <v>35</v>
      </c>
      <c r="K220" s="70" t="s">
        <v>26</v>
      </c>
      <c r="L220" s="70">
        <v>3012</v>
      </c>
      <c r="M220" s="70" t="s">
        <v>12</v>
      </c>
      <c r="N220" s="70" t="s">
        <v>14</v>
      </c>
      <c r="O220" s="70" t="s">
        <v>40</v>
      </c>
      <c r="P220" s="70" t="s">
        <v>40</v>
      </c>
      <c r="Q220" s="70" t="s">
        <v>751</v>
      </c>
      <c r="R220" s="57" t="s">
        <v>12</v>
      </c>
      <c r="S220" s="70" t="s">
        <v>14</v>
      </c>
      <c r="T220" s="70" t="s">
        <v>12</v>
      </c>
      <c r="U220" s="70" t="s">
        <v>14</v>
      </c>
      <c r="V220" s="53"/>
    </row>
    <row r="221" spans="1:22" s="71" customFormat="1" ht="17.25" customHeight="1" x14ac:dyDescent="0.35">
      <c r="A221" s="60">
        <v>12067</v>
      </c>
      <c r="B221" s="60" t="s">
        <v>1593</v>
      </c>
      <c r="C221" s="105" t="s">
        <v>1593</v>
      </c>
      <c r="D221" s="52" t="s">
        <v>1593</v>
      </c>
      <c r="E221" s="88">
        <v>3</v>
      </c>
      <c r="F221" s="52" t="s">
        <v>12</v>
      </c>
      <c r="G221" s="57" t="s">
        <v>321</v>
      </c>
      <c r="H221" s="52" t="s">
        <v>1426</v>
      </c>
      <c r="I221" s="52" t="s">
        <v>70</v>
      </c>
      <c r="J221" s="113" t="s">
        <v>30</v>
      </c>
      <c r="K221" s="52" t="s">
        <v>36</v>
      </c>
      <c r="L221" s="52">
        <v>4501</v>
      </c>
      <c r="M221" s="52" t="s">
        <v>12</v>
      </c>
      <c r="N221" s="52" t="s">
        <v>14</v>
      </c>
      <c r="O221" s="52" t="s">
        <v>31</v>
      </c>
      <c r="P221" s="52" t="s">
        <v>31</v>
      </c>
      <c r="Q221" s="52" t="s">
        <v>301</v>
      </c>
      <c r="R221" s="57" t="s">
        <v>12</v>
      </c>
      <c r="S221" s="52" t="s">
        <v>14</v>
      </c>
      <c r="T221" s="52" t="s">
        <v>12</v>
      </c>
      <c r="U221" s="52" t="s">
        <v>14</v>
      </c>
      <c r="V221" s="53"/>
    </row>
    <row r="222" spans="1:22" s="71" customFormat="1" ht="17.25" customHeight="1" x14ac:dyDescent="0.35">
      <c r="A222" s="60">
        <v>12068</v>
      </c>
      <c r="B222" s="60" t="s">
        <v>1594</v>
      </c>
      <c r="C222" s="105" t="s">
        <v>1594</v>
      </c>
      <c r="D222" s="52" t="s">
        <v>1594</v>
      </c>
      <c r="E222" s="88">
        <v>3</v>
      </c>
      <c r="F222" s="52" t="s">
        <v>12</v>
      </c>
      <c r="G222" s="57" t="s">
        <v>321</v>
      </c>
      <c r="H222" s="52" t="s">
        <v>1426</v>
      </c>
      <c r="I222" s="52" t="s">
        <v>70</v>
      </c>
      <c r="J222" s="113" t="s">
        <v>30</v>
      </c>
      <c r="K222" s="52" t="s">
        <v>36</v>
      </c>
      <c r="L222" s="52">
        <v>4501</v>
      </c>
      <c r="M222" s="52" t="s">
        <v>12</v>
      </c>
      <c r="N222" s="52" t="s">
        <v>14</v>
      </c>
      <c r="O222" s="52" t="s">
        <v>31</v>
      </c>
      <c r="P222" s="52" t="s">
        <v>31</v>
      </c>
      <c r="Q222" s="52" t="s">
        <v>301</v>
      </c>
      <c r="R222" s="57" t="s">
        <v>12</v>
      </c>
      <c r="S222" s="52" t="s">
        <v>14</v>
      </c>
      <c r="T222" s="52" t="s">
        <v>12</v>
      </c>
      <c r="U222" s="52" t="s">
        <v>14</v>
      </c>
      <c r="V222" s="53"/>
    </row>
    <row r="223" spans="1:22" ht="17.25" customHeight="1" x14ac:dyDescent="0.35">
      <c r="A223" s="60">
        <v>12069</v>
      </c>
      <c r="B223" s="60" t="s">
        <v>1595</v>
      </c>
      <c r="C223" s="105" t="s">
        <v>1595</v>
      </c>
      <c r="D223" s="52" t="s">
        <v>1595</v>
      </c>
      <c r="E223" s="88">
        <v>3</v>
      </c>
      <c r="F223" s="52" t="s">
        <v>12</v>
      </c>
      <c r="G223" s="57" t="s">
        <v>321</v>
      </c>
      <c r="H223" s="52" t="s">
        <v>1426</v>
      </c>
      <c r="I223" s="52" t="s">
        <v>70</v>
      </c>
      <c r="J223" s="113" t="s">
        <v>30</v>
      </c>
      <c r="K223" s="52" t="s">
        <v>36</v>
      </c>
      <c r="L223" s="52">
        <v>4501</v>
      </c>
      <c r="M223" s="52" t="s">
        <v>12</v>
      </c>
      <c r="N223" s="52" t="s">
        <v>14</v>
      </c>
      <c r="O223" s="52" t="s">
        <v>31</v>
      </c>
      <c r="P223" s="52" t="s">
        <v>31</v>
      </c>
      <c r="Q223" s="52" t="s">
        <v>301</v>
      </c>
      <c r="R223" s="57" t="s">
        <v>12</v>
      </c>
      <c r="S223" s="52" t="s">
        <v>14</v>
      </c>
      <c r="T223" s="52" t="s">
        <v>12</v>
      </c>
      <c r="U223" s="52" t="s">
        <v>14</v>
      </c>
    </row>
    <row r="224" spans="1:22" ht="17.25" customHeight="1" x14ac:dyDescent="0.35">
      <c r="A224" s="61">
        <v>12070</v>
      </c>
      <c r="B224" s="61" t="s">
        <v>1596</v>
      </c>
      <c r="C224" s="105" t="s">
        <v>1596</v>
      </c>
      <c r="D224" s="52" t="s">
        <v>1596</v>
      </c>
      <c r="E224" s="88">
        <v>3</v>
      </c>
      <c r="F224" s="52" t="s">
        <v>12</v>
      </c>
      <c r="G224" s="57" t="s">
        <v>321</v>
      </c>
      <c r="H224" s="52" t="s">
        <v>1426</v>
      </c>
      <c r="I224" s="52" t="s">
        <v>70</v>
      </c>
      <c r="J224" s="113" t="s">
        <v>30</v>
      </c>
      <c r="K224" s="52" t="s">
        <v>173</v>
      </c>
      <c r="L224" s="52">
        <v>4502</v>
      </c>
      <c r="M224" s="52" t="s">
        <v>12</v>
      </c>
      <c r="N224" s="52" t="s">
        <v>14</v>
      </c>
      <c r="O224" s="52" t="s">
        <v>31</v>
      </c>
      <c r="P224" s="52" t="s">
        <v>31</v>
      </c>
      <c r="Q224" s="52" t="s">
        <v>300</v>
      </c>
      <c r="R224" s="57" t="s">
        <v>12</v>
      </c>
      <c r="S224" s="52" t="s">
        <v>14</v>
      </c>
      <c r="T224" s="52" t="s">
        <v>12</v>
      </c>
      <c r="U224" s="52" t="s">
        <v>14</v>
      </c>
    </row>
    <row r="225" spans="1:21" ht="17.25" customHeight="1" x14ac:dyDescent="0.35">
      <c r="A225" s="61">
        <v>12071</v>
      </c>
      <c r="B225" s="61" t="s">
        <v>1597</v>
      </c>
      <c r="C225" s="105" t="s">
        <v>1597</v>
      </c>
      <c r="D225" s="52" t="s">
        <v>1597</v>
      </c>
      <c r="E225" s="88">
        <v>3</v>
      </c>
      <c r="F225" s="52" t="s">
        <v>12</v>
      </c>
      <c r="G225" s="57" t="s">
        <v>321</v>
      </c>
      <c r="H225" s="52" t="s">
        <v>1426</v>
      </c>
      <c r="I225" s="52" t="s">
        <v>70</v>
      </c>
      <c r="J225" s="113" t="s">
        <v>30</v>
      </c>
      <c r="K225" s="52" t="s">
        <v>173</v>
      </c>
      <c r="L225" s="52">
        <v>4502</v>
      </c>
      <c r="M225" s="52" t="s">
        <v>12</v>
      </c>
      <c r="N225" s="52" t="s">
        <v>14</v>
      </c>
      <c r="O225" s="52" t="s">
        <v>31</v>
      </c>
      <c r="P225" s="52" t="s">
        <v>31</v>
      </c>
      <c r="Q225" s="52" t="s">
        <v>300</v>
      </c>
      <c r="R225" s="57" t="s">
        <v>12</v>
      </c>
      <c r="S225" s="52" t="s">
        <v>14</v>
      </c>
      <c r="T225" s="52" t="s">
        <v>12</v>
      </c>
      <c r="U225" s="52" t="s">
        <v>14</v>
      </c>
    </row>
    <row r="226" spans="1:21" ht="17.25" customHeight="1" x14ac:dyDescent="0.35">
      <c r="A226" s="61">
        <v>12072</v>
      </c>
      <c r="B226" s="61" t="s">
        <v>1598</v>
      </c>
      <c r="C226" s="105" t="s">
        <v>1598</v>
      </c>
      <c r="D226" s="52" t="s">
        <v>1598</v>
      </c>
      <c r="E226" s="88">
        <v>3</v>
      </c>
      <c r="F226" s="52" t="s">
        <v>12</v>
      </c>
      <c r="G226" s="57" t="s">
        <v>321</v>
      </c>
      <c r="H226" s="52" t="s">
        <v>1426</v>
      </c>
      <c r="I226" s="52" t="s">
        <v>70</v>
      </c>
      <c r="J226" s="113" t="s">
        <v>30</v>
      </c>
      <c r="K226" s="52" t="s">
        <v>173</v>
      </c>
      <c r="L226" s="52">
        <v>4502</v>
      </c>
      <c r="M226" s="52" t="s">
        <v>12</v>
      </c>
      <c r="N226" s="52" t="s">
        <v>14</v>
      </c>
      <c r="O226" s="52" t="s">
        <v>31</v>
      </c>
      <c r="P226" s="52" t="s">
        <v>31</v>
      </c>
      <c r="Q226" s="52" t="s">
        <v>300</v>
      </c>
      <c r="R226" s="57" t="s">
        <v>12</v>
      </c>
      <c r="S226" s="52" t="s">
        <v>14</v>
      </c>
      <c r="T226" s="52" t="s">
        <v>12</v>
      </c>
      <c r="U226" s="52" t="s">
        <v>14</v>
      </c>
    </row>
    <row r="227" spans="1:21" ht="17.25" customHeight="1" x14ac:dyDescent="0.35">
      <c r="A227" s="61">
        <v>12073</v>
      </c>
      <c r="B227" s="61" t="s">
        <v>1599</v>
      </c>
      <c r="C227" s="105" t="s">
        <v>1599</v>
      </c>
      <c r="D227" s="52" t="s">
        <v>1599</v>
      </c>
      <c r="E227" s="88">
        <v>3</v>
      </c>
      <c r="F227" s="52" t="s">
        <v>12</v>
      </c>
      <c r="G227" s="57" t="s">
        <v>321</v>
      </c>
      <c r="H227" s="52" t="s">
        <v>1426</v>
      </c>
      <c r="I227" s="52" t="s">
        <v>70</v>
      </c>
      <c r="J227" s="113" t="s">
        <v>30</v>
      </c>
      <c r="K227" s="52" t="s">
        <v>173</v>
      </c>
      <c r="L227" s="52">
        <v>4502</v>
      </c>
      <c r="M227" s="52" t="s">
        <v>12</v>
      </c>
      <c r="N227" s="52" t="s">
        <v>14</v>
      </c>
      <c r="O227" s="52" t="s">
        <v>31</v>
      </c>
      <c r="P227" s="52" t="s">
        <v>31</v>
      </c>
      <c r="Q227" s="52" t="s">
        <v>300</v>
      </c>
      <c r="R227" s="57" t="s">
        <v>12</v>
      </c>
      <c r="S227" s="52" t="s">
        <v>14</v>
      </c>
      <c r="T227" s="52" t="s">
        <v>12</v>
      </c>
      <c r="U227" s="52" t="s">
        <v>14</v>
      </c>
    </row>
    <row r="228" spans="1:21" ht="17.25" customHeight="1" x14ac:dyDescent="0.35">
      <c r="A228" s="65">
        <v>12074</v>
      </c>
      <c r="B228" s="65" t="s">
        <v>1600</v>
      </c>
      <c r="C228" s="105" t="s">
        <v>1600</v>
      </c>
      <c r="D228" s="52" t="s">
        <v>1600</v>
      </c>
      <c r="E228" s="88">
        <v>3</v>
      </c>
      <c r="F228" s="52" t="s">
        <v>12</v>
      </c>
      <c r="G228" s="57" t="s">
        <v>321</v>
      </c>
      <c r="H228" s="52" t="s">
        <v>1426</v>
      </c>
      <c r="I228" s="52" t="s">
        <v>70</v>
      </c>
      <c r="J228" s="113" t="s">
        <v>30</v>
      </c>
      <c r="K228" s="52" t="s">
        <v>172</v>
      </c>
      <c r="L228" s="52">
        <v>4503</v>
      </c>
      <c r="M228" s="52" t="s">
        <v>12</v>
      </c>
      <c r="N228" s="52" t="s">
        <v>14</v>
      </c>
      <c r="O228" s="52" t="s">
        <v>31</v>
      </c>
      <c r="P228" s="52" t="s">
        <v>31</v>
      </c>
      <c r="Q228" s="52" t="s">
        <v>302</v>
      </c>
      <c r="R228" s="57" t="s">
        <v>12</v>
      </c>
      <c r="S228" s="52" t="s">
        <v>14</v>
      </c>
      <c r="T228" s="52" t="s">
        <v>12</v>
      </c>
      <c r="U228" s="52" t="s">
        <v>14</v>
      </c>
    </row>
    <row r="229" spans="1:21" ht="17.25" customHeight="1" x14ac:dyDescent="0.35">
      <c r="A229" s="65">
        <v>12075</v>
      </c>
      <c r="B229" s="65" t="s">
        <v>1601</v>
      </c>
      <c r="C229" s="105" t="s">
        <v>1601</v>
      </c>
      <c r="D229" s="52" t="s">
        <v>1601</v>
      </c>
      <c r="E229" s="88">
        <v>3</v>
      </c>
      <c r="F229" s="52" t="s">
        <v>12</v>
      </c>
      <c r="G229" s="57" t="s">
        <v>321</v>
      </c>
      <c r="H229" s="52" t="s">
        <v>1426</v>
      </c>
      <c r="I229" s="52" t="s">
        <v>70</v>
      </c>
      <c r="J229" s="113" t="s">
        <v>30</v>
      </c>
      <c r="K229" s="52" t="s">
        <v>172</v>
      </c>
      <c r="L229" s="52">
        <v>4503</v>
      </c>
      <c r="M229" s="52" t="s">
        <v>12</v>
      </c>
      <c r="N229" s="52" t="s">
        <v>14</v>
      </c>
      <c r="O229" s="52" t="s">
        <v>31</v>
      </c>
      <c r="P229" s="52" t="s">
        <v>31</v>
      </c>
      <c r="Q229" s="52" t="s">
        <v>302</v>
      </c>
      <c r="R229" s="57" t="s">
        <v>12</v>
      </c>
      <c r="S229" s="52" t="s">
        <v>14</v>
      </c>
      <c r="T229" s="52" t="s">
        <v>12</v>
      </c>
      <c r="U229" s="52" t="s">
        <v>14</v>
      </c>
    </row>
    <row r="230" spans="1:21" ht="17.25" customHeight="1" x14ac:dyDescent="0.35">
      <c r="A230" s="65">
        <v>12076</v>
      </c>
      <c r="B230" s="65" t="s">
        <v>1602</v>
      </c>
      <c r="C230" s="105" t="s">
        <v>1602</v>
      </c>
      <c r="D230" s="52" t="s">
        <v>1602</v>
      </c>
      <c r="E230" s="88">
        <v>3</v>
      </c>
      <c r="F230" s="52" t="s">
        <v>12</v>
      </c>
      <c r="G230" s="57" t="s">
        <v>321</v>
      </c>
      <c r="H230" s="52" t="s">
        <v>1426</v>
      </c>
      <c r="I230" s="52" t="s">
        <v>70</v>
      </c>
      <c r="J230" s="113" t="s">
        <v>30</v>
      </c>
      <c r="K230" s="52" t="s">
        <v>172</v>
      </c>
      <c r="L230" s="52">
        <v>4503</v>
      </c>
      <c r="M230" s="52" t="s">
        <v>12</v>
      </c>
      <c r="N230" s="52" t="s">
        <v>14</v>
      </c>
      <c r="O230" s="52" t="s">
        <v>31</v>
      </c>
      <c r="P230" s="52" t="s">
        <v>31</v>
      </c>
      <c r="Q230" s="52" t="s">
        <v>302</v>
      </c>
      <c r="R230" s="57" t="s">
        <v>12</v>
      </c>
      <c r="S230" s="52" t="s">
        <v>14</v>
      </c>
      <c r="T230" s="52" t="s">
        <v>12</v>
      </c>
      <c r="U230" s="52" t="s">
        <v>14</v>
      </c>
    </row>
    <row r="231" spans="1:21" ht="17.25" customHeight="1" x14ac:dyDescent="0.35">
      <c r="A231" s="65">
        <v>12077</v>
      </c>
      <c r="B231" s="65" t="s">
        <v>1603</v>
      </c>
      <c r="C231" s="105" t="s">
        <v>1603</v>
      </c>
      <c r="D231" s="52" t="s">
        <v>1603</v>
      </c>
      <c r="E231" s="88">
        <v>3</v>
      </c>
      <c r="F231" s="52" t="s">
        <v>12</v>
      </c>
      <c r="G231" s="57" t="s">
        <v>321</v>
      </c>
      <c r="H231" s="52" t="s">
        <v>1426</v>
      </c>
      <c r="I231" s="52" t="s">
        <v>70</v>
      </c>
      <c r="J231" s="113" t="s">
        <v>30</v>
      </c>
      <c r="K231" s="52" t="s">
        <v>172</v>
      </c>
      <c r="L231" s="52">
        <v>4503</v>
      </c>
      <c r="M231" s="52" t="s">
        <v>12</v>
      </c>
      <c r="N231" s="52" t="s">
        <v>14</v>
      </c>
      <c r="O231" s="52" t="s">
        <v>31</v>
      </c>
      <c r="P231" s="52" t="s">
        <v>31</v>
      </c>
      <c r="Q231" s="52" t="s">
        <v>302</v>
      </c>
      <c r="R231" s="57" t="s">
        <v>12</v>
      </c>
      <c r="S231" s="52" t="s">
        <v>14</v>
      </c>
      <c r="T231" s="52" t="s">
        <v>12</v>
      </c>
      <c r="U231" s="52" t="s">
        <v>14</v>
      </c>
    </row>
    <row r="232" spans="1:21" ht="17.25" customHeight="1" x14ac:dyDescent="0.35">
      <c r="A232" s="65">
        <v>12078</v>
      </c>
      <c r="B232" s="65" t="s">
        <v>1604</v>
      </c>
      <c r="C232" s="105" t="s">
        <v>1604</v>
      </c>
      <c r="D232" s="52" t="s">
        <v>1604</v>
      </c>
      <c r="E232" s="88">
        <v>3</v>
      </c>
      <c r="F232" s="52" t="s">
        <v>12</v>
      </c>
      <c r="G232" s="57" t="s">
        <v>321</v>
      </c>
      <c r="H232" s="52" t="s">
        <v>1426</v>
      </c>
      <c r="I232" s="52" t="s">
        <v>70</v>
      </c>
      <c r="J232" s="113" t="s">
        <v>30</v>
      </c>
      <c r="K232" s="52" t="s">
        <v>172</v>
      </c>
      <c r="L232" s="52">
        <v>4503</v>
      </c>
      <c r="M232" s="52" t="s">
        <v>12</v>
      </c>
      <c r="N232" s="52" t="s">
        <v>14</v>
      </c>
      <c r="O232" s="52" t="s">
        <v>31</v>
      </c>
      <c r="P232" s="52" t="s">
        <v>31</v>
      </c>
      <c r="Q232" s="52" t="s">
        <v>302</v>
      </c>
      <c r="R232" s="57" t="s">
        <v>12</v>
      </c>
      <c r="S232" s="52" t="s">
        <v>14</v>
      </c>
      <c r="T232" s="52" t="s">
        <v>12</v>
      </c>
      <c r="U232" s="52" t="s">
        <v>14</v>
      </c>
    </row>
    <row r="233" spans="1:21" ht="17.25" customHeight="1" x14ac:dyDescent="0.35">
      <c r="A233" s="73">
        <v>12079</v>
      </c>
      <c r="B233" s="73" t="s">
        <v>1605</v>
      </c>
      <c r="C233" s="105" t="s">
        <v>1605</v>
      </c>
      <c r="D233" s="52" t="s">
        <v>1605</v>
      </c>
      <c r="E233" s="88">
        <v>3</v>
      </c>
      <c r="F233" s="52" t="s">
        <v>12</v>
      </c>
      <c r="G233" s="57" t="s">
        <v>321</v>
      </c>
      <c r="H233" s="52" t="s">
        <v>1426</v>
      </c>
      <c r="I233" s="52" t="s">
        <v>70</v>
      </c>
      <c r="J233" s="113" t="s">
        <v>35</v>
      </c>
      <c r="K233" s="52">
        <v>6</v>
      </c>
      <c r="L233" s="52">
        <v>4503</v>
      </c>
      <c r="M233" s="52" t="s">
        <v>12</v>
      </c>
      <c r="N233" s="52" t="s">
        <v>40</v>
      </c>
      <c r="O233" s="52" t="s">
        <v>40</v>
      </c>
      <c r="P233" s="52" t="s">
        <v>40</v>
      </c>
      <c r="Q233" s="52" t="s">
        <v>469</v>
      </c>
      <c r="R233" s="57" t="s">
        <v>153</v>
      </c>
      <c r="S233" s="52" t="s">
        <v>40</v>
      </c>
      <c r="T233" s="52" t="s">
        <v>153</v>
      </c>
      <c r="U233" s="52" t="s">
        <v>40</v>
      </c>
    </row>
    <row r="234" spans="1:21" ht="17.25" customHeight="1" x14ac:dyDescent="0.35">
      <c r="A234" s="73">
        <v>12080</v>
      </c>
      <c r="B234" s="73" t="s">
        <v>1606</v>
      </c>
      <c r="C234" s="105" t="s">
        <v>1606</v>
      </c>
      <c r="D234" s="52" t="s">
        <v>1606</v>
      </c>
      <c r="E234" s="88">
        <v>3</v>
      </c>
      <c r="F234" s="52" t="s">
        <v>12</v>
      </c>
      <c r="G234" s="57" t="s">
        <v>321</v>
      </c>
      <c r="H234" s="52" t="s">
        <v>1426</v>
      </c>
      <c r="I234" s="52" t="s">
        <v>70</v>
      </c>
      <c r="J234" s="113" t="s">
        <v>30</v>
      </c>
      <c r="K234" s="52">
        <v>6</v>
      </c>
      <c r="L234" s="52">
        <v>4503</v>
      </c>
      <c r="M234" s="52" t="s">
        <v>12</v>
      </c>
      <c r="N234" s="52" t="s">
        <v>40</v>
      </c>
      <c r="O234" s="52" t="s">
        <v>40</v>
      </c>
      <c r="P234" s="52" t="s">
        <v>40</v>
      </c>
      <c r="Q234" s="52" t="s">
        <v>469</v>
      </c>
      <c r="R234" s="57" t="s">
        <v>153</v>
      </c>
      <c r="S234" s="52" t="s">
        <v>40</v>
      </c>
      <c r="T234" s="52" t="s">
        <v>153</v>
      </c>
      <c r="U234" s="52" t="s">
        <v>40</v>
      </c>
    </row>
    <row r="235" spans="1:21" ht="17.25" customHeight="1" x14ac:dyDescent="0.35">
      <c r="A235" s="73">
        <v>12081</v>
      </c>
      <c r="B235" s="73" t="s">
        <v>1607</v>
      </c>
      <c r="C235" s="105" t="s">
        <v>1607</v>
      </c>
      <c r="D235" s="52" t="s">
        <v>1607</v>
      </c>
      <c r="E235" s="88">
        <v>3</v>
      </c>
      <c r="F235" s="52" t="s">
        <v>12</v>
      </c>
      <c r="G235" s="57" t="s">
        <v>321</v>
      </c>
      <c r="H235" s="52" t="s">
        <v>1426</v>
      </c>
      <c r="I235" s="52" t="s">
        <v>70</v>
      </c>
      <c r="J235" s="113" t="s">
        <v>30</v>
      </c>
      <c r="K235" s="52">
        <v>6</v>
      </c>
      <c r="L235" s="52">
        <v>4503</v>
      </c>
      <c r="M235" s="52" t="s">
        <v>12</v>
      </c>
      <c r="N235" s="52" t="s">
        <v>40</v>
      </c>
      <c r="O235" s="52" t="s">
        <v>40</v>
      </c>
      <c r="P235" s="52" t="s">
        <v>40</v>
      </c>
      <c r="Q235" s="52" t="s">
        <v>469</v>
      </c>
      <c r="R235" s="57" t="s">
        <v>153</v>
      </c>
      <c r="S235" s="52" t="s">
        <v>40</v>
      </c>
      <c r="T235" s="52" t="s">
        <v>153</v>
      </c>
      <c r="U235" s="52" t="s">
        <v>40</v>
      </c>
    </row>
    <row r="236" spans="1:21" ht="17.25" customHeight="1" x14ac:dyDescent="0.35">
      <c r="A236" s="73">
        <v>12082</v>
      </c>
      <c r="B236" s="73" t="s">
        <v>1608</v>
      </c>
      <c r="C236" s="105" t="s">
        <v>1608</v>
      </c>
      <c r="D236" s="52" t="s">
        <v>1608</v>
      </c>
      <c r="E236" s="88">
        <v>3</v>
      </c>
      <c r="F236" s="52" t="s">
        <v>12</v>
      </c>
      <c r="G236" s="57" t="s">
        <v>321</v>
      </c>
      <c r="H236" s="52" t="s">
        <v>1426</v>
      </c>
      <c r="I236" s="52" t="s">
        <v>70</v>
      </c>
      <c r="J236" s="113" t="s">
        <v>30</v>
      </c>
      <c r="K236" s="52">
        <v>6</v>
      </c>
      <c r="L236" s="52">
        <v>4503</v>
      </c>
      <c r="M236" s="52" t="s">
        <v>12</v>
      </c>
      <c r="N236" s="52" t="s">
        <v>40</v>
      </c>
      <c r="O236" s="52" t="s">
        <v>40</v>
      </c>
      <c r="P236" s="52" t="s">
        <v>40</v>
      </c>
      <c r="Q236" s="52" t="s">
        <v>469</v>
      </c>
      <c r="R236" s="57" t="s">
        <v>153</v>
      </c>
      <c r="S236" s="52" t="s">
        <v>40</v>
      </c>
      <c r="T236" s="52" t="s">
        <v>153</v>
      </c>
      <c r="U236" s="52" t="s">
        <v>40</v>
      </c>
    </row>
    <row r="237" spans="1:21" ht="17.25" customHeight="1" x14ac:dyDescent="0.35">
      <c r="A237" s="73">
        <v>12083</v>
      </c>
      <c r="B237" s="73" t="s">
        <v>1609</v>
      </c>
      <c r="C237" s="105" t="s">
        <v>1609</v>
      </c>
      <c r="D237" s="52" t="s">
        <v>1609</v>
      </c>
      <c r="E237" s="88">
        <v>3</v>
      </c>
      <c r="F237" s="52" t="s">
        <v>12</v>
      </c>
      <c r="G237" s="57" t="s">
        <v>321</v>
      </c>
      <c r="H237" s="52" t="s">
        <v>1426</v>
      </c>
      <c r="I237" s="52" t="s">
        <v>70</v>
      </c>
      <c r="J237" s="113" t="s">
        <v>30</v>
      </c>
      <c r="K237" s="52">
        <v>6</v>
      </c>
      <c r="L237" s="52">
        <v>4503</v>
      </c>
      <c r="M237" s="52" t="s">
        <v>12</v>
      </c>
      <c r="N237" s="52" t="s">
        <v>40</v>
      </c>
      <c r="O237" s="52" t="s">
        <v>40</v>
      </c>
      <c r="P237" s="52" t="s">
        <v>40</v>
      </c>
      <c r="Q237" s="52" t="s">
        <v>469</v>
      </c>
      <c r="R237" s="57" t="s">
        <v>153</v>
      </c>
      <c r="S237" s="52" t="s">
        <v>40</v>
      </c>
      <c r="T237" s="52" t="s">
        <v>153</v>
      </c>
      <c r="U237" s="52" t="s">
        <v>40</v>
      </c>
    </row>
    <row r="238" spans="1:21" ht="17.25" customHeight="1" x14ac:dyDescent="0.35">
      <c r="A238" s="73">
        <v>12084</v>
      </c>
      <c r="B238" s="73" t="s">
        <v>1610</v>
      </c>
      <c r="C238" s="105" t="s">
        <v>1610</v>
      </c>
      <c r="D238" s="52" t="s">
        <v>1610</v>
      </c>
      <c r="E238" s="88">
        <v>3</v>
      </c>
      <c r="F238" s="52" t="s">
        <v>12</v>
      </c>
      <c r="G238" s="57" t="s">
        <v>321</v>
      </c>
      <c r="H238" s="52" t="s">
        <v>1426</v>
      </c>
      <c r="I238" s="52" t="s">
        <v>70</v>
      </c>
      <c r="J238" s="113" t="s">
        <v>30</v>
      </c>
      <c r="K238" s="52">
        <v>6</v>
      </c>
      <c r="L238" s="52">
        <v>4503</v>
      </c>
      <c r="M238" s="52" t="s">
        <v>12</v>
      </c>
      <c r="N238" s="52" t="s">
        <v>40</v>
      </c>
      <c r="O238" s="52" t="s">
        <v>40</v>
      </c>
      <c r="P238" s="52" t="s">
        <v>40</v>
      </c>
      <c r="Q238" s="52" t="s">
        <v>469</v>
      </c>
      <c r="R238" s="57" t="s">
        <v>153</v>
      </c>
      <c r="S238" s="52" t="s">
        <v>40</v>
      </c>
      <c r="T238" s="52" t="s">
        <v>153</v>
      </c>
      <c r="U238" s="52" t="s">
        <v>40</v>
      </c>
    </row>
    <row r="239" spans="1:21" ht="17.25" customHeight="1" x14ac:dyDescent="0.35">
      <c r="A239" s="74">
        <v>12085</v>
      </c>
      <c r="B239" s="74" t="s">
        <v>1715</v>
      </c>
      <c r="C239" s="105" t="s">
        <v>1715</v>
      </c>
      <c r="D239" s="52" t="s">
        <v>1715</v>
      </c>
      <c r="E239" s="88">
        <v>3</v>
      </c>
      <c r="F239" s="52" t="s">
        <v>12</v>
      </c>
      <c r="G239" s="57" t="s">
        <v>321</v>
      </c>
      <c r="H239" s="52" t="s">
        <v>1426</v>
      </c>
      <c r="I239" s="52" t="s">
        <v>70</v>
      </c>
      <c r="J239" s="113" t="s">
        <v>30</v>
      </c>
      <c r="K239" s="52">
        <v>6</v>
      </c>
      <c r="L239" s="52">
        <v>3017</v>
      </c>
      <c r="M239" s="52" t="s">
        <v>12</v>
      </c>
      <c r="N239" s="52" t="s">
        <v>31</v>
      </c>
      <c r="O239" s="52" t="s">
        <v>31</v>
      </c>
      <c r="P239" s="52" t="s">
        <v>31</v>
      </c>
      <c r="Q239" s="52" t="s">
        <v>1677</v>
      </c>
      <c r="R239" s="57" t="s">
        <v>153</v>
      </c>
      <c r="S239" s="52" t="s">
        <v>31</v>
      </c>
      <c r="T239" s="52" t="s">
        <v>153</v>
      </c>
      <c r="U239" s="52" t="s">
        <v>31</v>
      </c>
    </row>
    <row r="240" spans="1:21" ht="17.25" customHeight="1" x14ac:dyDescent="0.35">
      <c r="A240" s="74">
        <v>12086</v>
      </c>
      <c r="B240" s="74" t="s">
        <v>1716</v>
      </c>
      <c r="C240" s="105" t="s">
        <v>1716</v>
      </c>
      <c r="D240" s="52" t="s">
        <v>1716</v>
      </c>
      <c r="E240" s="88">
        <v>3</v>
      </c>
      <c r="F240" s="52" t="s">
        <v>12</v>
      </c>
      <c r="G240" s="57" t="s">
        <v>321</v>
      </c>
      <c r="H240" s="52" t="s">
        <v>1426</v>
      </c>
      <c r="I240" s="52" t="s">
        <v>70</v>
      </c>
      <c r="J240" s="113" t="s">
        <v>30</v>
      </c>
      <c r="K240" s="52">
        <v>6</v>
      </c>
      <c r="L240" s="52">
        <v>3017</v>
      </c>
      <c r="M240" s="52" t="s">
        <v>12</v>
      </c>
      <c r="N240" s="52" t="s">
        <v>31</v>
      </c>
      <c r="O240" s="52" t="s">
        <v>31</v>
      </c>
      <c r="P240" s="52" t="s">
        <v>31</v>
      </c>
      <c r="Q240" s="52" t="s">
        <v>1677</v>
      </c>
      <c r="R240" s="57" t="s">
        <v>153</v>
      </c>
      <c r="S240" s="52" t="s">
        <v>31</v>
      </c>
      <c r="T240" s="52" t="s">
        <v>153</v>
      </c>
      <c r="U240" s="52" t="s">
        <v>31</v>
      </c>
    </row>
    <row r="241" spans="1:21" ht="17.25" customHeight="1" x14ac:dyDescent="0.35">
      <c r="A241" s="74">
        <v>12087</v>
      </c>
      <c r="B241" s="74" t="s">
        <v>1717</v>
      </c>
      <c r="C241" s="105" t="s">
        <v>1717</v>
      </c>
      <c r="D241" s="52" t="s">
        <v>1717</v>
      </c>
      <c r="E241" s="88">
        <v>3</v>
      </c>
      <c r="F241" s="52" t="s">
        <v>12</v>
      </c>
      <c r="G241" s="57" t="s">
        <v>321</v>
      </c>
      <c r="H241" s="52" t="s">
        <v>1426</v>
      </c>
      <c r="I241" s="52" t="s">
        <v>70</v>
      </c>
      <c r="J241" s="113" t="s">
        <v>30</v>
      </c>
      <c r="K241" s="52">
        <v>6</v>
      </c>
      <c r="L241" s="52">
        <v>3017</v>
      </c>
      <c r="M241" s="52" t="s">
        <v>12</v>
      </c>
      <c r="N241" s="52" t="s">
        <v>31</v>
      </c>
      <c r="O241" s="52" t="s">
        <v>31</v>
      </c>
      <c r="P241" s="52" t="s">
        <v>31</v>
      </c>
      <c r="Q241" s="52" t="s">
        <v>1677</v>
      </c>
      <c r="R241" s="57" t="s">
        <v>153</v>
      </c>
      <c r="S241" s="52" t="s">
        <v>31</v>
      </c>
      <c r="T241" s="52" t="s">
        <v>153</v>
      </c>
      <c r="U241" s="52" t="s">
        <v>31</v>
      </c>
    </row>
    <row r="242" spans="1:21" ht="17.25" customHeight="1" x14ac:dyDescent="0.35">
      <c r="A242" s="74">
        <v>12088</v>
      </c>
      <c r="B242" s="74" t="s">
        <v>1718</v>
      </c>
      <c r="C242" s="105" t="s">
        <v>1718</v>
      </c>
      <c r="D242" s="52" t="s">
        <v>1718</v>
      </c>
      <c r="E242" s="88">
        <v>3</v>
      </c>
      <c r="F242" s="52" t="s">
        <v>12</v>
      </c>
      <c r="G242" s="57" t="s">
        <v>321</v>
      </c>
      <c r="H242" s="52" t="s">
        <v>1426</v>
      </c>
      <c r="I242" s="52" t="s">
        <v>70</v>
      </c>
      <c r="J242" s="113" t="s">
        <v>30</v>
      </c>
      <c r="K242" s="52">
        <v>6</v>
      </c>
      <c r="L242" s="52">
        <v>3017</v>
      </c>
      <c r="M242" s="52" t="s">
        <v>12</v>
      </c>
      <c r="N242" s="52" t="s">
        <v>31</v>
      </c>
      <c r="O242" s="52" t="s">
        <v>31</v>
      </c>
      <c r="P242" s="52" t="s">
        <v>31</v>
      </c>
      <c r="Q242" s="52" t="s">
        <v>1677</v>
      </c>
      <c r="R242" s="57" t="s">
        <v>153</v>
      </c>
      <c r="S242" s="52" t="s">
        <v>31</v>
      </c>
      <c r="T242" s="52" t="s">
        <v>153</v>
      </c>
      <c r="U242" s="52" t="s">
        <v>31</v>
      </c>
    </row>
    <row r="243" spans="1:21" ht="17.25" customHeight="1" x14ac:dyDescent="0.35">
      <c r="A243" s="74">
        <v>12089</v>
      </c>
      <c r="B243" s="74" t="s">
        <v>1719</v>
      </c>
      <c r="C243" s="105" t="s">
        <v>1719</v>
      </c>
      <c r="D243" s="52" t="s">
        <v>1719</v>
      </c>
      <c r="E243" s="88">
        <v>3</v>
      </c>
      <c r="F243" s="52" t="s">
        <v>12</v>
      </c>
      <c r="G243" s="57" t="s">
        <v>321</v>
      </c>
      <c r="H243" s="52" t="s">
        <v>1426</v>
      </c>
      <c r="I243" s="52" t="s">
        <v>70</v>
      </c>
      <c r="J243" s="113" t="s">
        <v>30</v>
      </c>
      <c r="K243" s="52">
        <v>6</v>
      </c>
      <c r="L243" s="52">
        <v>3017</v>
      </c>
      <c r="M243" s="52" t="s">
        <v>12</v>
      </c>
      <c r="N243" s="52" t="s">
        <v>31</v>
      </c>
      <c r="O243" s="52" t="s">
        <v>31</v>
      </c>
      <c r="P243" s="52" t="s">
        <v>31</v>
      </c>
      <c r="Q243" s="52" t="s">
        <v>1677</v>
      </c>
      <c r="R243" s="57" t="s">
        <v>153</v>
      </c>
      <c r="S243" s="52" t="s">
        <v>31</v>
      </c>
      <c r="T243" s="52" t="s">
        <v>153</v>
      </c>
      <c r="U243" s="52" t="s">
        <v>31</v>
      </c>
    </row>
    <row r="244" spans="1:21" ht="17.25" customHeight="1" x14ac:dyDescent="0.35">
      <c r="A244" s="74">
        <v>12090</v>
      </c>
      <c r="B244" s="74" t="s">
        <v>1720</v>
      </c>
      <c r="C244" s="105" t="s">
        <v>1720</v>
      </c>
      <c r="D244" s="52" t="s">
        <v>1720</v>
      </c>
      <c r="E244" s="88">
        <v>3</v>
      </c>
      <c r="F244" s="52" t="s">
        <v>12</v>
      </c>
      <c r="G244" s="57" t="s">
        <v>321</v>
      </c>
      <c r="H244" s="52" t="s">
        <v>1426</v>
      </c>
      <c r="I244" s="52" t="s">
        <v>70</v>
      </c>
      <c r="J244" s="113" t="s">
        <v>30</v>
      </c>
      <c r="K244" s="52">
        <v>6</v>
      </c>
      <c r="L244" s="52">
        <v>3017</v>
      </c>
      <c r="M244" s="52" t="s">
        <v>12</v>
      </c>
      <c r="N244" s="52" t="s">
        <v>31</v>
      </c>
      <c r="O244" s="52" t="s">
        <v>31</v>
      </c>
      <c r="P244" s="52" t="s">
        <v>31</v>
      </c>
      <c r="Q244" s="52" t="s">
        <v>1677</v>
      </c>
      <c r="R244" s="57" t="s">
        <v>153</v>
      </c>
      <c r="S244" s="52" t="s">
        <v>31</v>
      </c>
      <c r="T244" s="52" t="s">
        <v>153</v>
      </c>
      <c r="U244" s="52" t="s">
        <v>31</v>
      </c>
    </row>
    <row r="245" spans="1:21" ht="17.25" customHeight="1" x14ac:dyDescent="0.35">
      <c r="A245" s="75">
        <v>12091</v>
      </c>
      <c r="B245" s="75" t="s">
        <v>1721</v>
      </c>
      <c r="C245" s="105" t="s">
        <v>1721</v>
      </c>
      <c r="D245" s="52" t="s">
        <v>1721</v>
      </c>
      <c r="E245" s="88">
        <v>3</v>
      </c>
      <c r="F245" s="52" t="s">
        <v>12</v>
      </c>
      <c r="G245" s="57" t="s">
        <v>321</v>
      </c>
      <c r="H245" s="52" t="s">
        <v>1426</v>
      </c>
      <c r="I245" s="52" t="s">
        <v>70</v>
      </c>
      <c r="J245" s="113" t="s">
        <v>30</v>
      </c>
      <c r="K245" s="52">
        <v>6</v>
      </c>
      <c r="L245" s="52">
        <v>3018</v>
      </c>
      <c r="M245" s="52" t="s">
        <v>12</v>
      </c>
      <c r="N245" s="52" t="s">
        <v>31</v>
      </c>
      <c r="O245" s="52" t="s">
        <v>31</v>
      </c>
      <c r="P245" s="52" t="s">
        <v>31</v>
      </c>
      <c r="Q245" s="52" t="s">
        <v>1678</v>
      </c>
      <c r="R245" s="57" t="s">
        <v>153</v>
      </c>
      <c r="S245" s="52" t="s">
        <v>31</v>
      </c>
      <c r="T245" s="52" t="s">
        <v>153</v>
      </c>
      <c r="U245" s="52" t="s">
        <v>31</v>
      </c>
    </row>
    <row r="246" spans="1:21" ht="17.25" customHeight="1" x14ac:dyDescent="0.35">
      <c r="A246" s="75">
        <v>12092</v>
      </c>
      <c r="B246" s="75" t="s">
        <v>1722</v>
      </c>
      <c r="C246" s="105" t="s">
        <v>1722</v>
      </c>
      <c r="D246" s="52" t="s">
        <v>1722</v>
      </c>
      <c r="E246" s="88">
        <v>3</v>
      </c>
      <c r="F246" s="52" t="s">
        <v>12</v>
      </c>
      <c r="G246" s="57" t="s">
        <v>321</v>
      </c>
      <c r="H246" s="52" t="s">
        <v>1426</v>
      </c>
      <c r="I246" s="52" t="s">
        <v>70</v>
      </c>
      <c r="J246" s="113" t="s">
        <v>30</v>
      </c>
      <c r="K246" s="52">
        <v>6</v>
      </c>
      <c r="L246" s="52">
        <v>3018</v>
      </c>
      <c r="M246" s="52" t="s">
        <v>12</v>
      </c>
      <c r="N246" s="52" t="s">
        <v>31</v>
      </c>
      <c r="O246" s="52" t="s">
        <v>31</v>
      </c>
      <c r="P246" s="52" t="s">
        <v>31</v>
      </c>
      <c r="Q246" s="52" t="s">
        <v>1678</v>
      </c>
      <c r="R246" s="57" t="s">
        <v>153</v>
      </c>
      <c r="S246" s="52" t="s">
        <v>31</v>
      </c>
      <c r="T246" s="52" t="s">
        <v>153</v>
      </c>
      <c r="U246" s="52" t="s">
        <v>31</v>
      </c>
    </row>
    <row r="247" spans="1:21" ht="17.25" customHeight="1" x14ac:dyDescent="0.35">
      <c r="A247" s="75">
        <v>12093</v>
      </c>
      <c r="B247" s="75" t="s">
        <v>1723</v>
      </c>
      <c r="C247" s="105" t="s">
        <v>1723</v>
      </c>
      <c r="D247" s="52" t="s">
        <v>1723</v>
      </c>
      <c r="E247" s="88">
        <v>3</v>
      </c>
      <c r="F247" s="52" t="s">
        <v>12</v>
      </c>
      <c r="G247" s="57" t="s">
        <v>321</v>
      </c>
      <c r="H247" s="52" t="s">
        <v>1426</v>
      </c>
      <c r="I247" s="52" t="s">
        <v>70</v>
      </c>
      <c r="J247" s="113" t="s">
        <v>30</v>
      </c>
      <c r="K247" s="52">
        <v>6</v>
      </c>
      <c r="L247" s="52">
        <v>3018</v>
      </c>
      <c r="M247" s="52" t="s">
        <v>12</v>
      </c>
      <c r="N247" s="52" t="s">
        <v>31</v>
      </c>
      <c r="O247" s="52" t="s">
        <v>31</v>
      </c>
      <c r="P247" s="52" t="s">
        <v>31</v>
      </c>
      <c r="Q247" s="52" t="s">
        <v>1678</v>
      </c>
      <c r="R247" s="57" t="s">
        <v>153</v>
      </c>
      <c r="S247" s="52" t="s">
        <v>31</v>
      </c>
      <c r="T247" s="52" t="s">
        <v>153</v>
      </c>
      <c r="U247" s="52" t="s">
        <v>31</v>
      </c>
    </row>
    <row r="248" spans="1:21" ht="17.25" customHeight="1" x14ac:dyDescent="0.35">
      <c r="A248" s="75">
        <v>12094</v>
      </c>
      <c r="B248" s="75" t="s">
        <v>1724</v>
      </c>
      <c r="C248" s="105" t="s">
        <v>1724</v>
      </c>
      <c r="D248" s="52" t="s">
        <v>1724</v>
      </c>
      <c r="E248" s="88">
        <v>3</v>
      </c>
      <c r="F248" s="52" t="s">
        <v>12</v>
      </c>
      <c r="G248" s="57" t="s">
        <v>321</v>
      </c>
      <c r="H248" s="52" t="s">
        <v>1426</v>
      </c>
      <c r="I248" s="52" t="s">
        <v>70</v>
      </c>
      <c r="J248" s="113" t="s">
        <v>30</v>
      </c>
      <c r="K248" s="52">
        <v>6</v>
      </c>
      <c r="L248" s="52">
        <v>3018</v>
      </c>
      <c r="M248" s="52" t="s">
        <v>12</v>
      </c>
      <c r="N248" s="52" t="s">
        <v>31</v>
      </c>
      <c r="O248" s="52" t="s">
        <v>31</v>
      </c>
      <c r="P248" s="52" t="s">
        <v>31</v>
      </c>
      <c r="Q248" s="52" t="s">
        <v>1678</v>
      </c>
      <c r="R248" s="57" t="s">
        <v>153</v>
      </c>
      <c r="S248" s="52" t="s">
        <v>31</v>
      </c>
      <c r="T248" s="52" t="s">
        <v>153</v>
      </c>
      <c r="U248" s="52" t="s">
        <v>31</v>
      </c>
    </row>
    <row r="249" spans="1:21" ht="17.25" customHeight="1" x14ac:dyDescent="0.35">
      <c r="A249" s="75">
        <v>12095</v>
      </c>
      <c r="B249" s="75" t="s">
        <v>1725</v>
      </c>
      <c r="C249" s="105" t="s">
        <v>1725</v>
      </c>
      <c r="D249" s="52" t="s">
        <v>1725</v>
      </c>
      <c r="E249" s="88">
        <v>3</v>
      </c>
      <c r="F249" s="52" t="s">
        <v>12</v>
      </c>
      <c r="G249" s="57" t="s">
        <v>321</v>
      </c>
      <c r="H249" s="52" t="s">
        <v>1426</v>
      </c>
      <c r="I249" s="52" t="s">
        <v>70</v>
      </c>
      <c r="J249" s="113" t="s">
        <v>30</v>
      </c>
      <c r="K249" s="52">
        <v>6</v>
      </c>
      <c r="L249" s="52">
        <v>3018</v>
      </c>
      <c r="M249" s="52" t="s">
        <v>12</v>
      </c>
      <c r="N249" s="52" t="s">
        <v>31</v>
      </c>
      <c r="O249" s="52" t="s">
        <v>31</v>
      </c>
      <c r="P249" s="52" t="s">
        <v>31</v>
      </c>
      <c r="Q249" s="52" t="s">
        <v>1678</v>
      </c>
      <c r="R249" s="57" t="s">
        <v>153</v>
      </c>
      <c r="S249" s="52" t="s">
        <v>31</v>
      </c>
      <c r="T249" s="52" t="s">
        <v>153</v>
      </c>
      <c r="U249" s="52" t="s">
        <v>31</v>
      </c>
    </row>
    <row r="250" spans="1:21" ht="17.25" customHeight="1" x14ac:dyDescent="0.35">
      <c r="A250" s="75">
        <v>12096</v>
      </c>
      <c r="B250" s="75" t="s">
        <v>1726</v>
      </c>
      <c r="C250" s="105" t="s">
        <v>1726</v>
      </c>
      <c r="D250" s="52" t="s">
        <v>1726</v>
      </c>
      <c r="E250" s="88">
        <v>3</v>
      </c>
      <c r="F250" s="52" t="s">
        <v>12</v>
      </c>
      <c r="G250" s="57" t="s">
        <v>321</v>
      </c>
      <c r="H250" s="52" t="s">
        <v>1426</v>
      </c>
      <c r="I250" s="52" t="s">
        <v>70</v>
      </c>
      <c r="J250" s="113" t="s">
        <v>30</v>
      </c>
      <c r="K250" s="52">
        <v>6</v>
      </c>
      <c r="L250" s="52">
        <v>3018</v>
      </c>
      <c r="M250" s="52" t="s">
        <v>12</v>
      </c>
      <c r="N250" s="52" t="s">
        <v>31</v>
      </c>
      <c r="O250" s="52" t="s">
        <v>31</v>
      </c>
      <c r="P250" s="52" t="s">
        <v>31</v>
      </c>
      <c r="Q250" s="52" t="s">
        <v>1678</v>
      </c>
      <c r="R250" s="57" t="s">
        <v>153</v>
      </c>
      <c r="S250" s="52" t="s">
        <v>31</v>
      </c>
      <c r="T250" s="52" t="s">
        <v>153</v>
      </c>
      <c r="U250" s="52" t="s">
        <v>31</v>
      </c>
    </row>
    <row r="251" spans="1:21" ht="17.25" customHeight="1" x14ac:dyDescent="0.35">
      <c r="A251" s="74">
        <v>12097</v>
      </c>
      <c r="B251" s="74" t="s">
        <v>1727</v>
      </c>
      <c r="C251" s="105" t="s">
        <v>1727</v>
      </c>
      <c r="D251" s="52" t="s">
        <v>1727</v>
      </c>
      <c r="E251" s="88">
        <v>3</v>
      </c>
      <c r="F251" s="52" t="s">
        <v>12</v>
      </c>
      <c r="G251" s="57" t="s">
        <v>321</v>
      </c>
      <c r="H251" s="52" t="s">
        <v>1426</v>
      </c>
      <c r="I251" s="52" t="s">
        <v>70</v>
      </c>
      <c r="J251" s="113" t="s">
        <v>30</v>
      </c>
      <c r="K251" s="52">
        <v>6</v>
      </c>
      <c r="L251" s="52">
        <v>3019</v>
      </c>
      <c r="M251" s="52" t="s">
        <v>12</v>
      </c>
      <c r="N251" s="52" t="s">
        <v>31</v>
      </c>
      <c r="O251" s="52" t="s">
        <v>31</v>
      </c>
      <c r="P251" s="52" t="s">
        <v>31</v>
      </c>
      <c r="Q251" s="52" t="s">
        <v>1679</v>
      </c>
      <c r="R251" s="57" t="s">
        <v>153</v>
      </c>
      <c r="S251" s="52" t="s">
        <v>31</v>
      </c>
      <c r="T251" s="52" t="s">
        <v>153</v>
      </c>
      <c r="U251" s="52" t="s">
        <v>31</v>
      </c>
    </row>
    <row r="252" spans="1:21" ht="17.25" customHeight="1" x14ac:dyDescent="0.35">
      <c r="A252" s="74">
        <v>12098</v>
      </c>
      <c r="B252" s="74" t="s">
        <v>1728</v>
      </c>
      <c r="C252" s="105" t="s">
        <v>1728</v>
      </c>
      <c r="D252" s="52" t="s">
        <v>1728</v>
      </c>
      <c r="E252" s="88">
        <v>3</v>
      </c>
      <c r="F252" s="52" t="s">
        <v>12</v>
      </c>
      <c r="G252" s="57" t="s">
        <v>321</v>
      </c>
      <c r="H252" s="52" t="s">
        <v>1426</v>
      </c>
      <c r="I252" s="52" t="s">
        <v>70</v>
      </c>
      <c r="J252" s="113" t="s">
        <v>30</v>
      </c>
      <c r="K252" s="52">
        <v>6</v>
      </c>
      <c r="L252" s="52">
        <v>3019</v>
      </c>
      <c r="M252" s="52" t="s">
        <v>12</v>
      </c>
      <c r="N252" s="52" t="s">
        <v>31</v>
      </c>
      <c r="O252" s="52" t="s">
        <v>31</v>
      </c>
      <c r="P252" s="52" t="s">
        <v>31</v>
      </c>
      <c r="Q252" s="52" t="s">
        <v>1679</v>
      </c>
      <c r="R252" s="57" t="s">
        <v>153</v>
      </c>
      <c r="S252" s="52" t="s">
        <v>31</v>
      </c>
      <c r="T252" s="52" t="s">
        <v>153</v>
      </c>
      <c r="U252" s="52" t="s">
        <v>31</v>
      </c>
    </row>
    <row r="253" spans="1:21" ht="17.25" customHeight="1" x14ac:dyDescent="0.35">
      <c r="A253" s="74">
        <v>12099</v>
      </c>
      <c r="B253" s="74" t="s">
        <v>1729</v>
      </c>
      <c r="C253" s="105" t="s">
        <v>1729</v>
      </c>
      <c r="D253" s="52" t="s">
        <v>1729</v>
      </c>
      <c r="E253" s="88">
        <v>3</v>
      </c>
      <c r="F253" s="52" t="s">
        <v>12</v>
      </c>
      <c r="G253" s="57" t="s">
        <v>321</v>
      </c>
      <c r="H253" s="52" t="s">
        <v>1426</v>
      </c>
      <c r="I253" s="52" t="s">
        <v>70</v>
      </c>
      <c r="J253" s="113" t="s">
        <v>30</v>
      </c>
      <c r="K253" s="52">
        <v>6</v>
      </c>
      <c r="L253" s="52">
        <v>3019</v>
      </c>
      <c r="M253" s="52" t="s">
        <v>12</v>
      </c>
      <c r="N253" s="52" t="s">
        <v>31</v>
      </c>
      <c r="O253" s="52" t="s">
        <v>31</v>
      </c>
      <c r="P253" s="52" t="s">
        <v>31</v>
      </c>
      <c r="Q253" s="52" t="s">
        <v>1679</v>
      </c>
      <c r="R253" s="57" t="s">
        <v>153</v>
      </c>
      <c r="S253" s="52" t="s">
        <v>31</v>
      </c>
      <c r="T253" s="52" t="s">
        <v>153</v>
      </c>
      <c r="U253" s="52" t="s">
        <v>31</v>
      </c>
    </row>
    <row r="254" spans="1:21" ht="17.25" customHeight="1" x14ac:dyDescent="0.35">
      <c r="A254" s="74">
        <v>12100</v>
      </c>
      <c r="B254" s="74" t="s">
        <v>1730</v>
      </c>
      <c r="C254" s="105" t="s">
        <v>1730</v>
      </c>
      <c r="D254" s="52" t="s">
        <v>1730</v>
      </c>
      <c r="E254" s="88">
        <v>3</v>
      </c>
      <c r="F254" s="52" t="s">
        <v>12</v>
      </c>
      <c r="G254" s="57" t="s">
        <v>321</v>
      </c>
      <c r="H254" s="52" t="s">
        <v>1426</v>
      </c>
      <c r="I254" s="52" t="s">
        <v>70</v>
      </c>
      <c r="J254" s="113" t="s">
        <v>30</v>
      </c>
      <c r="K254" s="52">
        <v>6</v>
      </c>
      <c r="L254" s="52">
        <v>3019</v>
      </c>
      <c r="M254" s="52" t="s">
        <v>12</v>
      </c>
      <c r="N254" s="52" t="s">
        <v>31</v>
      </c>
      <c r="O254" s="52" t="s">
        <v>31</v>
      </c>
      <c r="P254" s="52" t="s">
        <v>31</v>
      </c>
      <c r="Q254" s="52" t="s">
        <v>1679</v>
      </c>
      <c r="R254" s="57" t="s">
        <v>153</v>
      </c>
      <c r="S254" s="52" t="s">
        <v>31</v>
      </c>
      <c r="T254" s="52" t="s">
        <v>153</v>
      </c>
      <c r="U254" s="52" t="s">
        <v>31</v>
      </c>
    </row>
    <row r="255" spans="1:21" ht="17.25" customHeight="1" x14ac:dyDescent="0.35">
      <c r="A255" s="74">
        <v>12101</v>
      </c>
      <c r="B255" s="74" t="s">
        <v>1731</v>
      </c>
      <c r="C255" s="105" t="s">
        <v>1731</v>
      </c>
      <c r="D255" s="52" t="s">
        <v>1731</v>
      </c>
      <c r="E255" s="88">
        <v>3</v>
      </c>
      <c r="F255" s="52" t="s">
        <v>12</v>
      </c>
      <c r="G255" s="57" t="s">
        <v>321</v>
      </c>
      <c r="H255" s="52" t="s">
        <v>1426</v>
      </c>
      <c r="I255" s="52" t="s">
        <v>70</v>
      </c>
      <c r="J255" s="113" t="s">
        <v>30</v>
      </c>
      <c r="K255" s="52">
        <v>6</v>
      </c>
      <c r="L255" s="52">
        <v>3019</v>
      </c>
      <c r="M255" s="52" t="s">
        <v>12</v>
      </c>
      <c r="N255" s="52" t="s">
        <v>31</v>
      </c>
      <c r="O255" s="52" t="s">
        <v>31</v>
      </c>
      <c r="P255" s="52" t="s">
        <v>31</v>
      </c>
      <c r="Q255" s="52" t="s">
        <v>1679</v>
      </c>
      <c r="R255" s="57" t="s">
        <v>153</v>
      </c>
      <c r="S255" s="52" t="s">
        <v>31</v>
      </c>
      <c r="T255" s="52" t="s">
        <v>153</v>
      </c>
      <c r="U255" s="52" t="s">
        <v>31</v>
      </c>
    </row>
    <row r="256" spans="1:21" ht="17.25" customHeight="1" x14ac:dyDescent="0.35">
      <c r="A256" s="74">
        <v>12102</v>
      </c>
      <c r="B256" s="74" t="s">
        <v>1732</v>
      </c>
      <c r="C256" s="105" t="s">
        <v>1732</v>
      </c>
      <c r="D256" s="52" t="s">
        <v>1732</v>
      </c>
      <c r="E256" s="88">
        <v>3</v>
      </c>
      <c r="F256" s="52" t="s">
        <v>12</v>
      </c>
      <c r="G256" s="57" t="s">
        <v>321</v>
      </c>
      <c r="H256" s="52" t="s">
        <v>1426</v>
      </c>
      <c r="I256" s="52" t="s">
        <v>70</v>
      </c>
      <c r="J256" s="113" t="s">
        <v>30</v>
      </c>
      <c r="K256" s="52">
        <v>6</v>
      </c>
      <c r="L256" s="52">
        <v>3019</v>
      </c>
      <c r="M256" s="52" t="s">
        <v>12</v>
      </c>
      <c r="N256" s="52" t="s">
        <v>31</v>
      </c>
      <c r="O256" s="52" t="s">
        <v>31</v>
      </c>
      <c r="P256" s="52" t="s">
        <v>31</v>
      </c>
      <c r="Q256" s="52" t="s">
        <v>1679</v>
      </c>
      <c r="R256" s="57" t="s">
        <v>153</v>
      </c>
      <c r="S256" s="52" t="s">
        <v>31</v>
      </c>
      <c r="T256" s="52" t="s">
        <v>153</v>
      </c>
      <c r="U256" s="52" t="s">
        <v>31</v>
      </c>
    </row>
    <row r="257" spans="1:27" ht="17.25" customHeight="1" x14ac:dyDescent="0.35">
      <c r="A257" s="75">
        <v>12103</v>
      </c>
      <c r="B257" s="75" t="s">
        <v>1733</v>
      </c>
      <c r="C257" s="105" t="s">
        <v>1733</v>
      </c>
      <c r="D257" s="52" t="s">
        <v>1733</v>
      </c>
      <c r="E257" s="88">
        <v>3</v>
      </c>
      <c r="F257" s="52" t="s">
        <v>12</v>
      </c>
      <c r="G257" s="57" t="s">
        <v>321</v>
      </c>
      <c r="H257" s="52" t="s">
        <v>1426</v>
      </c>
      <c r="I257" s="52" t="s">
        <v>70</v>
      </c>
      <c r="J257" s="113" t="s">
        <v>30</v>
      </c>
      <c r="K257" s="52">
        <v>6</v>
      </c>
      <c r="L257" s="52">
        <v>3020</v>
      </c>
      <c r="M257" s="52" t="s">
        <v>12</v>
      </c>
      <c r="N257" s="52" t="s">
        <v>31</v>
      </c>
      <c r="O257" s="52" t="s">
        <v>31</v>
      </c>
      <c r="P257" s="52" t="s">
        <v>31</v>
      </c>
      <c r="Q257" s="52" t="s">
        <v>1680</v>
      </c>
      <c r="R257" s="57" t="s">
        <v>153</v>
      </c>
      <c r="S257" s="52" t="s">
        <v>31</v>
      </c>
      <c r="T257" s="52" t="s">
        <v>153</v>
      </c>
      <c r="U257" s="52" t="s">
        <v>31</v>
      </c>
    </row>
    <row r="258" spans="1:27" ht="17.25" customHeight="1" x14ac:dyDescent="0.35">
      <c r="A258" s="75">
        <v>12104</v>
      </c>
      <c r="B258" s="75" t="s">
        <v>1734</v>
      </c>
      <c r="C258" s="105" t="s">
        <v>1734</v>
      </c>
      <c r="D258" s="52" t="s">
        <v>1734</v>
      </c>
      <c r="E258" s="88">
        <v>3</v>
      </c>
      <c r="F258" s="52" t="s">
        <v>12</v>
      </c>
      <c r="G258" s="57" t="s">
        <v>321</v>
      </c>
      <c r="H258" s="52" t="s">
        <v>1426</v>
      </c>
      <c r="I258" s="52" t="s">
        <v>70</v>
      </c>
      <c r="J258" s="113" t="s">
        <v>30</v>
      </c>
      <c r="K258" s="52">
        <v>6</v>
      </c>
      <c r="L258" s="52">
        <v>3020</v>
      </c>
      <c r="M258" s="52" t="s">
        <v>12</v>
      </c>
      <c r="N258" s="52" t="s">
        <v>31</v>
      </c>
      <c r="O258" s="52" t="s">
        <v>31</v>
      </c>
      <c r="P258" s="52" t="s">
        <v>31</v>
      </c>
      <c r="Q258" s="52" t="s">
        <v>1680</v>
      </c>
      <c r="R258" s="57" t="s">
        <v>153</v>
      </c>
      <c r="S258" s="52" t="s">
        <v>31</v>
      </c>
      <c r="T258" s="52" t="s">
        <v>153</v>
      </c>
      <c r="U258" s="52" t="s">
        <v>31</v>
      </c>
    </row>
    <row r="259" spans="1:27" ht="17.25" customHeight="1" x14ac:dyDescent="0.35">
      <c r="A259" s="75">
        <v>12105</v>
      </c>
      <c r="B259" s="75" t="s">
        <v>1735</v>
      </c>
      <c r="C259" s="105" t="s">
        <v>1735</v>
      </c>
      <c r="D259" s="52" t="s">
        <v>1735</v>
      </c>
      <c r="E259" s="88">
        <v>3</v>
      </c>
      <c r="F259" s="52" t="s">
        <v>12</v>
      </c>
      <c r="G259" s="57" t="s">
        <v>321</v>
      </c>
      <c r="H259" s="52" t="s">
        <v>1426</v>
      </c>
      <c r="I259" s="52" t="s">
        <v>70</v>
      </c>
      <c r="J259" s="113" t="s">
        <v>30</v>
      </c>
      <c r="K259" s="52">
        <v>6</v>
      </c>
      <c r="L259" s="52">
        <v>3020</v>
      </c>
      <c r="M259" s="52" t="s">
        <v>12</v>
      </c>
      <c r="N259" s="52" t="s">
        <v>31</v>
      </c>
      <c r="O259" s="52" t="s">
        <v>31</v>
      </c>
      <c r="P259" s="52" t="s">
        <v>31</v>
      </c>
      <c r="Q259" s="52" t="s">
        <v>1680</v>
      </c>
      <c r="R259" s="57" t="s">
        <v>153</v>
      </c>
      <c r="S259" s="52" t="s">
        <v>31</v>
      </c>
      <c r="T259" s="52" t="s">
        <v>153</v>
      </c>
      <c r="U259" s="52" t="s">
        <v>31</v>
      </c>
    </row>
    <row r="260" spans="1:27" ht="17.25" customHeight="1" x14ac:dyDescent="0.35">
      <c r="A260" s="75">
        <v>12106</v>
      </c>
      <c r="B260" s="75" t="s">
        <v>1736</v>
      </c>
      <c r="C260" s="105" t="s">
        <v>1736</v>
      </c>
      <c r="D260" s="52" t="s">
        <v>1736</v>
      </c>
      <c r="E260" s="88">
        <v>3</v>
      </c>
      <c r="F260" s="52" t="s">
        <v>12</v>
      </c>
      <c r="G260" s="57" t="s">
        <v>321</v>
      </c>
      <c r="H260" s="52" t="s">
        <v>1426</v>
      </c>
      <c r="I260" s="52" t="s">
        <v>70</v>
      </c>
      <c r="J260" s="113" t="s">
        <v>30</v>
      </c>
      <c r="K260" s="52">
        <v>6</v>
      </c>
      <c r="L260" s="52">
        <v>3020</v>
      </c>
      <c r="M260" s="52" t="s">
        <v>12</v>
      </c>
      <c r="N260" s="52" t="s">
        <v>31</v>
      </c>
      <c r="O260" s="52" t="s">
        <v>31</v>
      </c>
      <c r="P260" s="52" t="s">
        <v>31</v>
      </c>
      <c r="Q260" s="52" t="s">
        <v>1680</v>
      </c>
      <c r="R260" s="57" t="s">
        <v>153</v>
      </c>
      <c r="S260" s="52" t="s">
        <v>31</v>
      </c>
      <c r="T260" s="52" t="s">
        <v>153</v>
      </c>
      <c r="U260" s="52" t="s">
        <v>31</v>
      </c>
    </row>
    <row r="261" spans="1:27" ht="17.25" customHeight="1" x14ac:dyDescent="0.35">
      <c r="A261" s="75">
        <v>12107</v>
      </c>
      <c r="B261" s="75" t="s">
        <v>1737</v>
      </c>
      <c r="C261" s="105" t="s">
        <v>1737</v>
      </c>
      <c r="D261" s="52" t="s">
        <v>1737</v>
      </c>
      <c r="E261" s="88">
        <v>3</v>
      </c>
      <c r="F261" s="52" t="s">
        <v>12</v>
      </c>
      <c r="G261" s="57" t="s">
        <v>321</v>
      </c>
      <c r="H261" s="52" t="s">
        <v>1426</v>
      </c>
      <c r="I261" s="52" t="s">
        <v>70</v>
      </c>
      <c r="J261" s="113" t="s">
        <v>30</v>
      </c>
      <c r="K261" s="52">
        <v>6</v>
      </c>
      <c r="L261" s="52">
        <v>3020</v>
      </c>
      <c r="M261" s="52" t="s">
        <v>12</v>
      </c>
      <c r="N261" s="52" t="s">
        <v>31</v>
      </c>
      <c r="O261" s="52" t="s">
        <v>31</v>
      </c>
      <c r="P261" s="52" t="s">
        <v>31</v>
      </c>
      <c r="Q261" s="52" t="s">
        <v>1680</v>
      </c>
      <c r="R261" s="57" t="s">
        <v>153</v>
      </c>
      <c r="S261" s="52" t="s">
        <v>31</v>
      </c>
      <c r="T261" s="52" t="s">
        <v>153</v>
      </c>
      <c r="U261" s="52" t="s">
        <v>31</v>
      </c>
    </row>
    <row r="262" spans="1:27" ht="17.25" customHeight="1" x14ac:dyDescent="0.35">
      <c r="A262" s="75">
        <v>12108</v>
      </c>
      <c r="B262" s="75" t="s">
        <v>1738</v>
      </c>
      <c r="C262" s="105" t="s">
        <v>1738</v>
      </c>
      <c r="D262" s="52" t="s">
        <v>1738</v>
      </c>
      <c r="E262" s="88">
        <v>3</v>
      </c>
      <c r="F262" s="52" t="s">
        <v>12</v>
      </c>
      <c r="G262" s="57" t="s">
        <v>321</v>
      </c>
      <c r="H262" s="52" t="s">
        <v>1426</v>
      </c>
      <c r="I262" s="52" t="s">
        <v>70</v>
      </c>
      <c r="J262" s="113" t="s">
        <v>30</v>
      </c>
      <c r="K262" s="52">
        <v>6</v>
      </c>
      <c r="L262" s="52">
        <v>3020</v>
      </c>
      <c r="M262" s="52" t="s">
        <v>12</v>
      </c>
      <c r="N262" s="52" t="s">
        <v>31</v>
      </c>
      <c r="O262" s="52" t="s">
        <v>31</v>
      </c>
      <c r="P262" s="52" t="s">
        <v>31</v>
      </c>
      <c r="Q262" s="52" t="s">
        <v>1680</v>
      </c>
      <c r="R262" s="57" t="s">
        <v>153</v>
      </c>
      <c r="S262" s="52" t="s">
        <v>31</v>
      </c>
      <c r="T262" s="52" t="s">
        <v>153</v>
      </c>
      <c r="U262" s="52" t="s">
        <v>31</v>
      </c>
    </row>
    <row r="263" spans="1:27" ht="17.25" customHeight="1" x14ac:dyDescent="0.35">
      <c r="A263" s="57">
        <v>13001</v>
      </c>
      <c r="B263" s="57" t="s">
        <v>1498</v>
      </c>
      <c r="C263" s="108" t="s">
        <v>1526</v>
      </c>
      <c r="D263" s="57" t="s">
        <v>1526</v>
      </c>
      <c r="E263" s="93">
        <v>5</v>
      </c>
      <c r="F263" s="57" t="s">
        <v>769</v>
      </c>
      <c r="G263" s="57" t="s">
        <v>12</v>
      </c>
      <c r="H263" s="57" t="s">
        <v>12</v>
      </c>
      <c r="I263" s="57" t="s">
        <v>12</v>
      </c>
      <c r="J263" s="116" t="s">
        <v>13</v>
      </c>
      <c r="K263" s="57">
        <v>1</v>
      </c>
      <c r="L263" s="57">
        <v>14332</v>
      </c>
      <c r="M263" s="57" t="s">
        <v>12</v>
      </c>
      <c r="N263" s="57" t="s">
        <v>14</v>
      </c>
      <c r="O263" s="57" t="s">
        <v>14</v>
      </c>
      <c r="P263" s="57" t="s">
        <v>14</v>
      </c>
      <c r="Q263" s="57" t="s">
        <v>12</v>
      </c>
      <c r="R263" s="57" t="s">
        <v>12</v>
      </c>
      <c r="S263" s="57" t="s">
        <v>14</v>
      </c>
      <c r="T263" s="57" t="s">
        <v>12</v>
      </c>
      <c r="U263" s="57" t="s">
        <v>14</v>
      </c>
      <c r="V263" s="76"/>
      <c r="W263" s="76"/>
      <c r="X263" s="76"/>
      <c r="Y263" s="76"/>
      <c r="Z263" s="76"/>
      <c r="AA263" s="76"/>
    </row>
    <row r="264" spans="1:27" ht="17.25" customHeight="1" x14ac:dyDescent="0.35">
      <c r="A264" s="57">
        <v>13002</v>
      </c>
      <c r="B264" s="57" t="s">
        <v>1499</v>
      </c>
      <c r="C264" s="108" t="s">
        <v>1526</v>
      </c>
      <c r="D264" s="57" t="s">
        <v>1526</v>
      </c>
      <c r="E264" s="93">
        <v>5</v>
      </c>
      <c r="F264" s="57" t="s">
        <v>769</v>
      </c>
      <c r="G264" s="57" t="s">
        <v>12</v>
      </c>
      <c r="H264" s="57" t="s">
        <v>12</v>
      </c>
      <c r="I264" s="57" t="s">
        <v>12</v>
      </c>
      <c r="J264" s="116" t="s">
        <v>13</v>
      </c>
      <c r="K264" s="57">
        <v>1</v>
      </c>
      <c r="L264" s="57">
        <v>14332</v>
      </c>
      <c r="M264" s="57" t="s">
        <v>12</v>
      </c>
      <c r="N264" s="57" t="s">
        <v>14</v>
      </c>
      <c r="O264" s="57" t="s">
        <v>14</v>
      </c>
      <c r="P264" s="57" t="s">
        <v>14</v>
      </c>
      <c r="Q264" s="57" t="s">
        <v>12</v>
      </c>
      <c r="R264" s="57" t="s">
        <v>12</v>
      </c>
      <c r="S264" s="57" t="s">
        <v>14</v>
      </c>
      <c r="T264" s="57" t="s">
        <v>12</v>
      </c>
      <c r="U264" s="57" t="s">
        <v>14</v>
      </c>
      <c r="V264" s="76"/>
      <c r="W264" s="76"/>
      <c r="X264" s="76"/>
      <c r="Y264" s="76"/>
      <c r="Z264" s="76"/>
      <c r="AA264" s="76"/>
    </row>
    <row r="265" spans="1:27" x14ac:dyDescent="0.35">
      <c r="A265" s="57">
        <v>13003</v>
      </c>
      <c r="B265" s="57" t="s">
        <v>1500</v>
      </c>
      <c r="C265" s="108" t="s">
        <v>1525</v>
      </c>
      <c r="D265" s="57" t="s">
        <v>1525</v>
      </c>
      <c r="E265" s="93">
        <v>5</v>
      </c>
      <c r="F265" s="57" t="s">
        <v>769</v>
      </c>
      <c r="G265" s="57" t="s">
        <v>12</v>
      </c>
      <c r="H265" s="57" t="s">
        <v>12</v>
      </c>
      <c r="I265" s="57" t="s">
        <v>12</v>
      </c>
      <c r="J265" s="116" t="s">
        <v>13</v>
      </c>
      <c r="K265" s="57">
        <v>1</v>
      </c>
      <c r="L265" s="57">
        <v>14332</v>
      </c>
      <c r="M265" s="57" t="s">
        <v>12</v>
      </c>
      <c r="N265" s="57" t="s">
        <v>14</v>
      </c>
      <c r="O265" s="57" t="s">
        <v>14</v>
      </c>
      <c r="P265" s="57" t="s">
        <v>14</v>
      </c>
      <c r="Q265" s="57" t="s">
        <v>12</v>
      </c>
      <c r="R265" s="57" t="s">
        <v>12</v>
      </c>
      <c r="S265" s="57" t="s">
        <v>14</v>
      </c>
      <c r="T265" s="57" t="s">
        <v>12</v>
      </c>
      <c r="U265" s="57" t="s">
        <v>14</v>
      </c>
      <c r="V265" s="76"/>
      <c r="W265" s="76"/>
      <c r="X265" s="76"/>
      <c r="Y265" s="76"/>
      <c r="Z265" s="76"/>
      <c r="AA265" s="76"/>
    </row>
    <row r="266" spans="1:27" x14ac:dyDescent="0.35">
      <c r="A266" s="57">
        <v>13004</v>
      </c>
      <c r="B266" s="57" t="s">
        <v>1501</v>
      </c>
      <c r="C266" s="108" t="s">
        <v>1525</v>
      </c>
      <c r="D266" s="57" t="s">
        <v>1525</v>
      </c>
      <c r="E266" s="93">
        <v>5</v>
      </c>
      <c r="F266" s="57" t="s">
        <v>769</v>
      </c>
      <c r="G266" s="57" t="s">
        <v>12</v>
      </c>
      <c r="H266" s="57" t="s">
        <v>12</v>
      </c>
      <c r="I266" s="57" t="s">
        <v>12</v>
      </c>
      <c r="J266" s="116" t="s">
        <v>13</v>
      </c>
      <c r="K266" s="57">
        <v>1</v>
      </c>
      <c r="L266" s="57">
        <v>14332</v>
      </c>
      <c r="M266" s="57" t="s">
        <v>12</v>
      </c>
      <c r="N266" s="57" t="s">
        <v>14</v>
      </c>
      <c r="O266" s="57" t="s">
        <v>14</v>
      </c>
      <c r="P266" s="57" t="s">
        <v>14</v>
      </c>
      <c r="Q266" s="57" t="s">
        <v>12</v>
      </c>
      <c r="R266" s="57" t="s">
        <v>12</v>
      </c>
      <c r="S266" s="57" t="s">
        <v>14</v>
      </c>
      <c r="T266" s="57" t="s">
        <v>12</v>
      </c>
      <c r="U266" s="57" t="s">
        <v>14</v>
      </c>
      <c r="V266" s="76"/>
      <c r="W266" s="76"/>
      <c r="X266" s="76"/>
      <c r="Y266" s="76"/>
      <c r="Z266" s="76"/>
      <c r="AA266" s="76"/>
    </row>
    <row r="267" spans="1:27" x14ac:dyDescent="0.35">
      <c r="A267" s="57">
        <v>13005</v>
      </c>
      <c r="B267" s="57" t="s">
        <v>1502</v>
      </c>
      <c r="C267" s="108" t="s">
        <v>1525</v>
      </c>
      <c r="D267" s="57" t="s">
        <v>1525</v>
      </c>
      <c r="E267" s="93">
        <v>5</v>
      </c>
      <c r="F267" s="57" t="s">
        <v>769</v>
      </c>
      <c r="G267" s="57" t="s">
        <v>12</v>
      </c>
      <c r="H267" s="57" t="s">
        <v>12</v>
      </c>
      <c r="I267" s="57" t="s">
        <v>12</v>
      </c>
      <c r="J267" s="116" t="s">
        <v>13</v>
      </c>
      <c r="K267" s="57">
        <v>1</v>
      </c>
      <c r="L267" s="57">
        <v>14332</v>
      </c>
      <c r="M267" s="57" t="s">
        <v>12</v>
      </c>
      <c r="N267" s="57" t="s">
        <v>14</v>
      </c>
      <c r="O267" s="57" t="s">
        <v>14</v>
      </c>
      <c r="P267" s="57" t="s">
        <v>14</v>
      </c>
      <c r="Q267" s="57" t="s">
        <v>12</v>
      </c>
      <c r="R267" s="57" t="s">
        <v>12</v>
      </c>
      <c r="S267" s="57" t="s">
        <v>14</v>
      </c>
      <c r="T267" s="57" t="s">
        <v>12</v>
      </c>
      <c r="U267" s="57" t="s">
        <v>14</v>
      </c>
      <c r="V267" s="76"/>
      <c r="W267" s="76"/>
      <c r="X267" s="76"/>
      <c r="Y267" s="76"/>
      <c r="Z267" s="76"/>
      <c r="AA267" s="76"/>
    </row>
    <row r="268" spans="1:27" x14ac:dyDescent="0.35">
      <c r="A268" s="57">
        <v>13006</v>
      </c>
      <c r="B268" s="57" t="s">
        <v>1503</v>
      </c>
      <c r="C268" s="108" t="s">
        <v>1525</v>
      </c>
      <c r="D268" s="57" t="s">
        <v>1525</v>
      </c>
      <c r="E268" s="93">
        <v>5</v>
      </c>
      <c r="F268" s="57" t="s">
        <v>769</v>
      </c>
      <c r="G268" s="57" t="s">
        <v>12</v>
      </c>
      <c r="H268" s="57" t="s">
        <v>12</v>
      </c>
      <c r="I268" s="57" t="s">
        <v>12</v>
      </c>
      <c r="J268" s="116" t="s">
        <v>13</v>
      </c>
      <c r="K268" s="57">
        <v>1</v>
      </c>
      <c r="L268" s="57">
        <v>14332</v>
      </c>
      <c r="M268" s="57" t="s">
        <v>12</v>
      </c>
      <c r="N268" s="57" t="s">
        <v>14</v>
      </c>
      <c r="O268" s="57" t="s">
        <v>14</v>
      </c>
      <c r="P268" s="57" t="s">
        <v>14</v>
      </c>
      <c r="Q268" s="57" t="s">
        <v>12</v>
      </c>
      <c r="R268" s="57" t="s">
        <v>12</v>
      </c>
      <c r="S268" s="57" t="s">
        <v>14</v>
      </c>
      <c r="T268" s="57" t="s">
        <v>12</v>
      </c>
      <c r="U268" s="57" t="s">
        <v>14</v>
      </c>
      <c r="V268" s="76"/>
      <c r="W268" s="76"/>
      <c r="X268" s="76"/>
      <c r="Y268" s="76"/>
      <c r="Z268" s="76"/>
      <c r="AA268" s="76"/>
    </row>
    <row r="269" spans="1:27" x14ac:dyDescent="0.35">
      <c r="A269" s="57">
        <v>13007</v>
      </c>
      <c r="B269" s="57" t="s">
        <v>1504</v>
      </c>
      <c r="C269" s="108" t="s">
        <v>1525</v>
      </c>
      <c r="D269" s="57" t="s">
        <v>1525</v>
      </c>
      <c r="E269" s="93">
        <v>5</v>
      </c>
      <c r="F269" s="57" t="s">
        <v>769</v>
      </c>
      <c r="G269" s="57" t="s">
        <v>12</v>
      </c>
      <c r="H269" s="57" t="s">
        <v>12</v>
      </c>
      <c r="I269" s="57" t="s">
        <v>12</v>
      </c>
      <c r="J269" s="116" t="s">
        <v>13</v>
      </c>
      <c r="K269" s="57">
        <v>1</v>
      </c>
      <c r="L269" s="57">
        <v>14332</v>
      </c>
      <c r="M269" s="57" t="s">
        <v>12</v>
      </c>
      <c r="N269" s="57" t="s">
        <v>14</v>
      </c>
      <c r="O269" s="57" t="s">
        <v>14</v>
      </c>
      <c r="P269" s="57" t="s">
        <v>14</v>
      </c>
      <c r="Q269" s="57" t="s">
        <v>12</v>
      </c>
      <c r="R269" s="57" t="s">
        <v>12</v>
      </c>
      <c r="S269" s="57" t="s">
        <v>14</v>
      </c>
      <c r="T269" s="57" t="s">
        <v>12</v>
      </c>
      <c r="U269" s="57" t="s">
        <v>14</v>
      </c>
      <c r="V269" s="76"/>
      <c r="W269" s="76"/>
      <c r="X269" s="76"/>
      <c r="Y269" s="76"/>
      <c r="Z269" s="76"/>
      <c r="AA269" s="76"/>
    </row>
    <row r="270" spans="1:27" x14ac:dyDescent="0.35">
      <c r="A270" s="57">
        <v>13008</v>
      </c>
      <c r="B270" s="57" t="s">
        <v>1505</v>
      </c>
      <c r="C270" s="108" t="s">
        <v>1525</v>
      </c>
      <c r="D270" s="57" t="s">
        <v>1525</v>
      </c>
      <c r="E270" s="93">
        <v>5</v>
      </c>
      <c r="F270" s="57" t="s">
        <v>769</v>
      </c>
      <c r="G270" s="57" t="s">
        <v>12</v>
      </c>
      <c r="H270" s="57" t="s">
        <v>12</v>
      </c>
      <c r="I270" s="57" t="s">
        <v>12</v>
      </c>
      <c r="J270" s="116" t="s">
        <v>13</v>
      </c>
      <c r="K270" s="57">
        <v>1</v>
      </c>
      <c r="L270" s="57">
        <v>14332</v>
      </c>
      <c r="M270" s="57" t="s">
        <v>12</v>
      </c>
      <c r="N270" s="57" t="s">
        <v>14</v>
      </c>
      <c r="O270" s="57" t="s">
        <v>14</v>
      </c>
      <c r="P270" s="57" t="s">
        <v>14</v>
      </c>
      <c r="Q270" s="57" t="s">
        <v>12</v>
      </c>
      <c r="R270" s="57" t="s">
        <v>12</v>
      </c>
      <c r="S270" s="57" t="s">
        <v>14</v>
      </c>
      <c r="T270" s="57" t="s">
        <v>12</v>
      </c>
      <c r="U270" s="57" t="s">
        <v>14</v>
      </c>
      <c r="V270" s="76"/>
      <c r="W270" s="76"/>
      <c r="X270" s="76"/>
      <c r="Y270" s="76"/>
      <c r="Z270" s="76"/>
      <c r="AA270" s="76"/>
    </row>
    <row r="271" spans="1:27" s="71" customFormat="1" ht="15" customHeight="1" x14ac:dyDescent="0.35">
      <c r="A271" s="57">
        <v>13009</v>
      </c>
      <c r="B271" s="57" t="s">
        <v>1506</v>
      </c>
      <c r="C271" s="108" t="s">
        <v>1525</v>
      </c>
      <c r="D271" s="57" t="s">
        <v>1525</v>
      </c>
      <c r="E271" s="93">
        <v>5</v>
      </c>
      <c r="F271" s="57" t="s">
        <v>769</v>
      </c>
      <c r="G271" s="57" t="s">
        <v>12</v>
      </c>
      <c r="H271" s="57" t="s">
        <v>12</v>
      </c>
      <c r="I271" s="57" t="s">
        <v>12</v>
      </c>
      <c r="J271" s="116" t="s">
        <v>13</v>
      </c>
      <c r="K271" s="57">
        <v>1</v>
      </c>
      <c r="L271" s="57">
        <v>14332</v>
      </c>
      <c r="M271" s="57" t="s">
        <v>12</v>
      </c>
      <c r="N271" s="57" t="s">
        <v>14</v>
      </c>
      <c r="O271" s="57" t="s">
        <v>14</v>
      </c>
      <c r="P271" s="57" t="s">
        <v>14</v>
      </c>
      <c r="Q271" s="57" t="s">
        <v>12</v>
      </c>
      <c r="R271" s="57" t="s">
        <v>12</v>
      </c>
      <c r="S271" s="57" t="s">
        <v>14</v>
      </c>
      <c r="T271" s="57" t="s">
        <v>12</v>
      </c>
      <c r="U271" s="57" t="s">
        <v>14</v>
      </c>
      <c r="V271" s="76"/>
      <c r="W271" s="76"/>
      <c r="X271" s="76"/>
      <c r="Y271" s="76"/>
      <c r="Z271" s="76"/>
      <c r="AA271" s="76"/>
    </row>
    <row r="272" spans="1:27" ht="15" customHeight="1" x14ac:dyDescent="0.35">
      <c r="A272" s="57">
        <v>13010</v>
      </c>
      <c r="B272" s="57" t="s">
        <v>1507</v>
      </c>
      <c r="C272" s="108" t="s">
        <v>1525</v>
      </c>
      <c r="D272" s="57" t="s">
        <v>1525</v>
      </c>
      <c r="E272" s="93">
        <v>5</v>
      </c>
      <c r="F272" s="57" t="s">
        <v>769</v>
      </c>
      <c r="G272" s="57" t="s">
        <v>12</v>
      </c>
      <c r="H272" s="57" t="s">
        <v>12</v>
      </c>
      <c r="I272" s="57" t="s">
        <v>12</v>
      </c>
      <c r="J272" s="116" t="s">
        <v>13</v>
      </c>
      <c r="K272" s="57">
        <v>1</v>
      </c>
      <c r="L272" s="57">
        <v>14332</v>
      </c>
      <c r="M272" s="57" t="s">
        <v>12</v>
      </c>
      <c r="N272" s="57" t="s">
        <v>14</v>
      </c>
      <c r="O272" s="57" t="s">
        <v>14</v>
      </c>
      <c r="P272" s="57" t="s">
        <v>14</v>
      </c>
      <c r="Q272" s="57" t="s">
        <v>12</v>
      </c>
      <c r="R272" s="57" t="s">
        <v>12</v>
      </c>
      <c r="S272" s="57" t="s">
        <v>14</v>
      </c>
      <c r="T272" s="57" t="s">
        <v>12</v>
      </c>
      <c r="U272" s="57" t="s">
        <v>14</v>
      </c>
      <c r="V272" s="76"/>
      <c r="W272" s="76"/>
      <c r="X272" s="76"/>
      <c r="Y272" s="76"/>
      <c r="Z272" s="76"/>
      <c r="AA272" s="76"/>
    </row>
    <row r="273" spans="1:27" ht="15" customHeight="1" x14ac:dyDescent="0.35">
      <c r="A273" s="57">
        <v>13011</v>
      </c>
      <c r="B273" s="57" t="s">
        <v>1508</v>
      </c>
      <c r="C273" s="108" t="s">
        <v>1525</v>
      </c>
      <c r="D273" s="57" t="s">
        <v>1525</v>
      </c>
      <c r="E273" s="93">
        <v>5</v>
      </c>
      <c r="F273" s="57" t="s">
        <v>769</v>
      </c>
      <c r="G273" s="57" t="s">
        <v>12</v>
      </c>
      <c r="H273" s="57" t="s">
        <v>12</v>
      </c>
      <c r="I273" s="57" t="s">
        <v>12</v>
      </c>
      <c r="J273" s="116" t="s">
        <v>13</v>
      </c>
      <c r="K273" s="57">
        <v>1</v>
      </c>
      <c r="L273" s="57">
        <v>14332</v>
      </c>
      <c r="M273" s="57" t="s">
        <v>12</v>
      </c>
      <c r="N273" s="57" t="s">
        <v>14</v>
      </c>
      <c r="O273" s="57" t="s">
        <v>14</v>
      </c>
      <c r="P273" s="57" t="s">
        <v>14</v>
      </c>
      <c r="Q273" s="57" t="s">
        <v>12</v>
      </c>
      <c r="R273" s="57" t="s">
        <v>12</v>
      </c>
      <c r="S273" s="57" t="s">
        <v>14</v>
      </c>
      <c r="T273" s="57" t="s">
        <v>12</v>
      </c>
      <c r="U273" s="57" t="s">
        <v>14</v>
      </c>
      <c r="V273" s="76"/>
      <c r="W273" s="76"/>
      <c r="X273" s="76"/>
      <c r="Y273" s="76"/>
      <c r="Z273" s="76"/>
      <c r="AA273" s="76"/>
    </row>
    <row r="274" spans="1:27" ht="15" customHeight="1" x14ac:dyDescent="0.35">
      <c r="A274" s="57">
        <v>13012</v>
      </c>
      <c r="B274" s="57" t="s">
        <v>1509</v>
      </c>
      <c r="C274" s="108" t="s">
        <v>1525</v>
      </c>
      <c r="D274" s="57" t="s">
        <v>1525</v>
      </c>
      <c r="E274" s="93">
        <v>5</v>
      </c>
      <c r="F274" s="57" t="s">
        <v>769</v>
      </c>
      <c r="G274" s="57" t="s">
        <v>12</v>
      </c>
      <c r="H274" s="57" t="s">
        <v>12</v>
      </c>
      <c r="I274" s="57" t="s">
        <v>12</v>
      </c>
      <c r="J274" s="116" t="s">
        <v>13</v>
      </c>
      <c r="K274" s="57">
        <v>1</v>
      </c>
      <c r="L274" s="57">
        <v>14332</v>
      </c>
      <c r="M274" s="57" t="s">
        <v>12</v>
      </c>
      <c r="N274" s="57" t="s">
        <v>14</v>
      </c>
      <c r="O274" s="57" t="s">
        <v>14</v>
      </c>
      <c r="P274" s="57" t="s">
        <v>14</v>
      </c>
      <c r="Q274" s="57" t="s">
        <v>12</v>
      </c>
      <c r="R274" s="57" t="s">
        <v>12</v>
      </c>
      <c r="S274" s="57" t="s">
        <v>14</v>
      </c>
      <c r="T274" s="57" t="s">
        <v>12</v>
      </c>
      <c r="U274" s="57" t="s">
        <v>14</v>
      </c>
      <c r="V274" s="76"/>
      <c r="W274" s="76"/>
      <c r="X274" s="76"/>
      <c r="Y274" s="76"/>
      <c r="Z274" s="76"/>
      <c r="AA274" s="76"/>
    </row>
    <row r="275" spans="1:27" ht="15" customHeight="1" x14ac:dyDescent="0.35">
      <c r="A275" s="77">
        <v>14001</v>
      </c>
      <c r="B275" s="77" t="s">
        <v>963</v>
      </c>
      <c r="C275" s="105" t="s">
        <v>1617</v>
      </c>
      <c r="D275" s="52" t="s">
        <v>1617</v>
      </c>
      <c r="E275" s="88">
        <v>8</v>
      </c>
      <c r="F275" s="52" t="s">
        <v>12</v>
      </c>
      <c r="G275" s="78">
        <v>2</v>
      </c>
      <c r="H275" s="52" t="s">
        <v>1428</v>
      </c>
      <c r="I275" s="52" t="s">
        <v>1484</v>
      </c>
      <c r="J275" s="113" t="s">
        <v>13</v>
      </c>
      <c r="K275" s="52" t="s">
        <v>13</v>
      </c>
      <c r="L275" s="52">
        <v>14001</v>
      </c>
      <c r="M275" s="52" t="s">
        <v>12</v>
      </c>
      <c r="N275" s="52" t="s">
        <v>40</v>
      </c>
      <c r="O275" s="52" t="s">
        <v>14</v>
      </c>
      <c r="P275" s="52" t="s">
        <v>31</v>
      </c>
      <c r="Q275" s="52" t="s">
        <v>12</v>
      </c>
      <c r="R275" s="57" t="s">
        <v>939</v>
      </c>
      <c r="S275" s="52" t="s">
        <v>14</v>
      </c>
      <c r="T275" s="52" t="s">
        <v>12</v>
      </c>
      <c r="U275" s="52" t="s">
        <v>942</v>
      </c>
    </row>
    <row r="276" spans="1:27" ht="15" customHeight="1" x14ac:dyDescent="0.35">
      <c r="A276" s="60">
        <v>14002</v>
      </c>
      <c r="B276" s="60" t="s">
        <v>964</v>
      </c>
      <c r="C276" s="105" t="s">
        <v>937</v>
      </c>
      <c r="D276" s="52" t="s">
        <v>937</v>
      </c>
      <c r="E276" s="88">
        <v>8</v>
      </c>
      <c r="F276" s="52" t="s">
        <v>12</v>
      </c>
      <c r="G276" s="57" t="s">
        <v>1318</v>
      </c>
      <c r="H276" s="52" t="s">
        <v>1428</v>
      </c>
      <c r="I276" s="52" t="s">
        <v>1484</v>
      </c>
      <c r="J276" s="113" t="s">
        <v>13</v>
      </c>
      <c r="K276" s="52" t="s">
        <v>24</v>
      </c>
      <c r="L276" s="52">
        <v>14002</v>
      </c>
      <c r="M276" s="52" t="s">
        <v>12</v>
      </c>
      <c r="N276" s="52" t="s">
        <v>40</v>
      </c>
      <c r="O276" s="52" t="s">
        <v>14</v>
      </c>
      <c r="P276" s="52" t="s">
        <v>40</v>
      </c>
      <c r="Q276" s="52" t="s">
        <v>12</v>
      </c>
      <c r="R276" s="57" t="s">
        <v>940</v>
      </c>
      <c r="S276" s="52" t="s">
        <v>14</v>
      </c>
      <c r="T276" s="52" t="s">
        <v>12</v>
      </c>
      <c r="U276" s="52" t="s">
        <v>943</v>
      </c>
    </row>
    <row r="277" spans="1:27" ht="17.25" customHeight="1" x14ac:dyDescent="0.35">
      <c r="A277" s="61">
        <v>14003</v>
      </c>
      <c r="B277" s="61" t="s">
        <v>965</v>
      </c>
      <c r="C277" s="105" t="s">
        <v>865</v>
      </c>
      <c r="D277" s="52" t="s">
        <v>865</v>
      </c>
      <c r="E277" s="88">
        <v>8</v>
      </c>
      <c r="F277" s="52" t="s">
        <v>12</v>
      </c>
      <c r="G277" s="57" t="s">
        <v>1318</v>
      </c>
      <c r="H277" s="52" t="s">
        <v>1428</v>
      </c>
      <c r="I277" s="52" t="s">
        <v>1484</v>
      </c>
      <c r="J277" s="113" t="s">
        <v>13</v>
      </c>
      <c r="K277" s="52" t="s">
        <v>25</v>
      </c>
      <c r="L277" s="52">
        <v>14003</v>
      </c>
      <c r="M277" s="52" t="s">
        <v>12</v>
      </c>
      <c r="N277" s="52" t="s">
        <v>14</v>
      </c>
      <c r="O277" s="52" t="s">
        <v>14</v>
      </c>
      <c r="P277" s="52" t="s">
        <v>31</v>
      </c>
      <c r="Q277" s="52" t="s">
        <v>12</v>
      </c>
      <c r="R277" s="57" t="s">
        <v>692</v>
      </c>
      <c r="S277" s="52" t="s">
        <v>14</v>
      </c>
      <c r="T277" s="52" t="s">
        <v>12</v>
      </c>
      <c r="U277" s="52" t="s">
        <v>944</v>
      </c>
    </row>
    <row r="278" spans="1:27" ht="17.25" customHeight="1" x14ac:dyDescent="0.35">
      <c r="A278" s="65">
        <v>14004</v>
      </c>
      <c r="B278" s="65" t="s">
        <v>966</v>
      </c>
      <c r="C278" s="105" t="s">
        <v>938</v>
      </c>
      <c r="D278" s="52" t="s">
        <v>938</v>
      </c>
      <c r="E278" s="88">
        <v>8</v>
      </c>
      <c r="F278" s="52" t="s">
        <v>12</v>
      </c>
      <c r="G278" s="57" t="s">
        <v>1317</v>
      </c>
      <c r="H278" s="52" t="s">
        <v>1428</v>
      </c>
      <c r="I278" s="52" t="s">
        <v>1484</v>
      </c>
      <c r="J278" s="113" t="s">
        <v>13</v>
      </c>
      <c r="K278" s="52" t="s">
        <v>26</v>
      </c>
      <c r="L278" s="52">
        <v>14004</v>
      </c>
      <c r="M278" s="52" t="s">
        <v>12</v>
      </c>
      <c r="N278" s="52" t="s">
        <v>14</v>
      </c>
      <c r="O278" s="52" t="s">
        <v>40</v>
      </c>
      <c r="P278" s="52" t="s">
        <v>31</v>
      </c>
      <c r="Q278" s="52" t="s">
        <v>12</v>
      </c>
      <c r="R278" s="57" t="s">
        <v>941</v>
      </c>
      <c r="S278" s="52" t="s">
        <v>14</v>
      </c>
      <c r="T278" s="52" t="s">
        <v>12</v>
      </c>
      <c r="U278" s="52" t="s">
        <v>945</v>
      </c>
    </row>
    <row r="279" spans="1:27" s="71" customFormat="1" ht="17.25" customHeight="1" x14ac:dyDescent="0.35">
      <c r="A279" s="61">
        <v>14005</v>
      </c>
      <c r="B279" s="61" t="s">
        <v>346</v>
      </c>
      <c r="C279" s="105" t="s">
        <v>1491</v>
      </c>
      <c r="D279" s="52" t="s">
        <v>1491</v>
      </c>
      <c r="E279" s="88">
        <v>15</v>
      </c>
      <c r="F279" s="52" t="s">
        <v>12</v>
      </c>
      <c r="G279" s="57" t="s">
        <v>12</v>
      </c>
      <c r="H279" s="52" t="s">
        <v>1473</v>
      </c>
      <c r="I279" s="52" t="s">
        <v>1485</v>
      </c>
      <c r="J279" s="113" t="s">
        <v>30</v>
      </c>
      <c r="K279" s="52">
        <v>3</v>
      </c>
      <c r="L279" s="52">
        <v>14005</v>
      </c>
      <c r="M279" s="52" t="s">
        <v>12</v>
      </c>
      <c r="N279" s="52" t="s">
        <v>14</v>
      </c>
      <c r="O279" s="52" t="s">
        <v>40</v>
      </c>
      <c r="P279" s="52" t="s">
        <v>31</v>
      </c>
      <c r="Q279" s="52" t="s">
        <v>12</v>
      </c>
      <c r="R279" s="57" t="s">
        <v>70</v>
      </c>
      <c r="S279" s="52" t="s">
        <v>14</v>
      </c>
      <c r="T279" s="52" t="s">
        <v>12</v>
      </c>
      <c r="U279" s="52" t="s">
        <v>14</v>
      </c>
      <c r="V279" s="53"/>
      <c r="W279" s="53"/>
      <c r="X279" s="53"/>
      <c r="Y279" s="53"/>
      <c r="Z279" s="53"/>
      <c r="AA279" s="53"/>
    </row>
    <row r="280" spans="1:27" s="71" customFormat="1" ht="17.25" customHeight="1" x14ac:dyDescent="0.35">
      <c r="A280" s="65">
        <v>14006</v>
      </c>
      <c r="B280" s="65" t="s">
        <v>1900</v>
      </c>
      <c r="C280" s="105" t="s">
        <v>1901</v>
      </c>
      <c r="D280" s="52" t="s">
        <v>1901</v>
      </c>
      <c r="E280" s="88">
        <v>15</v>
      </c>
      <c r="F280" s="52" t="s">
        <v>12</v>
      </c>
      <c r="G280" s="57" t="s">
        <v>12</v>
      </c>
      <c r="H280" s="52" t="s">
        <v>1474</v>
      </c>
      <c r="I280" s="52" t="s">
        <v>1485</v>
      </c>
      <c r="J280" s="113" t="s">
        <v>35</v>
      </c>
      <c r="K280" s="52">
        <v>4</v>
      </c>
      <c r="L280" s="52">
        <v>14006</v>
      </c>
      <c r="M280" s="52" t="s">
        <v>12</v>
      </c>
      <c r="N280" s="52" t="s">
        <v>14</v>
      </c>
      <c r="O280" s="52" t="s">
        <v>31</v>
      </c>
      <c r="P280" s="52" t="s">
        <v>31</v>
      </c>
      <c r="Q280" s="52" t="s">
        <v>12</v>
      </c>
      <c r="R280" s="57" t="s">
        <v>70</v>
      </c>
      <c r="S280" s="52" t="s">
        <v>14</v>
      </c>
      <c r="T280" s="52" t="s">
        <v>12</v>
      </c>
      <c r="U280" s="52" t="s">
        <v>14</v>
      </c>
      <c r="V280" s="53"/>
      <c r="W280" s="53"/>
      <c r="X280" s="53"/>
      <c r="Y280" s="53"/>
      <c r="Z280" s="53"/>
      <c r="AA280" s="53"/>
    </row>
    <row r="281" spans="1:27" ht="17.25" customHeight="1" x14ac:dyDescent="0.35">
      <c r="A281" s="57">
        <v>14007</v>
      </c>
      <c r="B281" s="57" t="s">
        <v>1510</v>
      </c>
      <c r="C281" s="108" t="s">
        <v>1525</v>
      </c>
      <c r="D281" s="57" t="s">
        <v>1525</v>
      </c>
      <c r="E281" s="93">
        <v>5</v>
      </c>
      <c r="F281" s="57" t="s">
        <v>769</v>
      </c>
      <c r="G281" s="57" t="s">
        <v>12</v>
      </c>
      <c r="H281" s="57" t="s">
        <v>12</v>
      </c>
      <c r="I281" s="57" t="s">
        <v>12</v>
      </c>
      <c r="J281" s="116" t="s">
        <v>13</v>
      </c>
      <c r="K281" s="57">
        <v>1</v>
      </c>
      <c r="L281" s="57">
        <v>14332</v>
      </c>
      <c r="M281" s="57" t="s">
        <v>12</v>
      </c>
      <c r="N281" s="57" t="s">
        <v>14</v>
      </c>
      <c r="O281" s="57" t="s">
        <v>14</v>
      </c>
      <c r="P281" s="57" t="s">
        <v>14</v>
      </c>
      <c r="Q281" s="57" t="s">
        <v>12</v>
      </c>
      <c r="R281" s="57" t="s">
        <v>12</v>
      </c>
      <c r="S281" s="57" t="s">
        <v>14</v>
      </c>
      <c r="T281" s="57" t="s">
        <v>12</v>
      </c>
      <c r="U281" s="57" t="s">
        <v>14</v>
      </c>
      <c r="V281" s="76"/>
      <c r="W281" s="76"/>
      <c r="X281" s="76"/>
      <c r="Y281" s="76"/>
      <c r="Z281" s="76"/>
      <c r="AA281" s="76"/>
    </row>
    <row r="282" spans="1:27" ht="17.25" customHeight="1" x14ac:dyDescent="0.35">
      <c r="A282" s="57">
        <v>14008</v>
      </c>
      <c r="B282" s="57" t="s">
        <v>1511</v>
      </c>
      <c r="C282" s="108" t="s">
        <v>1525</v>
      </c>
      <c r="D282" s="57" t="s">
        <v>1525</v>
      </c>
      <c r="E282" s="93">
        <v>5</v>
      </c>
      <c r="F282" s="57" t="s">
        <v>769</v>
      </c>
      <c r="G282" s="57" t="s">
        <v>12</v>
      </c>
      <c r="H282" s="57" t="s">
        <v>12</v>
      </c>
      <c r="I282" s="57" t="s">
        <v>12</v>
      </c>
      <c r="J282" s="116" t="s">
        <v>13</v>
      </c>
      <c r="K282" s="57">
        <v>1</v>
      </c>
      <c r="L282" s="57">
        <v>14332</v>
      </c>
      <c r="M282" s="57" t="s">
        <v>12</v>
      </c>
      <c r="N282" s="57" t="s">
        <v>14</v>
      </c>
      <c r="O282" s="57" t="s">
        <v>14</v>
      </c>
      <c r="P282" s="57" t="s">
        <v>14</v>
      </c>
      <c r="Q282" s="57" t="s">
        <v>12</v>
      </c>
      <c r="R282" s="57" t="s">
        <v>12</v>
      </c>
      <c r="S282" s="57" t="s">
        <v>14</v>
      </c>
      <c r="T282" s="57" t="s">
        <v>12</v>
      </c>
      <c r="U282" s="57" t="s">
        <v>14</v>
      </c>
      <c r="V282" s="76"/>
      <c r="W282" s="76"/>
      <c r="X282" s="76"/>
      <c r="Y282" s="76"/>
      <c r="Z282" s="76"/>
      <c r="AA282" s="76"/>
    </row>
    <row r="283" spans="1:27" ht="17.25" customHeight="1" x14ac:dyDescent="0.35">
      <c r="A283" s="57">
        <v>14009</v>
      </c>
      <c r="B283" s="57" t="s">
        <v>1512</v>
      </c>
      <c r="C283" s="108" t="s">
        <v>1525</v>
      </c>
      <c r="D283" s="57" t="s">
        <v>1525</v>
      </c>
      <c r="E283" s="93">
        <v>5</v>
      </c>
      <c r="F283" s="57" t="s">
        <v>769</v>
      </c>
      <c r="G283" s="57" t="s">
        <v>12</v>
      </c>
      <c r="H283" s="57" t="s">
        <v>12</v>
      </c>
      <c r="I283" s="57" t="s">
        <v>12</v>
      </c>
      <c r="J283" s="116" t="s">
        <v>13</v>
      </c>
      <c r="K283" s="57">
        <v>1</v>
      </c>
      <c r="L283" s="57">
        <v>14332</v>
      </c>
      <c r="M283" s="57" t="s">
        <v>12</v>
      </c>
      <c r="N283" s="57" t="s">
        <v>14</v>
      </c>
      <c r="O283" s="57" t="s">
        <v>14</v>
      </c>
      <c r="P283" s="57" t="s">
        <v>14</v>
      </c>
      <c r="Q283" s="57" t="s">
        <v>12</v>
      </c>
      <c r="R283" s="57" t="s">
        <v>12</v>
      </c>
      <c r="S283" s="57" t="s">
        <v>14</v>
      </c>
      <c r="T283" s="57" t="s">
        <v>12</v>
      </c>
      <c r="U283" s="57" t="s">
        <v>14</v>
      </c>
      <c r="V283" s="76"/>
      <c r="W283" s="76"/>
      <c r="X283" s="76"/>
      <c r="Y283" s="76"/>
      <c r="Z283" s="76"/>
      <c r="AA283" s="76"/>
    </row>
    <row r="284" spans="1:27" ht="17.25" customHeight="1" x14ac:dyDescent="0.35">
      <c r="A284" s="61">
        <v>14101</v>
      </c>
      <c r="B284" s="61" t="s">
        <v>1832</v>
      </c>
      <c r="C284" s="105" t="s">
        <v>1527</v>
      </c>
      <c r="D284" s="52" t="s">
        <v>1527</v>
      </c>
      <c r="E284" s="88">
        <v>5</v>
      </c>
      <c r="F284" s="52">
        <v>49001</v>
      </c>
      <c r="G284" s="57" t="s">
        <v>173</v>
      </c>
      <c r="H284" s="52" t="s">
        <v>1471</v>
      </c>
      <c r="I284" s="52" t="s">
        <v>70</v>
      </c>
      <c r="J284" s="113" t="s">
        <v>30</v>
      </c>
      <c r="K284" s="52">
        <v>3</v>
      </c>
      <c r="L284" s="52">
        <v>14000</v>
      </c>
      <c r="M284" s="52" t="s">
        <v>12</v>
      </c>
      <c r="N284" s="52" t="s">
        <v>14</v>
      </c>
      <c r="O284" s="52" t="s">
        <v>14</v>
      </c>
      <c r="P284" s="52" t="s">
        <v>31</v>
      </c>
      <c r="Q284" s="52" t="s">
        <v>12</v>
      </c>
      <c r="R284" s="57" t="s">
        <v>70</v>
      </c>
      <c r="S284" s="52" t="s">
        <v>14</v>
      </c>
      <c r="T284" s="52" t="s">
        <v>12</v>
      </c>
      <c r="U284" s="52" t="s">
        <v>14</v>
      </c>
    </row>
    <row r="285" spans="1:27" ht="17.25" customHeight="1" x14ac:dyDescent="0.35">
      <c r="A285" s="61">
        <v>14102</v>
      </c>
      <c r="B285" s="61" t="s">
        <v>2051</v>
      </c>
      <c r="C285" s="105" t="s">
        <v>2052</v>
      </c>
      <c r="D285" s="52" t="s">
        <v>2052</v>
      </c>
      <c r="E285" s="88">
        <v>9</v>
      </c>
      <c r="F285" s="52" t="s">
        <v>12</v>
      </c>
      <c r="G285" s="57" t="s">
        <v>12</v>
      </c>
      <c r="H285" s="52" t="s">
        <v>1424</v>
      </c>
      <c r="I285" s="52" t="s">
        <v>1486</v>
      </c>
      <c r="J285" s="113" t="s">
        <v>30</v>
      </c>
      <c r="K285" s="52">
        <v>3</v>
      </c>
      <c r="L285" s="52">
        <v>14102</v>
      </c>
      <c r="M285" s="52" t="s">
        <v>12</v>
      </c>
      <c r="N285" s="52" t="s">
        <v>14</v>
      </c>
      <c r="O285" s="52" t="s">
        <v>14</v>
      </c>
      <c r="P285" s="52" t="s">
        <v>31</v>
      </c>
      <c r="Q285" s="52" t="s">
        <v>12</v>
      </c>
      <c r="R285" s="57" t="s">
        <v>70</v>
      </c>
      <c r="S285" s="52" t="s">
        <v>14</v>
      </c>
      <c r="T285" s="52" t="s">
        <v>12</v>
      </c>
      <c r="U285" s="52" t="s">
        <v>14</v>
      </c>
    </row>
    <row r="286" spans="1:27" s="71" customFormat="1" ht="17.25" customHeight="1" x14ac:dyDescent="0.35">
      <c r="A286" s="57">
        <v>14103</v>
      </c>
      <c r="B286" s="57" t="s">
        <v>1513</v>
      </c>
      <c r="C286" s="108" t="s">
        <v>1525</v>
      </c>
      <c r="D286" s="57" t="s">
        <v>1525</v>
      </c>
      <c r="E286" s="93">
        <v>5</v>
      </c>
      <c r="F286" s="57" t="s">
        <v>769</v>
      </c>
      <c r="G286" s="57" t="s">
        <v>12</v>
      </c>
      <c r="H286" s="57" t="s">
        <v>12</v>
      </c>
      <c r="I286" s="57" t="s">
        <v>12</v>
      </c>
      <c r="J286" s="116" t="s">
        <v>13</v>
      </c>
      <c r="K286" s="57">
        <v>1</v>
      </c>
      <c r="L286" s="57">
        <v>14332</v>
      </c>
      <c r="M286" s="57" t="s">
        <v>12</v>
      </c>
      <c r="N286" s="57" t="s">
        <v>14</v>
      </c>
      <c r="O286" s="57" t="s">
        <v>14</v>
      </c>
      <c r="P286" s="57" t="s">
        <v>14</v>
      </c>
      <c r="Q286" s="57" t="s">
        <v>12</v>
      </c>
      <c r="R286" s="57" t="s">
        <v>12</v>
      </c>
      <c r="S286" s="57" t="s">
        <v>14</v>
      </c>
      <c r="T286" s="57" t="s">
        <v>12</v>
      </c>
      <c r="U286" s="57" t="s">
        <v>14</v>
      </c>
      <c r="V286" s="76"/>
      <c r="W286" s="76"/>
      <c r="X286" s="76"/>
      <c r="Y286" s="76"/>
      <c r="Z286" s="76"/>
      <c r="AA286" s="76"/>
    </row>
    <row r="287" spans="1:27" ht="17.25" customHeight="1" x14ac:dyDescent="0.35">
      <c r="A287" s="79">
        <v>14104</v>
      </c>
      <c r="B287" s="79" t="s">
        <v>21</v>
      </c>
      <c r="C287" s="107" t="s">
        <v>868</v>
      </c>
      <c r="D287" s="70" t="s">
        <v>868</v>
      </c>
      <c r="E287" s="92">
        <v>8</v>
      </c>
      <c r="F287" s="52" t="s">
        <v>12</v>
      </c>
      <c r="G287" s="70" t="s">
        <v>1319</v>
      </c>
      <c r="H287" s="70" t="s">
        <v>12</v>
      </c>
      <c r="I287" s="52" t="s">
        <v>70</v>
      </c>
      <c r="J287" s="115" t="s">
        <v>13</v>
      </c>
      <c r="K287" s="70" t="s">
        <v>24</v>
      </c>
      <c r="L287" s="70">
        <v>14104</v>
      </c>
      <c r="M287" s="70" t="s">
        <v>12</v>
      </c>
      <c r="N287" s="70" t="s">
        <v>14</v>
      </c>
      <c r="O287" s="70" t="s">
        <v>14</v>
      </c>
      <c r="P287" s="70" t="s">
        <v>31</v>
      </c>
      <c r="Q287" s="70" t="s">
        <v>12</v>
      </c>
      <c r="R287" s="70" t="s">
        <v>70</v>
      </c>
      <c r="S287" s="70" t="s">
        <v>14</v>
      </c>
      <c r="T287" s="70" t="s">
        <v>12</v>
      </c>
      <c r="U287" s="70" t="s">
        <v>14</v>
      </c>
      <c r="V287" s="71"/>
      <c r="W287" s="71"/>
      <c r="X287" s="71"/>
      <c r="Y287" s="71"/>
      <c r="Z287" s="71"/>
      <c r="AA287" s="71"/>
    </row>
    <row r="288" spans="1:27" s="71" customFormat="1" ht="17.25" customHeight="1" x14ac:dyDescent="0.35">
      <c r="A288" s="61">
        <v>14106</v>
      </c>
      <c r="B288" s="61" t="s">
        <v>1476</v>
      </c>
      <c r="C288" s="105" t="s">
        <v>1477</v>
      </c>
      <c r="D288" s="52" t="s">
        <v>1477</v>
      </c>
      <c r="E288" s="88">
        <v>8</v>
      </c>
      <c r="F288" s="52" t="s">
        <v>12</v>
      </c>
      <c r="G288" s="57" t="s">
        <v>173</v>
      </c>
      <c r="H288" s="52" t="s">
        <v>2119</v>
      </c>
      <c r="I288" s="52" t="s">
        <v>1487</v>
      </c>
      <c r="J288" s="113" t="s">
        <v>13</v>
      </c>
      <c r="K288" s="52">
        <v>3</v>
      </c>
      <c r="L288" s="52">
        <v>14106</v>
      </c>
      <c r="M288" s="52" t="s">
        <v>12</v>
      </c>
      <c r="N288" s="52" t="s">
        <v>14</v>
      </c>
      <c r="O288" s="52" t="s">
        <v>14</v>
      </c>
      <c r="P288" s="52" t="s">
        <v>31</v>
      </c>
      <c r="Q288" s="52" t="s">
        <v>12</v>
      </c>
      <c r="R288" s="57" t="s">
        <v>153</v>
      </c>
      <c r="S288" s="52" t="s">
        <v>14</v>
      </c>
      <c r="T288" s="52" t="s">
        <v>12</v>
      </c>
      <c r="U288" s="52" t="s">
        <v>14</v>
      </c>
      <c r="V288" s="53"/>
      <c r="W288" s="53"/>
      <c r="X288" s="53"/>
      <c r="Y288" s="53"/>
      <c r="Z288" s="53"/>
      <c r="AA288" s="53"/>
    </row>
    <row r="289" spans="1:27" ht="17.25" customHeight="1" x14ac:dyDescent="0.35">
      <c r="A289" s="61">
        <v>14107</v>
      </c>
      <c r="B289" s="61" t="s">
        <v>1276</v>
      </c>
      <c r="C289" s="105" t="s">
        <v>1480</v>
      </c>
      <c r="D289" s="52" t="s">
        <v>1480</v>
      </c>
      <c r="E289" s="88">
        <v>8</v>
      </c>
      <c r="F289" s="52" t="s">
        <v>12</v>
      </c>
      <c r="G289" s="57" t="s">
        <v>1324</v>
      </c>
      <c r="H289" s="52" t="s">
        <v>1472</v>
      </c>
      <c r="I289" s="52" t="s">
        <v>1487</v>
      </c>
      <c r="J289" s="113" t="s">
        <v>13</v>
      </c>
      <c r="K289" s="52">
        <v>3</v>
      </c>
      <c r="L289" s="52">
        <v>14107</v>
      </c>
      <c r="M289" s="52" t="s">
        <v>12</v>
      </c>
      <c r="N289" s="52" t="s">
        <v>14</v>
      </c>
      <c r="O289" s="52" t="s">
        <v>14</v>
      </c>
      <c r="P289" s="52" t="s">
        <v>40</v>
      </c>
      <c r="Q289" s="52" t="s">
        <v>12</v>
      </c>
      <c r="R289" s="57" t="s">
        <v>70</v>
      </c>
      <c r="S289" s="52" t="s">
        <v>14</v>
      </c>
      <c r="T289" s="52" t="s">
        <v>12</v>
      </c>
      <c r="U289" s="52" t="s">
        <v>14</v>
      </c>
    </row>
    <row r="290" spans="1:27" ht="17.25" customHeight="1" x14ac:dyDescent="0.35">
      <c r="A290" s="61">
        <v>14108</v>
      </c>
      <c r="B290" s="61" t="s">
        <v>86</v>
      </c>
      <c r="C290" s="105" t="s">
        <v>870</v>
      </c>
      <c r="D290" s="52" t="s">
        <v>870</v>
      </c>
      <c r="E290" s="88">
        <v>5</v>
      </c>
      <c r="F290" s="52">
        <v>49002</v>
      </c>
      <c r="G290" s="57" t="s">
        <v>173</v>
      </c>
      <c r="H290" s="52" t="s">
        <v>1471</v>
      </c>
      <c r="I290" s="52" t="s">
        <v>70</v>
      </c>
      <c r="J290" s="113" t="s">
        <v>13</v>
      </c>
      <c r="K290" s="52">
        <v>3</v>
      </c>
      <c r="L290" s="52">
        <v>13</v>
      </c>
      <c r="M290" s="52" t="s">
        <v>12</v>
      </c>
      <c r="N290" s="52" t="s">
        <v>14</v>
      </c>
      <c r="O290" s="52" t="s">
        <v>14</v>
      </c>
      <c r="P290" s="52" t="s">
        <v>31</v>
      </c>
      <c r="Q290" s="52" t="s">
        <v>12</v>
      </c>
      <c r="R290" s="57" t="s">
        <v>70</v>
      </c>
      <c r="S290" s="52" t="s">
        <v>14</v>
      </c>
      <c r="T290" s="52" t="s">
        <v>12</v>
      </c>
      <c r="U290" s="52" t="s">
        <v>14</v>
      </c>
    </row>
    <row r="291" spans="1:27" ht="17.25" customHeight="1" x14ac:dyDescent="0.35">
      <c r="A291" s="57">
        <v>14109</v>
      </c>
      <c r="B291" s="57" t="s">
        <v>1514</v>
      </c>
      <c r="C291" s="108" t="s">
        <v>1525</v>
      </c>
      <c r="D291" s="57" t="s">
        <v>1525</v>
      </c>
      <c r="E291" s="93">
        <v>5</v>
      </c>
      <c r="F291" s="57" t="s">
        <v>769</v>
      </c>
      <c r="G291" s="57" t="s">
        <v>12</v>
      </c>
      <c r="H291" s="57" t="s">
        <v>12</v>
      </c>
      <c r="I291" s="57" t="s">
        <v>12</v>
      </c>
      <c r="J291" s="116" t="s">
        <v>13</v>
      </c>
      <c r="K291" s="57">
        <v>1</v>
      </c>
      <c r="L291" s="57">
        <v>14332</v>
      </c>
      <c r="M291" s="57" t="s">
        <v>12</v>
      </c>
      <c r="N291" s="57" t="s">
        <v>14</v>
      </c>
      <c r="O291" s="57" t="s">
        <v>14</v>
      </c>
      <c r="P291" s="57" t="s">
        <v>14</v>
      </c>
      <c r="Q291" s="57" t="s">
        <v>12</v>
      </c>
      <c r="R291" s="57" t="s">
        <v>12</v>
      </c>
      <c r="S291" s="57" t="s">
        <v>14</v>
      </c>
      <c r="T291" s="57" t="s">
        <v>12</v>
      </c>
      <c r="U291" s="57" t="s">
        <v>14</v>
      </c>
      <c r="V291" s="76"/>
      <c r="W291" s="76"/>
      <c r="X291" s="76"/>
      <c r="Y291" s="76"/>
      <c r="Z291" s="76"/>
      <c r="AA291" s="76"/>
    </row>
    <row r="292" spans="1:27" ht="17.25" customHeight="1" x14ac:dyDescent="0.35">
      <c r="A292" s="60">
        <v>14110</v>
      </c>
      <c r="B292" s="60" t="s">
        <v>470</v>
      </c>
      <c r="C292" s="105" t="s">
        <v>1287</v>
      </c>
      <c r="D292" s="52" t="s">
        <v>1287</v>
      </c>
      <c r="E292" s="88">
        <v>5</v>
      </c>
      <c r="F292" s="52">
        <v>49003</v>
      </c>
      <c r="G292" s="57" t="s">
        <v>153</v>
      </c>
      <c r="H292" s="52" t="s">
        <v>12</v>
      </c>
      <c r="I292" s="52" t="s">
        <v>70</v>
      </c>
      <c r="J292" s="113" t="s">
        <v>30</v>
      </c>
      <c r="K292" s="52" t="s">
        <v>38</v>
      </c>
      <c r="L292" s="52">
        <v>14110</v>
      </c>
      <c r="M292" s="52" t="s">
        <v>12</v>
      </c>
      <c r="N292" s="52" t="s">
        <v>14</v>
      </c>
      <c r="O292" s="52" t="s">
        <v>14</v>
      </c>
      <c r="P292" s="52" t="s">
        <v>31</v>
      </c>
      <c r="Q292" s="52" t="s">
        <v>12</v>
      </c>
      <c r="R292" s="57" t="s">
        <v>70</v>
      </c>
      <c r="S292" s="52" t="s">
        <v>40</v>
      </c>
      <c r="T292" s="52" t="s">
        <v>12</v>
      </c>
      <c r="U292" s="52" t="s">
        <v>31</v>
      </c>
    </row>
    <row r="293" spans="1:27" ht="17.25" customHeight="1" x14ac:dyDescent="0.35">
      <c r="A293" s="60">
        <v>14201</v>
      </c>
      <c r="B293" s="60" t="s">
        <v>951</v>
      </c>
      <c r="C293" s="105" t="s">
        <v>975</v>
      </c>
      <c r="D293" s="52" t="s">
        <v>975</v>
      </c>
      <c r="E293" s="88">
        <v>7</v>
      </c>
      <c r="F293" s="52" t="s">
        <v>12</v>
      </c>
      <c r="G293" s="57" t="s">
        <v>1320</v>
      </c>
      <c r="H293" s="52" t="s">
        <v>1535</v>
      </c>
      <c r="I293" s="52" t="s">
        <v>1488</v>
      </c>
      <c r="J293" s="113" t="s">
        <v>13</v>
      </c>
      <c r="K293" s="52">
        <v>2</v>
      </c>
      <c r="L293" s="52">
        <v>14201</v>
      </c>
      <c r="M293" s="52" t="s">
        <v>12</v>
      </c>
      <c r="N293" s="52" t="s">
        <v>14</v>
      </c>
      <c r="O293" s="52" t="s">
        <v>14</v>
      </c>
      <c r="P293" s="52" t="s">
        <v>31</v>
      </c>
      <c r="Q293" s="52" t="s">
        <v>12</v>
      </c>
      <c r="R293" s="57" t="s">
        <v>70</v>
      </c>
      <c r="S293" s="52" t="s">
        <v>14</v>
      </c>
      <c r="T293" s="52" t="s">
        <v>12</v>
      </c>
      <c r="U293" s="52" t="s">
        <v>14</v>
      </c>
    </row>
    <row r="294" spans="1:27" ht="17.25" customHeight="1" x14ac:dyDescent="0.35">
      <c r="A294" s="57">
        <v>14202</v>
      </c>
      <c r="B294" s="57" t="s">
        <v>1515</v>
      </c>
      <c r="C294" s="108" t="s">
        <v>1525</v>
      </c>
      <c r="D294" s="57" t="s">
        <v>1525</v>
      </c>
      <c r="E294" s="93">
        <v>5</v>
      </c>
      <c r="F294" s="57" t="s">
        <v>769</v>
      </c>
      <c r="G294" s="57" t="s">
        <v>12</v>
      </c>
      <c r="H294" s="57" t="s">
        <v>12</v>
      </c>
      <c r="I294" s="57" t="s">
        <v>12</v>
      </c>
      <c r="J294" s="116" t="s">
        <v>13</v>
      </c>
      <c r="K294" s="57">
        <v>1</v>
      </c>
      <c r="L294" s="57">
        <v>14332</v>
      </c>
      <c r="M294" s="57" t="s">
        <v>12</v>
      </c>
      <c r="N294" s="57" t="s">
        <v>14</v>
      </c>
      <c r="O294" s="57" t="s">
        <v>14</v>
      </c>
      <c r="P294" s="57" t="s">
        <v>14</v>
      </c>
      <c r="Q294" s="57" t="s">
        <v>12</v>
      </c>
      <c r="R294" s="57" t="s">
        <v>12</v>
      </c>
      <c r="S294" s="57" t="s">
        <v>14</v>
      </c>
      <c r="T294" s="57" t="s">
        <v>12</v>
      </c>
      <c r="U294" s="57" t="s">
        <v>14</v>
      </c>
      <c r="V294" s="76"/>
      <c r="W294" s="76"/>
      <c r="X294" s="76"/>
      <c r="Y294" s="76"/>
      <c r="Z294" s="76"/>
      <c r="AA294" s="76"/>
    </row>
    <row r="295" spans="1:27" ht="17.25" customHeight="1" x14ac:dyDescent="0.35">
      <c r="A295" s="57">
        <v>14203</v>
      </c>
      <c r="B295" s="57" t="s">
        <v>1516</v>
      </c>
      <c r="C295" s="108" t="s">
        <v>1525</v>
      </c>
      <c r="D295" s="57" t="s">
        <v>1525</v>
      </c>
      <c r="E295" s="93">
        <v>5</v>
      </c>
      <c r="F295" s="57" t="s">
        <v>769</v>
      </c>
      <c r="G295" s="57" t="s">
        <v>12</v>
      </c>
      <c r="H295" s="57" t="s">
        <v>12</v>
      </c>
      <c r="I295" s="57" t="s">
        <v>12</v>
      </c>
      <c r="J295" s="116" t="s">
        <v>13</v>
      </c>
      <c r="K295" s="57">
        <v>1</v>
      </c>
      <c r="L295" s="57">
        <v>14332</v>
      </c>
      <c r="M295" s="57" t="s">
        <v>12</v>
      </c>
      <c r="N295" s="57" t="s">
        <v>14</v>
      </c>
      <c r="O295" s="57" t="s">
        <v>14</v>
      </c>
      <c r="P295" s="57" t="s">
        <v>14</v>
      </c>
      <c r="Q295" s="57" t="s">
        <v>12</v>
      </c>
      <c r="R295" s="57" t="s">
        <v>12</v>
      </c>
      <c r="S295" s="57" t="s">
        <v>14</v>
      </c>
      <c r="T295" s="57" t="s">
        <v>12</v>
      </c>
      <c r="U295" s="57" t="s">
        <v>14</v>
      </c>
      <c r="V295" s="76"/>
      <c r="W295" s="76"/>
      <c r="X295" s="76"/>
      <c r="Y295" s="76"/>
      <c r="Z295" s="76"/>
      <c r="AA295" s="76"/>
    </row>
    <row r="296" spans="1:27" ht="17.25" customHeight="1" x14ac:dyDescent="0.35">
      <c r="A296" s="57">
        <v>14204</v>
      </c>
      <c r="B296" s="57" t="s">
        <v>1517</v>
      </c>
      <c r="C296" s="108" t="s">
        <v>1525</v>
      </c>
      <c r="D296" s="57" t="s">
        <v>1525</v>
      </c>
      <c r="E296" s="93">
        <v>5</v>
      </c>
      <c r="F296" s="57" t="s">
        <v>769</v>
      </c>
      <c r="G296" s="57" t="s">
        <v>12</v>
      </c>
      <c r="H296" s="57" t="s">
        <v>12</v>
      </c>
      <c r="I296" s="57" t="s">
        <v>12</v>
      </c>
      <c r="J296" s="116" t="s">
        <v>13</v>
      </c>
      <c r="K296" s="57">
        <v>1</v>
      </c>
      <c r="L296" s="57">
        <v>14332</v>
      </c>
      <c r="M296" s="57" t="s">
        <v>12</v>
      </c>
      <c r="N296" s="57" t="s">
        <v>14</v>
      </c>
      <c r="O296" s="57" t="s">
        <v>14</v>
      </c>
      <c r="P296" s="57" t="s">
        <v>14</v>
      </c>
      <c r="Q296" s="57" t="s">
        <v>12</v>
      </c>
      <c r="R296" s="57" t="s">
        <v>12</v>
      </c>
      <c r="S296" s="57" t="s">
        <v>14</v>
      </c>
      <c r="T296" s="57" t="s">
        <v>12</v>
      </c>
      <c r="U296" s="57" t="s">
        <v>14</v>
      </c>
      <c r="V296" s="76"/>
      <c r="W296" s="76"/>
      <c r="X296" s="76"/>
      <c r="Y296" s="76"/>
      <c r="Z296" s="76"/>
      <c r="AA296" s="76"/>
    </row>
    <row r="297" spans="1:27" ht="17.25" customHeight="1" x14ac:dyDescent="0.35">
      <c r="A297" s="57">
        <v>14205</v>
      </c>
      <c r="B297" s="57" t="s">
        <v>1518</v>
      </c>
      <c r="C297" s="108" t="s">
        <v>1525</v>
      </c>
      <c r="D297" s="57" t="s">
        <v>1525</v>
      </c>
      <c r="E297" s="93">
        <v>5</v>
      </c>
      <c r="F297" s="57" t="s">
        <v>769</v>
      </c>
      <c r="G297" s="57" t="s">
        <v>12</v>
      </c>
      <c r="H297" s="57" t="s">
        <v>12</v>
      </c>
      <c r="I297" s="57" t="s">
        <v>12</v>
      </c>
      <c r="J297" s="116" t="s">
        <v>13</v>
      </c>
      <c r="K297" s="57">
        <v>1</v>
      </c>
      <c r="L297" s="57">
        <v>14332</v>
      </c>
      <c r="M297" s="57" t="s">
        <v>12</v>
      </c>
      <c r="N297" s="57" t="s">
        <v>14</v>
      </c>
      <c r="O297" s="57" t="s">
        <v>14</v>
      </c>
      <c r="P297" s="57" t="s">
        <v>14</v>
      </c>
      <c r="Q297" s="57" t="s">
        <v>12</v>
      </c>
      <c r="R297" s="57" t="s">
        <v>12</v>
      </c>
      <c r="S297" s="57" t="s">
        <v>14</v>
      </c>
      <c r="T297" s="57" t="s">
        <v>12</v>
      </c>
      <c r="U297" s="57" t="s">
        <v>14</v>
      </c>
      <c r="V297" s="76"/>
      <c r="W297" s="76"/>
      <c r="X297" s="76"/>
      <c r="Y297" s="76"/>
      <c r="Z297" s="76"/>
      <c r="AA297" s="76"/>
    </row>
    <row r="298" spans="1:27" ht="17.25" customHeight="1" x14ac:dyDescent="0.35">
      <c r="A298" s="57">
        <v>14206</v>
      </c>
      <c r="B298" s="57" t="s">
        <v>1519</v>
      </c>
      <c r="C298" s="108" t="s">
        <v>1525</v>
      </c>
      <c r="D298" s="57" t="s">
        <v>1525</v>
      </c>
      <c r="E298" s="93">
        <v>5</v>
      </c>
      <c r="F298" s="57" t="s">
        <v>769</v>
      </c>
      <c r="G298" s="57" t="s">
        <v>12</v>
      </c>
      <c r="H298" s="57" t="s">
        <v>12</v>
      </c>
      <c r="I298" s="57" t="s">
        <v>12</v>
      </c>
      <c r="J298" s="116" t="s">
        <v>13</v>
      </c>
      <c r="K298" s="57">
        <v>1</v>
      </c>
      <c r="L298" s="57">
        <v>14332</v>
      </c>
      <c r="M298" s="57" t="s">
        <v>12</v>
      </c>
      <c r="N298" s="57" t="s">
        <v>14</v>
      </c>
      <c r="O298" s="57" t="s">
        <v>14</v>
      </c>
      <c r="P298" s="57" t="s">
        <v>14</v>
      </c>
      <c r="Q298" s="57" t="s">
        <v>12</v>
      </c>
      <c r="R298" s="57" t="s">
        <v>12</v>
      </c>
      <c r="S298" s="57" t="s">
        <v>14</v>
      </c>
      <c r="T298" s="57" t="s">
        <v>12</v>
      </c>
      <c r="U298" s="57" t="s">
        <v>14</v>
      </c>
      <c r="V298" s="76"/>
      <c r="W298" s="76"/>
      <c r="X298" s="76"/>
      <c r="Y298" s="76"/>
      <c r="Z298" s="76"/>
      <c r="AA298" s="76"/>
    </row>
    <row r="299" spans="1:27" ht="17.25" customHeight="1" x14ac:dyDescent="0.35">
      <c r="A299" s="57">
        <v>14207</v>
      </c>
      <c r="B299" s="57" t="s">
        <v>1520</v>
      </c>
      <c r="C299" s="108" t="s">
        <v>1525</v>
      </c>
      <c r="D299" s="57" t="s">
        <v>1525</v>
      </c>
      <c r="E299" s="93">
        <v>5</v>
      </c>
      <c r="F299" s="57" t="s">
        <v>769</v>
      </c>
      <c r="G299" s="57" t="s">
        <v>12</v>
      </c>
      <c r="H299" s="57" t="s">
        <v>12</v>
      </c>
      <c r="I299" s="57" t="s">
        <v>12</v>
      </c>
      <c r="J299" s="116" t="s">
        <v>13</v>
      </c>
      <c r="K299" s="57">
        <v>1</v>
      </c>
      <c r="L299" s="57">
        <v>14332</v>
      </c>
      <c r="M299" s="57" t="s">
        <v>12</v>
      </c>
      <c r="N299" s="57" t="s">
        <v>14</v>
      </c>
      <c r="O299" s="57" t="s">
        <v>14</v>
      </c>
      <c r="P299" s="57" t="s">
        <v>14</v>
      </c>
      <c r="Q299" s="57" t="s">
        <v>12</v>
      </c>
      <c r="R299" s="57" t="s">
        <v>12</v>
      </c>
      <c r="S299" s="57" t="s">
        <v>14</v>
      </c>
      <c r="T299" s="57" t="s">
        <v>12</v>
      </c>
      <c r="U299" s="57" t="s">
        <v>14</v>
      </c>
      <c r="V299" s="76"/>
      <c r="W299" s="76"/>
      <c r="X299" s="76"/>
      <c r="Y299" s="76"/>
      <c r="Z299" s="76"/>
      <c r="AA299" s="76"/>
    </row>
    <row r="300" spans="1:27" ht="17.25" customHeight="1" x14ac:dyDescent="0.35">
      <c r="A300" s="80">
        <v>14208</v>
      </c>
      <c r="B300" s="80" t="s">
        <v>1494</v>
      </c>
      <c r="C300" s="107" t="s">
        <v>1495</v>
      </c>
      <c r="D300" s="70" t="s">
        <v>1495</v>
      </c>
      <c r="E300" s="92">
        <v>8</v>
      </c>
      <c r="F300" s="52" t="s">
        <v>12</v>
      </c>
      <c r="G300" s="70" t="s">
        <v>153</v>
      </c>
      <c r="H300" s="70" t="s">
        <v>12</v>
      </c>
      <c r="I300" s="52" t="s">
        <v>70</v>
      </c>
      <c r="J300" s="115" t="s">
        <v>35</v>
      </c>
      <c r="K300" s="70">
        <v>1</v>
      </c>
      <c r="L300" s="70">
        <v>14106</v>
      </c>
      <c r="M300" s="70" t="s">
        <v>12</v>
      </c>
      <c r="N300" s="70" t="s">
        <v>40</v>
      </c>
      <c r="O300" s="70" t="s">
        <v>40</v>
      </c>
      <c r="P300" s="70" t="s">
        <v>40</v>
      </c>
      <c r="Q300" s="70" t="s">
        <v>153</v>
      </c>
      <c r="R300" s="70" t="s">
        <v>153</v>
      </c>
      <c r="S300" s="70" t="s">
        <v>31</v>
      </c>
      <c r="T300" s="70" t="s">
        <v>153</v>
      </c>
      <c r="U300" s="70" t="s">
        <v>31</v>
      </c>
    </row>
    <row r="301" spans="1:27" ht="17.25" customHeight="1" x14ac:dyDescent="0.35">
      <c r="A301" s="69">
        <v>14209</v>
      </c>
      <c r="B301" s="69" t="s">
        <v>1425</v>
      </c>
      <c r="C301" s="107" t="s">
        <v>624</v>
      </c>
      <c r="D301" s="70" t="s">
        <v>624</v>
      </c>
      <c r="E301" s="92">
        <v>8</v>
      </c>
      <c r="F301" s="52" t="s">
        <v>12</v>
      </c>
      <c r="G301" s="70" t="s">
        <v>153</v>
      </c>
      <c r="H301" s="70" t="s">
        <v>12</v>
      </c>
      <c r="I301" s="52" t="s">
        <v>70</v>
      </c>
      <c r="J301" s="115" t="s">
        <v>35</v>
      </c>
      <c r="K301" s="70">
        <v>3</v>
      </c>
      <c r="L301" s="70">
        <v>14107</v>
      </c>
      <c r="M301" s="70" t="s">
        <v>12</v>
      </c>
      <c r="N301" s="70" t="s">
        <v>40</v>
      </c>
      <c r="O301" s="70" t="s">
        <v>40</v>
      </c>
      <c r="P301" s="70" t="s">
        <v>40</v>
      </c>
      <c r="Q301" s="70" t="s">
        <v>153</v>
      </c>
      <c r="R301" s="70" t="s">
        <v>153</v>
      </c>
      <c r="S301" s="70" t="s">
        <v>31</v>
      </c>
      <c r="T301" s="70" t="s">
        <v>153</v>
      </c>
      <c r="U301" s="70" t="s">
        <v>31</v>
      </c>
    </row>
    <row r="302" spans="1:27" ht="17.25" customHeight="1" x14ac:dyDescent="0.35">
      <c r="A302" s="79">
        <v>14210</v>
      </c>
      <c r="B302" s="79" t="s">
        <v>763</v>
      </c>
      <c r="C302" s="107" t="s">
        <v>1627</v>
      </c>
      <c r="D302" s="70" t="s">
        <v>1627</v>
      </c>
      <c r="E302" s="92">
        <v>8</v>
      </c>
      <c r="F302" s="70" t="s">
        <v>12</v>
      </c>
      <c r="G302" s="70" t="s">
        <v>153</v>
      </c>
      <c r="H302" s="70" t="s">
        <v>1429</v>
      </c>
      <c r="I302" s="70" t="s">
        <v>70</v>
      </c>
      <c r="J302" s="115" t="s">
        <v>35</v>
      </c>
      <c r="K302" s="70">
        <v>2</v>
      </c>
      <c r="L302" s="70">
        <v>14332</v>
      </c>
      <c r="M302" s="70" t="s">
        <v>12</v>
      </c>
      <c r="N302" s="70" t="s">
        <v>31</v>
      </c>
      <c r="O302" s="70" t="s">
        <v>31</v>
      </c>
      <c r="P302" s="70" t="s">
        <v>31</v>
      </c>
      <c r="Q302" s="70" t="s">
        <v>153</v>
      </c>
      <c r="R302" s="70" t="s">
        <v>153</v>
      </c>
      <c r="S302" s="70" t="s">
        <v>31</v>
      </c>
      <c r="T302" s="70" t="s">
        <v>153</v>
      </c>
      <c r="U302" s="70" t="s">
        <v>31</v>
      </c>
      <c r="V302" s="71"/>
      <c r="W302" s="71"/>
      <c r="X302" s="71"/>
      <c r="Y302" s="71"/>
      <c r="Z302" s="71"/>
      <c r="AA302" s="71"/>
    </row>
    <row r="303" spans="1:27" ht="17.25" customHeight="1" x14ac:dyDescent="0.35">
      <c r="A303" s="61">
        <v>14211</v>
      </c>
      <c r="B303" s="61" t="s">
        <v>2112</v>
      </c>
      <c r="C303" s="105" t="s">
        <v>1945</v>
      </c>
      <c r="D303" s="52" t="s">
        <v>1288</v>
      </c>
      <c r="E303" s="88">
        <v>5</v>
      </c>
      <c r="F303" s="52">
        <v>49004</v>
      </c>
      <c r="G303" s="57" t="s">
        <v>153</v>
      </c>
      <c r="H303" s="52" t="s">
        <v>1424</v>
      </c>
      <c r="I303" s="52" t="s">
        <v>70</v>
      </c>
      <c r="J303" s="113" t="s">
        <v>30</v>
      </c>
      <c r="K303" s="52">
        <v>3</v>
      </c>
      <c r="L303" s="52">
        <v>14211</v>
      </c>
      <c r="M303" s="52" t="s">
        <v>12</v>
      </c>
      <c r="N303" s="52" t="s">
        <v>14</v>
      </c>
      <c r="O303" s="52" t="s">
        <v>14</v>
      </c>
      <c r="P303" s="52" t="s">
        <v>31</v>
      </c>
      <c r="Q303" s="52" t="s">
        <v>12</v>
      </c>
      <c r="R303" s="57" t="s">
        <v>153</v>
      </c>
      <c r="S303" s="52" t="s">
        <v>31</v>
      </c>
      <c r="T303" s="52" t="s">
        <v>12</v>
      </c>
      <c r="U303" s="52" t="s">
        <v>31</v>
      </c>
      <c r="V303" s="71"/>
      <c r="W303" s="71"/>
      <c r="X303" s="71"/>
      <c r="Y303" s="71"/>
      <c r="Z303" s="71"/>
      <c r="AA303" s="71"/>
    </row>
    <row r="304" spans="1:27" ht="17.25" customHeight="1" x14ac:dyDescent="0.35">
      <c r="A304" s="81">
        <v>14299</v>
      </c>
      <c r="B304" s="81" t="s">
        <v>1275</v>
      </c>
      <c r="C304" s="105" t="s">
        <v>1289</v>
      </c>
      <c r="D304" s="52" t="s">
        <v>1289</v>
      </c>
      <c r="E304" s="88">
        <v>5</v>
      </c>
      <c r="F304" s="52">
        <v>49109</v>
      </c>
      <c r="G304" s="57" t="s">
        <v>1321</v>
      </c>
      <c r="H304" s="52" t="s">
        <v>12</v>
      </c>
      <c r="I304" s="52" t="s">
        <v>70</v>
      </c>
      <c r="J304" s="113" t="s">
        <v>13</v>
      </c>
      <c r="K304" s="52">
        <v>2</v>
      </c>
      <c r="L304" s="52">
        <v>15202</v>
      </c>
      <c r="M304" s="52" t="s">
        <v>12</v>
      </c>
      <c r="N304" s="52" t="s">
        <v>14</v>
      </c>
      <c r="O304" s="52" t="s">
        <v>14</v>
      </c>
      <c r="P304" s="52" t="s">
        <v>31</v>
      </c>
      <c r="Q304" s="52" t="s">
        <v>12</v>
      </c>
      <c r="R304" s="57" t="s">
        <v>12</v>
      </c>
      <c r="S304" s="52" t="s">
        <v>14</v>
      </c>
      <c r="T304" s="52" t="s">
        <v>12</v>
      </c>
      <c r="U304" s="52" t="s">
        <v>14</v>
      </c>
      <c r="V304" s="53" t="str">
        <f t="shared" ref="V304:V326" si="4">IF(ISERROR(FIND("将",$B304)),IF(ISERROR(FIND("伙伴",$B304)),IF(ISERROR(FIND("装",$B304)),IF(ISERROR(FIND("法宝",$B304)),IF(ISERROR(FIND("神兵",$B304)),"","神兵"),"法宝"),"装"),"伙伴"),"将")&amp;$K304</f>
        <v>法宝2</v>
      </c>
      <c r="W304" s="53">
        <f t="shared" ref="W304:W326" si="5">IF(V304="","",VLOOKUP(V304,$Z$419:$AA$443,2,0))</f>
        <v>15202</v>
      </c>
    </row>
    <row r="305" spans="1:27" ht="17.25" customHeight="1" x14ac:dyDescent="0.35">
      <c r="A305" s="81">
        <v>14300</v>
      </c>
      <c r="B305" s="81" t="s">
        <v>1264</v>
      </c>
      <c r="C305" s="105" t="s">
        <v>1290</v>
      </c>
      <c r="D305" s="52" t="s">
        <v>1290</v>
      </c>
      <c r="E305" s="88">
        <v>5</v>
      </c>
      <c r="F305" s="52">
        <v>49101</v>
      </c>
      <c r="G305" s="57" t="s">
        <v>1321</v>
      </c>
      <c r="H305" s="52" t="s">
        <v>12</v>
      </c>
      <c r="I305" s="52" t="s">
        <v>70</v>
      </c>
      <c r="J305" s="113" t="s">
        <v>13</v>
      </c>
      <c r="K305" s="52">
        <v>2</v>
      </c>
      <c r="L305" s="52">
        <v>15102</v>
      </c>
      <c r="M305" s="52" t="s">
        <v>12</v>
      </c>
      <c r="N305" s="52" t="s">
        <v>14</v>
      </c>
      <c r="O305" s="52" t="s">
        <v>14</v>
      </c>
      <c r="P305" s="52" t="s">
        <v>31</v>
      </c>
      <c r="Q305" s="52" t="s">
        <v>12</v>
      </c>
      <c r="R305" s="57" t="s">
        <v>12</v>
      </c>
      <c r="S305" s="52" t="s">
        <v>14</v>
      </c>
      <c r="T305" s="52" t="s">
        <v>12</v>
      </c>
      <c r="U305" s="52" t="s">
        <v>14</v>
      </c>
      <c r="V305" s="53" t="str">
        <f t="shared" si="4"/>
        <v>装2</v>
      </c>
      <c r="W305" s="53">
        <f t="shared" si="5"/>
        <v>15102</v>
      </c>
    </row>
    <row r="306" spans="1:27" ht="17.25" customHeight="1" x14ac:dyDescent="0.35">
      <c r="A306" s="58">
        <v>14301</v>
      </c>
      <c r="B306" s="58" t="s">
        <v>1265</v>
      </c>
      <c r="C306" s="105" t="s">
        <v>1291</v>
      </c>
      <c r="D306" s="52" t="s">
        <v>1291</v>
      </c>
      <c r="E306" s="88">
        <v>5</v>
      </c>
      <c r="F306" s="52">
        <v>49105</v>
      </c>
      <c r="G306" s="57" t="s">
        <v>1321</v>
      </c>
      <c r="H306" s="52" t="s">
        <v>12</v>
      </c>
      <c r="I306" s="52" t="s">
        <v>70</v>
      </c>
      <c r="J306" s="113" t="s">
        <v>13</v>
      </c>
      <c r="K306" s="52">
        <v>2</v>
      </c>
      <c r="L306" s="52">
        <v>15102</v>
      </c>
      <c r="M306" s="52" t="s">
        <v>12</v>
      </c>
      <c r="N306" s="52" t="s">
        <v>14</v>
      </c>
      <c r="O306" s="52" t="s">
        <v>14</v>
      </c>
      <c r="P306" s="52" t="s">
        <v>31</v>
      </c>
      <c r="Q306" s="52" t="s">
        <v>12</v>
      </c>
      <c r="R306" s="57" t="s">
        <v>12</v>
      </c>
      <c r="S306" s="52" t="s">
        <v>14</v>
      </c>
      <c r="T306" s="52" t="s">
        <v>12</v>
      </c>
      <c r="U306" s="52" t="s">
        <v>14</v>
      </c>
      <c r="V306" s="53" t="str">
        <f t="shared" si="4"/>
        <v>装2</v>
      </c>
      <c r="W306" s="53">
        <f t="shared" si="5"/>
        <v>15102</v>
      </c>
    </row>
    <row r="307" spans="1:27" ht="17.25" customHeight="1" x14ac:dyDescent="0.35">
      <c r="A307" s="61">
        <v>14302</v>
      </c>
      <c r="B307" s="61" t="s">
        <v>1266</v>
      </c>
      <c r="C307" s="105" t="s">
        <v>1292</v>
      </c>
      <c r="D307" s="52" t="s">
        <v>1292</v>
      </c>
      <c r="E307" s="88">
        <v>5</v>
      </c>
      <c r="F307" s="52">
        <v>49106</v>
      </c>
      <c r="G307" s="57" t="s">
        <v>1321</v>
      </c>
      <c r="H307" s="52" t="s">
        <v>12</v>
      </c>
      <c r="I307" s="52" t="s">
        <v>70</v>
      </c>
      <c r="J307" s="113" t="s">
        <v>13</v>
      </c>
      <c r="K307" s="52">
        <v>3</v>
      </c>
      <c r="L307" s="52">
        <v>15103</v>
      </c>
      <c r="M307" s="52" t="s">
        <v>12</v>
      </c>
      <c r="N307" s="52" t="s">
        <v>14</v>
      </c>
      <c r="O307" s="52" t="s">
        <v>14</v>
      </c>
      <c r="P307" s="52" t="s">
        <v>31</v>
      </c>
      <c r="Q307" s="52" t="s">
        <v>12</v>
      </c>
      <c r="R307" s="57" t="s">
        <v>12</v>
      </c>
      <c r="S307" s="52" t="s">
        <v>14</v>
      </c>
      <c r="T307" s="52" t="s">
        <v>12</v>
      </c>
      <c r="U307" s="52" t="s">
        <v>14</v>
      </c>
      <c r="V307" s="53" t="str">
        <f t="shared" si="4"/>
        <v>装3</v>
      </c>
      <c r="W307" s="53">
        <f t="shared" si="5"/>
        <v>15103</v>
      </c>
    </row>
    <row r="308" spans="1:27" ht="17.25" customHeight="1" x14ac:dyDescent="0.35">
      <c r="A308" s="82">
        <v>14303</v>
      </c>
      <c r="B308" s="82" t="s">
        <v>1267</v>
      </c>
      <c r="C308" s="105" t="s">
        <v>1293</v>
      </c>
      <c r="D308" s="52" t="s">
        <v>1293</v>
      </c>
      <c r="E308" s="88">
        <v>5</v>
      </c>
      <c r="F308" s="52">
        <v>49107</v>
      </c>
      <c r="G308" s="57" t="s">
        <v>1321</v>
      </c>
      <c r="H308" s="52" t="s">
        <v>12</v>
      </c>
      <c r="I308" s="52" t="s">
        <v>70</v>
      </c>
      <c r="J308" s="113" t="s">
        <v>13</v>
      </c>
      <c r="K308" s="52">
        <v>4</v>
      </c>
      <c r="L308" s="52">
        <v>15104</v>
      </c>
      <c r="M308" s="52" t="s">
        <v>12</v>
      </c>
      <c r="N308" s="52" t="s">
        <v>14</v>
      </c>
      <c r="O308" s="52" t="s">
        <v>14</v>
      </c>
      <c r="P308" s="52" t="s">
        <v>31</v>
      </c>
      <c r="Q308" s="52" t="s">
        <v>12</v>
      </c>
      <c r="R308" s="57" t="s">
        <v>12</v>
      </c>
      <c r="S308" s="52" t="s">
        <v>14</v>
      </c>
      <c r="T308" s="52" t="s">
        <v>12</v>
      </c>
      <c r="U308" s="52" t="s">
        <v>14</v>
      </c>
      <c r="V308" s="53" t="str">
        <f t="shared" si="4"/>
        <v>装4</v>
      </c>
      <c r="W308" s="53">
        <f t="shared" si="5"/>
        <v>15104</v>
      </c>
    </row>
    <row r="309" spans="1:27" s="130" customFormat="1" ht="17.25" customHeight="1" x14ac:dyDescent="0.35">
      <c r="A309" s="127">
        <v>14304</v>
      </c>
      <c r="B309" s="127" t="s">
        <v>1268</v>
      </c>
      <c r="C309" s="127" t="s">
        <v>633</v>
      </c>
      <c r="D309" s="127" t="s">
        <v>633</v>
      </c>
      <c r="E309" s="128">
        <v>5</v>
      </c>
      <c r="F309" s="127">
        <v>49108</v>
      </c>
      <c r="G309" s="127" t="s">
        <v>1321</v>
      </c>
      <c r="H309" s="127" t="s">
        <v>12</v>
      </c>
      <c r="I309" s="127" t="s">
        <v>70</v>
      </c>
      <c r="J309" s="129" t="s">
        <v>13</v>
      </c>
      <c r="K309" s="127">
        <v>4</v>
      </c>
      <c r="L309" s="127">
        <v>15104</v>
      </c>
      <c r="M309" s="127" t="s">
        <v>12</v>
      </c>
      <c r="N309" s="127" t="s">
        <v>14</v>
      </c>
      <c r="O309" s="127" t="s">
        <v>14</v>
      </c>
      <c r="P309" s="127" t="s">
        <v>40</v>
      </c>
      <c r="Q309" s="127" t="s">
        <v>12</v>
      </c>
      <c r="R309" s="127" t="s">
        <v>12</v>
      </c>
      <c r="S309" s="127" t="s">
        <v>14</v>
      </c>
      <c r="T309" s="127" t="s">
        <v>12</v>
      </c>
      <c r="U309" s="127" t="s">
        <v>14</v>
      </c>
      <c r="V309" s="130" t="str">
        <f t="shared" si="4"/>
        <v>装4</v>
      </c>
      <c r="W309" s="130">
        <f t="shared" si="5"/>
        <v>15104</v>
      </c>
    </row>
    <row r="310" spans="1:27" ht="17.25" customHeight="1" x14ac:dyDescent="0.35">
      <c r="A310" s="61">
        <v>14305</v>
      </c>
      <c r="B310" s="61" t="s">
        <v>1274</v>
      </c>
      <c r="C310" s="105" t="s">
        <v>1289</v>
      </c>
      <c r="D310" s="52" t="s">
        <v>1289</v>
      </c>
      <c r="E310" s="88">
        <v>5</v>
      </c>
      <c r="F310" s="52">
        <v>49110</v>
      </c>
      <c r="G310" s="57" t="s">
        <v>1321</v>
      </c>
      <c r="H310" s="52" t="s">
        <v>12</v>
      </c>
      <c r="I310" s="52" t="s">
        <v>70</v>
      </c>
      <c r="J310" s="113" t="s">
        <v>13</v>
      </c>
      <c r="K310" s="52">
        <v>3</v>
      </c>
      <c r="L310" s="52">
        <v>15203</v>
      </c>
      <c r="M310" s="52" t="s">
        <v>12</v>
      </c>
      <c r="N310" s="52" t="s">
        <v>14</v>
      </c>
      <c r="O310" s="52" t="s">
        <v>14</v>
      </c>
      <c r="P310" s="52" t="s">
        <v>31</v>
      </c>
      <c r="Q310" s="52" t="s">
        <v>12</v>
      </c>
      <c r="R310" s="57" t="s">
        <v>12</v>
      </c>
      <c r="S310" s="52" t="s">
        <v>14</v>
      </c>
      <c r="T310" s="52" t="s">
        <v>12</v>
      </c>
      <c r="U310" s="52" t="s">
        <v>14</v>
      </c>
      <c r="V310" s="53" t="str">
        <f t="shared" si="4"/>
        <v>法宝3</v>
      </c>
      <c r="W310" s="53">
        <f t="shared" si="5"/>
        <v>15203</v>
      </c>
    </row>
    <row r="311" spans="1:27" ht="17.25" customHeight="1" x14ac:dyDescent="0.35">
      <c r="A311" s="82">
        <v>14306</v>
      </c>
      <c r="B311" s="82" t="s">
        <v>1269</v>
      </c>
      <c r="C311" s="105" t="s">
        <v>1289</v>
      </c>
      <c r="D311" s="52" t="s">
        <v>1289</v>
      </c>
      <c r="E311" s="88">
        <v>5</v>
      </c>
      <c r="F311" s="52">
        <v>49111</v>
      </c>
      <c r="G311" s="57" t="s">
        <v>1321</v>
      </c>
      <c r="H311" s="52" t="s">
        <v>12</v>
      </c>
      <c r="I311" s="52" t="s">
        <v>70</v>
      </c>
      <c r="J311" s="113" t="s">
        <v>35</v>
      </c>
      <c r="K311" s="52">
        <v>4</v>
      </c>
      <c r="L311" s="52">
        <v>15204</v>
      </c>
      <c r="M311" s="52" t="s">
        <v>12</v>
      </c>
      <c r="N311" s="52" t="s">
        <v>14</v>
      </c>
      <c r="O311" s="52" t="s">
        <v>14</v>
      </c>
      <c r="P311" s="52" t="s">
        <v>31</v>
      </c>
      <c r="Q311" s="52" t="s">
        <v>12</v>
      </c>
      <c r="R311" s="57" t="s">
        <v>12</v>
      </c>
      <c r="S311" s="52" t="s">
        <v>14</v>
      </c>
      <c r="T311" s="52" t="s">
        <v>12</v>
      </c>
      <c r="U311" s="52" t="s">
        <v>14</v>
      </c>
      <c r="V311" s="71" t="str">
        <f t="shared" si="4"/>
        <v>法宝4</v>
      </c>
      <c r="W311" s="71">
        <f t="shared" si="5"/>
        <v>15204</v>
      </c>
      <c r="X311" s="71"/>
      <c r="Y311" s="71"/>
      <c r="Z311" s="71"/>
      <c r="AA311" s="71"/>
    </row>
    <row r="312" spans="1:27" ht="17.25" customHeight="1" x14ac:dyDescent="0.35">
      <c r="A312" s="60">
        <v>14307</v>
      </c>
      <c r="B312" s="60" t="s">
        <v>1270</v>
      </c>
      <c r="C312" s="105" t="s">
        <v>880</v>
      </c>
      <c r="D312" s="52" t="s">
        <v>880</v>
      </c>
      <c r="E312" s="88">
        <v>5</v>
      </c>
      <c r="F312" s="52">
        <v>49201</v>
      </c>
      <c r="G312" s="57" t="s">
        <v>1321</v>
      </c>
      <c r="H312" s="52" t="s">
        <v>12</v>
      </c>
      <c r="I312" s="52" t="s">
        <v>70</v>
      </c>
      <c r="J312" s="113" t="s">
        <v>13</v>
      </c>
      <c r="K312" s="52">
        <v>2</v>
      </c>
      <c r="L312" s="52">
        <v>15002</v>
      </c>
      <c r="M312" s="52" t="s">
        <v>12</v>
      </c>
      <c r="N312" s="52" t="s">
        <v>14</v>
      </c>
      <c r="O312" s="52" t="s">
        <v>14</v>
      </c>
      <c r="P312" s="52" t="s">
        <v>31</v>
      </c>
      <c r="Q312" s="52" t="s">
        <v>12</v>
      </c>
      <c r="R312" s="57" t="s">
        <v>12</v>
      </c>
      <c r="S312" s="52" t="s">
        <v>14</v>
      </c>
      <c r="T312" s="52" t="s">
        <v>12</v>
      </c>
      <c r="U312" s="52" t="s">
        <v>14</v>
      </c>
      <c r="V312" s="53" t="str">
        <f t="shared" si="4"/>
        <v>伙伴2</v>
      </c>
      <c r="W312" s="53">
        <f t="shared" si="5"/>
        <v>15002</v>
      </c>
    </row>
    <row r="313" spans="1:27" ht="17.25" customHeight="1" x14ac:dyDescent="0.35">
      <c r="A313" s="61">
        <v>14308</v>
      </c>
      <c r="B313" s="61" t="s">
        <v>1271</v>
      </c>
      <c r="C313" s="105" t="s">
        <v>881</v>
      </c>
      <c r="D313" s="52" t="s">
        <v>881</v>
      </c>
      <c r="E313" s="88">
        <v>5</v>
      </c>
      <c r="F313" s="52">
        <v>49202</v>
      </c>
      <c r="G313" s="57" t="s">
        <v>1321</v>
      </c>
      <c r="H313" s="52" t="s">
        <v>12</v>
      </c>
      <c r="I313" s="52" t="s">
        <v>70</v>
      </c>
      <c r="J313" s="113" t="s">
        <v>13</v>
      </c>
      <c r="K313" s="52">
        <v>3</v>
      </c>
      <c r="L313" s="52">
        <v>15003</v>
      </c>
      <c r="M313" s="52" t="s">
        <v>12</v>
      </c>
      <c r="N313" s="52" t="s">
        <v>14</v>
      </c>
      <c r="O313" s="52" t="s">
        <v>14</v>
      </c>
      <c r="P313" s="52" t="s">
        <v>31</v>
      </c>
      <c r="Q313" s="52" t="s">
        <v>12</v>
      </c>
      <c r="R313" s="57" t="s">
        <v>12</v>
      </c>
      <c r="S313" s="52" t="s">
        <v>14</v>
      </c>
      <c r="T313" s="52" t="s">
        <v>12</v>
      </c>
      <c r="U313" s="52" t="s">
        <v>14</v>
      </c>
      <c r="V313" s="53" t="str">
        <f t="shared" si="4"/>
        <v>伙伴3</v>
      </c>
      <c r="W313" s="53">
        <f t="shared" si="5"/>
        <v>15003</v>
      </c>
    </row>
    <row r="314" spans="1:27" s="71" customFormat="1" ht="17.25" customHeight="1" x14ac:dyDescent="0.35">
      <c r="A314" s="82">
        <v>14309</v>
      </c>
      <c r="B314" s="82" t="s">
        <v>2128</v>
      </c>
      <c r="C314" s="105" t="s">
        <v>2130</v>
      </c>
      <c r="D314" s="52" t="s">
        <v>2130</v>
      </c>
      <c r="E314" s="88">
        <v>5</v>
      </c>
      <c r="F314" s="52">
        <v>49203</v>
      </c>
      <c r="G314" s="57" t="s">
        <v>1321</v>
      </c>
      <c r="H314" s="52" t="s">
        <v>12</v>
      </c>
      <c r="I314" s="52" t="s">
        <v>70</v>
      </c>
      <c r="J314" s="113" t="s">
        <v>13</v>
      </c>
      <c r="K314" s="52">
        <v>4</v>
      </c>
      <c r="L314" s="52">
        <v>15004</v>
      </c>
      <c r="M314" s="52" t="s">
        <v>12</v>
      </c>
      <c r="N314" s="52" t="s">
        <v>14</v>
      </c>
      <c r="O314" s="52" t="s">
        <v>14</v>
      </c>
      <c r="P314" s="52" t="s">
        <v>40</v>
      </c>
      <c r="Q314" s="52" t="s">
        <v>12</v>
      </c>
      <c r="R314" s="57" t="s">
        <v>12</v>
      </c>
      <c r="S314" s="52" t="s">
        <v>14</v>
      </c>
      <c r="T314" s="52" t="s">
        <v>12</v>
      </c>
      <c r="U314" s="52" t="s">
        <v>14</v>
      </c>
      <c r="V314" s="53" t="str">
        <f t="shared" si="4"/>
        <v>伙伴4</v>
      </c>
      <c r="W314" s="53">
        <f t="shared" si="5"/>
        <v>15004</v>
      </c>
      <c r="X314" s="53"/>
      <c r="Y314" s="53"/>
      <c r="Z314" s="53"/>
      <c r="AA314" s="53"/>
    </row>
    <row r="315" spans="1:27" s="71" customFormat="1" ht="17.25" customHeight="1" x14ac:dyDescent="0.35">
      <c r="A315" s="64">
        <v>14310</v>
      </c>
      <c r="B315" s="64" t="s">
        <v>2129</v>
      </c>
      <c r="C315" s="105" t="s">
        <v>2131</v>
      </c>
      <c r="D315" s="52" t="s">
        <v>2131</v>
      </c>
      <c r="E315" s="88">
        <v>5</v>
      </c>
      <c r="F315" s="52">
        <v>49204</v>
      </c>
      <c r="G315" s="57" t="s">
        <v>1321</v>
      </c>
      <c r="H315" s="52" t="s">
        <v>12</v>
      </c>
      <c r="I315" s="52" t="s">
        <v>70</v>
      </c>
      <c r="J315" s="113" t="s">
        <v>13</v>
      </c>
      <c r="K315" s="52">
        <v>5</v>
      </c>
      <c r="L315" s="52">
        <v>15004</v>
      </c>
      <c r="M315" s="52" t="s">
        <v>12</v>
      </c>
      <c r="N315" s="52" t="s">
        <v>14</v>
      </c>
      <c r="O315" s="52" t="s">
        <v>14</v>
      </c>
      <c r="P315" s="52" t="s">
        <v>40</v>
      </c>
      <c r="Q315" s="52" t="s">
        <v>12</v>
      </c>
      <c r="R315" s="57" t="s">
        <v>12</v>
      </c>
      <c r="S315" s="52" t="s">
        <v>14</v>
      </c>
      <c r="T315" s="52" t="s">
        <v>12</v>
      </c>
      <c r="U315" s="52" t="s">
        <v>14</v>
      </c>
      <c r="V315" s="53" t="str">
        <f t="shared" si="4"/>
        <v>伙伴5</v>
      </c>
      <c r="W315" s="53">
        <f t="shared" si="5"/>
        <v>15004</v>
      </c>
      <c r="X315" s="53"/>
      <c r="Y315" s="53"/>
      <c r="Z315" s="53"/>
      <c r="AA315" s="53"/>
    </row>
    <row r="316" spans="1:27" s="126" customFormat="1" ht="17.25" customHeight="1" x14ac:dyDescent="0.35">
      <c r="A316" s="65">
        <v>14311</v>
      </c>
      <c r="B316" s="65" t="s">
        <v>1272</v>
      </c>
      <c r="C316" s="105" t="s">
        <v>2132</v>
      </c>
      <c r="D316" s="65" t="s">
        <v>2133</v>
      </c>
      <c r="E316" s="123">
        <v>5</v>
      </c>
      <c r="F316" s="65">
        <v>49205</v>
      </c>
      <c r="G316" s="124" t="s">
        <v>1321</v>
      </c>
      <c r="H316" s="65" t="s">
        <v>12</v>
      </c>
      <c r="I316" s="65" t="s">
        <v>70</v>
      </c>
      <c r="J316" s="125" t="s">
        <v>13</v>
      </c>
      <c r="K316" s="65">
        <v>4</v>
      </c>
      <c r="L316" s="65">
        <v>15004</v>
      </c>
      <c r="M316" s="65" t="s">
        <v>12</v>
      </c>
      <c r="N316" s="65" t="s">
        <v>14</v>
      </c>
      <c r="O316" s="65" t="s">
        <v>14</v>
      </c>
      <c r="P316" s="65" t="s">
        <v>40</v>
      </c>
      <c r="Q316" s="65" t="s">
        <v>12</v>
      </c>
      <c r="R316" s="124" t="s">
        <v>12</v>
      </c>
      <c r="S316" s="65" t="s">
        <v>14</v>
      </c>
      <c r="T316" s="65" t="s">
        <v>12</v>
      </c>
      <c r="U316" s="65" t="s">
        <v>14</v>
      </c>
      <c r="V316" s="126" t="str">
        <f t="shared" si="4"/>
        <v>伙伴4</v>
      </c>
      <c r="W316" s="126">
        <f t="shared" si="5"/>
        <v>15004</v>
      </c>
    </row>
    <row r="317" spans="1:27" ht="17.25" customHeight="1" x14ac:dyDescent="0.35">
      <c r="A317" s="64">
        <v>14312</v>
      </c>
      <c r="B317" s="64" t="s">
        <v>954</v>
      </c>
      <c r="C317" s="105" t="s">
        <v>1294</v>
      </c>
      <c r="D317" s="52" t="s">
        <v>1294</v>
      </c>
      <c r="E317" s="88">
        <v>5</v>
      </c>
      <c r="F317" s="52">
        <v>49118</v>
      </c>
      <c r="G317" s="57" t="s">
        <v>1321</v>
      </c>
      <c r="H317" s="52" t="s">
        <v>12</v>
      </c>
      <c r="I317" s="52" t="s">
        <v>70</v>
      </c>
      <c r="J317" s="113" t="s">
        <v>35</v>
      </c>
      <c r="K317" s="52">
        <v>4</v>
      </c>
      <c r="L317" s="52">
        <v>15204</v>
      </c>
      <c r="M317" s="52" t="s">
        <v>12</v>
      </c>
      <c r="N317" s="52" t="s">
        <v>14</v>
      </c>
      <c r="O317" s="52" t="s">
        <v>14</v>
      </c>
      <c r="P317" s="52" t="s">
        <v>31</v>
      </c>
      <c r="Q317" s="52" t="s">
        <v>12</v>
      </c>
      <c r="R317" s="57" t="s">
        <v>12</v>
      </c>
      <c r="S317" s="52" t="s">
        <v>14</v>
      </c>
      <c r="T317" s="52" t="s">
        <v>12</v>
      </c>
      <c r="U317" s="52" t="s">
        <v>14</v>
      </c>
      <c r="V317" s="53" t="str">
        <f t="shared" si="4"/>
        <v>法宝4</v>
      </c>
      <c r="W317" s="53">
        <f t="shared" si="5"/>
        <v>15204</v>
      </c>
    </row>
    <row r="318" spans="1:27" ht="17.25" customHeight="1" x14ac:dyDescent="0.35">
      <c r="A318" s="64">
        <v>14313</v>
      </c>
      <c r="B318" s="64" t="s">
        <v>955</v>
      </c>
      <c r="C318" s="105" t="s">
        <v>1295</v>
      </c>
      <c r="D318" s="52" t="s">
        <v>1295</v>
      </c>
      <c r="E318" s="88">
        <v>5</v>
      </c>
      <c r="F318" s="52">
        <v>49119</v>
      </c>
      <c r="G318" s="57" t="s">
        <v>1321</v>
      </c>
      <c r="H318" s="52" t="s">
        <v>12</v>
      </c>
      <c r="I318" s="52" t="s">
        <v>70</v>
      </c>
      <c r="J318" s="113" t="s">
        <v>35</v>
      </c>
      <c r="K318" s="52">
        <v>4</v>
      </c>
      <c r="L318" s="52">
        <v>15204</v>
      </c>
      <c r="M318" s="52" t="s">
        <v>12</v>
      </c>
      <c r="N318" s="52" t="s">
        <v>14</v>
      </c>
      <c r="O318" s="52" t="s">
        <v>14</v>
      </c>
      <c r="P318" s="52" t="s">
        <v>31</v>
      </c>
      <c r="Q318" s="52" t="s">
        <v>12</v>
      </c>
      <c r="R318" s="57" t="s">
        <v>12</v>
      </c>
      <c r="S318" s="52" t="s">
        <v>14</v>
      </c>
      <c r="T318" s="52" t="s">
        <v>12</v>
      </c>
      <c r="U318" s="52" t="s">
        <v>14</v>
      </c>
      <c r="V318" s="53" t="str">
        <f t="shared" si="4"/>
        <v>法宝4</v>
      </c>
      <c r="W318" s="53">
        <f t="shared" si="5"/>
        <v>15204</v>
      </c>
    </row>
    <row r="319" spans="1:27" ht="17.25" customHeight="1" x14ac:dyDescent="0.35">
      <c r="A319" s="61">
        <v>14314</v>
      </c>
      <c r="B319" s="61" t="s">
        <v>1262</v>
      </c>
      <c r="C319" s="105" t="s">
        <v>1296</v>
      </c>
      <c r="D319" s="52" t="s">
        <v>1290</v>
      </c>
      <c r="E319" s="88">
        <v>5</v>
      </c>
      <c r="F319" s="52">
        <v>49102</v>
      </c>
      <c r="G319" s="57" t="s">
        <v>1321</v>
      </c>
      <c r="H319" s="52" t="s">
        <v>12</v>
      </c>
      <c r="I319" s="52" t="s">
        <v>70</v>
      </c>
      <c r="J319" s="113" t="s">
        <v>13</v>
      </c>
      <c r="K319" s="52">
        <v>3</v>
      </c>
      <c r="L319" s="52">
        <v>15103</v>
      </c>
      <c r="M319" s="52" t="s">
        <v>12</v>
      </c>
      <c r="N319" s="52" t="s">
        <v>14</v>
      </c>
      <c r="O319" s="52" t="s">
        <v>14</v>
      </c>
      <c r="P319" s="52" t="s">
        <v>31</v>
      </c>
      <c r="Q319" s="52" t="s">
        <v>12</v>
      </c>
      <c r="R319" s="57" t="s">
        <v>12</v>
      </c>
      <c r="S319" s="52" t="s">
        <v>14</v>
      </c>
      <c r="T319" s="52" t="s">
        <v>12</v>
      </c>
      <c r="U319" s="52" t="s">
        <v>14</v>
      </c>
      <c r="V319" s="53" t="str">
        <f t="shared" si="4"/>
        <v>装3</v>
      </c>
      <c r="W319" s="53">
        <f t="shared" si="5"/>
        <v>15103</v>
      </c>
    </row>
    <row r="320" spans="1:27" ht="17.25" customHeight="1" x14ac:dyDescent="0.35">
      <c r="A320" s="65">
        <v>14315</v>
      </c>
      <c r="B320" s="65" t="s">
        <v>1263</v>
      </c>
      <c r="C320" s="105" t="s">
        <v>2171</v>
      </c>
      <c r="D320" s="52" t="s">
        <v>2170</v>
      </c>
      <c r="E320" s="88">
        <v>5</v>
      </c>
      <c r="F320" s="52">
        <v>49103</v>
      </c>
      <c r="G320" s="57" t="s">
        <v>1321</v>
      </c>
      <c r="H320" s="52" t="s">
        <v>12</v>
      </c>
      <c r="I320" s="52" t="s">
        <v>70</v>
      </c>
      <c r="J320" s="113" t="s">
        <v>13</v>
      </c>
      <c r="K320" s="52">
        <v>4</v>
      </c>
      <c r="L320" s="52">
        <v>15104</v>
      </c>
      <c r="M320" s="52" t="s">
        <v>12</v>
      </c>
      <c r="N320" s="52" t="s">
        <v>14</v>
      </c>
      <c r="O320" s="52" t="s">
        <v>14</v>
      </c>
      <c r="P320" s="52" t="s">
        <v>31</v>
      </c>
      <c r="Q320" s="52" t="s">
        <v>12</v>
      </c>
      <c r="R320" s="57" t="s">
        <v>12</v>
      </c>
      <c r="S320" s="52" t="s">
        <v>14</v>
      </c>
      <c r="T320" s="52" t="s">
        <v>12</v>
      </c>
      <c r="U320" s="52" t="s">
        <v>14</v>
      </c>
      <c r="V320" s="53" t="str">
        <f t="shared" si="4"/>
        <v>装4</v>
      </c>
      <c r="W320" s="53">
        <f t="shared" si="5"/>
        <v>15104</v>
      </c>
    </row>
    <row r="321" spans="1:27" ht="17.25" customHeight="1" x14ac:dyDescent="0.35">
      <c r="A321" s="60">
        <v>14316</v>
      </c>
      <c r="B321" s="60" t="s">
        <v>956</v>
      </c>
      <c r="C321" s="105" t="s">
        <v>1297</v>
      </c>
      <c r="D321" s="52" t="s">
        <v>1297</v>
      </c>
      <c r="E321" s="88">
        <v>5</v>
      </c>
      <c r="F321" s="52">
        <v>49112</v>
      </c>
      <c r="G321" s="57" t="s">
        <v>1321</v>
      </c>
      <c r="H321" s="52" t="s">
        <v>12</v>
      </c>
      <c r="I321" s="52" t="s">
        <v>70</v>
      </c>
      <c r="J321" s="113" t="s">
        <v>13</v>
      </c>
      <c r="K321" s="52">
        <v>2</v>
      </c>
      <c r="L321" s="52">
        <v>15202</v>
      </c>
      <c r="M321" s="52" t="s">
        <v>12</v>
      </c>
      <c r="N321" s="52" t="s">
        <v>14</v>
      </c>
      <c r="O321" s="52" t="s">
        <v>14</v>
      </c>
      <c r="P321" s="52" t="s">
        <v>31</v>
      </c>
      <c r="Q321" s="52" t="s">
        <v>12</v>
      </c>
      <c r="R321" s="57" t="s">
        <v>12</v>
      </c>
      <c r="S321" s="52" t="s">
        <v>14</v>
      </c>
      <c r="T321" s="52" t="s">
        <v>12</v>
      </c>
      <c r="U321" s="52" t="s">
        <v>14</v>
      </c>
      <c r="V321" s="53" t="str">
        <f t="shared" si="4"/>
        <v>法宝2</v>
      </c>
      <c r="W321" s="53">
        <f t="shared" si="5"/>
        <v>15202</v>
      </c>
    </row>
    <row r="322" spans="1:27" ht="17.25" customHeight="1" x14ac:dyDescent="0.35">
      <c r="A322" s="61">
        <v>14317</v>
      </c>
      <c r="B322" s="61" t="s">
        <v>957</v>
      </c>
      <c r="C322" s="105" t="s">
        <v>1298</v>
      </c>
      <c r="D322" s="52" t="s">
        <v>1298</v>
      </c>
      <c r="E322" s="88">
        <v>5</v>
      </c>
      <c r="F322" s="52">
        <v>49113</v>
      </c>
      <c r="G322" s="57" t="s">
        <v>1321</v>
      </c>
      <c r="H322" s="52" t="s">
        <v>12</v>
      </c>
      <c r="I322" s="52" t="s">
        <v>70</v>
      </c>
      <c r="J322" s="113" t="s">
        <v>13</v>
      </c>
      <c r="K322" s="52">
        <v>3</v>
      </c>
      <c r="L322" s="52">
        <v>15203</v>
      </c>
      <c r="M322" s="52" t="s">
        <v>12</v>
      </c>
      <c r="N322" s="52" t="s">
        <v>14</v>
      </c>
      <c r="O322" s="52" t="s">
        <v>14</v>
      </c>
      <c r="P322" s="52" t="s">
        <v>31</v>
      </c>
      <c r="Q322" s="52" t="s">
        <v>12</v>
      </c>
      <c r="R322" s="57" t="s">
        <v>12</v>
      </c>
      <c r="S322" s="52" t="s">
        <v>14</v>
      </c>
      <c r="T322" s="52" t="s">
        <v>12</v>
      </c>
      <c r="U322" s="52" t="s">
        <v>14</v>
      </c>
      <c r="V322" s="53" t="str">
        <f t="shared" si="4"/>
        <v>法宝3</v>
      </c>
      <c r="W322" s="53">
        <f t="shared" si="5"/>
        <v>15203</v>
      </c>
    </row>
    <row r="323" spans="1:27" ht="17.25" customHeight="1" x14ac:dyDescent="0.35">
      <c r="A323" s="65">
        <v>14318</v>
      </c>
      <c r="B323" s="65" t="s">
        <v>958</v>
      </c>
      <c r="C323" s="105" t="s">
        <v>1299</v>
      </c>
      <c r="D323" s="52" t="s">
        <v>1299</v>
      </c>
      <c r="E323" s="88">
        <v>5</v>
      </c>
      <c r="F323" s="52">
        <v>49114</v>
      </c>
      <c r="G323" s="57" t="s">
        <v>1321</v>
      </c>
      <c r="H323" s="52" t="s">
        <v>12</v>
      </c>
      <c r="I323" s="52" t="s">
        <v>70</v>
      </c>
      <c r="J323" s="113" t="s">
        <v>35</v>
      </c>
      <c r="K323" s="52">
        <v>4</v>
      </c>
      <c r="L323" s="52">
        <v>15204</v>
      </c>
      <c r="M323" s="52" t="s">
        <v>12</v>
      </c>
      <c r="N323" s="52" t="s">
        <v>14</v>
      </c>
      <c r="O323" s="52" t="s">
        <v>14</v>
      </c>
      <c r="P323" s="52" t="s">
        <v>31</v>
      </c>
      <c r="Q323" s="52" t="s">
        <v>12</v>
      </c>
      <c r="R323" s="57" t="s">
        <v>12</v>
      </c>
      <c r="S323" s="52" t="s">
        <v>14</v>
      </c>
      <c r="T323" s="52" t="s">
        <v>12</v>
      </c>
      <c r="U323" s="52" t="s">
        <v>14</v>
      </c>
      <c r="V323" s="53" t="str">
        <f t="shared" si="4"/>
        <v>法宝4</v>
      </c>
      <c r="W323" s="53">
        <f t="shared" si="5"/>
        <v>15204</v>
      </c>
    </row>
    <row r="324" spans="1:27" ht="17.25" customHeight="1" x14ac:dyDescent="0.35">
      <c r="A324" s="60">
        <v>14319</v>
      </c>
      <c r="B324" s="60" t="s">
        <v>959</v>
      </c>
      <c r="C324" s="105" t="s">
        <v>1300</v>
      </c>
      <c r="D324" s="52" t="s">
        <v>1300</v>
      </c>
      <c r="E324" s="88">
        <v>5</v>
      </c>
      <c r="F324" s="52">
        <v>49115</v>
      </c>
      <c r="G324" s="57" t="s">
        <v>1321</v>
      </c>
      <c r="H324" s="52" t="s">
        <v>12</v>
      </c>
      <c r="I324" s="52" t="s">
        <v>70</v>
      </c>
      <c r="J324" s="113" t="s">
        <v>13</v>
      </c>
      <c r="K324" s="52">
        <v>2</v>
      </c>
      <c r="L324" s="52">
        <v>15202</v>
      </c>
      <c r="M324" s="52" t="s">
        <v>12</v>
      </c>
      <c r="N324" s="52" t="s">
        <v>14</v>
      </c>
      <c r="O324" s="52" t="s">
        <v>14</v>
      </c>
      <c r="P324" s="52" t="s">
        <v>31</v>
      </c>
      <c r="Q324" s="52" t="s">
        <v>12</v>
      </c>
      <c r="R324" s="57" t="s">
        <v>12</v>
      </c>
      <c r="S324" s="52" t="s">
        <v>14</v>
      </c>
      <c r="T324" s="52" t="s">
        <v>12</v>
      </c>
      <c r="U324" s="52" t="s">
        <v>14</v>
      </c>
      <c r="V324" s="53" t="str">
        <f t="shared" si="4"/>
        <v>法宝2</v>
      </c>
      <c r="W324" s="53">
        <f t="shared" si="5"/>
        <v>15202</v>
      </c>
    </row>
    <row r="325" spans="1:27" ht="17.25" customHeight="1" x14ac:dyDescent="0.35">
      <c r="A325" s="61">
        <v>14320</v>
      </c>
      <c r="B325" s="61" t="s">
        <v>960</v>
      </c>
      <c r="C325" s="105" t="s">
        <v>1301</v>
      </c>
      <c r="D325" s="52" t="s">
        <v>1301</v>
      </c>
      <c r="E325" s="88">
        <v>5</v>
      </c>
      <c r="F325" s="52">
        <v>49116</v>
      </c>
      <c r="G325" s="57" t="s">
        <v>1321</v>
      </c>
      <c r="H325" s="52" t="s">
        <v>12</v>
      </c>
      <c r="I325" s="52" t="s">
        <v>70</v>
      </c>
      <c r="J325" s="113" t="s">
        <v>13</v>
      </c>
      <c r="K325" s="52">
        <v>3</v>
      </c>
      <c r="L325" s="52">
        <v>15203</v>
      </c>
      <c r="M325" s="52" t="s">
        <v>12</v>
      </c>
      <c r="N325" s="52" t="s">
        <v>14</v>
      </c>
      <c r="O325" s="52" t="s">
        <v>14</v>
      </c>
      <c r="P325" s="52" t="s">
        <v>31</v>
      </c>
      <c r="Q325" s="52" t="s">
        <v>12</v>
      </c>
      <c r="R325" s="57" t="s">
        <v>12</v>
      </c>
      <c r="S325" s="52" t="s">
        <v>14</v>
      </c>
      <c r="T325" s="52" t="s">
        <v>12</v>
      </c>
      <c r="U325" s="52" t="s">
        <v>14</v>
      </c>
      <c r="V325" s="53" t="str">
        <f t="shared" si="4"/>
        <v>法宝3</v>
      </c>
      <c r="W325" s="53">
        <f t="shared" si="5"/>
        <v>15203</v>
      </c>
    </row>
    <row r="326" spans="1:27" ht="17.25" customHeight="1" x14ac:dyDescent="0.35">
      <c r="A326" s="65">
        <v>14321</v>
      </c>
      <c r="B326" s="65" t="s">
        <v>961</v>
      </c>
      <c r="C326" s="105" t="s">
        <v>1302</v>
      </c>
      <c r="D326" s="52" t="s">
        <v>1302</v>
      </c>
      <c r="E326" s="88">
        <v>5</v>
      </c>
      <c r="F326" s="52">
        <v>49117</v>
      </c>
      <c r="G326" s="57" t="s">
        <v>1321</v>
      </c>
      <c r="H326" s="52" t="s">
        <v>12</v>
      </c>
      <c r="I326" s="52" t="s">
        <v>70</v>
      </c>
      <c r="J326" s="113" t="s">
        <v>35</v>
      </c>
      <c r="K326" s="52">
        <v>4</v>
      </c>
      <c r="L326" s="52">
        <v>15204</v>
      </c>
      <c r="M326" s="52" t="s">
        <v>12</v>
      </c>
      <c r="N326" s="52" t="s">
        <v>14</v>
      </c>
      <c r="O326" s="52" t="s">
        <v>14</v>
      </c>
      <c r="P326" s="52" t="s">
        <v>31</v>
      </c>
      <c r="Q326" s="52" t="s">
        <v>12</v>
      </c>
      <c r="R326" s="57" t="s">
        <v>12</v>
      </c>
      <c r="S326" s="52" t="s">
        <v>14</v>
      </c>
      <c r="T326" s="52" t="s">
        <v>12</v>
      </c>
      <c r="U326" s="52" t="s">
        <v>14</v>
      </c>
      <c r="V326" s="53" t="str">
        <f t="shared" si="4"/>
        <v>法宝4</v>
      </c>
      <c r="W326" s="53">
        <f t="shared" si="5"/>
        <v>15204</v>
      </c>
    </row>
    <row r="327" spans="1:27" ht="17.25" customHeight="1" x14ac:dyDescent="0.35">
      <c r="A327" s="61">
        <v>14322</v>
      </c>
      <c r="B327" s="61" t="s">
        <v>2172</v>
      </c>
      <c r="C327" s="105" t="s">
        <v>2174</v>
      </c>
      <c r="D327" s="52" t="s">
        <v>2173</v>
      </c>
      <c r="E327" s="88">
        <v>5</v>
      </c>
      <c r="F327" s="52">
        <v>49200</v>
      </c>
      <c r="G327" s="57" t="s">
        <v>153</v>
      </c>
      <c r="H327" s="52" t="s">
        <v>2175</v>
      </c>
      <c r="I327" s="52" t="s">
        <v>70</v>
      </c>
      <c r="J327" s="113" t="s">
        <v>30</v>
      </c>
      <c r="K327" s="52">
        <v>5</v>
      </c>
      <c r="L327" s="52">
        <v>16503</v>
      </c>
      <c r="M327" s="52" t="s">
        <v>12</v>
      </c>
      <c r="N327" s="52" t="s">
        <v>14</v>
      </c>
      <c r="O327" s="52" t="s">
        <v>14</v>
      </c>
      <c r="P327" s="52" t="s">
        <v>31</v>
      </c>
      <c r="Q327" s="52" t="s">
        <v>12</v>
      </c>
      <c r="R327" s="57" t="s">
        <v>153</v>
      </c>
      <c r="S327" s="52" t="s">
        <v>31</v>
      </c>
      <c r="T327" s="52" t="s">
        <v>12</v>
      </c>
      <c r="U327" s="52" t="s">
        <v>31</v>
      </c>
      <c r="V327" s="71"/>
      <c r="W327" s="71"/>
      <c r="X327" s="71"/>
      <c r="Y327" s="71"/>
      <c r="Z327" s="71"/>
      <c r="AA327" s="71"/>
    </row>
    <row r="328" spans="1:27" ht="17.25" customHeight="1" x14ac:dyDescent="0.35">
      <c r="A328" s="83">
        <v>14400</v>
      </c>
      <c r="B328" s="83" t="s">
        <v>1492</v>
      </c>
      <c r="C328" s="105" t="s">
        <v>1493</v>
      </c>
      <c r="D328" s="52" t="s">
        <v>1493</v>
      </c>
      <c r="E328" s="88">
        <v>5</v>
      </c>
      <c r="F328" s="52">
        <v>49005</v>
      </c>
      <c r="G328" s="57" t="s">
        <v>1321</v>
      </c>
      <c r="H328" s="52" t="s">
        <v>12</v>
      </c>
      <c r="I328" s="52" t="s">
        <v>70</v>
      </c>
      <c r="J328" s="113" t="s">
        <v>13</v>
      </c>
      <c r="K328" s="52">
        <v>1</v>
      </c>
      <c r="L328" s="52">
        <v>14333</v>
      </c>
      <c r="M328" s="52" t="s">
        <v>12</v>
      </c>
      <c r="N328" s="52" t="s">
        <v>14</v>
      </c>
      <c r="O328" s="52" t="s">
        <v>31</v>
      </c>
      <c r="P328" s="52" t="s">
        <v>31</v>
      </c>
      <c r="Q328" s="52" t="s">
        <v>12</v>
      </c>
      <c r="R328" s="57" t="s">
        <v>12</v>
      </c>
      <c r="S328" s="52" t="s">
        <v>14</v>
      </c>
      <c r="T328" s="52" t="s">
        <v>12</v>
      </c>
      <c r="U328" s="52" t="s">
        <v>14</v>
      </c>
    </row>
    <row r="329" spans="1:27" s="100" customFormat="1" x14ac:dyDescent="0.35">
      <c r="A329" s="95">
        <v>14401</v>
      </c>
      <c r="B329" s="95" t="s">
        <v>20</v>
      </c>
      <c r="C329" s="95" t="s">
        <v>887</v>
      </c>
      <c r="D329" s="95" t="s">
        <v>887</v>
      </c>
      <c r="E329" s="97">
        <v>5</v>
      </c>
      <c r="F329" s="95">
        <v>49006</v>
      </c>
      <c r="G329" s="99" t="s">
        <v>1321</v>
      </c>
      <c r="H329" s="95" t="s">
        <v>12</v>
      </c>
      <c r="I329" s="95" t="s">
        <v>70</v>
      </c>
      <c r="J329" s="117" t="s">
        <v>13</v>
      </c>
      <c r="K329" s="95">
        <v>3</v>
      </c>
      <c r="L329" s="95">
        <v>14333</v>
      </c>
      <c r="M329" s="95" t="s">
        <v>12</v>
      </c>
      <c r="N329" s="95" t="s">
        <v>14</v>
      </c>
      <c r="O329" s="95" t="s">
        <v>40</v>
      </c>
      <c r="P329" s="95" t="s">
        <v>31</v>
      </c>
      <c r="Q329" s="95" t="s">
        <v>12</v>
      </c>
      <c r="R329" s="99" t="s">
        <v>12</v>
      </c>
      <c r="S329" s="95" t="s">
        <v>14</v>
      </c>
      <c r="T329" s="95" t="s">
        <v>12</v>
      </c>
      <c r="U329" s="95" t="s">
        <v>14</v>
      </c>
    </row>
    <row r="330" spans="1:27" s="100" customFormat="1" x14ac:dyDescent="0.35">
      <c r="A330" s="95">
        <v>14402</v>
      </c>
      <c r="B330" s="95" t="s">
        <v>90</v>
      </c>
      <c r="C330" s="95" t="s">
        <v>81</v>
      </c>
      <c r="D330" s="95" t="s">
        <v>81</v>
      </c>
      <c r="E330" s="97">
        <v>5</v>
      </c>
      <c r="F330" s="95">
        <v>49007</v>
      </c>
      <c r="G330" s="99" t="s">
        <v>1321</v>
      </c>
      <c r="H330" s="95" t="s">
        <v>12</v>
      </c>
      <c r="I330" s="95" t="s">
        <v>70</v>
      </c>
      <c r="J330" s="117" t="s">
        <v>13</v>
      </c>
      <c r="K330" s="95" t="s">
        <v>24</v>
      </c>
      <c r="L330" s="95">
        <v>14333</v>
      </c>
      <c r="M330" s="95" t="s">
        <v>12</v>
      </c>
      <c r="N330" s="95" t="s">
        <v>14</v>
      </c>
      <c r="O330" s="95" t="s">
        <v>31</v>
      </c>
      <c r="P330" s="95" t="s">
        <v>31</v>
      </c>
      <c r="Q330" s="95" t="s">
        <v>12</v>
      </c>
      <c r="R330" s="99" t="s">
        <v>12</v>
      </c>
      <c r="S330" s="95" t="s">
        <v>14</v>
      </c>
      <c r="T330" s="95" t="s">
        <v>12</v>
      </c>
      <c r="U330" s="95" t="s">
        <v>14</v>
      </c>
    </row>
    <row r="331" spans="1:27" s="100" customFormat="1" x14ac:dyDescent="0.35">
      <c r="A331" s="95">
        <v>14403</v>
      </c>
      <c r="B331" s="95" t="s">
        <v>962</v>
      </c>
      <c r="C331" s="95" t="s">
        <v>81</v>
      </c>
      <c r="D331" s="95" t="s">
        <v>81</v>
      </c>
      <c r="E331" s="97">
        <v>5</v>
      </c>
      <c r="F331" s="95">
        <v>49008</v>
      </c>
      <c r="G331" s="99" t="s">
        <v>1321</v>
      </c>
      <c r="H331" s="95" t="s">
        <v>12</v>
      </c>
      <c r="I331" s="95" t="s">
        <v>70</v>
      </c>
      <c r="J331" s="117" t="s">
        <v>13</v>
      </c>
      <c r="K331" s="95">
        <v>3</v>
      </c>
      <c r="L331" s="95">
        <v>14333</v>
      </c>
      <c r="M331" s="95" t="s">
        <v>12</v>
      </c>
      <c r="N331" s="95" t="s">
        <v>14</v>
      </c>
      <c r="O331" s="95" t="s">
        <v>31</v>
      </c>
      <c r="P331" s="95" t="s">
        <v>31</v>
      </c>
      <c r="Q331" s="95" t="s">
        <v>12</v>
      </c>
      <c r="R331" s="99" t="s">
        <v>12</v>
      </c>
      <c r="S331" s="95" t="s">
        <v>14</v>
      </c>
      <c r="T331" s="95" t="s">
        <v>12</v>
      </c>
      <c r="U331" s="95" t="s">
        <v>14</v>
      </c>
    </row>
    <row r="332" spans="1:27" s="100" customFormat="1" x14ac:dyDescent="0.35">
      <c r="A332" s="95">
        <v>14404</v>
      </c>
      <c r="B332" s="95" t="s">
        <v>91</v>
      </c>
      <c r="C332" s="95" t="s">
        <v>81</v>
      </c>
      <c r="D332" s="95" t="s">
        <v>81</v>
      </c>
      <c r="E332" s="97">
        <v>5</v>
      </c>
      <c r="F332" s="95">
        <v>49009</v>
      </c>
      <c r="G332" s="99" t="s">
        <v>1321</v>
      </c>
      <c r="H332" s="95" t="s">
        <v>12</v>
      </c>
      <c r="I332" s="95" t="s">
        <v>70</v>
      </c>
      <c r="J332" s="117" t="s">
        <v>13</v>
      </c>
      <c r="K332" s="95">
        <v>3</v>
      </c>
      <c r="L332" s="95">
        <v>14333</v>
      </c>
      <c r="M332" s="95" t="s">
        <v>12</v>
      </c>
      <c r="N332" s="95" t="s">
        <v>14</v>
      </c>
      <c r="O332" s="95" t="s">
        <v>31</v>
      </c>
      <c r="P332" s="95" t="s">
        <v>31</v>
      </c>
      <c r="Q332" s="95" t="s">
        <v>12</v>
      </c>
      <c r="R332" s="99" t="s">
        <v>12</v>
      </c>
      <c r="S332" s="95" t="s">
        <v>14</v>
      </c>
      <c r="T332" s="95" t="s">
        <v>12</v>
      </c>
      <c r="U332" s="95" t="s">
        <v>14</v>
      </c>
    </row>
    <row r="333" spans="1:27" x14ac:dyDescent="0.35">
      <c r="A333" s="64">
        <v>14405</v>
      </c>
      <c r="B333" s="64" t="s">
        <v>358</v>
      </c>
      <c r="C333" s="105" t="s">
        <v>1314</v>
      </c>
      <c r="D333" s="52" t="s">
        <v>1314</v>
      </c>
      <c r="E333" s="88">
        <v>5</v>
      </c>
      <c r="F333" s="52">
        <v>49010</v>
      </c>
      <c r="G333" s="57" t="s">
        <v>1319</v>
      </c>
      <c r="H333" s="52" t="s">
        <v>12</v>
      </c>
      <c r="I333" s="52" t="s">
        <v>70</v>
      </c>
      <c r="J333" s="113" t="s">
        <v>30</v>
      </c>
      <c r="K333" s="52">
        <v>4</v>
      </c>
      <c r="L333" s="52">
        <v>14406</v>
      </c>
      <c r="M333" s="52" t="s">
        <v>12</v>
      </c>
      <c r="N333" s="52" t="s">
        <v>31</v>
      </c>
      <c r="O333" s="52" t="s">
        <v>40</v>
      </c>
      <c r="P333" s="52" t="s">
        <v>31</v>
      </c>
      <c r="Q333" s="52" t="s">
        <v>153</v>
      </c>
      <c r="R333" s="57" t="s">
        <v>70</v>
      </c>
      <c r="S333" s="52" t="s">
        <v>31</v>
      </c>
      <c r="T333" s="52" t="s">
        <v>70</v>
      </c>
      <c r="U333" s="52" t="s">
        <v>31</v>
      </c>
    </row>
    <row r="334" spans="1:27" s="130" customFormat="1" x14ac:dyDescent="0.35">
      <c r="A334" s="127">
        <v>14406</v>
      </c>
      <c r="B334" s="127" t="s">
        <v>359</v>
      </c>
      <c r="C334" s="127" t="s">
        <v>1313</v>
      </c>
      <c r="D334" s="127" t="s">
        <v>1313</v>
      </c>
      <c r="E334" s="128">
        <v>5</v>
      </c>
      <c r="F334" s="127">
        <v>49011</v>
      </c>
      <c r="G334" s="127" t="s">
        <v>70</v>
      </c>
      <c r="H334" s="127" t="s">
        <v>12</v>
      </c>
      <c r="I334" s="127" t="s">
        <v>70</v>
      </c>
      <c r="J334" s="129" t="s">
        <v>30</v>
      </c>
      <c r="K334" s="127">
        <v>1</v>
      </c>
      <c r="L334" s="127">
        <v>14406</v>
      </c>
      <c r="M334" s="127" t="s">
        <v>12</v>
      </c>
      <c r="N334" s="127" t="s">
        <v>31</v>
      </c>
      <c r="O334" s="127" t="s">
        <v>40</v>
      </c>
      <c r="P334" s="127" t="s">
        <v>31</v>
      </c>
      <c r="Q334" s="127" t="s">
        <v>70</v>
      </c>
      <c r="R334" s="127" t="s">
        <v>70</v>
      </c>
      <c r="S334" s="127" t="s">
        <v>31</v>
      </c>
      <c r="T334" s="127" t="s">
        <v>70</v>
      </c>
      <c r="U334" s="127" t="s">
        <v>31</v>
      </c>
    </row>
    <row r="335" spans="1:27" s="130" customFormat="1" x14ac:dyDescent="0.35">
      <c r="A335" s="127">
        <v>14407</v>
      </c>
      <c r="B335" s="127" t="s">
        <v>763</v>
      </c>
      <c r="C335" s="127" t="s">
        <v>1791</v>
      </c>
      <c r="D335" s="127" t="s">
        <v>1791</v>
      </c>
      <c r="E335" s="128">
        <v>5</v>
      </c>
      <c r="F335" s="127">
        <v>49012</v>
      </c>
      <c r="G335" s="127" t="s">
        <v>153</v>
      </c>
      <c r="H335" s="127" t="s">
        <v>12</v>
      </c>
      <c r="I335" s="127" t="s">
        <v>70</v>
      </c>
      <c r="J335" s="129" t="s">
        <v>13</v>
      </c>
      <c r="K335" s="127">
        <v>4</v>
      </c>
      <c r="L335" s="127">
        <v>14333</v>
      </c>
      <c r="M335" s="127" t="s">
        <v>12</v>
      </c>
      <c r="N335" s="127" t="s">
        <v>14</v>
      </c>
      <c r="O335" s="127" t="s">
        <v>31</v>
      </c>
      <c r="P335" s="127" t="s">
        <v>31</v>
      </c>
      <c r="Q335" s="127" t="s">
        <v>12</v>
      </c>
      <c r="R335" s="127" t="s">
        <v>12</v>
      </c>
      <c r="S335" s="127" t="s">
        <v>14</v>
      </c>
      <c r="T335" s="127" t="s">
        <v>12</v>
      </c>
      <c r="U335" s="127" t="s">
        <v>14</v>
      </c>
    </row>
    <row r="336" spans="1:27" ht="17.25" customHeight="1" x14ac:dyDescent="0.35">
      <c r="A336" s="64">
        <v>14408</v>
      </c>
      <c r="B336" s="64" t="s">
        <v>2115</v>
      </c>
      <c r="C336" s="105" t="s">
        <v>2313</v>
      </c>
      <c r="D336" s="52" t="s">
        <v>2313</v>
      </c>
      <c r="E336" s="88">
        <v>9</v>
      </c>
      <c r="F336" s="52" t="s">
        <v>12</v>
      </c>
      <c r="G336" s="57" t="s">
        <v>2117</v>
      </c>
      <c r="H336" s="52" t="s">
        <v>2237</v>
      </c>
      <c r="I336" s="52" t="s">
        <v>2116</v>
      </c>
      <c r="J336" s="113" t="s">
        <v>13</v>
      </c>
      <c r="K336" s="52">
        <v>5</v>
      </c>
      <c r="L336" s="52">
        <v>14408</v>
      </c>
      <c r="M336" s="52" t="s">
        <v>12</v>
      </c>
      <c r="N336" s="52" t="s">
        <v>14</v>
      </c>
      <c r="O336" s="52" t="s">
        <v>14</v>
      </c>
      <c r="P336" s="52" t="s">
        <v>31</v>
      </c>
      <c r="Q336" s="52" t="s">
        <v>12</v>
      </c>
      <c r="R336" s="57" t="s">
        <v>70</v>
      </c>
      <c r="S336" s="52" t="s">
        <v>14</v>
      </c>
      <c r="T336" s="52" t="s">
        <v>12</v>
      </c>
      <c r="U336" s="52" t="s">
        <v>14</v>
      </c>
    </row>
    <row r="337" spans="1:27" ht="17.25" customHeight="1" x14ac:dyDescent="0.35">
      <c r="A337" s="64">
        <v>14409</v>
      </c>
      <c r="B337" s="64" t="s">
        <v>2136</v>
      </c>
      <c r="C337" s="105" t="s">
        <v>2148</v>
      </c>
      <c r="D337" s="52" t="s">
        <v>2147</v>
      </c>
      <c r="E337" s="88">
        <v>5</v>
      </c>
      <c r="F337" s="52">
        <v>49219</v>
      </c>
      <c r="G337" s="57" t="s">
        <v>12</v>
      </c>
      <c r="H337" s="52" t="s">
        <v>2237</v>
      </c>
      <c r="I337" s="52" t="s">
        <v>12</v>
      </c>
      <c r="J337" s="113" t="s">
        <v>13</v>
      </c>
      <c r="K337" s="52">
        <v>5</v>
      </c>
      <c r="L337" s="52">
        <v>14409</v>
      </c>
      <c r="M337" s="52" t="s">
        <v>12</v>
      </c>
      <c r="N337" s="52" t="s">
        <v>14</v>
      </c>
      <c r="O337" s="52" t="s">
        <v>14</v>
      </c>
      <c r="P337" s="52" t="s">
        <v>14</v>
      </c>
      <c r="Q337" s="52" t="s">
        <v>12</v>
      </c>
      <c r="R337" s="57" t="s">
        <v>12</v>
      </c>
      <c r="S337" s="52" t="s">
        <v>14</v>
      </c>
      <c r="T337" s="52" t="s">
        <v>12</v>
      </c>
      <c r="U337" s="52" t="s">
        <v>14</v>
      </c>
    </row>
    <row r="338" spans="1:27" s="130" customFormat="1" x14ac:dyDescent="0.35">
      <c r="A338" s="127">
        <v>14410</v>
      </c>
      <c r="B338" s="127" t="s">
        <v>1496</v>
      </c>
      <c r="C338" s="127" t="s">
        <v>1497</v>
      </c>
      <c r="D338" s="127" t="s">
        <v>1497</v>
      </c>
      <c r="E338" s="128">
        <v>5</v>
      </c>
      <c r="F338" s="127">
        <v>49013</v>
      </c>
      <c r="G338" s="127" t="s">
        <v>1321</v>
      </c>
      <c r="H338" s="127" t="s">
        <v>12</v>
      </c>
      <c r="I338" s="127" t="s">
        <v>70</v>
      </c>
      <c r="J338" s="129" t="s">
        <v>13</v>
      </c>
      <c r="K338" s="127">
        <v>1</v>
      </c>
      <c r="L338" s="127">
        <v>14333</v>
      </c>
      <c r="M338" s="127" t="s">
        <v>12</v>
      </c>
      <c r="N338" s="127" t="s">
        <v>14</v>
      </c>
      <c r="O338" s="127" t="s">
        <v>31</v>
      </c>
      <c r="P338" s="127" t="s">
        <v>31</v>
      </c>
      <c r="Q338" s="127" t="s">
        <v>12</v>
      </c>
      <c r="R338" s="127" t="s">
        <v>12</v>
      </c>
      <c r="S338" s="127" t="s">
        <v>14</v>
      </c>
      <c r="T338" s="127" t="s">
        <v>12</v>
      </c>
      <c r="U338" s="127" t="s">
        <v>14</v>
      </c>
    </row>
    <row r="339" spans="1:27" s="130" customFormat="1" x14ac:dyDescent="0.35">
      <c r="A339" s="127">
        <v>14411</v>
      </c>
      <c r="B339" s="127" t="s">
        <v>1528</v>
      </c>
      <c r="C339" s="127" t="s">
        <v>1529</v>
      </c>
      <c r="D339" s="127" t="s">
        <v>1529</v>
      </c>
      <c r="E339" s="128">
        <v>5</v>
      </c>
      <c r="F339" s="127">
        <v>49014</v>
      </c>
      <c r="G339" s="127" t="s">
        <v>1321</v>
      </c>
      <c r="H339" s="127" t="s">
        <v>12</v>
      </c>
      <c r="I339" s="127" t="s">
        <v>70</v>
      </c>
      <c r="J339" s="129" t="s">
        <v>13</v>
      </c>
      <c r="K339" s="127">
        <v>4</v>
      </c>
      <c r="L339" s="127">
        <v>14333</v>
      </c>
      <c r="M339" s="127" t="s">
        <v>12</v>
      </c>
      <c r="N339" s="127" t="s">
        <v>14</v>
      </c>
      <c r="O339" s="127" t="s">
        <v>31</v>
      </c>
      <c r="P339" s="127" t="s">
        <v>31</v>
      </c>
      <c r="Q339" s="127" t="s">
        <v>12</v>
      </c>
      <c r="R339" s="127" t="s">
        <v>12</v>
      </c>
      <c r="S339" s="127" t="s">
        <v>14</v>
      </c>
      <c r="T339" s="127" t="s">
        <v>12</v>
      </c>
      <c r="U339" s="127" t="s">
        <v>14</v>
      </c>
    </row>
    <row r="340" spans="1:27" ht="17.25" customHeight="1" x14ac:dyDescent="0.35">
      <c r="A340" s="64">
        <v>14412</v>
      </c>
      <c r="B340" s="64" t="s">
        <v>2157</v>
      </c>
      <c r="C340" s="105" t="s">
        <v>2165</v>
      </c>
      <c r="D340" s="52" t="s">
        <v>2164</v>
      </c>
      <c r="E340" s="88">
        <v>5</v>
      </c>
      <c r="F340" s="52">
        <v>49220</v>
      </c>
      <c r="G340" s="57" t="s">
        <v>12</v>
      </c>
      <c r="H340" s="52" t="s">
        <v>2237</v>
      </c>
      <c r="I340" s="52" t="s">
        <v>12</v>
      </c>
      <c r="J340" s="113" t="s">
        <v>13</v>
      </c>
      <c r="K340" s="52">
        <v>5</v>
      </c>
      <c r="L340" s="52">
        <v>14409</v>
      </c>
      <c r="M340" s="52" t="s">
        <v>12</v>
      </c>
      <c r="N340" s="52" t="s">
        <v>14</v>
      </c>
      <c r="O340" s="52" t="s">
        <v>14</v>
      </c>
      <c r="P340" s="52" t="s">
        <v>14</v>
      </c>
      <c r="Q340" s="52" t="s">
        <v>12</v>
      </c>
      <c r="R340" s="57" t="s">
        <v>12</v>
      </c>
      <c r="S340" s="52" t="s">
        <v>14</v>
      </c>
      <c r="T340" s="52" t="s">
        <v>12</v>
      </c>
      <c r="U340" s="52" t="s">
        <v>14</v>
      </c>
      <c r="V340" s="87"/>
    </row>
    <row r="341" spans="1:27" ht="17.25" customHeight="1" x14ac:dyDescent="0.35">
      <c r="A341" s="65">
        <v>14413</v>
      </c>
      <c r="B341" s="65" t="s">
        <v>2227</v>
      </c>
      <c r="C341" s="105" t="s">
        <v>2236</v>
      </c>
      <c r="D341" s="52" t="s">
        <v>2235</v>
      </c>
      <c r="E341" s="88">
        <v>9</v>
      </c>
      <c r="F341" s="52" t="s">
        <v>2231</v>
      </c>
      <c r="G341" s="57" t="s">
        <v>70</v>
      </c>
      <c r="H341" s="52" t="s">
        <v>2237</v>
      </c>
      <c r="I341" s="52" t="s">
        <v>70</v>
      </c>
      <c r="J341" s="113" t="s">
        <v>30</v>
      </c>
      <c r="K341" s="52">
        <v>5</v>
      </c>
      <c r="L341" s="52">
        <v>14413</v>
      </c>
      <c r="M341" s="52" t="s">
        <v>12</v>
      </c>
      <c r="N341" s="52" t="s">
        <v>14</v>
      </c>
      <c r="O341" s="52" t="s">
        <v>14</v>
      </c>
      <c r="P341" s="52" t="s">
        <v>31</v>
      </c>
      <c r="Q341" s="52" t="s">
        <v>12</v>
      </c>
      <c r="R341" s="57" t="s">
        <v>70</v>
      </c>
      <c r="S341" s="52" t="s">
        <v>31</v>
      </c>
      <c r="T341" s="52" t="s">
        <v>12</v>
      </c>
      <c r="U341" s="52" t="s">
        <v>31</v>
      </c>
      <c r="V341" s="71"/>
      <c r="W341" s="71"/>
      <c r="X341" s="71"/>
      <c r="Y341" s="71"/>
      <c r="Z341" s="71"/>
      <c r="AA341" s="71"/>
    </row>
    <row r="342" spans="1:27" ht="17.25" customHeight="1" x14ac:dyDescent="0.35">
      <c r="A342" s="65">
        <v>14414</v>
      </c>
      <c r="B342" s="65" t="s">
        <v>2232</v>
      </c>
      <c r="C342" s="105" t="s">
        <v>2233</v>
      </c>
      <c r="D342" s="52" t="s">
        <v>2234</v>
      </c>
      <c r="E342" s="88">
        <v>5</v>
      </c>
      <c r="F342" s="52">
        <v>49221</v>
      </c>
      <c r="G342" s="57" t="s">
        <v>70</v>
      </c>
      <c r="H342" s="52" t="s">
        <v>2237</v>
      </c>
      <c r="I342" s="52" t="s">
        <v>70</v>
      </c>
      <c r="J342" s="113" t="s">
        <v>30</v>
      </c>
      <c r="K342" s="52">
        <v>5</v>
      </c>
      <c r="L342" s="52">
        <v>14414</v>
      </c>
      <c r="M342" s="52" t="s">
        <v>12</v>
      </c>
      <c r="N342" s="52" t="s">
        <v>14</v>
      </c>
      <c r="O342" s="52" t="s">
        <v>14</v>
      </c>
      <c r="P342" s="52" t="s">
        <v>31</v>
      </c>
      <c r="Q342" s="52" t="s">
        <v>12</v>
      </c>
      <c r="R342" s="57" t="s">
        <v>70</v>
      </c>
      <c r="S342" s="52" t="s">
        <v>31</v>
      </c>
      <c r="T342" s="52" t="s">
        <v>12</v>
      </c>
      <c r="U342" s="52" t="s">
        <v>31</v>
      </c>
      <c r="V342" s="71"/>
      <c r="W342" s="71"/>
      <c r="X342" s="71"/>
      <c r="Y342" s="71"/>
      <c r="Z342" s="71"/>
      <c r="AA342" s="71"/>
    </row>
    <row r="343" spans="1:27" s="138" customFormat="1" ht="17.25" customHeight="1" x14ac:dyDescent="0.35">
      <c r="A343" s="75">
        <v>14415</v>
      </c>
      <c r="B343" s="75" t="s">
        <v>2304</v>
      </c>
      <c r="C343" s="75" t="s">
        <v>2308</v>
      </c>
      <c r="D343" s="75" t="s">
        <v>2307</v>
      </c>
      <c r="E343" s="135">
        <v>9</v>
      </c>
      <c r="F343" s="75" t="s">
        <v>12</v>
      </c>
      <c r="G343" s="136" t="s">
        <v>70</v>
      </c>
      <c r="H343" s="75" t="s">
        <v>70</v>
      </c>
      <c r="I343" s="75" t="s">
        <v>70</v>
      </c>
      <c r="J343" s="137" t="s">
        <v>13</v>
      </c>
      <c r="K343" s="75">
        <v>6</v>
      </c>
      <c r="L343" s="75">
        <v>16002</v>
      </c>
      <c r="M343" s="75" t="s">
        <v>12</v>
      </c>
      <c r="N343" s="75" t="s">
        <v>14</v>
      </c>
      <c r="O343" s="75" t="s">
        <v>14</v>
      </c>
      <c r="P343" s="75" t="s">
        <v>31</v>
      </c>
      <c r="Q343" s="75" t="s">
        <v>12</v>
      </c>
      <c r="R343" s="136" t="s">
        <v>70</v>
      </c>
      <c r="S343" s="75" t="s">
        <v>14</v>
      </c>
      <c r="T343" s="75" t="s">
        <v>12</v>
      </c>
      <c r="U343" s="75" t="s">
        <v>14</v>
      </c>
    </row>
    <row r="344" spans="1:27" s="138" customFormat="1" ht="17.25" customHeight="1" x14ac:dyDescent="0.35">
      <c r="A344" s="75">
        <v>14416</v>
      </c>
      <c r="B344" s="75" t="s">
        <v>2305</v>
      </c>
      <c r="C344" s="75" t="s">
        <v>2310</v>
      </c>
      <c r="D344" s="75" t="s">
        <v>2309</v>
      </c>
      <c r="E344" s="135">
        <v>9</v>
      </c>
      <c r="F344" s="75" t="s">
        <v>12</v>
      </c>
      <c r="G344" s="136" t="s">
        <v>70</v>
      </c>
      <c r="H344" s="75" t="s">
        <v>70</v>
      </c>
      <c r="I344" s="75" t="s">
        <v>70</v>
      </c>
      <c r="J344" s="137" t="s">
        <v>13</v>
      </c>
      <c r="K344" s="75">
        <v>6</v>
      </c>
      <c r="L344" s="75">
        <v>16004</v>
      </c>
      <c r="M344" s="75" t="s">
        <v>12</v>
      </c>
      <c r="N344" s="75" t="s">
        <v>14</v>
      </c>
      <c r="O344" s="75" t="s">
        <v>14</v>
      </c>
      <c r="P344" s="75" t="s">
        <v>31</v>
      </c>
      <c r="Q344" s="75" t="s">
        <v>12</v>
      </c>
      <c r="R344" s="136" t="s">
        <v>70</v>
      </c>
      <c r="S344" s="75" t="s">
        <v>14</v>
      </c>
      <c r="T344" s="75" t="s">
        <v>12</v>
      </c>
      <c r="U344" s="75" t="s">
        <v>14</v>
      </c>
    </row>
    <row r="345" spans="1:27" s="138" customFormat="1" ht="17.25" customHeight="1" x14ac:dyDescent="0.35">
      <c r="A345" s="75">
        <v>14417</v>
      </c>
      <c r="B345" s="75" t="s">
        <v>2306</v>
      </c>
      <c r="C345" s="75" t="s">
        <v>2312</v>
      </c>
      <c r="D345" s="75" t="s">
        <v>2311</v>
      </c>
      <c r="E345" s="135">
        <v>9</v>
      </c>
      <c r="F345" s="75" t="s">
        <v>12</v>
      </c>
      <c r="G345" s="136" t="s">
        <v>70</v>
      </c>
      <c r="H345" s="75" t="s">
        <v>70</v>
      </c>
      <c r="I345" s="75" t="s">
        <v>70</v>
      </c>
      <c r="J345" s="137" t="s">
        <v>13</v>
      </c>
      <c r="K345" s="75">
        <v>6</v>
      </c>
      <c r="L345" s="75">
        <v>16010</v>
      </c>
      <c r="M345" s="75" t="s">
        <v>12</v>
      </c>
      <c r="N345" s="75" t="s">
        <v>14</v>
      </c>
      <c r="O345" s="75" t="s">
        <v>14</v>
      </c>
      <c r="P345" s="75" t="s">
        <v>31</v>
      </c>
      <c r="Q345" s="75" t="s">
        <v>12</v>
      </c>
      <c r="R345" s="136" t="s">
        <v>70</v>
      </c>
      <c r="S345" s="75" t="s">
        <v>14</v>
      </c>
      <c r="T345" s="75" t="s">
        <v>12</v>
      </c>
      <c r="U345" s="75" t="s">
        <v>14</v>
      </c>
    </row>
    <row r="346" spans="1:27" ht="17.25" customHeight="1" x14ac:dyDescent="0.35">
      <c r="A346" s="83">
        <v>14418</v>
      </c>
      <c r="B346" s="83" t="s">
        <v>2314</v>
      </c>
      <c r="C346" s="105" t="s">
        <v>2321</v>
      </c>
      <c r="D346" s="105" t="s">
        <v>2321</v>
      </c>
      <c r="E346" s="88">
        <v>5</v>
      </c>
      <c r="F346" s="52">
        <v>59251</v>
      </c>
      <c r="G346" s="57" t="s">
        <v>70</v>
      </c>
      <c r="H346" s="52" t="s">
        <v>12</v>
      </c>
      <c r="I346" s="52" t="s">
        <v>70</v>
      </c>
      <c r="J346" s="113" t="s">
        <v>13</v>
      </c>
      <c r="K346" s="52">
        <v>5</v>
      </c>
      <c r="L346" s="52">
        <v>14337</v>
      </c>
      <c r="M346" s="52" t="s">
        <v>12</v>
      </c>
      <c r="N346" s="52" t="s">
        <v>14</v>
      </c>
      <c r="O346" s="52" t="s">
        <v>31</v>
      </c>
      <c r="P346" s="52" t="s">
        <v>31</v>
      </c>
      <c r="Q346" s="52" t="s">
        <v>12</v>
      </c>
      <c r="R346" s="57" t="s">
        <v>12</v>
      </c>
      <c r="S346" s="52" t="s">
        <v>14</v>
      </c>
      <c r="T346" s="52" t="s">
        <v>12</v>
      </c>
      <c r="U346" s="52" t="s">
        <v>14</v>
      </c>
    </row>
    <row r="347" spans="1:27" ht="17.25" customHeight="1" x14ac:dyDescent="0.35">
      <c r="A347" s="83">
        <v>14419</v>
      </c>
      <c r="B347" s="83" t="s">
        <v>2315</v>
      </c>
      <c r="C347" s="105" t="s">
        <v>2322</v>
      </c>
      <c r="D347" s="105" t="s">
        <v>2322</v>
      </c>
      <c r="E347" s="88">
        <v>5</v>
      </c>
      <c r="F347" s="52">
        <v>59252</v>
      </c>
      <c r="G347" s="57" t="s">
        <v>70</v>
      </c>
      <c r="H347" s="52" t="s">
        <v>12</v>
      </c>
      <c r="I347" s="52" t="s">
        <v>70</v>
      </c>
      <c r="J347" s="113" t="s">
        <v>13</v>
      </c>
      <c r="K347" s="52">
        <v>5</v>
      </c>
      <c r="L347" s="52">
        <v>14337</v>
      </c>
      <c r="M347" s="52" t="s">
        <v>12</v>
      </c>
      <c r="N347" s="52" t="s">
        <v>14</v>
      </c>
      <c r="O347" s="52" t="s">
        <v>31</v>
      </c>
      <c r="P347" s="52" t="s">
        <v>31</v>
      </c>
      <c r="Q347" s="52" t="s">
        <v>12</v>
      </c>
      <c r="R347" s="57" t="s">
        <v>12</v>
      </c>
      <c r="S347" s="52" t="s">
        <v>14</v>
      </c>
      <c r="T347" s="52" t="s">
        <v>12</v>
      </c>
      <c r="U347" s="52" t="s">
        <v>14</v>
      </c>
    </row>
    <row r="348" spans="1:27" ht="17.25" customHeight="1" x14ac:dyDescent="0.35">
      <c r="A348" s="83">
        <v>14420</v>
      </c>
      <c r="B348" s="83" t="s">
        <v>2316</v>
      </c>
      <c r="C348" s="105" t="s">
        <v>2323</v>
      </c>
      <c r="D348" s="105" t="s">
        <v>2323</v>
      </c>
      <c r="E348" s="88">
        <v>5</v>
      </c>
      <c r="F348" s="52">
        <v>59253</v>
      </c>
      <c r="G348" s="57" t="s">
        <v>70</v>
      </c>
      <c r="H348" s="52" t="s">
        <v>12</v>
      </c>
      <c r="I348" s="52" t="s">
        <v>70</v>
      </c>
      <c r="J348" s="113" t="s">
        <v>13</v>
      </c>
      <c r="K348" s="52">
        <v>5</v>
      </c>
      <c r="L348" s="52">
        <v>14337</v>
      </c>
      <c r="M348" s="52" t="s">
        <v>12</v>
      </c>
      <c r="N348" s="52" t="s">
        <v>14</v>
      </c>
      <c r="O348" s="52" t="s">
        <v>31</v>
      </c>
      <c r="P348" s="52" t="s">
        <v>31</v>
      </c>
      <c r="Q348" s="52" t="s">
        <v>12</v>
      </c>
      <c r="R348" s="57" t="s">
        <v>12</v>
      </c>
      <c r="S348" s="52" t="s">
        <v>14</v>
      </c>
      <c r="T348" s="52" t="s">
        <v>12</v>
      </c>
      <c r="U348" s="52" t="s">
        <v>14</v>
      </c>
    </row>
    <row r="349" spans="1:27" ht="17.25" customHeight="1" x14ac:dyDescent="0.35">
      <c r="A349" s="83">
        <v>14421</v>
      </c>
      <c r="B349" s="140" t="s">
        <v>2324</v>
      </c>
      <c r="C349" s="105" t="s">
        <v>2328</v>
      </c>
      <c r="D349" s="105" t="s">
        <v>2328</v>
      </c>
      <c r="E349" s="88">
        <v>5</v>
      </c>
      <c r="F349" s="141">
        <v>59254</v>
      </c>
      <c r="G349" s="57" t="s">
        <v>70</v>
      </c>
      <c r="H349" s="52" t="s">
        <v>12</v>
      </c>
      <c r="I349" s="52" t="s">
        <v>70</v>
      </c>
      <c r="J349" s="113" t="s">
        <v>13</v>
      </c>
      <c r="K349" s="52">
        <v>5</v>
      </c>
      <c r="L349" s="52">
        <v>14337</v>
      </c>
      <c r="M349" s="52" t="s">
        <v>12</v>
      </c>
      <c r="N349" s="52" t="s">
        <v>14</v>
      </c>
      <c r="O349" s="52" t="s">
        <v>31</v>
      </c>
      <c r="P349" s="52" t="s">
        <v>31</v>
      </c>
      <c r="Q349" s="52" t="s">
        <v>12</v>
      </c>
      <c r="R349" s="57" t="s">
        <v>12</v>
      </c>
      <c r="S349" s="52" t="s">
        <v>14</v>
      </c>
      <c r="T349" s="52" t="s">
        <v>12</v>
      </c>
      <c r="U349" s="52" t="s">
        <v>14</v>
      </c>
    </row>
    <row r="350" spans="1:27" ht="17.25" customHeight="1" x14ac:dyDescent="0.35">
      <c r="A350" s="83">
        <v>14422</v>
      </c>
      <c r="B350" s="140" t="s">
        <v>2325</v>
      </c>
      <c r="C350" s="105" t="s">
        <v>2329</v>
      </c>
      <c r="D350" s="105" t="s">
        <v>2329</v>
      </c>
      <c r="E350" s="88">
        <v>5</v>
      </c>
      <c r="F350" s="141">
        <v>59255</v>
      </c>
      <c r="G350" s="57" t="s">
        <v>70</v>
      </c>
      <c r="H350" s="52" t="s">
        <v>12</v>
      </c>
      <c r="I350" s="52" t="s">
        <v>70</v>
      </c>
      <c r="J350" s="113" t="s">
        <v>13</v>
      </c>
      <c r="K350" s="52">
        <v>5</v>
      </c>
      <c r="L350" s="52">
        <v>14337</v>
      </c>
      <c r="M350" s="52" t="s">
        <v>12</v>
      </c>
      <c r="N350" s="52" t="s">
        <v>14</v>
      </c>
      <c r="O350" s="52" t="s">
        <v>31</v>
      </c>
      <c r="P350" s="52" t="s">
        <v>31</v>
      </c>
      <c r="Q350" s="52" t="s">
        <v>12</v>
      </c>
      <c r="R350" s="57" t="s">
        <v>12</v>
      </c>
      <c r="S350" s="52" t="s">
        <v>14</v>
      </c>
      <c r="T350" s="52" t="s">
        <v>12</v>
      </c>
      <c r="U350" s="52" t="s">
        <v>14</v>
      </c>
    </row>
    <row r="351" spans="1:27" ht="17.25" customHeight="1" x14ac:dyDescent="0.35">
      <c r="A351" s="83">
        <v>14423</v>
      </c>
      <c r="B351" s="140" t="s">
        <v>2326</v>
      </c>
      <c r="C351" s="105" t="s">
        <v>2331</v>
      </c>
      <c r="D351" s="105" t="s">
        <v>2330</v>
      </c>
      <c r="E351" s="88">
        <v>5</v>
      </c>
      <c r="F351" s="141">
        <v>59256</v>
      </c>
      <c r="G351" s="57" t="s">
        <v>70</v>
      </c>
      <c r="H351" s="52" t="s">
        <v>12</v>
      </c>
      <c r="I351" s="52" t="s">
        <v>70</v>
      </c>
      <c r="J351" s="113" t="s">
        <v>13</v>
      </c>
      <c r="K351" s="52">
        <v>5</v>
      </c>
      <c r="L351" s="52">
        <v>14337</v>
      </c>
      <c r="M351" s="52" t="s">
        <v>12</v>
      </c>
      <c r="N351" s="52" t="s">
        <v>14</v>
      </c>
      <c r="O351" s="52" t="s">
        <v>31</v>
      </c>
      <c r="P351" s="52" t="s">
        <v>31</v>
      </c>
      <c r="Q351" s="52" t="s">
        <v>12</v>
      </c>
      <c r="R351" s="57" t="s">
        <v>12</v>
      </c>
      <c r="S351" s="52" t="s">
        <v>14</v>
      </c>
      <c r="T351" s="52" t="s">
        <v>12</v>
      </c>
      <c r="U351" s="52" t="s">
        <v>14</v>
      </c>
    </row>
    <row r="352" spans="1:27" ht="17.25" customHeight="1" x14ac:dyDescent="0.35">
      <c r="A352" s="83">
        <v>14424</v>
      </c>
      <c r="B352" s="140" t="s">
        <v>2327</v>
      </c>
      <c r="C352" s="105" t="s">
        <v>2330</v>
      </c>
      <c r="D352" s="105" t="s">
        <v>2330</v>
      </c>
      <c r="E352" s="88">
        <v>5</v>
      </c>
      <c r="F352" s="141">
        <v>59257</v>
      </c>
      <c r="G352" s="57" t="s">
        <v>70</v>
      </c>
      <c r="H352" s="52" t="s">
        <v>12</v>
      </c>
      <c r="I352" s="52" t="s">
        <v>70</v>
      </c>
      <c r="J352" s="113" t="s">
        <v>13</v>
      </c>
      <c r="K352" s="52">
        <v>5</v>
      </c>
      <c r="L352" s="52">
        <v>14337</v>
      </c>
      <c r="M352" s="52" t="s">
        <v>12</v>
      </c>
      <c r="N352" s="52" t="s">
        <v>14</v>
      </c>
      <c r="O352" s="52" t="s">
        <v>31</v>
      </c>
      <c r="P352" s="52" t="s">
        <v>31</v>
      </c>
      <c r="Q352" s="52" t="s">
        <v>12</v>
      </c>
      <c r="R352" s="57" t="s">
        <v>12</v>
      </c>
      <c r="S352" s="52" t="s">
        <v>14</v>
      </c>
      <c r="T352" s="52" t="s">
        <v>12</v>
      </c>
      <c r="U352" s="52" t="s">
        <v>14</v>
      </c>
    </row>
    <row r="353" spans="1:27" s="138" customFormat="1" ht="17.25" customHeight="1" x14ac:dyDescent="0.35">
      <c r="A353" s="75">
        <v>14425</v>
      </c>
      <c r="B353" s="75" t="s">
        <v>2381</v>
      </c>
      <c r="C353" s="75" t="s">
        <v>2382</v>
      </c>
      <c r="D353" s="75" t="s">
        <v>2382</v>
      </c>
      <c r="E353" s="135">
        <v>5</v>
      </c>
      <c r="F353" s="75">
        <v>59301</v>
      </c>
      <c r="G353" s="136" t="s">
        <v>70</v>
      </c>
      <c r="H353" s="75" t="s">
        <v>70</v>
      </c>
      <c r="I353" s="75" t="s">
        <v>70</v>
      </c>
      <c r="J353" s="137" t="s">
        <v>13</v>
      </c>
      <c r="K353" s="75">
        <v>5</v>
      </c>
      <c r="L353" s="75">
        <v>14425</v>
      </c>
      <c r="M353" s="75" t="s">
        <v>12</v>
      </c>
      <c r="N353" s="75" t="s">
        <v>14</v>
      </c>
      <c r="O353" s="75" t="s">
        <v>14</v>
      </c>
      <c r="P353" s="75" t="s">
        <v>31</v>
      </c>
      <c r="Q353" s="75" t="s">
        <v>12</v>
      </c>
      <c r="R353" s="136" t="s">
        <v>70</v>
      </c>
      <c r="S353" s="75" t="s">
        <v>14</v>
      </c>
      <c r="T353" s="75" t="s">
        <v>12</v>
      </c>
      <c r="U353" s="75" t="s">
        <v>14</v>
      </c>
    </row>
    <row r="354" spans="1:27" s="138" customFormat="1" ht="17.25" customHeight="1" x14ac:dyDescent="0.35">
      <c r="A354" s="75">
        <v>14426</v>
      </c>
      <c r="B354" s="75" t="s">
        <v>2332</v>
      </c>
      <c r="C354" s="75" t="s">
        <v>2333</v>
      </c>
      <c r="D354" s="75" t="s">
        <v>2333</v>
      </c>
      <c r="E354" s="135">
        <v>5</v>
      </c>
      <c r="F354" s="75">
        <v>59302</v>
      </c>
      <c r="G354" s="136" t="s">
        <v>70</v>
      </c>
      <c r="H354" s="75" t="s">
        <v>70</v>
      </c>
      <c r="I354" s="75" t="s">
        <v>70</v>
      </c>
      <c r="J354" s="137" t="s">
        <v>13</v>
      </c>
      <c r="K354" s="75">
        <v>5</v>
      </c>
      <c r="L354" s="75">
        <v>14426</v>
      </c>
      <c r="M354" s="75" t="s">
        <v>12</v>
      </c>
      <c r="N354" s="75" t="s">
        <v>14</v>
      </c>
      <c r="O354" s="75" t="s">
        <v>14</v>
      </c>
      <c r="P354" s="75" t="s">
        <v>31</v>
      </c>
      <c r="Q354" s="75" t="s">
        <v>12</v>
      </c>
      <c r="R354" s="136" t="s">
        <v>70</v>
      </c>
      <c r="S354" s="75" t="s">
        <v>14</v>
      </c>
      <c r="T354" s="75" t="s">
        <v>12</v>
      </c>
      <c r="U354" s="75" t="s">
        <v>14</v>
      </c>
    </row>
    <row r="355" spans="1:27" s="138" customFormat="1" ht="17.25" customHeight="1" x14ac:dyDescent="0.35">
      <c r="A355" s="75">
        <v>14427</v>
      </c>
      <c r="B355" s="75" t="s">
        <v>2334</v>
      </c>
      <c r="C355" s="75" t="s">
        <v>2346</v>
      </c>
      <c r="D355" s="75" t="s">
        <v>2345</v>
      </c>
      <c r="E355" s="135">
        <v>5</v>
      </c>
      <c r="F355" s="75">
        <v>59303</v>
      </c>
      <c r="G355" s="136" t="s">
        <v>70</v>
      </c>
      <c r="H355" s="75" t="s">
        <v>70</v>
      </c>
      <c r="I355" s="75" t="s">
        <v>70</v>
      </c>
      <c r="J355" s="137" t="s">
        <v>13</v>
      </c>
      <c r="K355" s="75">
        <v>5</v>
      </c>
      <c r="L355" s="75">
        <v>14427</v>
      </c>
      <c r="M355" s="75" t="s">
        <v>12</v>
      </c>
      <c r="N355" s="75" t="s">
        <v>14</v>
      </c>
      <c r="O355" s="75" t="s">
        <v>14</v>
      </c>
      <c r="P355" s="75" t="s">
        <v>31</v>
      </c>
      <c r="Q355" s="75" t="s">
        <v>12</v>
      </c>
      <c r="R355" s="136" t="s">
        <v>70</v>
      </c>
      <c r="S355" s="75" t="s">
        <v>14</v>
      </c>
      <c r="T355" s="75" t="s">
        <v>12</v>
      </c>
      <c r="U355" s="75" t="s">
        <v>14</v>
      </c>
    </row>
    <row r="356" spans="1:27" s="138" customFormat="1" ht="17.25" customHeight="1" x14ac:dyDescent="0.35">
      <c r="A356" s="75">
        <v>14428</v>
      </c>
      <c r="B356" s="75" t="s">
        <v>2336</v>
      </c>
      <c r="C356" s="75" t="s">
        <v>2335</v>
      </c>
      <c r="D356" s="75" t="s">
        <v>2335</v>
      </c>
      <c r="E356" s="135">
        <v>9</v>
      </c>
      <c r="F356" s="75" t="s">
        <v>12</v>
      </c>
      <c r="G356" s="136" t="s">
        <v>70</v>
      </c>
      <c r="H356" s="75" t="s">
        <v>70</v>
      </c>
      <c r="I356" s="75" t="s">
        <v>70</v>
      </c>
      <c r="J356" s="137" t="s">
        <v>13</v>
      </c>
      <c r="K356" s="75">
        <v>5</v>
      </c>
      <c r="L356" s="75">
        <v>14428</v>
      </c>
      <c r="M356" s="75" t="s">
        <v>12</v>
      </c>
      <c r="N356" s="75" t="s">
        <v>14</v>
      </c>
      <c r="O356" s="75" t="s">
        <v>14</v>
      </c>
      <c r="P356" s="75" t="s">
        <v>31</v>
      </c>
      <c r="Q356" s="75" t="s">
        <v>12</v>
      </c>
      <c r="R356" s="136" t="s">
        <v>70</v>
      </c>
      <c r="S356" s="75" t="s">
        <v>14</v>
      </c>
      <c r="T356" s="75" t="s">
        <v>12</v>
      </c>
      <c r="U356" s="75" t="s">
        <v>14</v>
      </c>
    </row>
    <row r="357" spans="1:27" s="138" customFormat="1" ht="17.25" customHeight="1" x14ac:dyDescent="0.35">
      <c r="A357" s="75">
        <v>14429</v>
      </c>
      <c r="B357" s="75" t="s">
        <v>2337</v>
      </c>
      <c r="C357" s="75" t="s">
        <v>2338</v>
      </c>
      <c r="D357" s="75" t="s">
        <v>2338</v>
      </c>
      <c r="E357" s="135">
        <v>9</v>
      </c>
      <c r="F357" s="75" t="s">
        <v>12</v>
      </c>
      <c r="G357" s="136" t="s">
        <v>70</v>
      </c>
      <c r="H357" s="75" t="s">
        <v>70</v>
      </c>
      <c r="I357" s="75" t="s">
        <v>70</v>
      </c>
      <c r="J357" s="137" t="s">
        <v>13</v>
      </c>
      <c r="K357" s="75">
        <v>5</v>
      </c>
      <c r="L357" s="75">
        <v>14429</v>
      </c>
      <c r="M357" s="75" t="s">
        <v>12</v>
      </c>
      <c r="N357" s="75" t="s">
        <v>14</v>
      </c>
      <c r="O357" s="75" t="s">
        <v>14</v>
      </c>
      <c r="P357" s="75" t="s">
        <v>31</v>
      </c>
      <c r="Q357" s="75" t="s">
        <v>12</v>
      </c>
      <c r="R357" s="136" t="s">
        <v>70</v>
      </c>
      <c r="S357" s="75" t="s">
        <v>14</v>
      </c>
      <c r="T357" s="75" t="s">
        <v>12</v>
      </c>
      <c r="U357" s="75" t="s">
        <v>14</v>
      </c>
    </row>
    <row r="358" spans="1:27" s="138" customFormat="1" ht="17.25" customHeight="1" x14ac:dyDescent="0.35">
      <c r="A358" s="75">
        <v>14430</v>
      </c>
      <c r="B358" s="75" t="s">
        <v>2339</v>
      </c>
      <c r="C358" s="75" t="s">
        <v>2340</v>
      </c>
      <c r="D358" s="75" t="s">
        <v>2340</v>
      </c>
      <c r="E358" s="135">
        <v>9</v>
      </c>
      <c r="F358" s="75" t="s">
        <v>12</v>
      </c>
      <c r="G358" s="136" t="s">
        <v>70</v>
      </c>
      <c r="H358" s="75" t="s">
        <v>70</v>
      </c>
      <c r="I358" s="75" t="s">
        <v>70</v>
      </c>
      <c r="J358" s="137" t="s">
        <v>13</v>
      </c>
      <c r="K358" s="75">
        <v>5</v>
      </c>
      <c r="L358" s="75">
        <v>14430</v>
      </c>
      <c r="M358" s="75" t="s">
        <v>12</v>
      </c>
      <c r="N358" s="75" t="s">
        <v>14</v>
      </c>
      <c r="O358" s="75" t="s">
        <v>14</v>
      </c>
      <c r="P358" s="75" t="s">
        <v>31</v>
      </c>
      <c r="Q358" s="75" t="s">
        <v>12</v>
      </c>
      <c r="R358" s="136" t="s">
        <v>70</v>
      </c>
      <c r="S358" s="75" t="s">
        <v>14</v>
      </c>
      <c r="T358" s="75" t="s">
        <v>12</v>
      </c>
      <c r="U358" s="75" t="s">
        <v>14</v>
      </c>
    </row>
    <row r="359" spans="1:27" s="138" customFormat="1" ht="17.25" customHeight="1" x14ac:dyDescent="0.35">
      <c r="A359" s="75">
        <v>14431</v>
      </c>
      <c r="B359" s="75" t="s">
        <v>2342</v>
      </c>
      <c r="C359" s="75" t="s">
        <v>2341</v>
      </c>
      <c r="D359" s="75" t="s">
        <v>2341</v>
      </c>
      <c r="E359" s="135">
        <v>9</v>
      </c>
      <c r="F359" s="75" t="s">
        <v>12</v>
      </c>
      <c r="G359" s="136" t="s">
        <v>70</v>
      </c>
      <c r="H359" s="75" t="s">
        <v>70</v>
      </c>
      <c r="I359" s="75" t="s">
        <v>70</v>
      </c>
      <c r="J359" s="137" t="s">
        <v>13</v>
      </c>
      <c r="K359" s="75">
        <v>5</v>
      </c>
      <c r="L359" s="75">
        <v>14431</v>
      </c>
      <c r="M359" s="75" t="s">
        <v>12</v>
      </c>
      <c r="N359" s="75" t="s">
        <v>14</v>
      </c>
      <c r="O359" s="75" t="s">
        <v>14</v>
      </c>
      <c r="P359" s="75" t="s">
        <v>31</v>
      </c>
      <c r="Q359" s="75" t="s">
        <v>12</v>
      </c>
      <c r="R359" s="136" t="s">
        <v>70</v>
      </c>
      <c r="S359" s="75" t="s">
        <v>14</v>
      </c>
      <c r="T359" s="75" t="s">
        <v>12</v>
      </c>
      <c r="U359" s="75" t="s">
        <v>14</v>
      </c>
    </row>
    <row r="360" spans="1:27" s="138" customFormat="1" ht="17.25" customHeight="1" x14ac:dyDescent="0.35">
      <c r="A360" s="75">
        <v>14432</v>
      </c>
      <c r="B360" s="75" t="s">
        <v>2344</v>
      </c>
      <c r="C360" s="75" t="s">
        <v>2343</v>
      </c>
      <c r="D360" s="75" t="s">
        <v>2343</v>
      </c>
      <c r="E360" s="135">
        <v>9</v>
      </c>
      <c r="F360" s="75" t="s">
        <v>12</v>
      </c>
      <c r="G360" s="136" t="s">
        <v>70</v>
      </c>
      <c r="H360" s="75" t="s">
        <v>70</v>
      </c>
      <c r="I360" s="75" t="s">
        <v>70</v>
      </c>
      <c r="J360" s="137" t="s">
        <v>13</v>
      </c>
      <c r="K360" s="75">
        <v>5</v>
      </c>
      <c r="L360" s="75">
        <v>14432</v>
      </c>
      <c r="M360" s="75" t="s">
        <v>12</v>
      </c>
      <c r="N360" s="75" t="s">
        <v>14</v>
      </c>
      <c r="O360" s="75" t="s">
        <v>14</v>
      </c>
      <c r="P360" s="75" t="s">
        <v>31</v>
      </c>
      <c r="Q360" s="75" t="s">
        <v>12</v>
      </c>
      <c r="R360" s="136" t="s">
        <v>70</v>
      </c>
      <c r="S360" s="75" t="s">
        <v>14</v>
      </c>
      <c r="T360" s="75" t="s">
        <v>12</v>
      </c>
      <c r="U360" s="75" t="s">
        <v>14</v>
      </c>
    </row>
    <row r="361" spans="1:27" s="138" customFormat="1" ht="17.25" customHeight="1" x14ac:dyDescent="0.35">
      <c r="A361" s="75">
        <v>14433</v>
      </c>
      <c r="B361" s="75" t="s">
        <v>2348</v>
      </c>
      <c r="C361" s="75" t="s">
        <v>2347</v>
      </c>
      <c r="D361" s="75" t="s">
        <v>2347</v>
      </c>
      <c r="E361" s="135">
        <v>5</v>
      </c>
      <c r="F361" s="75">
        <v>59304</v>
      </c>
      <c r="G361" s="136" t="s">
        <v>70</v>
      </c>
      <c r="H361" s="75" t="s">
        <v>70</v>
      </c>
      <c r="I361" s="75" t="s">
        <v>70</v>
      </c>
      <c r="J361" s="137" t="s">
        <v>13</v>
      </c>
      <c r="K361" s="75">
        <v>5</v>
      </c>
      <c r="L361" s="75">
        <v>14337</v>
      </c>
      <c r="M361" s="75" t="s">
        <v>12</v>
      </c>
      <c r="N361" s="75" t="s">
        <v>14</v>
      </c>
      <c r="O361" s="75" t="s">
        <v>14</v>
      </c>
      <c r="P361" s="75" t="s">
        <v>31</v>
      </c>
      <c r="Q361" s="75" t="s">
        <v>12</v>
      </c>
      <c r="R361" s="136" t="s">
        <v>70</v>
      </c>
      <c r="S361" s="75" t="s">
        <v>14</v>
      </c>
      <c r="T361" s="75" t="s">
        <v>12</v>
      </c>
      <c r="U361" s="75" t="s">
        <v>14</v>
      </c>
    </row>
    <row r="362" spans="1:27" x14ac:dyDescent="0.35">
      <c r="A362" s="61">
        <v>14501</v>
      </c>
      <c r="B362" s="61" t="s">
        <v>1833</v>
      </c>
      <c r="C362" s="105" t="s">
        <v>1303</v>
      </c>
      <c r="D362" s="52" t="s">
        <v>1303</v>
      </c>
      <c r="E362" s="88">
        <v>5</v>
      </c>
      <c r="F362" s="52">
        <v>49206</v>
      </c>
      <c r="G362" s="57" t="s">
        <v>1319</v>
      </c>
      <c r="H362" s="52" t="s">
        <v>12</v>
      </c>
      <c r="I362" s="52" t="s">
        <v>70</v>
      </c>
      <c r="J362" s="113" t="s">
        <v>13</v>
      </c>
      <c r="K362" s="52" t="s">
        <v>37</v>
      </c>
      <c r="L362" s="52">
        <v>15003</v>
      </c>
      <c r="M362" s="52" t="s">
        <v>12</v>
      </c>
      <c r="N362" s="52" t="s">
        <v>14</v>
      </c>
      <c r="O362" s="52" t="s">
        <v>14</v>
      </c>
      <c r="P362" s="52" t="s">
        <v>31</v>
      </c>
      <c r="Q362" s="52" t="s">
        <v>12</v>
      </c>
      <c r="R362" s="57" t="s">
        <v>12</v>
      </c>
      <c r="S362" s="52" t="s">
        <v>14</v>
      </c>
      <c r="T362" s="52" t="s">
        <v>12</v>
      </c>
      <c r="U362" s="52" t="s">
        <v>14</v>
      </c>
      <c r="V362" s="87" t="str">
        <f t="shared" ref="V362:V396" si="6">IF(ISERROR(FIND("将",$B362)),IF(ISERROR(FIND("伙伴",$B362)),IF(ISERROR(FIND("装",$B362)),IF(ISERROR(FIND("法宝",$B362)),IF(ISERROR(FIND("神兵",$B362)),"","神兵"),"法宝"),"装"),"伙伴"),"将")&amp;$K362</f>
        <v>伙伴3</v>
      </c>
      <c r="W362" s="71">
        <f>IF(V362="","",VLOOKUP(V362,$Z$419:$AA$443,2,0))</f>
        <v>15003</v>
      </c>
      <c r="X362" s="71"/>
      <c r="Y362" s="71"/>
      <c r="Z362" s="71"/>
      <c r="AA362" s="71"/>
    </row>
    <row r="363" spans="1:27" x14ac:dyDescent="0.35">
      <c r="A363" s="65">
        <v>14502</v>
      </c>
      <c r="B363" s="65" t="s">
        <v>1885</v>
      </c>
      <c r="C363" s="105" t="s">
        <v>1304</v>
      </c>
      <c r="D363" s="52" t="s">
        <v>1304</v>
      </c>
      <c r="E363" s="88">
        <v>5</v>
      </c>
      <c r="F363" s="52">
        <v>49207</v>
      </c>
      <c r="G363" s="57" t="s">
        <v>1319</v>
      </c>
      <c r="H363" s="52" t="s">
        <v>12</v>
      </c>
      <c r="I363" s="52" t="s">
        <v>70</v>
      </c>
      <c r="J363" s="113" t="s">
        <v>13</v>
      </c>
      <c r="K363" s="52" t="s">
        <v>38</v>
      </c>
      <c r="L363" s="52">
        <v>15004</v>
      </c>
      <c r="M363" s="52" t="s">
        <v>12</v>
      </c>
      <c r="N363" s="52" t="s">
        <v>14</v>
      </c>
      <c r="O363" s="52" t="s">
        <v>14</v>
      </c>
      <c r="P363" s="52" t="s">
        <v>40</v>
      </c>
      <c r="Q363" s="52" t="s">
        <v>12</v>
      </c>
      <c r="R363" s="57" t="s">
        <v>12</v>
      </c>
      <c r="S363" s="52" t="s">
        <v>14</v>
      </c>
      <c r="T363" s="52" t="s">
        <v>12</v>
      </c>
      <c r="U363" s="52" t="s">
        <v>14</v>
      </c>
      <c r="V363" s="87" t="str">
        <f t="shared" si="6"/>
        <v>伙伴4</v>
      </c>
      <c r="W363" s="71">
        <f t="shared" ref="W363:W426" si="7">IF(V363="","",VLOOKUP(V363,$Z$419:$AA$443,2,0))</f>
        <v>15004</v>
      </c>
      <c r="X363" s="71"/>
      <c r="Y363" s="71"/>
      <c r="Z363" s="71"/>
      <c r="AA363" s="71"/>
    </row>
    <row r="364" spans="1:27" x14ac:dyDescent="0.35">
      <c r="A364" s="64">
        <v>14503</v>
      </c>
      <c r="B364" s="64" t="s">
        <v>698</v>
      </c>
      <c r="C364" s="105" t="s">
        <v>1304</v>
      </c>
      <c r="D364" s="52" t="s">
        <v>1304</v>
      </c>
      <c r="E364" s="88">
        <v>5</v>
      </c>
      <c r="F364" s="52">
        <v>49208</v>
      </c>
      <c r="G364" s="57" t="s">
        <v>153</v>
      </c>
      <c r="H364" s="52" t="s">
        <v>12</v>
      </c>
      <c r="I364" s="52" t="s">
        <v>70</v>
      </c>
      <c r="J364" s="113" t="s">
        <v>13</v>
      </c>
      <c r="K364" s="52">
        <v>5</v>
      </c>
      <c r="L364" s="52">
        <v>15004</v>
      </c>
      <c r="M364" s="52" t="s">
        <v>12</v>
      </c>
      <c r="N364" s="52" t="s">
        <v>14</v>
      </c>
      <c r="O364" s="52" t="s">
        <v>14</v>
      </c>
      <c r="P364" s="52" t="s">
        <v>40</v>
      </c>
      <c r="Q364" s="52" t="s">
        <v>12</v>
      </c>
      <c r="R364" s="57" t="s">
        <v>12</v>
      </c>
      <c r="S364" s="52" t="s">
        <v>14</v>
      </c>
      <c r="T364" s="52" t="s">
        <v>12</v>
      </c>
      <c r="U364" s="52" t="s">
        <v>14</v>
      </c>
      <c r="V364" s="87" t="str">
        <f t="shared" si="6"/>
        <v>伙伴5</v>
      </c>
      <c r="W364" s="53">
        <f t="shared" si="7"/>
        <v>15004</v>
      </c>
    </row>
    <row r="365" spans="1:27" x14ac:dyDescent="0.35">
      <c r="A365" s="58">
        <v>14504</v>
      </c>
      <c r="B365" s="58" t="s">
        <v>2021</v>
      </c>
      <c r="C365" s="105" t="s">
        <v>2022</v>
      </c>
      <c r="D365" s="52" t="s">
        <v>2022</v>
      </c>
      <c r="E365" s="88">
        <v>5</v>
      </c>
      <c r="F365" s="52">
        <v>49104</v>
      </c>
      <c r="G365" s="57" t="s">
        <v>1278</v>
      </c>
      <c r="H365" s="52" t="s">
        <v>12</v>
      </c>
      <c r="I365" s="52" t="s">
        <v>70</v>
      </c>
      <c r="J365" s="113" t="s">
        <v>13</v>
      </c>
      <c r="K365" s="52" t="s">
        <v>24</v>
      </c>
      <c r="L365" s="52">
        <v>15102</v>
      </c>
      <c r="M365" s="52" t="s">
        <v>12</v>
      </c>
      <c r="N365" s="52" t="s">
        <v>14</v>
      </c>
      <c r="O365" s="52" t="s">
        <v>14</v>
      </c>
      <c r="P365" s="52" t="s">
        <v>31</v>
      </c>
      <c r="Q365" s="52" t="s">
        <v>12</v>
      </c>
      <c r="R365" s="57" t="s">
        <v>12</v>
      </c>
      <c r="S365" s="52" t="s">
        <v>14</v>
      </c>
      <c r="T365" s="52" t="s">
        <v>12</v>
      </c>
      <c r="U365" s="52" t="s">
        <v>14</v>
      </c>
      <c r="V365" s="87" t="str">
        <f t="shared" si="6"/>
        <v>装2</v>
      </c>
      <c r="W365" s="53">
        <f t="shared" si="7"/>
        <v>15102</v>
      </c>
    </row>
    <row r="366" spans="1:27" x14ac:dyDescent="0.35">
      <c r="A366" s="64">
        <v>14505</v>
      </c>
      <c r="B366" s="64" t="s">
        <v>1285</v>
      </c>
      <c r="C366" s="105" t="s">
        <v>1305</v>
      </c>
      <c r="D366" s="52" t="s">
        <v>1305</v>
      </c>
      <c r="E366" s="88">
        <v>17</v>
      </c>
      <c r="F366" s="52">
        <v>49216</v>
      </c>
      <c r="G366" s="57" t="s">
        <v>153</v>
      </c>
      <c r="H366" s="52" t="s">
        <v>12</v>
      </c>
      <c r="I366" s="52" t="s">
        <v>70</v>
      </c>
      <c r="J366" s="113" t="s">
        <v>13</v>
      </c>
      <c r="K366" s="52">
        <v>5</v>
      </c>
      <c r="L366" s="52">
        <v>15004</v>
      </c>
      <c r="M366" s="52" t="s">
        <v>12</v>
      </c>
      <c r="N366" s="52" t="s">
        <v>14</v>
      </c>
      <c r="O366" s="52" t="s">
        <v>14</v>
      </c>
      <c r="P366" s="52" t="s">
        <v>40</v>
      </c>
      <c r="Q366" s="52" t="s">
        <v>12</v>
      </c>
      <c r="R366" s="57" t="s">
        <v>12</v>
      </c>
      <c r="S366" s="52" t="s">
        <v>14</v>
      </c>
      <c r="T366" s="52" t="s">
        <v>12</v>
      </c>
      <c r="U366" s="52" t="s">
        <v>14</v>
      </c>
      <c r="V366" s="87" t="str">
        <f t="shared" si="6"/>
        <v>伙伴5</v>
      </c>
      <c r="W366" s="53">
        <f t="shared" si="7"/>
        <v>15004</v>
      </c>
    </row>
    <row r="367" spans="1:27" x14ac:dyDescent="0.35">
      <c r="A367" s="84">
        <v>14506</v>
      </c>
      <c r="B367" s="84" t="s">
        <v>1286</v>
      </c>
      <c r="C367" s="105" t="s">
        <v>1306</v>
      </c>
      <c r="D367" s="52" t="s">
        <v>1306</v>
      </c>
      <c r="E367" s="88">
        <v>17</v>
      </c>
      <c r="F367" s="52">
        <v>49212</v>
      </c>
      <c r="G367" s="57" t="s">
        <v>153</v>
      </c>
      <c r="H367" s="52" t="s">
        <v>12</v>
      </c>
      <c r="I367" s="52" t="s">
        <v>70</v>
      </c>
      <c r="J367" s="113" t="s">
        <v>13</v>
      </c>
      <c r="K367" s="52" t="s">
        <v>26</v>
      </c>
      <c r="L367" s="52">
        <v>15004</v>
      </c>
      <c r="M367" s="52" t="s">
        <v>12</v>
      </c>
      <c r="N367" s="52" t="s">
        <v>14</v>
      </c>
      <c r="O367" s="52" t="s">
        <v>14</v>
      </c>
      <c r="P367" s="52" t="s">
        <v>40</v>
      </c>
      <c r="Q367" s="52" t="s">
        <v>12</v>
      </c>
      <c r="R367" s="57" t="s">
        <v>12</v>
      </c>
      <c r="S367" s="52" t="s">
        <v>14</v>
      </c>
      <c r="T367" s="52" t="s">
        <v>12</v>
      </c>
      <c r="U367" s="52" t="s">
        <v>14</v>
      </c>
      <c r="V367" s="87" t="str">
        <f t="shared" si="6"/>
        <v>伙伴4</v>
      </c>
      <c r="W367" s="53">
        <f t="shared" si="7"/>
        <v>15004</v>
      </c>
    </row>
    <row r="368" spans="1:27" x14ac:dyDescent="0.35">
      <c r="A368" s="64">
        <v>14507</v>
      </c>
      <c r="B368" s="64" t="s">
        <v>1282</v>
      </c>
      <c r="C368" s="105" t="s">
        <v>1307</v>
      </c>
      <c r="D368" s="52" t="s">
        <v>1307</v>
      </c>
      <c r="E368" s="88">
        <v>17</v>
      </c>
      <c r="F368" s="52">
        <v>49213</v>
      </c>
      <c r="G368" s="57" t="s">
        <v>153</v>
      </c>
      <c r="H368" s="52" t="s">
        <v>12</v>
      </c>
      <c r="I368" s="52" t="s">
        <v>70</v>
      </c>
      <c r="J368" s="113" t="s">
        <v>13</v>
      </c>
      <c r="K368" s="52">
        <v>5</v>
      </c>
      <c r="L368" s="52">
        <v>15004</v>
      </c>
      <c r="M368" s="52" t="s">
        <v>12</v>
      </c>
      <c r="N368" s="52" t="s">
        <v>14</v>
      </c>
      <c r="O368" s="52" t="s">
        <v>14</v>
      </c>
      <c r="P368" s="52" t="s">
        <v>40</v>
      </c>
      <c r="Q368" s="52" t="s">
        <v>12</v>
      </c>
      <c r="R368" s="57" t="s">
        <v>12</v>
      </c>
      <c r="S368" s="52" t="s">
        <v>14</v>
      </c>
      <c r="T368" s="52" t="s">
        <v>12</v>
      </c>
      <c r="U368" s="52" t="s">
        <v>14</v>
      </c>
      <c r="V368" s="87" t="str">
        <f t="shared" si="6"/>
        <v>将5</v>
      </c>
      <c r="W368" s="53">
        <f t="shared" si="7"/>
        <v>15004</v>
      </c>
    </row>
    <row r="369" spans="1:23" x14ac:dyDescent="0.35">
      <c r="A369" s="64">
        <v>14508</v>
      </c>
      <c r="B369" s="64" t="s">
        <v>1283</v>
      </c>
      <c r="C369" s="105" t="s">
        <v>1308</v>
      </c>
      <c r="D369" s="52" t="s">
        <v>1308</v>
      </c>
      <c r="E369" s="88">
        <v>17</v>
      </c>
      <c r="F369" s="52">
        <v>49214</v>
      </c>
      <c r="G369" s="57" t="s">
        <v>153</v>
      </c>
      <c r="H369" s="52" t="s">
        <v>12</v>
      </c>
      <c r="I369" s="52" t="s">
        <v>70</v>
      </c>
      <c r="J369" s="113" t="s">
        <v>13</v>
      </c>
      <c r="K369" s="52">
        <v>5</v>
      </c>
      <c r="L369" s="52">
        <v>15004</v>
      </c>
      <c r="M369" s="52" t="s">
        <v>12</v>
      </c>
      <c r="N369" s="52" t="s">
        <v>14</v>
      </c>
      <c r="O369" s="52" t="s">
        <v>14</v>
      </c>
      <c r="P369" s="52" t="s">
        <v>40</v>
      </c>
      <c r="Q369" s="52" t="s">
        <v>12</v>
      </c>
      <c r="R369" s="57" t="s">
        <v>12</v>
      </c>
      <c r="S369" s="52" t="s">
        <v>14</v>
      </c>
      <c r="T369" s="52" t="s">
        <v>12</v>
      </c>
      <c r="U369" s="52" t="s">
        <v>14</v>
      </c>
      <c r="V369" s="87" t="str">
        <f t="shared" si="6"/>
        <v>将5</v>
      </c>
      <c r="W369" s="53">
        <f t="shared" si="7"/>
        <v>15004</v>
      </c>
    </row>
    <row r="370" spans="1:23" x14ac:dyDescent="0.35">
      <c r="A370" s="64">
        <v>14509</v>
      </c>
      <c r="B370" s="64" t="s">
        <v>1284</v>
      </c>
      <c r="C370" s="105" t="s">
        <v>1309</v>
      </c>
      <c r="D370" s="52" t="s">
        <v>1309</v>
      </c>
      <c r="E370" s="88">
        <v>17</v>
      </c>
      <c r="F370" s="52">
        <v>49215</v>
      </c>
      <c r="G370" s="57" t="s">
        <v>153</v>
      </c>
      <c r="H370" s="52" t="s">
        <v>12</v>
      </c>
      <c r="I370" s="52" t="s">
        <v>70</v>
      </c>
      <c r="J370" s="113" t="s">
        <v>13</v>
      </c>
      <c r="K370" s="52">
        <v>5</v>
      </c>
      <c r="L370" s="52">
        <v>15004</v>
      </c>
      <c r="M370" s="52" t="s">
        <v>12</v>
      </c>
      <c r="N370" s="52" t="s">
        <v>14</v>
      </c>
      <c r="O370" s="52" t="s">
        <v>14</v>
      </c>
      <c r="P370" s="52" t="s">
        <v>40</v>
      </c>
      <c r="Q370" s="52" t="s">
        <v>12</v>
      </c>
      <c r="R370" s="57" t="s">
        <v>12</v>
      </c>
      <c r="S370" s="52" t="s">
        <v>14</v>
      </c>
      <c r="T370" s="52" t="s">
        <v>12</v>
      </c>
      <c r="U370" s="52" t="s">
        <v>14</v>
      </c>
      <c r="V370" s="87" t="str">
        <f t="shared" si="6"/>
        <v>将5</v>
      </c>
      <c r="W370" s="53">
        <f t="shared" si="7"/>
        <v>15004</v>
      </c>
    </row>
    <row r="371" spans="1:23" x14ac:dyDescent="0.35">
      <c r="A371" s="85">
        <v>14510</v>
      </c>
      <c r="B371" s="85" t="s">
        <v>1279</v>
      </c>
      <c r="C371" s="105" t="s">
        <v>1310</v>
      </c>
      <c r="D371" s="52" t="s">
        <v>1310</v>
      </c>
      <c r="E371" s="88">
        <v>17</v>
      </c>
      <c r="F371" s="52">
        <v>49209</v>
      </c>
      <c r="G371" s="57" t="s">
        <v>153</v>
      </c>
      <c r="H371" s="52" t="s">
        <v>12</v>
      </c>
      <c r="I371" s="52" t="s">
        <v>70</v>
      </c>
      <c r="J371" s="113" t="s">
        <v>13</v>
      </c>
      <c r="K371" s="52" t="s">
        <v>26</v>
      </c>
      <c r="L371" s="52">
        <v>15004</v>
      </c>
      <c r="M371" s="52" t="s">
        <v>12</v>
      </c>
      <c r="N371" s="52" t="s">
        <v>14</v>
      </c>
      <c r="O371" s="52" t="s">
        <v>14</v>
      </c>
      <c r="P371" s="52" t="s">
        <v>40</v>
      </c>
      <c r="Q371" s="52" t="s">
        <v>12</v>
      </c>
      <c r="R371" s="57" t="s">
        <v>12</v>
      </c>
      <c r="S371" s="52" t="s">
        <v>14</v>
      </c>
      <c r="T371" s="52" t="s">
        <v>12</v>
      </c>
      <c r="U371" s="52" t="s">
        <v>14</v>
      </c>
      <c r="V371" s="87" t="str">
        <f t="shared" si="6"/>
        <v>将4</v>
      </c>
      <c r="W371" s="53">
        <f t="shared" si="7"/>
        <v>15004</v>
      </c>
    </row>
    <row r="372" spans="1:23" x14ac:dyDescent="0.35">
      <c r="A372" s="85">
        <v>14511</v>
      </c>
      <c r="B372" s="85" t="s">
        <v>1280</v>
      </c>
      <c r="C372" s="105" t="s">
        <v>1311</v>
      </c>
      <c r="D372" s="52" t="s">
        <v>1311</v>
      </c>
      <c r="E372" s="88">
        <v>17</v>
      </c>
      <c r="F372" s="52">
        <v>49210</v>
      </c>
      <c r="G372" s="57" t="s">
        <v>153</v>
      </c>
      <c r="H372" s="52" t="s">
        <v>12</v>
      </c>
      <c r="I372" s="52" t="s">
        <v>70</v>
      </c>
      <c r="J372" s="113" t="s">
        <v>13</v>
      </c>
      <c r="K372" s="52" t="s">
        <v>26</v>
      </c>
      <c r="L372" s="52">
        <v>15004</v>
      </c>
      <c r="M372" s="52" t="s">
        <v>12</v>
      </c>
      <c r="N372" s="52" t="s">
        <v>14</v>
      </c>
      <c r="O372" s="52" t="s">
        <v>14</v>
      </c>
      <c r="P372" s="52" t="s">
        <v>40</v>
      </c>
      <c r="Q372" s="52" t="s">
        <v>12</v>
      </c>
      <c r="R372" s="57" t="s">
        <v>12</v>
      </c>
      <c r="S372" s="52" t="s">
        <v>14</v>
      </c>
      <c r="T372" s="52" t="s">
        <v>12</v>
      </c>
      <c r="U372" s="52" t="s">
        <v>14</v>
      </c>
      <c r="V372" s="87" t="str">
        <f t="shared" si="6"/>
        <v>将4</v>
      </c>
      <c r="W372" s="53">
        <f t="shared" si="7"/>
        <v>15004</v>
      </c>
    </row>
    <row r="373" spans="1:23" x14ac:dyDescent="0.35">
      <c r="A373" s="85">
        <v>14512</v>
      </c>
      <c r="B373" s="85" t="s">
        <v>1281</v>
      </c>
      <c r="C373" s="105" t="s">
        <v>1312</v>
      </c>
      <c r="D373" s="52" t="s">
        <v>1312</v>
      </c>
      <c r="E373" s="88">
        <v>17</v>
      </c>
      <c r="F373" s="52">
        <v>49211</v>
      </c>
      <c r="G373" s="57" t="s">
        <v>153</v>
      </c>
      <c r="H373" s="52" t="s">
        <v>12</v>
      </c>
      <c r="I373" s="52" t="s">
        <v>70</v>
      </c>
      <c r="J373" s="113" t="s">
        <v>13</v>
      </c>
      <c r="K373" s="52" t="s">
        <v>26</v>
      </c>
      <c r="L373" s="52">
        <v>15004</v>
      </c>
      <c r="M373" s="52" t="s">
        <v>12</v>
      </c>
      <c r="N373" s="52" t="s">
        <v>14</v>
      </c>
      <c r="O373" s="52" t="s">
        <v>14</v>
      </c>
      <c r="P373" s="52" t="s">
        <v>40</v>
      </c>
      <c r="Q373" s="52" t="s">
        <v>12</v>
      </c>
      <c r="R373" s="57" t="s">
        <v>12</v>
      </c>
      <c r="S373" s="52" t="s">
        <v>14</v>
      </c>
      <c r="T373" s="52" t="s">
        <v>12</v>
      </c>
      <c r="U373" s="52" t="s">
        <v>14</v>
      </c>
      <c r="V373" s="87" t="str">
        <f t="shared" si="6"/>
        <v>将4</v>
      </c>
      <c r="W373" s="53">
        <f t="shared" si="7"/>
        <v>15004</v>
      </c>
    </row>
    <row r="374" spans="1:23" x14ac:dyDescent="0.35">
      <c r="A374" s="65">
        <v>14513</v>
      </c>
      <c r="B374" s="65" t="s">
        <v>1622</v>
      </c>
      <c r="C374" s="105" t="s">
        <v>1625</v>
      </c>
      <c r="D374" s="52" t="s">
        <v>1624</v>
      </c>
      <c r="E374" s="88">
        <v>17</v>
      </c>
      <c r="F374" s="52">
        <v>49217</v>
      </c>
      <c r="G374" s="57" t="s">
        <v>153</v>
      </c>
      <c r="H374" s="52" t="s">
        <v>12</v>
      </c>
      <c r="I374" s="52" t="s">
        <v>70</v>
      </c>
      <c r="J374" s="113" t="s">
        <v>13</v>
      </c>
      <c r="K374" s="52" t="s">
        <v>26</v>
      </c>
      <c r="L374" s="52">
        <v>15104</v>
      </c>
      <c r="M374" s="52" t="s">
        <v>12</v>
      </c>
      <c r="N374" s="52" t="s">
        <v>14</v>
      </c>
      <c r="O374" s="52" t="s">
        <v>14</v>
      </c>
      <c r="P374" s="52" t="s">
        <v>40</v>
      </c>
      <c r="Q374" s="52" t="s">
        <v>12</v>
      </c>
      <c r="R374" s="57" t="s">
        <v>12</v>
      </c>
      <c r="S374" s="52" t="s">
        <v>14</v>
      </c>
      <c r="T374" s="52" t="s">
        <v>12</v>
      </c>
      <c r="U374" s="52" t="s">
        <v>14</v>
      </c>
      <c r="V374" s="87" t="str">
        <f t="shared" si="6"/>
        <v>装4</v>
      </c>
      <c r="W374" s="53">
        <f t="shared" si="7"/>
        <v>15104</v>
      </c>
    </row>
    <row r="375" spans="1:23" x14ac:dyDescent="0.35">
      <c r="A375" s="65">
        <v>14514</v>
      </c>
      <c r="B375" s="65" t="s">
        <v>1623</v>
      </c>
      <c r="C375" s="105" t="s">
        <v>1626</v>
      </c>
      <c r="D375" s="52" t="s">
        <v>1626</v>
      </c>
      <c r="E375" s="88">
        <v>17</v>
      </c>
      <c r="F375" s="52">
        <v>49218</v>
      </c>
      <c r="G375" s="57" t="s">
        <v>153</v>
      </c>
      <c r="H375" s="52" t="s">
        <v>12</v>
      </c>
      <c r="I375" s="52" t="s">
        <v>70</v>
      </c>
      <c r="J375" s="113" t="s">
        <v>13</v>
      </c>
      <c r="K375" s="52" t="s">
        <v>26</v>
      </c>
      <c r="L375" s="52">
        <v>15204</v>
      </c>
      <c r="M375" s="52" t="s">
        <v>12</v>
      </c>
      <c r="N375" s="52" t="s">
        <v>14</v>
      </c>
      <c r="O375" s="52" t="s">
        <v>14</v>
      </c>
      <c r="P375" s="52" t="s">
        <v>40</v>
      </c>
      <c r="Q375" s="52" t="s">
        <v>12</v>
      </c>
      <c r="R375" s="57" t="s">
        <v>12</v>
      </c>
      <c r="S375" s="52" t="s">
        <v>14</v>
      </c>
      <c r="T375" s="52" t="s">
        <v>12</v>
      </c>
      <c r="U375" s="52" t="s">
        <v>14</v>
      </c>
      <c r="V375" s="87" t="str">
        <f t="shared" si="6"/>
        <v>法宝4</v>
      </c>
      <c r="W375" s="53">
        <f t="shared" si="7"/>
        <v>15204</v>
      </c>
    </row>
    <row r="376" spans="1:23" x14ac:dyDescent="0.35">
      <c r="A376" s="64">
        <v>14515</v>
      </c>
      <c r="B376" s="64" t="s">
        <v>1835</v>
      </c>
      <c r="C376" s="105" t="s">
        <v>1860</v>
      </c>
      <c r="D376" s="52" t="s">
        <v>1860</v>
      </c>
      <c r="E376" s="88">
        <v>17</v>
      </c>
      <c r="F376" s="46">
        <v>55397</v>
      </c>
      <c r="G376" s="57" t="s">
        <v>12</v>
      </c>
      <c r="H376" s="52" t="s">
        <v>12</v>
      </c>
      <c r="I376" s="52" t="s">
        <v>12</v>
      </c>
      <c r="J376" s="113">
        <v>1</v>
      </c>
      <c r="K376" s="52">
        <v>5</v>
      </c>
      <c r="L376" s="52">
        <v>15004</v>
      </c>
      <c r="M376" s="57" t="s">
        <v>12</v>
      </c>
      <c r="N376" s="52">
        <v>0</v>
      </c>
      <c r="O376" s="52">
        <v>0</v>
      </c>
      <c r="P376" s="52">
        <v>0</v>
      </c>
      <c r="Q376" s="57" t="s">
        <v>12</v>
      </c>
      <c r="R376" s="57" t="s">
        <v>12</v>
      </c>
      <c r="S376" s="57" t="s">
        <v>14</v>
      </c>
      <c r="T376" s="57" t="s">
        <v>12</v>
      </c>
      <c r="U376" s="57" t="s">
        <v>14</v>
      </c>
      <c r="V376" s="87" t="str">
        <f t="shared" si="6"/>
        <v>伙伴5</v>
      </c>
      <c r="W376" s="53">
        <f t="shared" si="7"/>
        <v>15004</v>
      </c>
    </row>
    <row r="377" spans="1:23" x14ac:dyDescent="0.35">
      <c r="A377" s="64">
        <v>14516</v>
      </c>
      <c r="B377" s="64" t="s">
        <v>1836</v>
      </c>
      <c r="C377" s="105" t="s">
        <v>1861</v>
      </c>
      <c r="D377" s="52" t="s">
        <v>1861</v>
      </c>
      <c r="E377" s="88">
        <v>17</v>
      </c>
      <c r="F377" s="46">
        <v>55398</v>
      </c>
      <c r="G377" s="57" t="s">
        <v>12</v>
      </c>
      <c r="H377" s="52" t="s">
        <v>12</v>
      </c>
      <c r="I377" s="52" t="s">
        <v>12</v>
      </c>
      <c r="J377" s="113">
        <v>1</v>
      </c>
      <c r="K377" s="52">
        <v>5</v>
      </c>
      <c r="L377" s="52">
        <v>15004</v>
      </c>
      <c r="M377" s="57" t="s">
        <v>12</v>
      </c>
      <c r="N377" s="52">
        <v>0</v>
      </c>
      <c r="O377" s="52">
        <v>0</v>
      </c>
      <c r="P377" s="52">
        <v>0</v>
      </c>
      <c r="Q377" s="57" t="s">
        <v>12</v>
      </c>
      <c r="R377" s="57" t="s">
        <v>12</v>
      </c>
      <c r="S377" s="57" t="s">
        <v>14</v>
      </c>
      <c r="T377" s="57" t="s">
        <v>12</v>
      </c>
      <c r="U377" s="57" t="s">
        <v>14</v>
      </c>
      <c r="V377" s="87" t="str">
        <f t="shared" si="6"/>
        <v>伙伴5</v>
      </c>
      <c r="W377" s="53">
        <f t="shared" si="7"/>
        <v>15004</v>
      </c>
    </row>
    <row r="378" spans="1:23" x14ac:dyDescent="0.35">
      <c r="A378" s="64">
        <v>14517</v>
      </c>
      <c r="B378" s="64" t="s">
        <v>1884</v>
      </c>
      <c r="C378" s="105" t="s">
        <v>1862</v>
      </c>
      <c r="D378" s="52" t="s">
        <v>1862</v>
      </c>
      <c r="E378" s="88">
        <v>17</v>
      </c>
      <c r="F378" s="46">
        <v>55399</v>
      </c>
      <c r="G378" s="57" t="s">
        <v>12</v>
      </c>
      <c r="H378" s="52" t="s">
        <v>12</v>
      </c>
      <c r="I378" s="52" t="s">
        <v>12</v>
      </c>
      <c r="J378" s="113">
        <v>1</v>
      </c>
      <c r="K378" s="52">
        <v>5</v>
      </c>
      <c r="L378" s="52">
        <v>15004</v>
      </c>
      <c r="M378" s="57" t="s">
        <v>12</v>
      </c>
      <c r="N378" s="52">
        <v>0</v>
      </c>
      <c r="O378" s="52">
        <v>0</v>
      </c>
      <c r="P378" s="52">
        <v>0</v>
      </c>
      <c r="Q378" s="57" t="s">
        <v>12</v>
      </c>
      <c r="R378" s="57" t="s">
        <v>12</v>
      </c>
      <c r="S378" s="57" t="s">
        <v>14</v>
      </c>
      <c r="T378" s="57" t="s">
        <v>12</v>
      </c>
      <c r="U378" s="57" t="s">
        <v>14</v>
      </c>
      <c r="V378" s="87" t="str">
        <f t="shared" si="6"/>
        <v>伙伴5</v>
      </c>
      <c r="W378" s="53">
        <f t="shared" si="7"/>
        <v>15004</v>
      </c>
    </row>
    <row r="379" spans="1:23" x14ac:dyDescent="0.35">
      <c r="A379" s="64">
        <v>14518</v>
      </c>
      <c r="B379" s="64" t="s">
        <v>1837</v>
      </c>
      <c r="C379" s="105" t="s">
        <v>1863</v>
      </c>
      <c r="D379" s="52" t="s">
        <v>1863</v>
      </c>
      <c r="E379" s="88">
        <v>5</v>
      </c>
      <c r="F379" s="46">
        <v>55400</v>
      </c>
      <c r="G379" s="57" t="s">
        <v>12</v>
      </c>
      <c r="H379" s="52" t="s">
        <v>12</v>
      </c>
      <c r="I379" s="52" t="s">
        <v>12</v>
      </c>
      <c r="J379" s="113">
        <v>1</v>
      </c>
      <c r="K379" s="52">
        <v>5</v>
      </c>
      <c r="L379" s="52">
        <v>15004</v>
      </c>
      <c r="M379" s="57" t="s">
        <v>12</v>
      </c>
      <c r="N379" s="52">
        <v>0</v>
      </c>
      <c r="O379" s="52">
        <v>0</v>
      </c>
      <c r="P379" s="52">
        <v>0</v>
      </c>
      <c r="Q379" s="57" t="s">
        <v>12</v>
      </c>
      <c r="R379" s="57" t="s">
        <v>12</v>
      </c>
      <c r="S379" s="57" t="s">
        <v>14</v>
      </c>
      <c r="T379" s="57" t="s">
        <v>12</v>
      </c>
      <c r="U379" s="57" t="s">
        <v>14</v>
      </c>
      <c r="V379" s="87" t="str">
        <f t="shared" si="6"/>
        <v>伙伴5</v>
      </c>
      <c r="W379" s="53">
        <f t="shared" si="7"/>
        <v>15004</v>
      </c>
    </row>
    <row r="380" spans="1:23" x14ac:dyDescent="0.35">
      <c r="A380" s="82">
        <v>14519</v>
      </c>
      <c r="B380" s="82" t="s">
        <v>1838</v>
      </c>
      <c r="C380" s="105" t="s">
        <v>1864</v>
      </c>
      <c r="D380" s="52" t="s">
        <v>1864</v>
      </c>
      <c r="E380" s="88">
        <v>17</v>
      </c>
      <c r="F380" s="46">
        <v>55401</v>
      </c>
      <c r="G380" s="57" t="s">
        <v>12</v>
      </c>
      <c r="H380" s="52" t="s">
        <v>12</v>
      </c>
      <c r="I380" s="52" t="s">
        <v>12</v>
      </c>
      <c r="J380" s="113">
        <v>1</v>
      </c>
      <c r="K380" s="52">
        <v>4</v>
      </c>
      <c r="L380" s="52">
        <v>15004</v>
      </c>
      <c r="M380" s="57" t="s">
        <v>12</v>
      </c>
      <c r="N380" s="52">
        <v>0</v>
      </c>
      <c r="O380" s="52">
        <v>0</v>
      </c>
      <c r="P380" s="52">
        <v>0</v>
      </c>
      <c r="Q380" s="57" t="s">
        <v>12</v>
      </c>
      <c r="R380" s="57" t="s">
        <v>12</v>
      </c>
      <c r="S380" s="57" t="s">
        <v>14</v>
      </c>
      <c r="T380" s="57" t="s">
        <v>12</v>
      </c>
      <c r="U380" s="57" t="s">
        <v>14</v>
      </c>
      <c r="V380" s="87" t="str">
        <f t="shared" si="6"/>
        <v>伙伴4</v>
      </c>
      <c r="W380" s="53">
        <f t="shared" si="7"/>
        <v>15004</v>
      </c>
    </row>
    <row r="381" spans="1:23" x14ac:dyDescent="0.35">
      <c r="A381" s="82">
        <v>14520</v>
      </c>
      <c r="B381" s="82" t="s">
        <v>1839</v>
      </c>
      <c r="C381" s="105" t="s">
        <v>1865</v>
      </c>
      <c r="D381" s="52" t="s">
        <v>1865</v>
      </c>
      <c r="E381" s="88">
        <v>17</v>
      </c>
      <c r="F381" s="46">
        <v>55402</v>
      </c>
      <c r="G381" s="57" t="s">
        <v>12</v>
      </c>
      <c r="H381" s="52" t="s">
        <v>12</v>
      </c>
      <c r="I381" s="52" t="s">
        <v>12</v>
      </c>
      <c r="J381" s="113">
        <v>1</v>
      </c>
      <c r="K381" s="52">
        <v>4</v>
      </c>
      <c r="L381" s="52">
        <v>15004</v>
      </c>
      <c r="M381" s="57" t="s">
        <v>12</v>
      </c>
      <c r="N381" s="52">
        <v>0</v>
      </c>
      <c r="O381" s="52">
        <v>0</v>
      </c>
      <c r="P381" s="52">
        <v>0</v>
      </c>
      <c r="Q381" s="57" t="s">
        <v>12</v>
      </c>
      <c r="R381" s="57" t="s">
        <v>12</v>
      </c>
      <c r="S381" s="57" t="s">
        <v>14</v>
      </c>
      <c r="T381" s="57" t="s">
        <v>12</v>
      </c>
      <c r="U381" s="57" t="s">
        <v>14</v>
      </c>
      <c r="V381" s="87" t="str">
        <f t="shared" si="6"/>
        <v>伙伴4</v>
      </c>
      <c r="W381" s="53">
        <f t="shared" si="7"/>
        <v>15004</v>
      </c>
    </row>
    <row r="382" spans="1:23" x14ac:dyDescent="0.35">
      <c r="A382" s="82">
        <v>14521</v>
      </c>
      <c r="B382" s="82" t="s">
        <v>1840</v>
      </c>
      <c r="C382" s="105" t="s">
        <v>1866</v>
      </c>
      <c r="D382" s="52" t="s">
        <v>1866</v>
      </c>
      <c r="E382" s="88">
        <v>17</v>
      </c>
      <c r="F382" s="46">
        <v>55403</v>
      </c>
      <c r="G382" s="57" t="s">
        <v>12</v>
      </c>
      <c r="H382" s="52" t="s">
        <v>12</v>
      </c>
      <c r="I382" s="52" t="s">
        <v>12</v>
      </c>
      <c r="J382" s="113">
        <v>1</v>
      </c>
      <c r="K382" s="52">
        <v>4</v>
      </c>
      <c r="L382" s="52">
        <v>15004</v>
      </c>
      <c r="M382" s="57" t="s">
        <v>12</v>
      </c>
      <c r="N382" s="52">
        <v>0</v>
      </c>
      <c r="O382" s="52">
        <v>0</v>
      </c>
      <c r="P382" s="52">
        <v>0</v>
      </c>
      <c r="Q382" s="57" t="s">
        <v>12</v>
      </c>
      <c r="R382" s="57" t="s">
        <v>12</v>
      </c>
      <c r="S382" s="57" t="s">
        <v>14</v>
      </c>
      <c r="T382" s="57" t="s">
        <v>12</v>
      </c>
      <c r="U382" s="57" t="s">
        <v>14</v>
      </c>
      <c r="V382" s="87" t="str">
        <f t="shared" si="6"/>
        <v>伙伴4</v>
      </c>
      <c r="W382" s="53">
        <f t="shared" si="7"/>
        <v>15004</v>
      </c>
    </row>
    <row r="383" spans="1:23" x14ac:dyDescent="0.35">
      <c r="A383" s="82">
        <v>14522</v>
      </c>
      <c r="B383" s="82" t="s">
        <v>1886</v>
      </c>
      <c r="C383" s="105" t="s">
        <v>1867</v>
      </c>
      <c r="D383" s="52" t="s">
        <v>1867</v>
      </c>
      <c r="E383" s="88">
        <v>17</v>
      </c>
      <c r="F383" s="46">
        <v>55404</v>
      </c>
      <c r="G383" s="57" t="s">
        <v>12</v>
      </c>
      <c r="H383" s="52" t="s">
        <v>12</v>
      </c>
      <c r="I383" s="52" t="s">
        <v>12</v>
      </c>
      <c r="J383" s="113">
        <v>1</v>
      </c>
      <c r="K383" s="52">
        <v>4</v>
      </c>
      <c r="L383" s="52">
        <v>15004</v>
      </c>
      <c r="M383" s="57" t="s">
        <v>12</v>
      </c>
      <c r="N383" s="52">
        <v>0</v>
      </c>
      <c r="O383" s="52">
        <v>0</v>
      </c>
      <c r="P383" s="52">
        <v>0</v>
      </c>
      <c r="Q383" s="57" t="s">
        <v>12</v>
      </c>
      <c r="R383" s="57" t="s">
        <v>12</v>
      </c>
      <c r="S383" s="57" t="s">
        <v>14</v>
      </c>
      <c r="T383" s="57" t="s">
        <v>12</v>
      </c>
      <c r="U383" s="57" t="s">
        <v>14</v>
      </c>
      <c r="V383" s="87" t="str">
        <f t="shared" si="6"/>
        <v>伙伴4</v>
      </c>
      <c r="W383" s="53">
        <f t="shared" si="7"/>
        <v>15004</v>
      </c>
    </row>
    <row r="384" spans="1:23" x14ac:dyDescent="0.35">
      <c r="A384" s="82">
        <v>14523</v>
      </c>
      <c r="B384" s="82" t="s">
        <v>1834</v>
      </c>
      <c r="C384" s="105" t="s">
        <v>1868</v>
      </c>
      <c r="D384" s="52" t="s">
        <v>1868</v>
      </c>
      <c r="E384" s="88">
        <v>5</v>
      </c>
      <c r="F384" s="46">
        <v>55405</v>
      </c>
      <c r="G384" s="57" t="s">
        <v>12</v>
      </c>
      <c r="H384" s="52" t="s">
        <v>12</v>
      </c>
      <c r="I384" s="52" t="s">
        <v>12</v>
      </c>
      <c r="J384" s="113">
        <v>1</v>
      </c>
      <c r="K384" s="52">
        <v>4</v>
      </c>
      <c r="L384" s="52">
        <v>15004</v>
      </c>
      <c r="M384" s="57" t="s">
        <v>12</v>
      </c>
      <c r="N384" s="52">
        <v>0</v>
      </c>
      <c r="O384" s="52">
        <v>0</v>
      </c>
      <c r="P384" s="52">
        <v>0</v>
      </c>
      <c r="Q384" s="57" t="s">
        <v>12</v>
      </c>
      <c r="R384" s="57" t="s">
        <v>12</v>
      </c>
      <c r="S384" s="57" t="s">
        <v>14</v>
      </c>
      <c r="T384" s="57" t="s">
        <v>12</v>
      </c>
      <c r="U384" s="57" t="s">
        <v>14</v>
      </c>
      <c r="V384" s="87" t="str">
        <f t="shared" si="6"/>
        <v>伙伴4</v>
      </c>
      <c r="W384" s="53">
        <f t="shared" si="7"/>
        <v>15004</v>
      </c>
    </row>
    <row r="385" spans="1:27" x14ac:dyDescent="0.35">
      <c r="A385" s="52">
        <v>14524</v>
      </c>
      <c r="B385" s="52" t="s">
        <v>1841</v>
      </c>
      <c r="C385" s="105" t="s">
        <v>1869</v>
      </c>
      <c r="D385" s="52" t="s">
        <v>2010</v>
      </c>
      <c r="E385" s="88">
        <v>5</v>
      </c>
      <c r="F385" s="46">
        <v>55406</v>
      </c>
      <c r="G385" s="57" t="s">
        <v>12</v>
      </c>
      <c r="H385" s="52" t="s">
        <v>12</v>
      </c>
      <c r="I385" s="52" t="s">
        <v>12</v>
      </c>
      <c r="J385" s="113">
        <v>1</v>
      </c>
      <c r="K385" s="52">
        <v>4</v>
      </c>
      <c r="L385" s="52">
        <v>15104</v>
      </c>
      <c r="M385" s="57" t="s">
        <v>12</v>
      </c>
      <c r="N385" s="52">
        <v>0</v>
      </c>
      <c r="O385" s="52">
        <v>0</v>
      </c>
      <c r="P385" s="52">
        <v>0</v>
      </c>
      <c r="Q385" s="57" t="s">
        <v>12</v>
      </c>
      <c r="R385" s="57" t="s">
        <v>12</v>
      </c>
      <c r="S385" s="57" t="s">
        <v>14</v>
      </c>
      <c r="T385" s="57" t="s">
        <v>12</v>
      </c>
      <c r="U385" s="57" t="s">
        <v>14</v>
      </c>
      <c r="V385" s="87" t="str">
        <f t="shared" si="6"/>
        <v>装4</v>
      </c>
      <c r="W385" s="53">
        <f t="shared" si="7"/>
        <v>15104</v>
      </c>
    </row>
    <row r="386" spans="1:27" x14ac:dyDescent="0.35">
      <c r="A386" s="52">
        <v>14525</v>
      </c>
      <c r="B386" s="52" t="s">
        <v>2016</v>
      </c>
      <c r="C386" s="105" t="s">
        <v>2018</v>
      </c>
      <c r="D386" s="52" t="s">
        <v>2017</v>
      </c>
      <c r="E386" s="88">
        <v>17</v>
      </c>
      <c r="F386" s="46">
        <v>55407</v>
      </c>
      <c r="G386" s="57" t="s">
        <v>12</v>
      </c>
      <c r="H386" s="52" t="s">
        <v>12</v>
      </c>
      <c r="I386" s="52" t="s">
        <v>12</v>
      </c>
      <c r="J386" s="113">
        <v>1</v>
      </c>
      <c r="K386" s="52">
        <v>4</v>
      </c>
      <c r="L386" s="52">
        <v>15104</v>
      </c>
      <c r="M386" s="57" t="s">
        <v>12</v>
      </c>
      <c r="N386" s="52">
        <v>0</v>
      </c>
      <c r="O386" s="52">
        <v>0</v>
      </c>
      <c r="P386" s="52">
        <v>0</v>
      </c>
      <c r="Q386" s="57" t="s">
        <v>12</v>
      </c>
      <c r="R386" s="57" t="s">
        <v>12</v>
      </c>
      <c r="S386" s="57" t="s">
        <v>14</v>
      </c>
      <c r="T386" s="57" t="s">
        <v>12</v>
      </c>
      <c r="U386" s="57" t="s">
        <v>14</v>
      </c>
      <c r="V386" s="87" t="str">
        <f t="shared" si="6"/>
        <v>装4</v>
      </c>
      <c r="W386" s="53">
        <f t="shared" si="7"/>
        <v>15104</v>
      </c>
    </row>
    <row r="387" spans="1:27" x14ac:dyDescent="0.35">
      <c r="A387" s="52">
        <v>14526</v>
      </c>
      <c r="B387" s="52" t="s">
        <v>2158</v>
      </c>
      <c r="C387" s="105" t="s">
        <v>2012</v>
      </c>
      <c r="D387" s="52" t="s">
        <v>2011</v>
      </c>
      <c r="E387" s="88">
        <v>17</v>
      </c>
      <c r="F387" s="46">
        <v>55408</v>
      </c>
      <c r="G387" s="57" t="s">
        <v>12</v>
      </c>
      <c r="H387" s="52" t="s">
        <v>12</v>
      </c>
      <c r="I387" s="52" t="s">
        <v>12</v>
      </c>
      <c r="J387" s="113">
        <v>1</v>
      </c>
      <c r="K387" s="52">
        <v>4</v>
      </c>
      <c r="L387" s="52">
        <v>15104</v>
      </c>
      <c r="M387" s="57" t="s">
        <v>12</v>
      </c>
      <c r="N387" s="52">
        <v>0</v>
      </c>
      <c r="O387" s="52">
        <v>0</v>
      </c>
      <c r="P387" s="52">
        <v>0</v>
      </c>
      <c r="Q387" s="57" t="s">
        <v>12</v>
      </c>
      <c r="R387" s="57" t="s">
        <v>12</v>
      </c>
      <c r="S387" s="57" t="s">
        <v>14</v>
      </c>
      <c r="T387" s="57" t="s">
        <v>12</v>
      </c>
      <c r="U387" s="57" t="s">
        <v>14</v>
      </c>
      <c r="V387" s="87" t="str">
        <f t="shared" si="6"/>
        <v>装4</v>
      </c>
      <c r="W387" s="53">
        <f t="shared" si="7"/>
        <v>15104</v>
      </c>
    </row>
    <row r="388" spans="1:27" x14ac:dyDescent="0.35">
      <c r="A388" s="52">
        <v>14527</v>
      </c>
      <c r="B388" s="52" t="s">
        <v>2160</v>
      </c>
      <c r="C388" s="105" t="s">
        <v>1870</v>
      </c>
      <c r="D388" s="52" t="s">
        <v>1870</v>
      </c>
      <c r="E388" s="88">
        <v>17</v>
      </c>
      <c r="F388" s="46">
        <v>55409</v>
      </c>
      <c r="G388" s="57" t="s">
        <v>12</v>
      </c>
      <c r="H388" s="52" t="s">
        <v>12</v>
      </c>
      <c r="I388" s="52" t="s">
        <v>12</v>
      </c>
      <c r="J388" s="113">
        <v>1</v>
      </c>
      <c r="K388" s="52">
        <v>5</v>
      </c>
      <c r="L388" s="52">
        <v>15104</v>
      </c>
      <c r="M388" s="57" t="s">
        <v>12</v>
      </c>
      <c r="N388" s="52">
        <v>0</v>
      </c>
      <c r="O388" s="52">
        <v>0</v>
      </c>
      <c r="P388" s="52">
        <v>0</v>
      </c>
      <c r="Q388" s="57" t="s">
        <v>12</v>
      </c>
      <c r="R388" s="57" t="s">
        <v>12</v>
      </c>
      <c r="S388" s="57" t="s">
        <v>14</v>
      </c>
      <c r="T388" s="57" t="s">
        <v>12</v>
      </c>
      <c r="U388" s="57" t="s">
        <v>14</v>
      </c>
      <c r="V388" s="87" t="str">
        <f t="shared" si="6"/>
        <v>装5</v>
      </c>
      <c r="W388" s="53">
        <f t="shared" si="7"/>
        <v>15104</v>
      </c>
    </row>
    <row r="389" spans="1:27" x14ac:dyDescent="0.35">
      <c r="A389" s="52">
        <v>14528</v>
      </c>
      <c r="B389" s="52" t="s">
        <v>2161</v>
      </c>
      <c r="C389" s="105" t="s">
        <v>1871</v>
      </c>
      <c r="D389" s="52" t="s">
        <v>1871</v>
      </c>
      <c r="E389" s="88">
        <v>17</v>
      </c>
      <c r="F389" s="46">
        <v>55410</v>
      </c>
      <c r="G389" s="57" t="s">
        <v>12</v>
      </c>
      <c r="H389" s="52" t="s">
        <v>12</v>
      </c>
      <c r="I389" s="52" t="s">
        <v>12</v>
      </c>
      <c r="J389" s="113">
        <v>1</v>
      </c>
      <c r="K389" s="52">
        <v>5</v>
      </c>
      <c r="L389" s="52">
        <v>15104</v>
      </c>
      <c r="M389" s="57" t="s">
        <v>12</v>
      </c>
      <c r="N389" s="52">
        <v>0</v>
      </c>
      <c r="O389" s="52">
        <v>0</v>
      </c>
      <c r="P389" s="52">
        <v>0</v>
      </c>
      <c r="Q389" s="57" t="s">
        <v>12</v>
      </c>
      <c r="R389" s="57" t="s">
        <v>12</v>
      </c>
      <c r="S389" s="57" t="s">
        <v>14</v>
      </c>
      <c r="T389" s="57" t="s">
        <v>12</v>
      </c>
      <c r="U389" s="57" t="s">
        <v>14</v>
      </c>
      <c r="V389" s="87" t="str">
        <f t="shared" si="6"/>
        <v>装5</v>
      </c>
      <c r="W389" s="53">
        <f t="shared" si="7"/>
        <v>15104</v>
      </c>
    </row>
    <row r="390" spans="1:27" x14ac:dyDescent="0.35">
      <c r="A390" s="52">
        <v>14529</v>
      </c>
      <c r="B390" s="52" t="s">
        <v>2013</v>
      </c>
      <c r="C390" s="105" t="s">
        <v>2015</v>
      </c>
      <c r="D390" s="52" t="s">
        <v>2014</v>
      </c>
      <c r="E390" s="88">
        <v>5</v>
      </c>
      <c r="F390" s="46">
        <v>55411</v>
      </c>
      <c r="G390" s="57" t="s">
        <v>12</v>
      </c>
      <c r="H390" s="52" t="s">
        <v>12</v>
      </c>
      <c r="I390" s="52" t="s">
        <v>12</v>
      </c>
      <c r="J390" s="113">
        <v>1</v>
      </c>
      <c r="K390" s="52">
        <v>4</v>
      </c>
      <c r="L390" s="52">
        <v>15104</v>
      </c>
      <c r="M390" s="57" t="s">
        <v>12</v>
      </c>
      <c r="N390" s="52">
        <v>0</v>
      </c>
      <c r="O390" s="52">
        <v>0</v>
      </c>
      <c r="P390" s="52">
        <v>0</v>
      </c>
      <c r="Q390" s="57" t="s">
        <v>12</v>
      </c>
      <c r="R390" s="57" t="s">
        <v>12</v>
      </c>
      <c r="S390" s="57" t="s">
        <v>14</v>
      </c>
      <c r="T390" s="57" t="s">
        <v>12</v>
      </c>
      <c r="U390" s="57" t="s">
        <v>14</v>
      </c>
      <c r="V390" s="87" t="str">
        <f t="shared" si="6"/>
        <v>装4</v>
      </c>
      <c r="W390" s="53">
        <f t="shared" si="7"/>
        <v>15104</v>
      </c>
    </row>
    <row r="391" spans="1:27" x14ac:dyDescent="0.35">
      <c r="A391" s="52">
        <v>14530</v>
      </c>
      <c r="B391" s="52" t="s">
        <v>2019</v>
      </c>
      <c r="C391" s="105" t="s">
        <v>2020</v>
      </c>
      <c r="D391" s="52" t="s">
        <v>2020</v>
      </c>
      <c r="E391" s="88">
        <v>17</v>
      </c>
      <c r="F391" s="46">
        <v>55412</v>
      </c>
      <c r="G391" s="57" t="s">
        <v>12</v>
      </c>
      <c r="H391" s="52" t="s">
        <v>12</v>
      </c>
      <c r="I391" s="52" t="s">
        <v>12</v>
      </c>
      <c r="J391" s="113">
        <v>1</v>
      </c>
      <c r="K391" s="52">
        <v>3</v>
      </c>
      <c r="L391" s="52">
        <v>15103</v>
      </c>
      <c r="M391" s="57" t="s">
        <v>12</v>
      </c>
      <c r="N391" s="52">
        <v>0</v>
      </c>
      <c r="O391" s="52">
        <v>0</v>
      </c>
      <c r="P391" s="52">
        <v>0</v>
      </c>
      <c r="Q391" s="57" t="s">
        <v>12</v>
      </c>
      <c r="R391" s="57" t="s">
        <v>12</v>
      </c>
      <c r="S391" s="57" t="s">
        <v>14</v>
      </c>
      <c r="T391" s="57" t="s">
        <v>12</v>
      </c>
      <c r="U391" s="57" t="s">
        <v>14</v>
      </c>
      <c r="V391" s="87" t="str">
        <f t="shared" si="6"/>
        <v>装3</v>
      </c>
      <c r="W391" s="53">
        <f t="shared" si="7"/>
        <v>15103</v>
      </c>
    </row>
    <row r="392" spans="1:27" ht="17.25" customHeight="1" x14ac:dyDescent="0.35">
      <c r="A392" s="52">
        <v>14531</v>
      </c>
      <c r="B392" s="52" t="s">
        <v>1673</v>
      </c>
      <c r="C392" s="105" t="s">
        <v>1872</v>
      </c>
      <c r="D392" s="52" t="s">
        <v>1872</v>
      </c>
      <c r="E392" s="88">
        <v>17</v>
      </c>
      <c r="F392" s="46">
        <v>55413</v>
      </c>
      <c r="G392" s="57" t="s">
        <v>12</v>
      </c>
      <c r="H392" s="52" t="s">
        <v>12</v>
      </c>
      <c r="I392" s="52" t="s">
        <v>12</v>
      </c>
      <c r="J392" s="113">
        <v>1</v>
      </c>
      <c r="K392" s="52">
        <v>3</v>
      </c>
      <c r="L392" s="52">
        <v>15103</v>
      </c>
      <c r="M392" s="57" t="s">
        <v>12</v>
      </c>
      <c r="N392" s="52">
        <v>0</v>
      </c>
      <c r="O392" s="52">
        <v>0</v>
      </c>
      <c r="P392" s="52">
        <v>0</v>
      </c>
      <c r="Q392" s="57" t="s">
        <v>12</v>
      </c>
      <c r="R392" s="57" t="s">
        <v>12</v>
      </c>
      <c r="S392" s="57" t="s">
        <v>14</v>
      </c>
      <c r="T392" s="57" t="s">
        <v>12</v>
      </c>
      <c r="U392" s="57" t="s">
        <v>14</v>
      </c>
      <c r="V392" s="87" t="str">
        <f t="shared" si="6"/>
        <v>装3</v>
      </c>
      <c r="W392" s="53">
        <f t="shared" si="7"/>
        <v>15103</v>
      </c>
    </row>
    <row r="393" spans="1:27" ht="17.25" customHeight="1" x14ac:dyDescent="0.35">
      <c r="A393" s="52">
        <v>14532</v>
      </c>
      <c r="B393" s="52" t="s">
        <v>1674</v>
      </c>
      <c r="C393" s="105" t="s">
        <v>1873</v>
      </c>
      <c r="D393" s="52" t="s">
        <v>1873</v>
      </c>
      <c r="E393" s="88">
        <v>17</v>
      </c>
      <c r="F393" s="46">
        <v>55414</v>
      </c>
      <c r="G393" s="57" t="s">
        <v>12</v>
      </c>
      <c r="H393" s="52" t="s">
        <v>12</v>
      </c>
      <c r="I393" s="52" t="s">
        <v>12</v>
      </c>
      <c r="J393" s="113">
        <v>1</v>
      </c>
      <c r="K393" s="52">
        <v>3</v>
      </c>
      <c r="L393" s="52">
        <v>15103</v>
      </c>
      <c r="M393" s="57" t="s">
        <v>12</v>
      </c>
      <c r="N393" s="52">
        <v>0</v>
      </c>
      <c r="O393" s="52">
        <v>0</v>
      </c>
      <c r="P393" s="52">
        <v>0</v>
      </c>
      <c r="Q393" s="57" t="s">
        <v>12</v>
      </c>
      <c r="R393" s="57" t="s">
        <v>12</v>
      </c>
      <c r="S393" s="57" t="s">
        <v>14</v>
      </c>
      <c r="T393" s="57" t="s">
        <v>12</v>
      </c>
      <c r="U393" s="57" t="s">
        <v>14</v>
      </c>
      <c r="V393" s="87" t="str">
        <f t="shared" si="6"/>
        <v>装3</v>
      </c>
      <c r="W393" s="53">
        <f t="shared" si="7"/>
        <v>15103</v>
      </c>
    </row>
    <row r="394" spans="1:27" s="71" customFormat="1" ht="17.25" customHeight="1" x14ac:dyDescent="0.35">
      <c r="A394" s="52">
        <v>14533</v>
      </c>
      <c r="B394" s="52" t="s">
        <v>1675</v>
      </c>
      <c r="C394" s="105" t="s">
        <v>2122</v>
      </c>
      <c r="D394" s="52" t="s">
        <v>2123</v>
      </c>
      <c r="E394" s="88">
        <v>5</v>
      </c>
      <c r="F394" s="46">
        <v>55415</v>
      </c>
      <c r="G394" s="57" t="s">
        <v>12</v>
      </c>
      <c r="H394" s="52" t="s">
        <v>12</v>
      </c>
      <c r="I394" s="52" t="s">
        <v>12</v>
      </c>
      <c r="J394" s="113">
        <v>1</v>
      </c>
      <c r="K394" s="52">
        <v>2</v>
      </c>
      <c r="L394" s="52">
        <v>15102</v>
      </c>
      <c r="M394" s="57" t="s">
        <v>12</v>
      </c>
      <c r="N394" s="52">
        <v>0</v>
      </c>
      <c r="O394" s="52">
        <v>0</v>
      </c>
      <c r="P394" s="52">
        <v>0</v>
      </c>
      <c r="Q394" s="57" t="s">
        <v>12</v>
      </c>
      <c r="R394" s="57" t="s">
        <v>12</v>
      </c>
      <c r="S394" s="57" t="s">
        <v>14</v>
      </c>
      <c r="T394" s="57" t="s">
        <v>12</v>
      </c>
      <c r="U394" s="57" t="s">
        <v>14</v>
      </c>
      <c r="V394" s="87" t="str">
        <f t="shared" si="6"/>
        <v>装2</v>
      </c>
      <c r="W394" s="53">
        <f t="shared" si="7"/>
        <v>15102</v>
      </c>
      <c r="X394" s="53"/>
      <c r="Y394" s="53"/>
      <c r="Z394" s="53"/>
      <c r="AA394" s="53"/>
    </row>
    <row r="395" spans="1:27" s="71" customFormat="1" ht="17.25" customHeight="1" x14ac:dyDescent="0.35">
      <c r="A395" s="52">
        <v>14534</v>
      </c>
      <c r="B395" s="52" t="s">
        <v>1676</v>
      </c>
      <c r="C395" s="105" t="s">
        <v>2124</v>
      </c>
      <c r="D395" s="52" t="s">
        <v>2125</v>
      </c>
      <c r="E395" s="88">
        <v>5</v>
      </c>
      <c r="F395" s="46">
        <v>55416</v>
      </c>
      <c r="G395" s="57" t="s">
        <v>12</v>
      </c>
      <c r="H395" s="52" t="s">
        <v>12</v>
      </c>
      <c r="I395" s="52" t="s">
        <v>12</v>
      </c>
      <c r="J395" s="113">
        <v>1</v>
      </c>
      <c r="K395" s="52">
        <v>2</v>
      </c>
      <c r="L395" s="52">
        <v>15102</v>
      </c>
      <c r="M395" s="57" t="s">
        <v>12</v>
      </c>
      <c r="N395" s="52">
        <v>0</v>
      </c>
      <c r="O395" s="52">
        <v>0</v>
      </c>
      <c r="P395" s="52">
        <v>0</v>
      </c>
      <c r="Q395" s="57" t="s">
        <v>12</v>
      </c>
      <c r="R395" s="57" t="s">
        <v>12</v>
      </c>
      <c r="S395" s="57" t="s">
        <v>14</v>
      </c>
      <c r="T395" s="57" t="s">
        <v>12</v>
      </c>
      <c r="U395" s="57" t="s">
        <v>14</v>
      </c>
      <c r="V395" s="87" t="str">
        <f t="shared" si="6"/>
        <v>装2</v>
      </c>
      <c r="W395" s="53">
        <f t="shared" si="7"/>
        <v>15102</v>
      </c>
      <c r="X395" s="53"/>
      <c r="Y395" s="53"/>
      <c r="Z395" s="53"/>
      <c r="AA395" s="53"/>
    </row>
    <row r="396" spans="1:27" s="71" customFormat="1" ht="17.25" customHeight="1" x14ac:dyDescent="0.35">
      <c r="A396" s="52">
        <v>14535</v>
      </c>
      <c r="B396" s="52" t="s">
        <v>1636</v>
      </c>
      <c r="C396" s="105" t="s">
        <v>1670</v>
      </c>
      <c r="D396" s="52" t="s">
        <v>1637</v>
      </c>
      <c r="E396" s="88">
        <v>17</v>
      </c>
      <c r="F396" s="46">
        <v>55417</v>
      </c>
      <c r="G396" s="57" t="s">
        <v>12</v>
      </c>
      <c r="H396" s="52" t="s">
        <v>12</v>
      </c>
      <c r="I396" s="52" t="s">
        <v>12</v>
      </c>
      <c r="J396" s="113">
        <v>1</v>
      </c>
      <c r="K396" s="52">
        <v>4</v>
      </c>
      <c r="L396" s="52">
        <v>15204</v>
      </c>
      <c r="M396" s="57" t="s">
        <v>12</v>
      </c>
      <c r="N396" s="52">
        <v>0</v>
      </c>
      <c r="O396" s="52">
        <v>0</v>
      </c>
      <c r="P396" s="52">
        <v>0</v>
      </c>
      <c r="Q396" s="57" t="s">
        <v>12</v>
      </c>
      <c r="R396" s="57" t="s">
        <v>12</v>
      </c>
      <c r="S396" s="57" t="s">
        <v>14</v>
      </c>
      <c r="T396" s="57" t="s">
        <v>12</v>
      </c>
      <c r="U396" s="57" t="s">
        <v>14</v>
      </c>
      <c r="V396" s="87" t="str">
        <f t="shared" si="6"/>
        <v>法宝4</v>
      </c>
      <c r="W396" s="53">
        <f t="shared" si="7"/>
        <v>15204</v>
      </c>
      <c r="X396" s="53"/>
      <c r="Y396" s="53"/>
      <c r="Z396" s="53"/>
      <c r="AA396" s="53"/>
    </row>
    <row r="397" spans="1:27" s="134" customFormat="1" ht="17.25" customHeight="1" x14ac:dyDescent="0.35">
      <c r="A397" s="56">
        <v>14536</v>
      </c>
      <c r="B397" s="132" t="s">
        <v>2159</v>
      </c>
      <c r="C397" s="56" t="s">
        <v>2169</v>
      </c>
      <c r="D397" s="56" t="s">
        <v>2168</v>
      </c>
      <c r="E397" s="120">
        <v>17</v>
      </c>
      <c r="F397" s="133">
        <v>55418</v>
      </c>
      <c r="G397" s="110" t="s">
        <v>12</v>
      </c>
      <c r="H397" s="56" t="s">
        <v>12</v>
      </c>
      <c r="I397" s="56" t="s">
        <v>12</v>
      </c>
      <c r="J397" s="121">
        <v>1</v>
      </c>
      <c r="K397" s="56">
        <v>4</v>
      </c>
      <c r="L397" s="56">
        <v>15104</v>
      </c>
      <c r="M397" s="110" t="s">
        <v>12</v>
      </c>
      <c r="N397" s="56">
        <v>0</v>
      </c>
      <c r="O397" s="56">
        <v>0</v>
      </c>
      <c r="P397" s="56">
        <v>0</v>
      </c>
      <c r="Q397" s="110" t="s">
        <v>12</v>
      </c>
      <c r="R397" s="110" t="s">
        <v>12</v>
      </c>
      <c r="S397" s="110" t="s">
        <v>14</v>
      </c>
      <c r="T397" s="110" t="s">
        <v>12</v>
      </c>
      <c r="U397" s="110" t="s">
        <v>14</v>
      </c>
      <c r="V397" s="87" t="str">
        <f t="shared" ref="V397" si="8">IF(ISERROR(FIND("将",$B397)),IF(ISERROR(FIND("伙伴",$B397)),IF(ISERROR(FIND("装",$B397)),IF(ISERROR(FIND("法宝",$B397)),IF(ISERROR(FIND("神兵",$B397)),"","神兵"),"法宝"),"装"),"伙伴"),"将")&amp;$K397</f>
        <v>装4</v>
      </c>
      <c r="W397" s="122">
        <f t="shared" si="7"/>
        <v>15104</v>
      </c>
      <c r="X397" s="122"/>
      <c r="Y397" s="122"/>
      <c r="Z397" s="122"/>
      <c r="AA397" s="122"/>
    </row>
    <row r="398" spans="1:27" s="100" customFormat="1" ht="17.25" customHeight="1" x14ac:dyDescent="0.35">
      <c r="A398" s="95">
        <v>14537</v>
      </c>
      <c r="B398" s="96" t="s">
        <v>1887</v>
      </c>
      <c r="C398" s="105" t="s">
        <v>1842</v>
      </c>
      <c r="D398" s="95" t="s">
        <v>1842</v>
      </c>
      <c r="E398" s="97">
        <v>5</v>
      </c>
      <c r="F398" s="98">
        <v>55419</v>
      </c>
      <c r="G398" s="99" t="s">
        <v>12</v>
      </c>
      <c r="H398" s="95" t="s">
        <v>12</v>
      </c>
      <c r="I398" s="95" t="s">
        <v>12</v>
      </c>
      <c r="J398" s="117">
        <v>1</v>
      </c>
      <c r="K398" s="95">
        <v>4</v>
      </c>
      <c r="L398" s="95">
        <v>14333</v>
      </c>
      <c r="M398" s="99" t="s">
        <v>12</v>
      </c>
      <c r="N398" s="95">
        <v>0</v>
      </c>
      <c r="O398" s="95">
        <v>0</v>
      </c>
      <c r="P398" s="95">
        <v>0</v>
      </c>
      <c r="Q398" s="99" t="s">
        <v>12</v>
      </c>
      <c r="R398" s="99" t="s">
        <v>12</v>
      </c>
      <c r="S398" s="99" t="s">
        <v>14</v>
      </c>
      <c r="T398" s="99" t="s">
        <v>12</v>
      </c>
      <c r="U398" s="99" t="s">
        <v>14</v>
      </c>
      <c r="W398" s="100" t="str">
        <f t="shared" si="7"/>
        <v/>
      </c>
    </row>
    <row r="399" spans="1:27" s="101" customFormat="1" ht="17.25" customHeight="1" x14ac:dyDescent="0.35">
      <c r="A399" s="95">
        <v>14538</v>
      </c>
      <c r="B399" s="96" t="s">
        <v>1888</v>
      </c>
      <c r="C399" s="105" t="s">
        <v>1843</v>
      </c>
      <c r="D399" s="95" t="s">
        <v>1843</v>
      </c>
      <c r="E399" s="97">
        <v>5</v>
      </c>
      <c r="F399" s="98">
        <v>55420</v>
      </c>
      <c r="G399" s="99" t="s">
        <v>12</v>
      </c>
      <c r="H399" s="95" t="s">
        <v>12</v>
      </c>
      <c r="I399" s="95" t="s">
        <v>12</v>
      </c>
      <c r="J399" s="117">
        <v>1</v>
      </c>
      <c r="K399" s="95">
        <v>4</v>
      </c>
      <c r="L399" s="95">
        <v>14333</v>
      </c>
      <c r="M399" s="99" t="s">
        <v>12</v>
      </c>
      <c r="N399" s="95">
        <v>0</v>
      </c>
      <c r="O399" s="95">
        <v>0</v>
      </c>
      <c r="P399" s="95">
        <v>0</v>
      </c>
      <c r="Q399" s="99" t="s">
        <v>12</v>
      </c>
      <c r="R399" s="99" t="s">
        <v>12</v>
      </c>
      <c r="S399" s="99" t="s">
        <v>14</v>
      </c>
      <c r="T399" s="99" t="s">
        <v>12</v>
      </c>
      <c r="U399" s="99" t="s">
        <v>14</v>
      </c>
      <c r="V399" s="100"/>
      <c r="W399" s="100" t="str">
        <f t="shared" si="7"/>
        <v/>
      </c>
      <c r="X399" s="100"/>
      <c r="Y399" s="100"/>
      <c r="Z399" s="100"/>
      <c r="AA399" s="100"/>
    </row>
    <row r="400" spans="1:27" s="101" customFormat="1" ht="17.25" customHeight="1" x14ac:dyDescent="0.35">
      <c r="A400" s="95">
        <v>14539</v>
      </c>
      <c r="B400" s="96" t="s">
        <v>1889</v>
      </c>
      <c r="C400" s="105" t="s">
        <v>1844</v>
      </c>
      <c r="D400" s="95" t="s">
        <v>1844</v>
      </c>
      <c r="E400" s="97">
        <v>5</v>
      </c>
      <c r="F400" s="98">
        <v>55421</v>
      </c>
      <c r="G400" s="99" t="s">
        <v>12</v>
      </c>
      <c r="H400" s="95" t="s">
        <v>12</v>
      </c>
      <c r="I400" s="95" t="s">
        <v>12</v>
      </c>
      <c r="J400" s="117">
        <v>1</v>
      </c>
      <c r="K400" s="95">
        <v>4</v>
      </c>
      <c r="L400" s="95">
        <v>14333</v>
      </c>
      <c r="M400" s="99" t="s">
        <v>12</v>
      </c>
      <c r="N400" s="95">
        <v>0</v>
      </c>
      <c r="O400" s="95">
        <v>0</v>
      </c>
      <c r="P400" s="95">
        <v>0</v>
      </c>
      <c r="Q400" s="99" t="s">
        <v>12</v>
      </c>
      <c r="R400" s="99" t="s">
        <v>12</v>
      </c>
      <c r="S400" s="99" t="s">
        <v>14</v>
      </c>
      <c r="T400" s="99" t="s">
        <v>12</v>
      </c>
      <c r="U400" s="99" t="s">
        <v>14</v>
      </c>
      <c r="V400" s="100"/>
      <c r="W400" s="100" t="str">
        <f t="shared" si="7"/>
        <v/>
      </c>
      <c r="X400" s="100"/>
      <c r="Y400" s="100"/>
      <c r="Z400" s="100"/>
      <c r="AA400" s="100"/>
    </row>
    <row r="401" spans="1:27" s="101" customFormat="1" ht="17.25" customHeight="1" x14ac:dyDescent="0.35">
      <c r="A401" s="95">
        <v>14540</v>
      </c>
      <c r="B401" s="96" t="s">
        <v>1890</v>
      </c>
      <c r="C401" s="105" t="s">
        <v>1845</v>
      </c>
      <c r="D401" s="95" t="s">
        <v>1845</v>
      </c>
      <c r="E401" s="97">
        <v>5</v>
      </c>
      <c r="F401" s="98">
        <v>55422</v>
      </c>
      <c r="G401" s="99" t="s">
        <v>12</v>
      </c>
      <c r="H401" s="95" t="s">
        <v>12</v>
      </c>
      <c r="I401" s="95" t="s">
        <v>12</v>
      </c>
      <c r="J401" s="117">
        <v>1</v>
      </c>
      <c r="K401" s="95">
        <v>4</v>
      </c>
      <c r="L401" s="95">
        <v>14333</v>
      </c>
      <c r="M401" s="99" t="s">
        <v>12</v>
      </c>
      <c r="N401" s="95">
        <v>0</v>
      </c>
      <c r="O401" s="95">
        <v>0</v>
      </c>
      <c r="P401" s="95">
        <v>0</v>
      </c>
      <c r="Q401" s="99" t="s">
        <v>12</v>
      </c>
      <c r="R401" s="99" t="s">
        <v>12</v>
      </c>
      <c r="S401" s="99" t="s">
        <v>14</v>
      </c>
      <c r="T401" s="99" t="s">
        <v>12</v>
      </c>
      <c r="U401" s="99" t="s">
        <v>14</v>
      </c>
      <c r="V401" s="100"/>
      <c r="W401" s="100" t="str">
        <f t="shared" si="7"/>
        <v/>
      </c>
      <c r="X401" s="100"/>
      <c r="Y401" s="100"/>
      <c r="Z401" s="100"/>
      <c r="AA401" s="100"/>
    </row>
    <row r="402" spans="1:27" s="101" customFormat="1" ht="17.25" customHeight="1" x14ac:dyDescent="0.35">
      <c r="A402" s="95">
        <v>14541</v>
      </c>
      <c r="B402" s="96" t="s">
        <v>1891</v>
      </c>
      <c r="C402" s="105" t="s">
        <v>1846</v>
      </c>
      <c r="D402" s="95" t="s">
        <v>1846</v>
      </c>
      <c r="E402" s="97">
        <v>5</v>
      </c>
      <c r="F402" s="98">
        <v>55423</v>
      </c>
      <c r="G402" s="99" t="s">
        <v>12</v>
      </c>
      <c r="H402" s="95" t="s">
        <v>12</v>
      </c>
      <c r="I402" s="95" t="s">
        <v>12</v>
      </c>
      <c r="J402" s="117">
        <v>1</v>
      </c>
      <c r="K402" s="95">
        <v>4</v>
      </c>
      <c r="L402" s="95">
        <v>14333</v>
      </c>
      <c r="M402" s="99" t="s">
        <v>12</v>
      </c>
      <c r="N402" s="95">
        <v>0</v>
      </c>
      <c r="O402" s="95">
        <v>0</v>
      </c>
      <c r="P402" s="95">
        <v>0</v>
      </c>
      <c r="Q402" s="99" t="s">
        <v>12</v>
      </c>
      <c r="R402" s="99" t="s">
        <v>12</v>
      </c>
      <c r="S402" s="99" t="s">
        <v>14</v>
      </c>
      <c r="T402" s="99" t="s">
        <v>12</v>
      </c>
      <c r="U402" s="99" t="s">
        <v>14</v>
      </c>
      <c r="V402" s="100"/>
      <c r="W402" s="100" t="str">
        <f t="shared" si="7"/>
        <v/>
      </c>
      <c r="X402" s="100"/>
      <c r="Y402" s="100"/>
      <c r="Z402" s="100"/>
      <c r="AA402" s="100"/>
    </row>
    <row r="403" spans="1:27" s="101" customFormat="1" ht="17.25" customHeight="1" x14ac:dyDescent="0.35">
      <c r="A403" s="95">
        <v>14542</v>
      </c>
      <c r="B403" s="96" t="s">
        <v>1892</v>
      </c>
      <c r="C403" s="105" t="s">
        <v>1847</v>
      </c>
      <c r="D403" s="95" t="s">
        <v>1847</v>
      </c>
      <c r="E403" s="97">
        <v>5</v>
      </c>
      <c r="F403" s="98">
        <v>55424</v>
      </c>
      <c r="G403" s="99" t="s">
        <v>12</v>
      </c>
      <c r="H403" s="95" t="s">
        <v>12</v>
      </c>
      <c r="I403" s="95" t="s">
        <v>12</v>
      </c>
      <c r="J403" s="117">
        <v>1</v>
      </c>
      <c r="K403" s="95">
        <v>4</v>
      </c>
      <c r="L403" s="95">
        <v>14333</v>
      </c>
      <c r="M403" s="99" t="s">
        <v>12</v>
      </c>
      <c r="N403" s="95">
        <v>0</v>
      </c>
      <c r="O403" s="95">
        <v>0</v>
      </c>
      <c r="P403" s="95">
        <v>0</v>
      </c>
      <c r="Q403" s="99" t="s">
        <v>12</v>
      </c>
      <c r="R403" s="99" t="s">
        <v>12</v>
      </c>
      <c r="S403" s="99" t="s">
        <v>14</v>
      </c>
      <c r="T403" s="99" t="s">
        <v>12</v>
      </c>
      <c r="U403" s="99" t="s">
        <v>14</v>
      </c>
      <c r="V403" s="100"/>
      <c r="W403" s="100" t="str">
        <f t="shared" si="7"/>
        <v/>
      </c>
      <c r="X403" s="100"/>
      <c r="Y403" s="100"/>
      <c r="Z403" s="100"/>
      <c r="AA403" s="100"/>
    </row>
    <row r="404" spans="1:27" s="100" customFormat="1" ht="17.25" customHeight="1" x14ac:dyDescent="0.35">
      <c r="A404" s="95">
        <v>14543</v>
      </c>
      <c r="B404" s="96" t="s">
        <v>1893</v>
      </c>
      <c r="C404" s="105" t="s">
        <v>1848</v>
      </c>
      <c r="D404" s="95" t="s">
        <v>1848</v>
      </c>
      <c r="E404" s="97">
        <v>5</v>
      </c>
      <c r="F404" s="98">
        <v>55425</v>
      </c>
      <c r="G404" s="99" t="s">
        <v>12</v>
      </c>
      <c r="H404" s="95" t="s">
        <v>12</v>
      </c>
      <c r="I404" s="95" t="s">
        <v>12</v>
      </c>
      <c r="J404" s="117">
        <v>1</v>
      </c>
      <c r="K404" s="95">
        <v>4</v>
      </c>
      <c r="L404" s="95">
        <v>14333</v>
      </c>
      <c r="M404" s="99" t="s">
        <v>12</v>
      </c>
      <c r="N404" s="95">
        <v>0</v>
      </c>
      <c r="O404" s="95">
        <v>0</v>
      </c>
      <c r="P404" s="95">
        <v>0</v>
      </c>
      <c r="Q404" s="99" t="s">
        <v>12</v>
      </c>
      <c r="R404" s="99" t="s">
        <v>12</v>
      </c>
      <c r="S404" s="99" t="s">
        <v>14</v>
      </c>
      <c r="T404" s="99" t="s">
        <v>12</v>
      </c>
      <c r="U404" s="99" t="s">
        <v>14</v>
      </c>
      <c r="W404" s="100" t="str">
        <f t="shared" si="7"/>
        <v/>
      </c>
    </row>
    <row r="405" spans="1:27" s="101" customFormat="1" ht="17.25" customHeight="1" x14ac:dyDescent="0.35">
      <c r="A405" s="95">
        <v>14544</v>
      </c>
      <c r="B405" s="96" t="s">
        <v>1894</v>
      </c>
      <c r="C405" s="105" t="s">
        <v>1849</v>
      </c>
      <c r="D405" s="95" t="s">
        <v>1849</v>
      </c>
      <c r="E405" s="97">
        <v>5</v>
      </c>
      <c r="F405" s="98">
        <v>55426</v>
      </c>
      <c r="G405" s="99" t="s">
        <v>12</v>
      </c>
      <c r="H405" s="95" t="s">
        <v>12</v>
      </c>
      <c r="I405" s="95" t="s">
        <v>12</v>
      </c>
      <c r="J405" s="117">
        <v>1</v>
      </c>
      <c r="K405" s="95">
        <v>4</v>
      </c>
      <c r="L405" s="95">
        <v>14333</v>
      </c>
      <c r="M405" s="99" t="s">
        <v>12</v>
      </c>
      <c r="N405" s="95">
        <v>0</v>
      </c>
      <c r="O405" s="95">
        <v>0</v>
      </c>
      <c r="P405" s="95">
        <v>0</v>
      </c>
      <c r="Q405" s="99" t="s">
        <v>12</v>
      </c>
      <c r="R405" s="99" t="s">
        <v>12</v>
      </c>
      <c r="S405" s="99" t="s">
        <v>14</v>
      </c>
      <c r="T405" s="99" t="s">
        <v>12</v>
      </c>
      <c r="U405" s="99" t="s">
        <v>14</v>
      </c>
      <c r="V405" s="100"/>
      <c r="W405" s="100" t="str">
        <f t="shared" si="7"/>
        <v/>
      </c>
      <c r="X405" s="100"/>
      <c r="Y405" s="100"/>
      <c r="Z405" s="100"/>
      <c r="AA405" s="100"/>
    </row>
    <row r="406" spans="1:27" s="100" customFormat="1" ht="17.25" customHeight="1" x14ac:dyDescent="0.35">
      <c r="A406" s="95">
        <v>14545</v>
      </c>
      <c r="B406" s="96" t="s">
        <v>1895</v>
      </c>
      <c r="C406" s="105" t="s">
        <v>1850</v>
      </c>
      <c r="D406" s="95" t="s">
        <v>1850</v>
      </c>
      <c r="E406" s="97">
        <v>5</v>
      </c>
      <c r="F406" s="98">
        <v>55427</v>
      </c>
      <c r="G406" s="99" t="s">
        <v>12</v>
      </c>
      <c r="H406" s="95" t="s">
        <v>12</v>
      </c>
      <c r="I406" s="95" t="s">
        <v>12</v>
      </c>
      <c r="J406" s="117">
        <v>1</v>
      </c>
      <c r="K406" s="95">
        <v>4</v>
      </c>
      <c r="L406" s="95">
        <v>14333</v>
      </c>
      <c r="M406" s="99" t="s">
        <v>12</v>
      </c>
      <c r="N406" s="95">
        <v>0</v>
      </c>
      <c r="O406" s="95">
        <v>0</v>
      </c>
      <c r="P406" s="95">
        <v>0</v>
      </c>
      <c r="Q406" s="99" t="s">
        <v>12</v>
      </c>
      <c r="R406" s="99" t="s">
        <v>12</v>
      </c>
      <c r="S406" s="99" t="s">
        <v>14</v>
      </c>
      <c r="T406" s="99" t="s">
        <v>12</v>
      </c>
      <c r="U406" s="99" t="s">
        <v>14</v>
      </c>
      <c r="W406" s="100" t="str">
        <f t="shared" si="7"/>
        <v/>
      </c>
    </row>
    <row r="407" spans="1:27" s="100" customFormat="1" ht="17.25" customHeight="1" x14ac:dyDescent="0.35">
      <c r="A407" s="95">
        <v>14546</v>
      </c>
      <c r="B407" s="96" t="s">
        <v>1896</v>
      </c>
      <c r="C407" s="105" t="s">
        <v>1851</v>
      </c>
      <c r="D407" s="95" t="s">
        <v>1851</v>
      </c>
      <c r="E407" s="97">
        <v>5</v>
      </c>
      <c r="F407" s="98">
        <v>55428</v>
      </c>
      <c r="G407" s="99" t="s">
        <v>12</v>
      </c>
      <c r="H407" s="95" t="s">
        <v>12</v>
      </c>
      <c r="I407" s="95" t="s">
        <v>12</v>
      </c>
      <c r="J407" s="117">
        <v>1</v>
      </c>
      <c r="K407" s="95">
        <v>4</v>
      </c>
      <c r="L407" s="95">
        <v>14333</v>
      </c>
      <c r="M407" s="99" t="s">
        <v>12</v>
      </c>
      <c r="N407" s="95">
        <v>0</v>
      </c>
      <c r="O407" s="95">
        <v>0</v>
      </c>
      <c r="P407" s="95">
        <v>0</v>
      </c>
      <c r="Q407" s="99" t="s">
        <v>12</v>
      </c>
      <c r="R407" s="99" t="s">
        <v>12</v>
      </c>
      <c r="S407" s="99" t="s">
        <v>14</v>
      </c>
      <c r="T407" s="99" t="s">
        <v>12</v>
      </c>
      <c r="U407" s="99" t="s">
        <v>14</v>
      </c>
      <c r="W407" s="100" t="str">
        <f t="shared" si="7"/>
        <v/>
      </c>
    </row>
    <row r="408" spans="1:27" s="100" customFormat="1" ht="17.25" customHeight="1" x14ac:dyDescent="0.35">
      <c r="A408" s="95">
        <v>14547</v>
      </c>
      <c r="B408" s="96" t="s">
        <v>1897</v>
      </c>
      <c r="C408" s="105" t="s">
        <v>1852</v>
      </c>
      <c r="D408" s="95" t="s">
        <v>1852</v>
      </c>
      <c r="E408" s="97">
        <v>5</v>
      </c>
      <c r="F408" s="98">
        <v>55429</v>
      </c>
      <c r="G408" s="99" t="s">
        <v>12</v>
      </c>
      <c r="H408" s="95" t="s">
        <v>12</v>
      </c>
      <c r="I408" s="95" t="s">
        <v>12</v>
      </c>
      <c r="J408" s="117">
        <v>1</v>
      </c>
      <c r="K408" s="95">
        <v>4</v>
      </c>
      <c r="L408" s="95">
        <v>14333</v>
      </c>
      <c r="M408" s="99" t="s">
        <v>12</v>
      </c>
      <c r="N408" s="95">
        <v>0</v>
      </c>
      <c r="O408" s="95">
        <v>0</v>
      </c>
      <c r="P408" s="95">
        <v>0</v>
      </c>
      <c r="Q408" s="99" t="s">
        <v>12</v>
      </c>
      <c r="R408" s="99" t="s">
        <v>12</v>
      </c>
      <c r="S408" s="99" t="s">
        <v>14</v>
      </c>
      <c r="T408" s="99" t="s">
        <v>12</v>
      </c>
      <c r="U408" s="99" t="s">
        <v>14</v>
      </c>
      <c r="W408" s="100" t="str">
        <f t="shared" si="7"/>
        <v/>
      </c>
    </row>
    <row r="409" spans="1:27" s="100" customFormat="1" ht="17.25" customHeight="1" x14ac:dyDescent="0.35">
      <c r="A409" s="95">
        <v>14548</v>
      </c>
      <c r="B409" s="96" t="s">
        <v>1898</v>
      </c>
      <c r="C409" s="105" t="s">
        <v>1853</v>
      </c>
      <c r="D409" s="95" t="s">
        <v>1853</v>
      </c>
      <c r="E409" s="97">
        <v>5</v>
      </c>
      <c r="F409" s="98">
        <v>55430</v>
      </c>
      <c r="G409" s="99" t="s">
        <v>12</v>
      </c>
      <c r="H409" s="95" t="s">
        <v>12</v>
      </c>
      <c r="I409" s="95" t="s">
        <v>12</v>
      </c>
      <c r="J409" s="117">
        <v>1</v>
      </c>
      <c r="K409" s="95">
        <v>4</v>
      </c>
      <c r="L409" s="95">
        <v>14333</v>
      </c>
      <c r="M409" s="99" t="s">
        <v>12</v>
      </c>
      <c r="N409" s="95">
        <v>0</v>
      </c>
      <c r="O409" s="95">
        <v>0</v>
      </c>
      <c r="P409" s="95">
        <v>0</v>
      </c>
      <c r="Q409" s="99" t="s">
        <v>12</v>
      </c>
      <c r="R409" s="99" t="s">
        <v>12</v>
      </c>
      <c r="S409" s="99" t="s">
        <v>14</v>
      </c>
      <c r="T409" s="99" t="s">
        <v>12</v>
      </c>
      <c r="U409" s="99" t="s">
        <v>14</v>
      </c>
      <c r="W409" s="100" t="str">
        <f t="shared" si="7"/>
        <v/>
      </c>
    </row>
    <row r="410" spans="1:27" s="100" customFormat="1" ht="17.25" customHeight="1" x14ac:dyDescent="0.35">
      <c r="A410" s="95">
        <v>14549</v>
      </c>
      <c r="B410" s="96" t="s">
        <v>1899</v>
      </c>
      <c r="C410" s="105" t="s">
        <v>1854</v>
      </c>
      <c r="D410" s="95" t="s">
        <v>1854</v>
      </c>
      <c r="E410" s="97">
        <v>5</v>
      </c>
      <c r="F410" s="98">
        <v>55431</v>
      </c>
      <c r="G410" s="99" t="s">
        <v>12</v>
      </c>
      <c r="H410" s="95" t="s">
        <v>12</v>
      </c>
      <c r="I410" s="95" t="s">
        <v>12</v>
      </c>
      <c r="J410" s="117">
        <v>1</v>
      </c>
      <c r="K410" s="95">
        <v>4</v>
      </c>
      <c r="L410" s="95">
        <v>14333</v>
      </c>
      <c r="M410" s="99" t="s">
        <v>12</v>
      </c>
      <c r="N410" s="95">
        <v>0</v>
      </c>
      <c r="O410" s="95">
        <v>0</v>
      </c>
      <c r="P410" s="95">
        <v>0</v>
      </c>
      <c r="Q410" s="99" t="s">
        <v>12</v>
      </c>
      <c r="R410" s="99" t="s">
        <v>12</v>
      </c>
      <c r="S410" s="99" t="s">
        <v>14</v>
      </c>
      <c r="T410" s="99" t="s">
        <v>12</v>
      </c>
      <c r="U410" s="99" t="s">
        <v>14</v>
      </c>
      <c r="W410" s="100" t="str">
        <f t="shared" si="7"/>
        <v/>
      </c>
    </row>
    <row r="411" spans="1:27" s="100" customFormat="1" ht="17.25" customHeight="1" x14ac:dyDescent="0.35">
      <c r="A411" s="95">
        <v>14550</v>
      </c>
      <c r="B411" s="95" t="s">
        <v>1855</v>
      </c>
      <c r="C411" s="105" t="s">
        <v>1856</v>
      </c>
      <c r="D411" s="95" t="s">
        <v>1856</v>
      </c>
      <c r="E411" s="97">
        <v>5</v>
      </c>
      <c r="F411" s="98">
        <v>55432</v>
      </c>
      <c r="G411" s="99" t="s">
        <v>12</v>
      </c>
      <c r="H411" s="95" t="s">
        <v>12</v>
      </c>
      <c r="I411" s="95" t="s">
        <v>12</v>
      </c>
      <c r="J411" s="117">
        <v>1</v>
      </c>
      <c r="K411" s="95">
        <v>4</v>
      </c>
      <c r="L411" s="95">
        <v>14333</v>
      </c>
      <c r="M411" s="99" t="s">
        <v>12</v>
      </c>
      <c r="N411" s="95">
        <v>0</v>
      </c>
      <c r="O411" s="95">
        <v>0</v>
      </c>
      <c r="P411" s="95">
        <v>0</v>
      </c>
      <c r="Q411" s="99" t="s">
        <v>12</v>
      </c>
      <c r="R411" s="99" t="s">
        <v>12</v>
      </c>
      <c r="S411" s="99" t="s">
        <v>14</v>
      </c>
      <c r="T411" s="99" t="s">
        <v>12</v>
      </c>
      <c r="U411" s="99" t="s">
        <v>14</v>
      </c>
      <c r="W411" s="100" t="str">
        <f t="shared" si="7"/>
        <v/>
      </c>
    </row>
    <row r="412" spans="1:27" s="100" customFormat="1" ht="17.25" customHeight="1" x14ac:dyDescent="0.35">
      <c r="A412" s="95">
        <v>14551</v>
      </c>
      <c r="B412" s="95" t="s">
        <v>1857</v>
      </c>
      <c r="C412" s="105" t="s">
        <v>1858</v>
      </c>
      <c r="D412" s="95" t="s">
        <v>1858</v>
      </c>
      <c r="E412" s="97">
        <v>5</v>
      </c>
      <c r="F412" s="98">
        <v>55433</v>
      </c>
      <c r="G412" s="99" t="s">
        <v>12</v>
      </c>
      <c r="H412" s="95" t="s">
        <v>12</v>
      </c>
      <c r="I412" s="95" t="s">
        <v>12</v>
      </c>
      <c r="J412" s="117">
        <v>1</v>
      </c>
      <c r="K412" s="95">
        <v>4</v>
      </c>
      <c r="L412" s="95">
        <v>14333</v>
      </c>
      <c r="M412" s="99" t="s">
        <v>12</v>
      </c>
      <c r="N412" s="95">
        <v>0</v>
      </c>
      <c r="O412" s="95">
        <v>0</v>
      </c>
      <c r="P412" s="95">
        <v>0</v>
      </c>
      <c r="Q412" s="99" t="s">
        <v>12</v>
      </c>
      <c r="R412" s="99" t="s">
        <v>12</v>
      </c>
      <c r="S412" s="99" t="s">
        <v>14</v>
      </c>
      <c r="T412" s="99" t="s">
        <v>12</v>
      </c>
      <c r="U412" s="99" t="s">
        <v>14</v>
      </c>
      <c r="W412" s="100" t="str">
        <f t="shared" si="7"/>
        <v/>
      </c>
    </row>
    <row r="413" spans="1:27" s="100" customFormat="1" ht="17.25" customHeight="1" x14ac:dyDescent="0.35">
      <c r="A413" s="95">
        <v>14552</v>
      </c>
      <c r="B413" s="95" t="s">
        <v>1859</v>
      </c>
      <c r="C413" s="105" t="s">
        <v>1874</v>
      </c>
      <c r="D413" s="95" t="s">
        <v>1874</v>
      </c>
      <c r="E413" s="97">
        <v>17</v>
      </c>
      <c r="F413" s="98">
        <v>55434</v>
      </c>
      <c r="G413" s="99" t="s">
        <v>12</v>
      </c>
      <c r="H413" s="95" t="s">
        <v>12</v>
      </c>
      <c r="I413" s="95" t="s">
        <v>12</v>
      </c>
      <c r="J413" s="117">
        <v>1</v>
      </c>
      <c r="K413" s="95">
        <v>4</v>
      </c>
      <c r="L413" s="95">
        <v>14333</v>
      </c>
      <c r="M413" s="99" t="s">
        <v>12</v>
      </c>
      <c r="N413" s="95">
        <v>0</v>
      </c>
      <c r="O413" s="95">
        <v>0</v>
      </c>
      <c r="P413" s="95">
        <v>0</v>
      </c>
      <c r="Q413" s="99" t="s">
        <v>12</v>
      </c>
      <c r="R413" s="99" t="s">
        <v>12</v>
      </c>
      <c r="S413" s="99" t="s">
        <v>14</v>
      </c>
      <c r="T413" s="99" t="s">
        <v>12</v>
      </c>
      <c r="U413" s="99" t="s">
        <v>14</v>
      </c>
      <c r="W413" s="100" t="str">
        <f t="shared" si="7"/>
        <v/>
      </c>
    </row>
    <row r="414" spans="1:27" s="122" customFormat="1" ht="17.25" customHeight="1" x14ac:dyDescent="0.35">
      <c r="A414" s="56">
        <v>14553</v>
      </c>
      <c r="B414" s="56" t="s">
        <v>2127</v>
      </c>
      <c r="C414" s="56" t="s">
        <v>2114</v>
      </c>
      <c r="D414" s="56" t="s">
        <v>2113</v>
      </c>
      <c r="E414" s="120">
        <v>17</v>
      </c>
      <c r="F414" s="47">
        <v>55435</v>
      </c>
      <c r="G414" s="110" t="s">
        <v>12</v>
      </c>
      <c r="H414" s="56" t="s">
        <v>12</v>
      </c>
      <c r="I414" s="56" t="s">
        <v>12</v>
      </c>
      <c r="J414" s="121">
        <v>1</v>
      </c>
      <c r="K414" s="56">
        <v>4</v>
      </c>
      <c r="L414" s="56">
        <v>15004</v>
      </c>
      <c r="M414" s="110" t="s">
        <v>12</v>
      </c>
      <c r="N414" s="56">
        <v>0</v>
      </c>
      <c r="O414" s="56">
        <v>0</v>
      </c>
      <c r="P414" s="56">
        <v>0</v>
      </c>
      <c r="Q414" s="110" t="s">
        <v>12</v>
      </c>
      <c r="R414" s="110" t="s">
        <v>12</v>
      </c>
      <c r="S414" s="110" t="s">
        <v>14</v>
      </c>
      <c r="T414" s="110" t="s">
        <v>12</v>
      </c>
      <c r="U414" s="110" t="s">
        <v>14</v>
      </c>
      <c r="V414" s="87" t="str">
        <f t="shared" ref="V414" si="9">IF(ISERROR(FIND("将",$B414)),IF(ISERROR(FIND("伙伴",$B414)),IF(ISERROR(FIND("装",$B414)),IF(ISERROR(FIND("法宝",$B414)),IF(ISERROR(FIND("神兵",$B414)),"","神兵"),"法宝"),"装"),"伙伴"),"将")&amp;$K414</f>
        <v>伙伴4</v>
      </c>
      <c r="W414" s="122">
        <f t="shared" si="7"/>
        <v>15004</v>
      </c>
    </row>
    <row r="415" spans="1:27" s="100" customFormat="1" ht="17.25" customHeight="1" x14ac:dyDescent="0.35">
      <c r="A415" s="95">
        <v>14554</v>
      </c>
      <c r="B415" s="95" t="s">
        <v>1877</v>
      </c>
      <c r="C415" s="105" t="s">
        <v>1876</v>
      </c>
      <c r="D415" s="95" t="s">
        <v>1875</v>
      </c>
      <c r="E415" s="97">
        <v>17</v>
      </c>
      <c r="F415" s="102">
        <v>55436</v>
      </c>
      <c r="G415" s="99" t="s">
        <v>12</v>
      </c>
      <c r="H415" s="95" t="s">
        <v>12</v>
      </c>
      <c r="I415" s="95" t="s">
        <v>12</v>
      </c>
      <c r="J415" s="117">
        <v>1</v>
      </c>
      <c r="K415" s="95">
        <v>4</v>
      </c>
      <c r="L415" s="95">
        <v>15206</v>
      </c>
      <c r="M415" s="99" t="s">
        <v>12</v>
      </c>
      <c r="N415" s="95">
        <v>0</v>
      </c>
      <c r="O415" s="95">
        <v>0</v>
      </c>
      <c r="P415" s="95">
        <v>0</v>
      </c>
      <c r="Q415" s="99" t="s">
        <v>12</v>
      </c>
      <c r="R415" s="99" t="s">
        <v>12</v>
      </c>
      <c r="S415" s="99" t="s">
        <v>14</v>
      </c>
      <c r="T415" s="99" t="s">
        <v>12</v>
      </c>
      <c r="U415" s="99" t="s">
        <v>14</v>
      </c>
      <c r="W415" s="100" t="str">
        <f t="shared" si="7"/>
        <v/>
      </c>
    </row>
    <row r="416" spans="1:27" s="122" customFormat="1" ht="17.25" customHeight="1" x14ac:dyDescent="0.35">
      <c r="A416" s="56">
        <v>14555</v>
      </c>
      <c r="B416" s="56" t="s">
        <v>1878</v>
      </c>
      <c r="C416" s="56" t="s">
        <v>2146</v>
      </c>
      <c r="D416" s="56" t="s">
        <v>2145</v>
      </c>
      <c r="E416" s="120">
        <v>17</v>
      </c>
      <c r="F416" s="47">
        <v>55437</v>
      </c>
      <c r="G416" s="110" t="s">
        <v>12</v>
      </c>
      <c r="H416" s="56" t="s">
        <v>12</v>
      </c>
      <c r="I416" s="56" t="s">
        <v>12</v>
      </c>
      <c r="J416" s="121">
        <v>1</v>
      </c>
      <c r="K416" s="56">
        <v>4</v>
      </c>
      <c r="L416" s="56">
        <v>15004</v>
      </c>
      <c r="M416" s="110" t="s">
        <v>12</v>
      </c>
      <c r="N416" s="56">
        <v>0</v>
      </c>
      <c r="O416" s="56">
        <v>0</v>
      </c>
      <c r="P416" s="56">
        <v>0</v>
      </c>
      <c r="Q416" s="110" t="s">
        <v>12</v>
      </c>
      <c r="R416" s="110" t="s">
        <v>12</v>
      </c>
      <c r="S416" s="110" t="s">
        <v>14</v>
      </c>
      <c r="T416" s="110" t="s">
        <v>12</v>
      </c>
      <c r="U416" s="110" t="s">
        <v>14</v>
      </c>
      <c r="V416" s="87" t="str">
        <f t="shared" ref="V416" si="10">IF(ISERROR(FIND("将",$B416)),IF(ISERROR(FIND("伙伴",$B416)),IF(ISERROR(FIND("装",$B416)),IF(ISERROR(FIND("法宝",$B416)),IF(ISERROR(FIND("神兵",$B416)),"","神兵"),"法宝"),"装"),"伙伴"),"将")&amp;$K416</f>
        <v>将4</v>
      </c>
      <c r="W416" s="122">
        <f t="shared" si="7"/>
        <v>15004</v>
      </c>
    </row>
    <row r="417" spans="1:27" s="100" customFormat="1" x14ac:dyDescent="0.35">
      <c r="A417" s="95">
        <v>14556</v>
      </c>
      <c r="B417" s="95" t="s">
        <v>1879</v>
      </c>
      <c r="C417" s="105" t="s">
        <v>1881</v>
      </c>
      <c r="D417" s="95" t="s">
        <v>1880</v>
      </c>
      <c r="E417" s="97">
        <v>5</v>
      </c>
      <c r="F417" s="95">
        <v>55438</v>
      </c>
      <c r="G417" s="99" t="s">
        <v>1319</v>
      </c>
      <c r="H417" s="95" t="s">
        <v>12</v>
      </c>
      <c r="I417" s="95" t="s">
        <v>70</v>
      </c>
      <c r="J417" s="117" t="s">
        <v>13</v>
      </c>
      <c r="K417" s="95">
        <v>3</v>
      </c>
      <c r="L417" s="95">
        <v>15003</v>
      </c>
      <c r="M417" s="95" t="s">
        <v>12</v>
      </c>
      <c r="N417" s="95" t="s">
        <v>14</v>
      </c>
      <c r="O417" s="95" t="s">
        <v>31</v>
      </c>
      <c r="P417" s="95" t="s">
        <v>31</v>
      </c>
      <c r="Q417" s="95" t="s">
        <v>12</v>
      </c>
      <c r="R417" s="99" t="s">
        <v>12</v>
      </c>
      <c r="S417" s="95" t="s">
        <v>14</v>
      </c>
      <c r="T417" s="95" t="s">
        <v>12</v>
      </c>
      <c r="U417" s="95" t="s">
        <v>14</v>
      </c>
      <c r="W417" s="100" t="str">
        <f t="shared" si="7"/>
        <v/>
      </c>
    </row>
    <row r="418" spans="1:27" s="100" customFormat="1" ht="17.25" customHeight="1" x14ac:dyDescent="0.35">
      <c r="A418" s="95">
        <v>14557</v>
      </c>
      <c r="B418" s="95" t="s">
        <v>1834</v>
      </c>
      <c r="C418" s="105" t="s">
        <v>1902</v>
      </c>
      <c r="D418" s="95" t="s">
        <v>1902</v>
      </c>
      <c r="E418" s="97">
        <v>5</v>
      </c>
      <c r="F418" s="102">
        <v>55439</v>
      </c>
      <c r="G418" s="99" t="s">
        <v>12</v>
      </c>
      <c r="H418" s="95" t="s">
        <v>12</v>
      </c>
      <c r="I418" s="95" t="s">
        <v>12</v>
      </c>
      <c r="J418" s="117">
        <v>1</v>
      </c>
      <c r="K418" s="95">
        <v>4</v>
      </c>
      <c r="L418" s="95">
        <v>15204</v>
      </c>
      <c r="M418" s="99" t="s">
        <v>12</v>
      </c>
      <c r="N418" s="95">
        <v>0</v>
      </c>
      <c r="O418" s="95">
        <v>0</v>
      </c>
      <c r="P418" s="95">
        <v>0</v>
      </c>
      <c r="Q418" s="99" t="s">
        <v>12</v>
      </c>
      <c r="R418" s="99" t="s">
        <v>12</v>
      </c>
      <c r="S418" s="99" t="s">
        <v>14</v>
      </c>
      <c r="T418" s="99" t="s">
        <v>12</v>
      </c>
      <c r="U418" s="99" t="s">
        <v>14</v>
      </c>
      <c r="W418" s="100" t="str">
        <f t="shared" si="7"/>
        <v/>
      </c>
    </row>
    <row r="419" spans="1:27" x14ac:dyDescent="0.35">
      <c r="A419" s="52">
        <v>14558</v>
      </c>
      <c r="B419" s="52" t="s">
        <v>2126</v>
      </c>
      <c r="C419" s="105" t="s">
        <v>2009</v>
      </c>
      <c r="D419" s="52" t="s">
        <v>2008</v>
      </c>
      <c r="E419" s="88">
        <v>17</v>
      </c>
      <c r="F419" s="47">
        <v>55440</v>
      </c>
      <c r="G419" s="57" t="s">
        <v>12</v>
      </c>
      <c r="H419" s="52" t="s">
        <v>12</v>
      </c>
      <c r="I419" s="52" t="s">
        <v>12</v>
      </c>
      <c r="J419" s="113">
        <v>1</v>
      </c>
      <c r="K419" s="52">
        <v>5</v>
      </c>
      <c r="L419" s="52">
        <v>15004</v>
      </c>
      <c r="M419" s="57" t="s">
        <v>12</v>
      </c>
      <c r="N419" s="52">
        <v>0</v>
      </c>
      <c r="O419" s="52">
        <v>0</v>
      </c>
      <c r="P419" s="52">
        <v>0</v>
      </c>
      <c r="Q419" s="57" t="s">
        <v>12</v>
      </c>
      <c r="R419" s="57" t="s">
        <v>12</v>
      </c>
      <c r="S419" s="57" t="s">
        <v>14</v>
      </c>
      <c r="T419" s="57" t="s">
        <v>12</v>
      </c>
      <c r="U419" s="57" t="s">
        <v>14</v>
      </c>
      <c r="V419" s="87" t="str">
        <f t="shared" ref="V419:V449" si="11">IF(ISERROR(FIND("将",$B419)),IF(ISERROR(FIND("伙伴",$B419)),IF(ISERROR(FIND("装",$B419)),IF(ISERROR(FIND("法宝",$B419)),IF(ISERROR(FIND("神兵",$B419)),"","神兵"),"法宝"),"装"),"伙伴"),"将")&amp;$K419</f>
        <v>伙伴5</v>
      </c>
      <c r="W419" s="53">
        <f t="shared" si="7"/>
        <v>15004</v>
      </c>
      <c r="Z419" s="53" t="s">
        <v>2225</v>
      </c>
      <c r="AA419" s="53">
        <v>15002</v>
      </c>
    </row>
    <row r="420" spans="1:27" x14ac:dyDescent="0.35">
      <c r="A420" s="75">
        <v>14559</v>
      </c>
      <c r="B420" s="75" t="s">
        <v>2027</v>
      </c>
      <c r="C420" s="105" t="s">
        <v>2030</v>
      </c>
      <c r="D420" s="52" t="s">
        <v>2030</v>
      </c>
      <c r="E420" s="88">
        <v>17</v>
      </c>
      <c r="F420" s="52">
        <v>55445</v>
      </c>
      <c r="G420" s="57" t="s">
        <v>153</v>
      </c>
      <c r="H420" s="52" t="s">
        <v>12</v>
      </c>
      <c r="I420" s="52" t="s">
        <v>70</v>
      </c>
      <c r="J420" s="113" t="s">
        <v>13</v>
      </c>
      <c r="K420" s="52">
        <v>6</v>
      </c>
      <c r="L420" s="52">
        <v>15006</v>
      </c>
      <c r="M420" s="52" t="s">
        <v>12</v>
      </c>
      <c r="N420" s="52" t="s">
        <v>14</v>
      </c>
      <c r="O420" s="52" t="s">
        <v>14</v>
      </c>
      <c r="P420" s="52" t="s">
        <v>31</v>
      </c>
      <c r="Q420" s="52" t="s">
        <v>12</v>
      </c>
      <c r="R420" s="57" t="s">
        <v>12</v>
      </c>
      <c r="S420" s="52" t="s">
        <v>14</v>
      </c>
      <c r="T420" s="52" t="s">
        <v>12</v>
      </c>
      <c r="U420" s="52" t="s">
        <v>14</v>
      </c>
      <c r="V420" s="87" t="str">
        <f t="shared" si="11"/>
        <v>将6</v>
      </c>
      <c r="W420" s="53">
        <f t="shared" si="7"/>
        <v>15006</v>
      </c>
      <c r="Z420" s="53" t="s">
        <v>2203</v>
      </c>
      <c r="AA420" s="53">
        <v>15003</v>
      </c>
    </row>
    <row r="421" spans="1:27" x14ac:dyDescent="0.35">
      <c r="A421" s="75">
        <v>14560</v>
      </c>
      <c r="B421" s="75" t="s">
        <v>2028</v>
      </c>
      <c r="C421" s="105" t="s">
        <v>2033</v>
      </c>
      <c r="D421" s="52" t="s">
        <v>2033</v>
      </c>
      <c r="E421" s="88">
        <v>17</v>
      </c>
      <c r="F421" s="52">
        <v>55446</v>
      </c>
      <c r="G421" s="57" t="s">
        <v>153</v>
      </c>
      <c r="H421" s="52" t="s">
        <v>12</v>
      </c>
      <c r="I421" s="52" t="s">
        <v>70</v>
      </c>
      <c r="J421" s="113" t="s">
        <v>13</v>
      </c>
      <c r="K421" s="52">
        <v>6</v>
      </c>
      <c r="L421" s="52">
        <v>15006</v>
      </c>
      <c r="M421" s="52" t="s">
        <v>12</v>
      </c>
      <c r="N421" s="52" t="s">
        <v>14</v>
      </c>
      <c r="O421" s="52" t="s">
        <v>14</v>
      </c>
      <c r="P421" s="52" t="s">
        <v>31</v>
      </c>
      <c r="Q421" s="52" t="s">
        <v>12</v>
      </c>
      <c r="R421" s="57" t="s">
        <v>12</v>
      </c>
      <c r="S421" s="52" t="s">
        <v>14</v>
      </c>
      <c r="T421" s="52" t="s">
        <v>12</v>
      </c>
      <c r="U421" s="52" t="s">
        <v>14</v>
      </c>
      <c r="V421" s="87" t="str">
        <f t="shared" si="11"/>
        <v>将6</v>
      </c>
      <c r="W421" s="53">
        <f t="shared" si="7"/>
        <v>15006</v>
      </c>
      <c r="Z421" s="53" t="s">
        <v>2204</v>
      </c>
      <c r="AA421" s="53">
        <v>15004</v>
      </c>
    </row>
    <row r="422" spans="1:27" x14ac:dyDescent="0.35">
      <c r="A422" s="75">
        <v>14561</v>
      </c>
      <c r="B422" s="75" t="s">
        <v>2029</v>
      </c>
      <c r="C422" s="105" t="s">
        <v>2034</v>
      </c>
      <c r="D422" s="52" t="s">
        <v>2034</v>
      </c>
      <c r="E422" s="88">
        <v>17</v>
      </c>
      <c r="F422" s="52">
        <v>55447</v>
      </c>
      <c r="G422" s="57" t="s">
        <v>153</v>
      </c>
      <c r="H422" s="52" t="s">
        <v>12</v>
      </c>
      <c r="I422" s="52" t="s">
        <v>70</v>
      </c>
      <c r="J422" s="113" t="s">
        <v>13</v>
      </c>
      <c r="K422" s="52">
        <v>6</v>
      </c>
      <c r="L422" s="52">
        <v>15006</v>
      </c>
      <c r="M422" s="52" t="s">
        <v>12</v>
      </c>
      <c r="N422" s="52" t="s">
        <v>14</v>
      </c>
      <c r="O422" s="52" t="s">
        <v>14</v>
      </c>
      <c r="P422" s="52" t="s">
        <v>31</v>
      </c>
      <c r="Q422" s="52" t="s">
        <v>12</v>
      </c>
      <c r="R422" s="57" t="s">
        <v>12</v>
      </c>
      <c r="S422" s="52" t="s">
        <v>14</v>
      </c>
      <c r="T422" s="52" t="s">
        <v>12</v>
      </c>
      <c r="U422" s="52" t="s">
        <v>14</v>
      </c>
      <c r="V422" s="87" t="str">
        <f t="shared" si="11"/>
        <v>将6</v>
      </c>
      <c r="W422" s="53">
        <f t="shared" si="7"/>
        <v>15006</v>
      </c>
      <c r="Z422" s="53" t="s">
        <v>2205</v>
      </c>
      <c r="AA422" s="53">
        <v>15004</v>
      </c>
    </row>
    <row r="423" spans="1:27" x14ac:dyDescent="0.35">
      <c r="A423" s="74">
        <v>14562</v>
      </c>
      <c r="B423" s="74" t="s">
        <v>2026</v>
      </c>
      <c r="C423" s="105" t="s">
        <v>2079</v>
      </c>
      <c r="D423" s="52" t="s">
        <v>2078</v>
      </c>
      <c r="E423" s="88">
        <v>17</v>
      </c>
      <c r="F423" s="52">
        <v>55448</v>
      </c>
      <c r="G423" s="57" t="s">
        <v>153</v>
      </c>
      <c r="H423" s="52" t="s">
        <v>12</v>
      </c>
      <c r="I423" s="52" t="s">
        <v>70</v>
      </c>
      <c r="J423" s="113" t="s">
        <v>13</v>
      </c>
      <c r="K423" s="52">
        <v>6</v>
      </c>
      <c r="L423" s="52">
        <v>15006</v>
      </c>
      <c r="M423" s="52" t="s">
        <v>12</v>
      </c>
      <c r="N423" s="52" t="s">
        <v>14</v>
      </c>
      <c r="O423" s="52" t="s">
        <v>14</v>
      </c>
      <c r="P423" s="52" t="s">
        <v>31</v>
      </c>
      <c r="Q423" s="52" t="s">
        <v>12</v>
      </c>
      <c r="R423" s="57" t="s">
        <v>12</v>
      </c>
      <c r="S423" s="52" t="s">
        <v>14</v>
      </c>
      <c r="T423" s="52" t="s">
        <v>12</v>
      </c>
      <c r="U423" s="52" t="s">
        <v>14</v>
      </c>
      <c r="V423" s="87" t="str">
        <f t="shared" si="11"/>
        <v>伙伴6</v>
      </c>
      <c r="W423" s="53">
        <f t="shared" si="7"/>
        <v>15006</v>
      </c>
      <c r="Z423" s="53" t="s">
        <v>2202</v>
      </c>
      <c r="AA423" s="53">
        <v>15006</v>
      </c>
    </row>
    <row r="424" spans="1:27" x14ac:dyDescent="0.35">
      <c r="A424" s="74">
        <v>14563</v>
      </c>
      <c r="B424" s="74" t="s">
        <v>2039</v>
      </c>
      <c r="C424" s="105" t="s">
        <v>2041</v>
      </c>
      <c r="D424" s="52" t="s">
        <v>2041</v>
      </c>
      <c r="E424" s="88">
        <v>17</v>
      </c>
      <c r="F424" s="52">
        <v>55449</v>
      </c>
      <c r="G424" s="57" t="s">
        <v>153</v>
      </c>
      <c r="H424" s="52" t="s">
        <v>12</v>
      </c>
      <c r="I424" s="52" t="s">
        <v>70</v>
      </c>
      <c r="J424" s="113" t="s">
        <v>13</v>
      </c>
      <c r="K424" s="52">
        <v>6</v>
      </c>
      <c r="L424" s="52">
        <v>15006</v>
      </c>
      <c r="M424" s="52" t="s">
        <v>12</v>
      </c>
      <c r="N424" s="52" t="s">
        <v>14</v>
      </c>
      <c r="O424" s="52" t="s">
        <v>14</v>
      </c>
      <c r="P424" s="52" t="s">
        <v>31</v>
      </c>
      <c r="Q424" s="52" t="s">
        <v>12</v>
      </c>
      <c r="R424" s="57" t="s">
        <v>12</v>
      </c>
      <c r="S424" s="52" t="s">
        <v>14</v>
      </c>
      <c r="T424" s="52" t="s">
        <v>12</v>
      </c>
      <c r="U424" s="52" t="s">
        <v>14</v>
      </c>
      <c r="V424" s="87" t="str">
        <f t="shared" si="11"/>
        <v>伙伴6</v>
      </c>
      <c r="W424" s="53">
        <f t="shared" si="7"/>
        <v>15006</v>
      </c>
      <c r="Z424" s="53" t="s">
        <v>2226</v>
      </c>
      <c r="AA424" s="53">
        <v>15002</v>
      </c>
    </row>
    <row r="425" spans="1:27" x14ac:dyDescent="0.35">
      <c r="A425" s="75">
        <v>14564</v>
      </c>
      <c r="B425" s="75" t="s">
        <v>2023</v>
      </c>
      <c r="C425" s="105" t="s">
        <v>2038</v>
      </c>
      <c r="D425" s="52" t="s">
        <v>2037</v>
      </c>
      <c r="E425" s="88">
        <v>17</v>
      </c>
      <c r="F425" s="52">
        <v>55450</v>
      </c>
      <c r="G425" s="57" t="s">
        <v>153</v>
      </c>
      <c r="H425" s="52" t="s">
        <v>12</v>
      </c>
      <c r="I425" s="52" t="s">
        <v>70</v>
      </c>
      <c r="J425" s="113" t="s">
        <v>13</v>
      </c>
      <c r="K425" s="52">
        <v>6</v>
      </c>
      <c r="L425" s="52">
        <v>15006</v>
      </c>
      <c r="M425" s="52" t="s">
        <v>12</v>
      </c>
      <c r="N425" s="52" t="s">
        <v>14</v>
      </c>
      <c r="O425" s="52" t="s">
        <v>14</v>
      </c>
      <c r="P425" s="52" t="s">
        <v>31</v>
      </c>
      <c r="Q425" s="52" t="s">
        <v>12</v>
      </c>
      <c r="R425" s="57" t="s">
        <v>12</v>
      </c>
      <c r="S425" s="52" t="s">
        <v>14</v>
      </c>
      <c r="T425" s="52" t="s">
        <v>12</v>
      </c>
      <c r="U425" s="52" t="s">
        <v>14</v>
      </c>
      <c r="V425" s="87" t="str">
        <f t="shared" si="11"/>
        <v>将6</v>
      </c>
      <c r="W425" s="53">
        <f t="shared" si="7"/>
        <v>15006</v>
      </c>
      <c r="Z425" s="53" t="s">
        <v>2206</v>
      </c>
      <c r="AA425" s="53">
        <v>15003</v>
      </c>
    </row>
    <row r="426" spans="1:27" x14ac:dyDescent="0.35">
      <c r="A426" s="75">
        <v>14565</v>
      </c>
      <c r="B426" s="75" t="s">
        <v>2024</v>
      </c>
      <c r="C426" s="105" t="s">
        <v>2031</v>
      </c>
      <c r="D426" s="52" t="s">
        <v>2031</v>
      </c>
      <c r="E426" s="88">
        <v>17</v>
      </c>
      <c r="F426" s="52">
        <v>55451</v>
      </c>
      <c r="G426" s="57" t="s">
        <v>153</v>
      </c>
      <c r="H426" s="52" t="s">
        <v>12</v>
      </c>
      <c r="I426" s="52" t="s">
        <v>70</v>
      </c>
      <c r="J426" s="113" t="s">
        <v>13</v>
      </c>
      <c r="K426" s="52">
        <v>6</v>
      </c>
      <c r="L426" s="52">
        <v>15006</v>
      </c>
      <c r="M426" s="52" t="s">
        <v>12</v>
      </c>
      <c r="N426" s="52" t="s">
        <v>14</v>
      </c>
      <c r="O426" s="52" t="s">
        <v>14</v>
      </c>
      <c r="P426" s="52" t="s">
        <v>31</v>
      </c>
      <c r="Q426" s="52" t="s">
        <v>12</v>
      </c>
      <c r="R426" s="57" t="s">
        <v>12</v>
      </c>
      <c r="S426" s="52" t="s">
        <v>14</v>
      </c>
      <c r="T426" s="52" t="s">
        <v>12</v>
      </c>
      <c r="U426" s="52" t="s">
        <v>14</v>
      </c>
      <c r="V426" s="87" t="str">
        <f t="shared" si="11"/>
        <v>将6</v>
      </c>
      <c r="W426" s="53">
        <f t="shared" si="7"/>
        <v>15006</v>
      </c>
      <c r="Z426" s="53" t="s">
        <v>2207</v>
      </c>
      <c r="AA426" s="53">
        <v>15004</v>
      </c>
    </row>
    <row r="427" spans="1:27" x14ac:dyDescent="0.35">
      <c r="A427" s="75">
        <v>14566</v>
      </c>
      <c r="B427" s="75" t="s">
        <v>2025</v>
      </c>
      <c r="C427" s="105" t="s">
        <v>2032</v>
      </c>
      <c r="D427" s="52" t="s">
        <v>2032</v>
      </c>
      <c r="E427" s="88">
        <v>17</v>
      </c>
      <c r="F427" s="52">
        <v>55452</v>
      </c>
      <c r="G427" s="57" t="s">
        <v>153</v>
      </c>
      <c r="H427" s="52" t="s">
        <v>12</v>
      </c>
      <c r="I427" s="52" t="s">
        <v>70</v>
      </c>
      <c r="J427" s="113" t="s">
        <v>13</v>
      </c>
      <c r="K427" s="52">
        <v>6</v>
      </c>
      <c r="L427" s="52">
        <v>15006</v>
      </c>
      <c r="M427" s="52" t="s">
        <v>12</v>
      </c>
      <c r="N427" s="52" t="s">
        <v>14</v>
      </c>
      <c r="O427" s="52" t="s">
        <v>14</v>
      </c>
      <c r="P427" s="52" t="s">
        <v>31</v>
      </c>
      <c r="Q427" s="52" t="s">
        <v>12</v>
      </c>
      <c r="R427" s="57" t="s">
        <v>12</v>
      </c>
      <c r="S427" s="52" t="s">
        <v>14</v>
      </c>
      <c r="T427" s="52" t="s">
        <v>12</v>
      </c>
      <c r="U427" s="52" t="s">
        <v>14</v>
      </c>
      <c r="V427" s="87" t="str">
        <f t="shared" si="11"/>
        <v>将6</v>
      </c>
      <c r="W427" s="53">
        <f t="shared" ref="W427:W491" si="12">IF(V427="","",VLOOKUP(V427,$Z$419:$AA$443,2,0))</f>
        <v>15006</v>
      </c>
      <c r="Z427" s="53" t="s">
        <v>2208</v>
      </c>
      <c r="AA427" s="53">
        <v>15004</v>
      </c>
    </row>
    <row r="428" spans="1:27" x14ac:dyDescent="0.35">
      <c r="A428" s="74">
        <v>14567</v>
      </c>
      <c r="B428" s="74" t="s">
        <v>2035</v>
      </c>
      <c r="C428" s="105" t="s">
        <v>2162</v>
      </c>
      <c r="D428" s="52" t="s">
        <v>2163</v>
      </c>
      <c r="E428" s="88">
        <v>17</v>
      </c>
      <c r="F428" s="52">
        <v>55453</v>
      </c>
      <c r="G428" s="57" t="s">
        <v>153</v>
      </c>
      <c r="H428" s="52" t="s">
        <v>12</v>
      </c>
      <c r="I428" s="52" t="s">
        <v>70</v>
      </c>
      <c r="J428" s="113" t="s">
        <v>13</v>
      </c>
      <c r="K428" s="52">
        <v>6</v>
      </c>
      <c r="L428" s="52">
        <v>15006</v>
      </c>
      <c r="M428" s="52" t="s">
        <v>12</v>
      </c>
      <c r="N428" s="52" t="s">
        <v>14</v>
      </c>
      <c r="O428" s="52" t="s">
        <v>14</v>
      </c>
      <c r="P428" s="52" t="s">
        <v>31</v>
      </c>
      <c r="Q428" s="52" t="s">
        <v>12</v>
      </c>
      <c r="R428" s="57" t="s">
        <v>12</v>
      </c>
      <c r="S428" s="52" t="s">
        <v>14</v>
      </c>
      <c r="T428" s="52" t="s">
        <v>12</v>
      </c>
      <c r="U428" s="52" t="s">
        <v>14</v>
      </c>
      <c r="V428" s="87" t="str">
        <f t="shared" si="11"/>
        <v>伙伴6</v>
      </c>
      <c r="W428" s="53">
        <f t="shared" si="12"/>
        <v>15006</v>
      </c>
      <c r="Z428" s="53" t="s">
        <v>2209</v>
      </c>
      <c r="AA428" s="53">
        <v>15006</v>
      </c>
    </row>
    <row r="429" spans="1:27" x14ac:dyDescent="0.35">
      <c r="A429" s="74">
        <v>14568</v>
      </c>
      <c r="B429" s="74" t="s">
        <v>2036</v>
      </c>
      <c r="C429" s="105" t="s">
        <v>2040</v>
      </c>
      <c r="D429" s="52" t="s">
        <v>2040</v>
      </c>
      <c r="E429" s="88">
        <v>17</v>
      </c>
      <c r="F429" s="52">
        <v>55454</v>
      </c>
      <c r="G429" s="57" t="s">
        <v>153</v>
      </c>
      <c r="H429" s="52" t="s">
        <v>12</v>
      </c>
      <c r="I429" s="52" t="s">
        <v>70</v>
      </c>
      <c r="J429" s="113" t="s">
        <v>13</v>
      </c>
      <c r="K429" s="52">
        <v>6</v>
      </c>
      <c r="L429" s="52">
        <v>15006</v>
      </c>
      <c r="M429" s="52" t="s">
        <v>12</v>
      </c>
      <c r="N429" s="52" t="s">
        <v>14</v>
      </c>
      <c r="O429" s="52" t="s">
        <v>14</v>
      </c>
      <c r="P429" s="52" t="s">
        <v>31</v>
      </c>
      <c r="Q429" s="52" t="s">
        <v>12</v>
      </c>
      <c r="R429" s="57" t="s">
        <v>12</v>
      </c>
      <c r="S429" s="52" t="s">
        <v>14</v>
      </c>
      <c r="T429" s="52" t="s">
        <v>12</v>
      </c>
      <c r="U429" s="52" t="s">
        <v>14</v>
      </c>
      <c r="V429" s="87" t="str">
        <f t="shared" si="11"/>
        <v>伙伴6</v>
      </c>
      <c r="W429" s="53">
        <f t="shared" si="12"/>
        <v>15006</v>
      </c>
      <c r="Z429" s="53" t="s">
        <v>2224</v>
      </c>
      <c r="AA429" s="53">
        <v>15002</v>
      </c>
    </row>
    <row r="430" spans="1:27" x14ac:dyDescent="0.35">
      <c r="A430" s="75">
        <v>14569</v>
      </c>
      <c r="B430" s="75" t="s">
        <v>2080</v>
      </c>
      <c r="C430" s="105" t="s">
        <v>2082</v>
      </c>
      <c r="D430" s="52" t="s">
        <v>2137</v>
      </c>
      <c r="E430" s="88">
        <v>17</v>
      </c>
      <c r="F430" s="52">
        <v>55455</v>
      </c>
      <c r="G430" s="57" t="s">
        <v>153</v>
      </c>
      <c r="H430" s="52" t="s">
        <v>12</v>
      </c>
      <c r="I430" s="52" t="s">
        <v>70</v>
      </c>
      <c r="J430" s="113" t="s">
        <v>13</v>
      </c>
      <c r="K430" s="52">
        <v>6</v>
      </c>
      <c r="L430" s="52">
        <v>15006</v>
      </c>
      <c r="M430" s="52" t="s">
        <v>12</v>
      </c>
      <c r="N430" s="52" t="s">
        <v>14</v>
      </c>
      <c r="O430" s="52" t="s">
        <v>14</v>
      </c>
      <c r="P430" s="52" t="s">
        <v>31</v>
      </c>
      <c r="Q430" s="52" t="s">
        <v>12</v>
      </c>
      <c r="R430" s="57" t="s">
        <v>12</v>
      </c>
      <c r="S430" s="52" t="s">
        <v>14</v>
      </c>
      <c r="T430" s="52" t="s">
        <v>12</v>
      </c>
      <c r="U430" s="52" t="s">
        <v>14</v>
      </c>
      <c r="V430" s="87" t="str">
        <f t="shared" si="11"/>
        <v>将6</v>
      </c>
      <c r="W430" s="53">
        <f t="shared" si="12"/>
        <v>15006</v>
      </c>
      <c r="Z430" s="53" t="s">
        <v>2210</v>
      </c>
      <c r="AA430" s="53">
        <v>15003</v>
      </c>
    </row>
    <row r="431" spans="1:27" x14ac:dyDescent="0.35">
      <c r="A431" s="75">
        <v>14570</v>
      </c>
      <c r="B431" s="75" t="s">
        <v>2081</v>
      </c>
      <c r="C431" s="105" t="s">
        <v>2083</v>
      </c>
      <c r="D431" s="52" t="s">
        <v>2138</v>
      </c>
      <c r="E431" s="88">
        <v>17</v>
      </c>
      <c r="F431" s="52">
        <v>55456</v>
      </c>
      <c r="G431" s="57" t="s">
        <v>153</v>
      </c>
      <c r="H431" s="52" t="s">
        <v>12</v>
      </c>
      <c r="I431" s="52" t="s">
        <v>70</v>
      </c>
      <c r="J431" s="113" t="s">
        <v>13</v>
      </c>
      <c r="K431" s="52">
        <v>6</v>
      </c>
      <c r="L431" s="52">
        <v>15006</v>
      </c>
      <c r="M431" s="52" t="s">
        <v>12</v>
      </c>
      <c r="N431" s="52" t="s">
        <v>14</v>
      </c>
      <c r="O431" s="52" t="s">
        <v>14</v>
      </c>
      <c r="P431" s="52" t="s">
        <v>31</v>
      </c>
      <c r="Q431" s="52" t="s">
        <v>12</v>
      </c>
      <c r="R431" s="57" t="s">
        <v>12</v>
      </c>
      <c r="S431" s="52" t="s">
        <v>14</v>
      </c>
      <c r="T431" s="52" t="s">
        <v>12</v>
      </c>
      <c r="U431" s="52" t="s">
        <v>14</v>
      </c>
      <c r="V431" s="87" t="str">
        <f t="shared" si="11"/>
        <v>将6</v>
      </c>
      <c r="W431" s="53">
        <f t="shared" si="12"/>
        <v>15006</v>
      </c>
      <c r="Z431" s="53" t="s">
        <v>2211</v>
      </c>
      <c r="AA431" s="53">
        <v>15004</v>
      </c>
    </row>
    <row r="432" spans="1:27" x14ac:dyDescent="0.35">
      <c r="A432" s="74">
        <v>14571</v>
      </c>
      <c r="B432" s="74" t="s">
        <v>2026</v>
      </c>
      <c r="C432" s="105" t="s">
        <v>2076</v>
      </c>
      <c r="D432" s="52" t="s">
        <v>2077</v>
      </c>
      <c r="E432" s="88">
        <v>17</v>
      </c>
      <c r="F432" s="52">
        <v>55457</v>
      </c>
      <c r="G432" s="57" t="s">
        <v>153</v>
      </c>
      <c r="H432" s="52" t="s">
        <v>12</v>
      </c>
      <c r="I432" s="52" t="s">
        <v>70</v>
      </c>
      <c r="J432" s="113" t="s">
        <v>13</v>
      </c>
      <c r="K432" s="52">
        <v>6</v>
      </c>
      <c r="L432" s="52">
        <v>15006</v>
      </c>
      <c r="M432" s="52" t="s">
        <v>12</v>
      </c>
      <c r="N432" s="52" t="s">
        <v>14</v>
      </c>
      <c r="O432" s="52" t="s">
        <v>14</v>
      </c>
      <c r="P432" s="52" t="s">
        <v>31</v>
      </c>
      <c r="Q432" s="52" t="s">
        <v>12</v>
      </c>
      <c r="R432" s="57" t="s">
        <v>12</v>
      </c>
      <c r="S432" s="52" t="s">
        <v>14</v>
      </c>
      <c r="T432" s="52" t="s">
        <v>12</v>
      </c>
      <c r="U432" s="52" t="s">
        <v>14</v>
      </c>
      <c r="V432" s="87" t="str">
        <f t="shared" si="11"/>
        <v>伙伴6</v>
      </c>
      <c r="W432" s="53">
        <f t="shared" si="12"/>
        <v>15006</v>
      </c>
      <c r="Z432" s="53" t="s">
        <v>2212</v>
      </c>
      <c r="AA432" s="53">
        <v>15004</v>
      </c>
    </row>
    <row r="433" spans="1:27" x14ac:dyDescent="0.35">
      <c r="A433" s="119">
        <v>14572</v>
      </c>
      <c r="B433" s="119" t="s">
        <v>2085</v>
      </c>
      <c r="C433" s="105" t="s">
        <v>2100</v>
      </c>
      <c r="D433" s="52" t="s">
        <v>2100</v>
      </c>
      <c r="E433" s="88">
        <v>17</v>
      </c>
      <c r="F433" s="52">
        <v>55458</v>
      </c>
      <c r="G433" s="57" t="s">
        <v>153</v>
      </c>
      <c r="H433" s="52" t="s">
        <v>12</v>
      </c>
      <c r="I433" s="52" t="s">
        <v>70</v>
      </c>
      <c r="J433" s="113" t="s">
        <v>13</v>
      </c>
      <c r="K433" s="52">
        <v>6</v>
      </c>
      <c r="L433" s="52">
        <v>15006</v>
      </c>
      <c r="M433" s="52" t="s">
        <v>12</v>
      </c>
      <c r="N433" s="52" t="s">
        <v>14</v>
      </c>
      <c r="O433" s="52" t="s">
        <v>14</v>
      </c>
      <c r="P433" s="52" t="s">
        <v>31</v>
      </c>
      <c r="Q433" s="52" t="s">
        <v>12</v>
      </c>
      <c r="R433" s="57" t="s">
        <v>12</v>
      </c>
      <c r="S433" s="52" t="s">
        <v>14</v>
      </c>
      <c r="T433" s="52" t="s">
        <v>12</v>
      </c>
      <c r="U433" s="52" t="s">
        <v>14</v>
      </c>
      <c r="V433" s="87" t="str">
        <f t="shared" si="11"/>
        <v>神兵6</v>
      </c>
      <c r="W433" s="53">
        <f t="shared" si="12"/>
        <v>15006</v>
      </c>
      <c r="Z433" s="53" t="s">
        <v>2213</v>
      </c>
      <c r="AA433" s="53">
        <v>15006</v>
      </c>
    </row>
    <row r="434" spans="1:27" x14ac:dyDescent="0.35">
      <c r="A434" s="64">
        <v>14573</v>
      </c>
      <c r="B434" s="64" t="s">
        <v>2084</v>
      </c>
      <c r="C434" s="105" t="s">
        <v>2098</v>
      </c>
      <c r="D434" s="52" t="s">
        <v>2098</v>
      </c>
      <c r="E434" s="88">
        <v>17</v>
      </c>
      <c r="F434" s="52">
        <v>55459</v>
      </c>
      <c r="G434" s="57" t="s">
        <v>153</v>
      </c>
      <c r="H434" s="52" t="s">
        <v>12</v>
      </c>
      <c r="I434" s="52" t="s">
        <v>70</v>
      </c>
      <c r="J434" s="113" t="s">
        <v>13</v>
      </c>
      <c r="K434" s="52">
        <v>5</v>
      </c>
      <c r="L434" s="52">
        <v>15004</v>
      </c>
      <c r="M434" s="52" t="s">
        <v>12</v>
      </c>
      <c r="N434" s="52" t="s">
        <v>14</v>
      </c>
      <c r="O434" s="52" t="s">
        <v>14</v>
      </c>
      <c r="P434" s="52" t="s">
        <v>40</v>
      </c>
      <c r="Q434" s="52" t="s">
        <v>12</v>
      </c>
      <c r="R434" s="57" t="s">
        <v>12</v>
      </c>
      <c r="S434" s="52" t="s">
        <v>14</v>
      </c>
      <c r="T434" s="52" t="s">
        <v>12</v>
      </c>
      <c r="U434" s="52" t="s">
        <v>14</v>
      </c>
      <c r="V434" s="87" t="str">
        <f t="shared" si="11"/>
        <v>神兵5</v>
      </c>
      <c r="W434" s="53">
        <f t="shared" si="12"/>
        <v>15004</v>
      </c>
      <c r="Z434" s="53" t="s">
        <v>2223</v>
      </c>
      <c r="AA434" s="53">
        <v>15102</v>
      </c>
    </row>
    <row r="435" spans="1:27" x14ac:dyDescent="0.35">
      <c r="A435" s="84">
        <v>14574</v>
      </c>
      <c r="B435" s="84" t="s">
        <v>2111</v>
      </c>
      <c r="C435" s="105" t="s">
        <v>2099</v>
      </c>
      <c r="D435" s="52" t="s">
        <v>2099</v>
      </c>
      <c r="E435" s="88">
        <v>17</v>
      </c>
      <c r="F435" s="52">
        <v>55460</v>
      </c>
      <c r="G435" s="57" t="s">
        <v>153</v>
      </c>
      <c r="H435" s="52" t="s">
        <v>12</v>
      </c>
      <c r="I435" s="52" t="s">
        <v>70</v>
      </c>
      <c r="J435" s="113" t="s">
        <v>13</v>
      </c>
      <c r="K435" s="113">
        <v>4</v>
      </c>
      <c r="L435" s="52">
        <v>15004</v>
      </c>
      <c r="M435" s="52" t="s">
        <v>12</v>
      </c>
      <c r="N435" s="52" t="s">
        <v>14</v>
      </c>
      <c r="O435" s="52" t="s">
        <v>14</v>
      </c>
      <c r="P435" s="52" t="s">
        <v>40</v>
      </c>
      <c r="Q435" s="52" t="s">
        <v>12</v>
      </c>
      <c r="R435" s="57" t="s">
        <v>12</v>
      </c>
      <c r="S435" s="52" t="s">
        <v>14</v>
      </c>
      <c r="T435" s="52" t="s">
        <v>12</v>
      </c>
      <c r="U435" s="52" t="s">
        <v>14</v>
      </c>
      <c r="V435" s="87" t="str">
        <f t="shared" si="11"/>
        <v>神兵4</v>
      </c>
      <c r="W435" s="53">
        <f t="shared" si="12"/>
        <v>15004</v>
      </c>
      <c r="Z435" s="53" t="s">
        <v>2214</v>
      </c>
      <c r="AA435" s="53">
        <v>15103</v>
      </c>
    </row>
    <row r="436" spans="1:27" x14ac:dyDescent="0.35">
      <c r="A436" s="64">
        <v>14575</v>
      </c>
      <c r="B436" s="64" t="s">
        <v>2086</v>
      </c>
      <c r="C436" s="105" t="s">
        <v>2092</v>
      </c>
      <c r="D436" s="52" t="s">
        <v>2092</v>
      </c>
      <c r="E436" s="88">
        <v>17</v>
      </c>
      <c r="F436" s="52">
        <v>55461</v>
      </c>
      <c r="G436" s="57" t="s">
        <v>153</v>
      </c>
      <c r="H436" s="52" t="s">
        <v>12</v>
      </c>
      <c r="I436" s="52" t="s">
        <v>70</v>
      </c>
      <c r="J436" s="113" t="s">
        <v>13</v>
      </c>
      <c r="K436" s="52">
        <v>5</v>
      </c>
      <c r="L436" s="52">
        <v>15004</v>
      </c>
      <c r="M436" s="52" t="s">
        <v>12</v>
      </c>
      <c r="N436" s="52" t="s">
        <v>14</v>
      </c>
      <c r="O436" s="52" t="s">
        <v>14</v>
      </c>
      <c r="P436" s="52" t="s">
        <v>40</v>
      </c>
      <c r="Q436" s="52" t="s">
        <v>12</v>
      </c>
      <c r="R436" s="57" t="s">
        <v>12</v>
      </c>
      <c r="S436" s="52" t="s">
        <v>14</v>
      </c>
      <c r="T436" s="52" t="s">
        <v>12</v>
      </c>
      <c r="U436" s="52" t="s">
        <v>14</v>
      </c>
      <c r="V436" s="87" t="str">
        <f t="shared" si="11"/>
        <v>将5</v>
      </c>
      <c r="W436" s="53">
        <f t="shared" si="12"/>
        <v>15004</v>
      </c>
      <c r="Z436" s="53" t="s">
        <v>2215</v>
      </c>
      <c r="AA436" s="53">
        <v>15104</v>
      </c>
    </row>
    <row r="437" spans="1:27" x14ac:dyDescent="0.35">
      <c r="A437" s="64">
        <v>14576</v>
      </c>
      <c r="B437" s="64" t="s">
        <v>2087</v>
      </c>
      <c r="C437" s="105" t="s">
        <v>2093</v>
      </c>
      <c r="D437" s="52" t="s">
        <v>2093</v>
      </c>
      <c r="E437" s="88">
        <v>17</v>
      </c>
      <c r="F437" s="52">
        <v>55462</v>
      </c>
      <c r="G437" s="57" t="s">
        <v>153</v>
      </c>
      <c r="H437" s="52" t="s">
        <v>12</v>
      </c>
      <c r="I437" s="52" t="s">
        <v>70</v>
      </c>
      <c r="J437" s="113" t="s">
        <v>13</v>
      </c>
      <c r="K437" s="52">
        <v>5</v>
      </c>
      <c r="L437" s="52">
        <v>15004</v>
      </c>
      <c r="M437" s="52" t="s">
        <v>12</v>
      </c>
      <c r="N437" s="52" t="s">
        <v>14</v>
      </c>
      <c r="O437" s="52" t="s">
        <v>14</v>
      </c>
      <c r="P437" s="52" t="s">
        <v>40</v>
      </c>
      <c r="Q437" s="52" t="s">
        <v>12</v>
      </c>
      <c r="R437" s="57" t="s">
        <v>12</v>
      </c>
      <c r="S437" s="52" t="s">
        <v>14</v>
      </c>
      <c r="T437" s="52" t="s">
        <v>12</v>
      </c>
      <c r="U437" s="52" t="s">
        <v>14</v>
      </c>
      <c r="V437" s="87" t="str">
        <f t="shared" si="11"/>
        <v>将5</v>
      </c>
      <c r="W437" s="53">
        <f t="shared" si="12"/>
        <v>15004</v>
      </c>
      <c r="Z437" s="53" t="s">
        <v>2216</v>
      </c>
      <c r="AA437" s="53">
        <v>15104</v>
      </c>
    </row>
    <row r="438" spans="1:27" x14ac:dyDescent="0.35">
      <c r="A438" s="64">
        <v>14577</v>
      </c>
      <c r="B438" s="64" t="s">
        <v>2088</v>
      </c>
      <c r="C438" s="105" t="s">
        <v>2094</v>
      </c>
      <c r="D438" s="52" t="s">
        <v>2094</v>
      </c>
      <c r="E438" s="88">
        <v>17</v>
      </c>
      <c r="F438" s="52">
        <v>55463</v>
      </c>
      <c r="G438" s="57" t="s">
        <v>153</v>
      </c>
      <c r="H438" s="52" t="s">
        <v>12</v>
      </c>
      <c r="I438" s="52" t="s">
        <v>70</v>
      </c>
      <c r="J438" s="113" t="s">
        <v>13</v>
      </c>
      <c r="K438" s="52">
        <v>5</v>
      </c>
      <c r="L438" s="52">
        <v>15004</v>
      </c>
      <c r="M438" s="52" t="s">
        <v>12</v>
      </c>
      <c r="N438" s="52" t="s">
        <v>14</v>
      </c>
      <c r="O438" s="52" t="s">
        <v>14</v>
      </c>
      <c r="P438" s="52" t="s">
        <v>40</v>
      </c>
      <c r="Q438" s="52" t="s">
        <v>12</v>
      </c>
      <c r="R438" s="57" t="s">
        <v>12</v>
      </c>
      <c r="S438" s="52" t="s">
        <v>14</v>
      </c>
      <c r="T438" s="52" t="s">
        <v>12</v>
      </c>
      <c r="U438" s="52" t="s">
        <v>14</v>
      </c>
      <c r="V438" s="87" t="str">
        <f t="shared" si="11"/>
        <v>将5</v>
      </c>
      <c r="W438" s="53">
        <f t="shared" si="12"/>
        <v>15004</v>
      </c>
      <c r="Z438" s="53" t="s">
        <v>2217</v>
      </c>
      <c r="AA438" s="53">
        <v>15106</v>
      </c>
    </row>
    <row r="439" spans="1:27" x14ac:dyDescent="0.35">
      <c r="A439" s="85">
        <v>14578</v>
      </c>
      <c r="B439" s="85" t="s">
        <v>2089</v>
      </c>
      <c r="C439" s="105" t="s">
        <v>2095</v>
      </c>
      <c r="D439" s="52" t="s">
        <v>2095</v>
      </c>
      <c r="E439" s="88">
        <v>17</v>
      </c>
      <c r="F439" s="52">
        <v>55464</v>
      </c>
      <c r="G439" s="57" t="s">
        <v>153</v>
      </c>
      <c r="H439" s="52" t="s">
        <v>12</v>
      </c>
      <c r="I439" s="52" t="s">
        <v>70</v>
      </c>
      <c r="J439" s="113" t="s">
        <v>13</v>
      </c>
      <c r="K439" s="113">
        <v>4</v>
      </c>
      <c r="L439" s="52">
        <v>15004</v>
      </c>
      <c r="M439" s="52" t="s">
        <v>12</v>
      </c>
      <c r="N439" s="52" t="s">
        <v>14</v>
      </c>
      <c r="O439" s="52" t="s">
        <v>14</v>
      </c>
      <c r="P439" s="52" t="s">
        <v>40</v>
      </c>
      <c r="Q439" s="52" t="s">
        <v>12</v>
      </c>
      <c r="R439" s="57" t="s">
        <v>12</v>
      </c>
      <c r="S439" s="52" t="s">
        <v>14</v>
      </c>
      <c r="T439" s="52" t="s">
        <v>12</v>
      </c>
      <c r="U439" s="52" t="s">
        <v>14</v>
      </c>
      <c r="V439" s="87" t="str">
        <f t="shared" si="11"/>
        <v>将4</v>
      </c>
      <c r="W439" s="53">
        <f t="shared" si="12"/>
        <v>15004</v>
      </c>
      <c r="Z439" s="53" t="s">
        <v>2222</v>
      </c>
      <c r="AA439" s="53">
        <v>15202</v>
      </c>
    </row>
    <row r="440" spans="1:27" x14ac:dyDescent="0.35">
      <c r="A440" s="85">
        <v>14579</v>
      </c>
      <c r="B440" s="85" t="s">
        <v>2090</v>
      </c>
      <c r="C440" s="105" t="s">
        <v>2096</v>
      </c>
      <c r="D440" s="52" t="s">
        <v>2096</v>
      </c>
      <c r="E440" s="88">
        <v>17</v>
      </c>
      <c r="F440" s="52">
        <v>55465</v>
      </c>
      <c r="G440" s="57" t="s">
        <v>153</v>
      </c>
      <c r="H440" s="52" t="s">
        <v>12</v>
      </c>
      <c r="I440" s="52" t="s">
        <v>70</v>
      </c>
      <c r="J440" s="113" t="s">
        <v>13</v>
      </c>
      <c r="K440" s="113">
        <v>4</v>
      </c>
      <c r="L440" s="52">
        <v>15004</v>
      </c>
      <c r="M440" s="52" t="s">
        <v>12</v>
      </c>
      <c r="N440" s="52" t="s">
        <v>14</v>
      </c>
      <c r="O440" s="52" t="s">
        <v>14</v>
      </c>
      <c r="P440" s="52" t="s">
        <v>40</v>
      </c>
      <c r="Q440" s="52" t="s">
        <v>12</v>
      </c>
      <c r="R440" s="57" t="s">
        <v>12</v>
      </c>
      <c r="S440" s="52" t="s">
        <v>14</v>
      </c>
      <c r="T440" s="52" t="s">
        <v>12</v>
      </c>
      <c r="U440" s="52" t="s">
        <v>14</v>
      </c>
      <c r="V440" s="87" t="str">
        <f t="shared" si="11"/>
        <v>将4</v>
      </c>
      <c r="W440" s="53">
        <f t="shared" si="12"/>
        <v>15004</v>
      </c>
      <c r="Z440" s="53" t="s">
        <v>2218</v>
      </c>
      <c r="AA440" s="53">
        <v>15203</v>
      </c>
    </row>
    <row r="441" spans="1:27" x14ac:dyDescent="0.35">
      <c r="A441" s="85">
        <v>14580</v>
      </c>
      <c r="B441" s="85" t="s">
        <v>2091</v>
      </c>
      <c r="C441" s="105" t="s">
        <v>2097</v>
      </c>
      <c r="D441" s="52" t="s">
        <v>2097</v>
      </c>
      <c r="E441" s="88">
        <v>17</v>
      </c>
      <c r="F441" s="52">
        <v>55466</v>
      </c>
      <c r="G441" s="57" t="s">
        <v>153</v>
      </c>
      <c r="H441" s="52" t="s">
        <v>12</v>
      </c>
      <c r="I441" s="52" t="s">
        <v>70</v>
      </c>
      <c r="J441" s="113" t="s">
        <v>13</v>
      </c>
      <c r="K441" s="113">
        <v>4</v>
      </c>
      <c r="L441" s="52">
        <v>15004</v>
      </c>
      <c r="M441" s="52" t="s">
        <v>12</v>
      </c>
      <c r="N441" s="52" t="s">
        <v>14</v>
      </c>
      <c r="O441" s="52" t="s">
        <v>14</v>
      </c>
      <c r="P441" s="52" t="s">
        <v>40</v>
      </c>
      <c r="Q441" s="52" t="s">
        <v>12</v>
      </c>
      <c r="R441" s="57" t="s">
        <v>12</v>
      </c>
      <c r="S441" s="52" t="s">
        <v>14</v>
      </c>
      <c r="T441" s="52" t="s">
        <v>12</v>
      </c>
      <c r="U441" s="52" t="s">
        <v>14</v>
      </c>
      <c r="V441" s="87" t="str">
        <f t="shared" si="11"/>
        <v>将4</v>
      </c>
      <c r="W441" s="53">
        <f t="shared" si="12"/>
        <v>15004</v>
      </c>
      <c r="Z441" s="53" t="s">
        <v>2219</v>
      </c>
      <c r="AA441" s="53">
        <v>15204</v>
      </c>
    </row>
    <row r="442" spans="1:27" x14ac:dyDescent="0.35">
      <c r="A442" s="74">
        <v>14581</v>
      </c>
      <c r="B442" s="74" t="s">
        <v>2101</v>
      </c>
      <c r="C442" s="105" t="s">
        <v>2105</v>
      </c>
      <c r="D442" s="52" t="s">
        <v>2104</v>
      </c>
      <c r="E442" s="88">
        <v>5</v>
      </c>
      <c r="F442" s="52">
        <v>55467</v>
      </c>
      <c r="G442" s="57" t="s">
        <v>70</v>
      </c>
      <c r="H442" s="52" t="s">
        <v>12</v>
      </c>
      <c r="I442" s="52" t="s">
        <v>70</v>
      </c>
      <c r="J442" s="113" t="s">
        <v>13</v>
      </c>
      <c r="K442" s="52">
        <v>6</v>
      </c>
      <c r="L442" s="52">
        <v>15006</v>
      </c>
      <c r="M442" s="52" t="s">
        <v>12</v>
      </c>
      <c r="N442" s="52" t="s">
        <v>14</v>
      </c>
      <c r="O442" s="52" t="s">
        <v>14</v>
      </c>
      <c r="P442" s="52" t="s">
        <v>31</v>
      </c>
      <c r="Q442" s="52" t="s">
        <v>12</v>
      </c>
      <c r="R442" s="57" t="s">
        <v>12</v>
      </c>
      <c r="S442" s="52" t="s">
        <v>14</v>
      </c>
      <c r="T442" s="52" t="s">
        <v>12</v>
      </c>
      <c r="U442" s="52" t="s">
        <v>14</v>
      </c>
      <c r="V442" s="87" t="str">
        <f t="shared" si="11"/>
        <v>神兵6</v>
      </c>
      <c r="W442" s="53">
        <f t="shared" si="12"/>
        <v>15006</v>
      </c>
      <c r="Z442" s="53" t="s">
        <v>2220</v>
      </c>
      <c r="AA442" s="53">
        <v>15204</v>
      </c>
    </row>
    <row r="443" spans="1:27" x14ac:dyDescent="0.35">
      <c r="A443" s="64">
        <v>14582</v>
      </c>
      <c r="B443" s="64" t="s">
        <v>2102</v>
      </c>
      <c r="C443" s="105" t="s">
        <v>2107</v>
      </c>
      <c r="D443" s="52" t="s">
        <v>2106</v>
      </c>
      <c r="E443" s="88">
        <v>5</v>
      </c>
      <c r="F443" s="52">
        <v>55468</v>
      </c>
      <c r="G443" s="57" t="s">
        <v>70</v>
      </c>
      <c r="H443" s="52" t="s">
        <v>12</v>
      </c>
      <c r="I443" s="52" t="s">
        <v>70</v>
      </c>
      <c r="J443" s="113" t="s">
        <v>13</v>
      </c>
      <c r="K443" s="52">
        <v>5</v>
      </c>
      <c r="L443" s="52">
        <v>15004</v>
      </c>
      <c r="M443" s="52" t="s">
        <v>12</v>
      </c>
      <c r="N443" s="52" t="s">
        <v>14</v>
      </c>
      <c r="O443" s="52" t="s">
        <v>14</v>
      </c>
      <c r="P443" s="52" t="s">
        <v>31</v>
      </c>
      <c r="Q443" s="52" t="s">
        <v>12</v>
      </c>
      <c r="R443" s="57" t="s">
        <v>12</v>
      </c>
      <c r="S443" s="52" t="s">
        <v>14</v>
      </c>
      <c r="T443" s="52" t="s">
        <v>12</v>
      </c>
      <c r="U443" s="52" t="s">
        <v>14</v>
      </c>
      <c r="V443" s="87" t="str">
        <f t="shared" si="11"/>
        <v>神兵5</v>
      </c>
      <c r="W443" s="53">
        <f t="shared" si="12"/>
        <v>15004</v>
      </c>
      <c r="Z443" s="53" t="s">
        <v>2221</v>
      </c>
      <c r="AA443" s="53">
        <v>15206</v>
      </c>
    </row>
    <row r="444" spans="1:27" x14ac:dyDescent="0.35">
      <c r="A444" s="84">
        <v>14583</v>
      </c>
      <c r="B444" s="84" t="s">
        <v>2103</v>
      </c>
      <c r="C444" s="105" t="s">
        <v>2109</v>
      </c>
      <c r="D444" s="52" t="s">
        <v>2108</v>
      </c>
      <c r="E444" s="88">
        <v>5</v>
      </c>
      <c r="F444" s="52">
        <v>55469</v>
      </c>
      <c r="G444" s="57" t="s">
        <v>70</v>
      </c>
      <c r="H444" s="52" t="s">
        <v>12</v>
      </c>
      <c r="I444" s="52" t="s">
        <v>70</v>
      </c>
      <c r="J444" s="113" t="s">
        <v>13</v>
      </c>
      <c r="K444" s="113">
        <v>4</v>
      </c>
      <c r="L444" s="52">
        <v>15004</v>
      </c>
      <c r="M444" s="52" t="s">
        <v>12</v>
      </c>
      <c r="N444" s="52" t="s">
        <v>14</v>
      </c>
      <c r="O444" s="52" t="s">
        <v>14</v>
      </c>
      <c r="P444" s="52" t="s">
        <v>31</v>
      </c>
      <c r="Q444" s="52" t="s">
        <v>12</v>
      </c>
      <c r="R444" s="57" t="s">
        <v>12</v>
      </c>
      <c r="S444" s="52" t="s">
        <v>14</v>
      </c>
      <c r="T444" s="52" t="s">
        <v>12</v>
      </c>
      <c r="U444" s="52" t="s">
        <v>14</v>
      </c>
      <c r="V444" s="87" t="str">
        <f t="shared" si="11"/>
        <v>神兵4</v>
      </c>
      <c r="W444" s="53">
        <f t="shared" si="12"/>
        <v>15004</v>
      </c>
    </row>
    <row r="445" spans="1:27" x14ac:dyDescent="0.35">
      <c r="A445" s="75">
        <v>14584</v>
      </c>
      <c r="B445" s="75" t="s">
        <v>2139</v>
      </c>
      <c r="C445" s="105" t="s">
        <v>2141</v>
      </c>
      <c r="D445" s="52" t="s">
        <v>2143</v>
      </c>
      <c r="E445" s="88">
        <v>17</v>
      </c>
      <c r="F445" s="52">
        <v>55470</v>
      </c>
      <c r="G445" s="57" t="s">
        <v>153</v>
      </c>
      <c r="H445" s="52" t="s">
        <v>12</v>
      </c>
      <c r="I445" s="52" t="s">
        <v>70</v>
      </c>
      <c r="J445" s="113" t="s">
        <v>13</v>
      </c>
      <c r="K445" s="52">
        <v>6</v>
      </c>
      <c r="L445" s="52">
        <v>15006</v>
      </c>
      <c r="M445" s="52" t="s">
        <v>12</v>
      </c>
      <c r="N445" s="52" t="s">
        <v>14</v>
      </c>
      <c r="O445" s="52" t="s">
        <v>14</v>
      </c>
      <c r="P445" s="52" t="s">
        <v>31</v>
      </c>
      <c r="Q445" s="52" t="s">
        <v>12</v>
      </c>
      <c r="R445" s="57" t="s">
        <v>12</v>
      </c>
      <c r="S445" s="52" t="s">
        <v>14</v>
      </c>
      <c r="T445" s="52" t="s">
        <v>12</v>
      </c>
      <c r="U445" s="52" t="s">
        <v>14</v>
      </c>
      <c r="V445" s="87" t="str">
        <f t="shared" si="11"/>
        <v>将6</v>
      </c>
      <c r="W445" s="53">
        <f t="shared" si="12"/>
        <v>15006</v>
      </c>
    </row>
    <row r="446" spans="1:27" x14ac:dyDescent="0.35">
      <c r="A446" s="75">
        <v>14585</v>
      </c>
      <c r="B446" s="75" t="s">
        <v>2140</v>
      </c>
      <c r="C446" s="105" t="s">
        <v>2142</v>
      </c>
      <c r="D446" s="52" t="s">
        <v>2144</v>
      </c>
      <c r="E446" s="88">
        <v>17</v>
      </c>
      <c r="F446" s="52">
        <v>55471</v>
      </c>
      <c r="G446" s="57" t="s">
        <v>153</v>
      </c>
      <c r="H446" s="52" t="s">
        <v>12</v>
      </c>
      <c r="I446" s="52" t="s">
        <v>70</v>
      </c>
      <c r="J446" s="113" t="s">
        <v>13</v>
      </c>
      <c r="K446" s="52">
        <v>6</v>
      </c>
      <c r="L446" s="52">
        <v>15006</v>
      </c>
      <c r="M446" s="52" t="s">
        <v>12</v>
      </c>
      <c r="N446" s="52" t="s">
        <v>14</v>
      </c>
      <c r="O446" s="52" t="s">
        <v>14</v>
      </c>
      <c r="P446" s="52" t="s">
        <v>31</v>
      </c>
      <c r="Q446" s="52" t="s">
        <v>12</v>
      </c>
      <c r="R446" s="57" t="s">
        <v>12</v>
      </c>
      <c r="S446" s="52" t="s">
        <v>14</v>
      </c>
      <c r="T446" s="52" t="s">
        <v>12</v>
      </c>
      <c r="U446" s="52" t="s">
        <v>14</v>
      </c>
      <c r="V446" s="87" t="str">
        <f t="shared" si="11"/>
        <v>将6</v>
      </c>
      <c r="W446" s="53">
        <f t="shared" si="12"/>
        <v>15006</v>
      </c>
    </row>
    <row r="447" spans="1:27" x14ac:dyDescent="0.35">
      <c r="A447" s="119">
        <v>14586</v>
      </c>
      <c r="B447" s="119" t="s">
        <v>2149</v>
      </c>
      <c r="C447" s="105" t="s">
        <v>2151</v>
      </c>
      <c r="D447" s="52" t="s">
        <v>2150</v>
      </c>
      <c r="E447" s="88">
        <v>17</v>
      </c>
      <c r="F447" s="131">
        <v>55472</v>
      </c>
      <c r="G447" s="57" t="s">
        <v>70</v>
      </c>
      <c r="H447" s="52" t="s">
        <v>12</v>
      </c>
      <c r="I447" s="52" t="s">
        <v>70</v>
      </c>
      <c r="J447" s="113" t="s">
        <v>13</v>
      </c>
      <c r="K447" s="52">
        <v>6</v>
      </c>
      <c r="L447" s="52">
        <v>15206</v>
      </c>
      <c r="M447" s="52" t="s">
        <v>12</v>
      </c>
      <c r="N447" s="52" t="s">
        <v>14</v>
      </c>
      <c r="O447" s="52" t="s">
        <v>14</v>
      </c>
      <c r="P447" s="52" t="s">
        <v>31</v>
      </c>
      <c r="Q447" s="52" t="s">
        <v>12</v>
      </c>
      <c r="R447" s="57" t="s">
        <v>12</v>
      </c>
      <c r="S447" s="52" t="s">
        <v>14</v>
      </c>
      <c r="T447" s="52" t="s">
        <v>12</v>
      </c>
      <c r="U447" s="52" t="s">
        <v>14</v>
      </c>
      <c r="V447" s="87" t="str">
        <f t="shared" si="11"/>
        <v>法宝6</v>
      </c>
      <c r="W447" s="53">
        <f t="shared" si="12"/>
        <v>15206</v>
      </c>
    </row>
    <row r="448" spans="1:27" x14ac:dyDescent="0.35">
      <c r="A448" s="119">
        <v>14587</v>
      </c>
      <c r="B448" s="119" t="s">
        <v>2152</v>
      </c>
      <c r="C448" s="105" t="s">
        <v>2229</v>
      </c>
      <c r="D448" s="52" t="s">
        <v>2228</v>
      </c>
      <c r="E448" s="88">
        <v>17</v>
      </c>
      <c r="F448" s="131">
        <v>55473</v>
      </c>
      <c r="G448" s="57" t="s">
        <v>70</v>
      </c>
      <c r="H448" s="52" t="s">
        <v>12</v>
      </c>
      <c r="I448" s="52" t="s">
        <v>70</v>
      </c>
      <c r="J448" s="113" t="s">
        <v>13</v>
      </c>
      <c r="K448" s="52">
        <v>6</v>
      </c>
      <c r="L448" s="52">
        <v>15206</v>
      </c>
      <c r="M448" s="52" t="s">
        <v>12</v>
      </c>
      <c r="N448" s="52" t="s">
        <v>14</v>
      </c>
      <c r="O448" s="52" t="s">
        <v>14</v>
      </c>
      <c r="P448" s="52" t="s">
        <v>31</v>
      </c>
      <c r="Q448" s="52" t="s">
        <v>12</v>
      </c>
      <c r="R448" s="57" t="s">
        <v>12</v>
      </c>
      <c r="S448" s="52" t="s">
        <v>14</v>
      </c>
      <c r="T448" s="52" t="s">
        <v>12</v>
      </c>
      <c r="U448" s="52" t="s">
        <v>14</v>
      </c>
      <c r="V448" s="87" t="str">
        <f t="shared" si="11"/>
        <v>法宝6</v>
      </c>
      <c r="W448" s="53">
        <f t="shared" si="12"/>
        <v>15206</v>
      </c>
    </row>
    <row r="449" spans="1:27" x14ac:dyDescent="0.35">
      <c r="A449" s="119">
        <v>14588</v>
      </c>
      <c r="B449" s="119" t="s">
        <v>2153</v>
      </c>
      <c r="C449" s="105" t="s">
        <v>2155</v>
      </c>
      <c r="D449" s="52" t="s">
        <v>2155</v>
      </c>
      <c r="E449" s="88">
        <v>17</v>
      </c>
      <c r="F449" s="131">
        <v>55474</v>
      </c>
      <c r="G449" s="57" t="s">
        <v>70</v>
      </c>
      <c r="H449" s="52" t="s">
        <v>12</v>
      </c>
      <c r="I449" s="52" t="s">
        <v>70</v>
      </c>
      <c r="J449" s="113" t="s">
        <v>13</v>
      </c>
      <c r="K449" s="52">
        <v>6</v>
      </c>
      <c r="L449" s="52">
        <v>15106</v>
      </c>
      <c r="M449" s="52" t="s">
        <v>12</v>
      </c>
      <c r="N449" s="52" t="s">
        <v>14</v>
      </c>
      <c r="O449" s="52" t="s">
        <v>14</v>
      </c>
      <c r="P449" s="52" t="s">
        <v>31</v>
      </c>
      <c r="Q449" s="52" t="s">
        <v>12</v>
      </c>
      <c r="R449" s="57" t="s">
        <v>12</v>
      </c>
      <c r="S449" s="52" t="s">
        <v>14</v>
      </c>
      <c r="T449" s="52" t="s">
        <v>12</v>
      </c>
      <c r="U449" s="52" t="s">
        <v>14</v>
      </c>
      <c r="V449" s="87" t="str">
        <f t="shared" si="11"/>
        <v>装6</v>
      </c>
      <c r="W449" s="53">
        <f t="shared" si="12"/>
        <v>15106</v>
      </c>
    </row>
    <row r="450" spans="1:27" x14ac:dyDescent="0.35">
      <c r="A450" s="119">
        <v>14589</v>
      </c>
      <c r="B450" s="119" t="s">
        <v>2154</v>
      </c>
      <c r="C450" s="105" t="s">
        <v>2167</v>
      </c>
      <c r="D450" s="52" t="s">
        <v>2166</v>
      </c>
      <c r="E450" s="88">
        <v>17</v>
      </c>
      <c r="F450" s="131">
        <v>55475</v>
      </c>
      <c r="G450" s="57" t="s">
        <v>70</v>
      </c>
      <c r="H450" s="52" t="s">
        <v>12</v>
      </c>
      <c r="I450" s="52" t="s">
        <v>70</v>
      </c>
      <c r="J450" s="113" t="s">
        <v>13</v>
      </c>
      <c r="K450" s="52">
        <v>6</v>
      </c>
      <c r="L450" s="52">
        <v>15106</v>
      </c>
      <c r="M450" s="52" t="s">
        <v>12</v>
      </c>
      <c r="N450" s="52" t="s">
        <v>14</v>
      </c>
      <c r="O450" s="52" t="s">
        <v>14</v>
      </c>
      <c r="P450" s="52" t="s">
        <v>31</v>
      </c>
      <c r="Q450" s="52" t="s">
        <v>12</v>
      </c>
      <c r="R450" s="57" t="s">
        <v>12</v>
      </c>
      <c r="S450" s="52" t="s">
        <v>14</v>
      </c>
      <c r="T450" s="52" t="s">
        <v>12</v>
      </c>
      <c r="U450" s="52" t="s">
        <v>14</v>
      </c>
      <c r="V450" s="87" t="str">
        <f>IF(ISERROR(FIND("将",$B450)),IF(ISERROR(FIND("伙伴",$B450)),IF(ISERROR(FIND("装",$B450)),IF(ISERROR(FIND("法宝",$B450)),IF(ISERROR(FIND("神兵",$B450)),"","神兵"),"法宝"),"装"),"伙伴"),"将")&amp;$K450</f>
        <v>装6</v>
      </c>
      <c r="W450" s="53">
        <f t="shared" si="12"/>
        <v>15106</v>
      </c>
    </row>
    <row r="451" spans="1:27" x14ac:dyDescent="0.35">
      <c r="A451" s="139">
        <v>14590</v>
      </c>
      <c r="B451" s="139" t="s">
        <v>2317</v>
      </c>
      <c r="C451" s="105" t="s">
        <v>2319</v>
      </c>
      <c r="D451" s="52" t="s">
        <v>2318</v>
      </c>
      <c r="E451" s="88">
        <v>9</v>
      </c>
      <c r="F451" s="131" t="s">
        <v>12</v>
      </c>
      <c r="G451" s="57" t="s">
        <v>12</v>
      </c>
      <c r="H451" s="52" t="s">
        <v>2177</v>
      </c>
      <c r="I451" s="52" t="s">
        <v>12</v>
      </c>
      <c r="J451" s="113" t="s">
        <v>13</v>
      </c>
      <c r="K451" s="52">
        <v>5</v>
      </c>
      <c r="L451" s="52">
        <v>14590</v>
      </c>
      <c r="M451" s="52" t="s">
        <v>12</v>
      </c>
      <c r="N451" s="52" t="s">
        <v>14</v>
      </c>
      <c r="O451" s="52" t="s">
        <v>14</v>
      </c>
      <c r="P451" s="52" t="s">
        <v>14</v>
      </c>
      <c r="Q451" s="52" t="s">
        <v>12</v>
      </c>
      <c r="R451" s="57" t="s">
        <v>12</v>
      </c>
      <c r="S451" s="52" t="s">
        <v>14</v>
      </c>
      <c r="T451" s="52" t="s">
        <v>12</v>
      </c>
      <c r="U451" s="52" t="s">
        <v>14</v>
      </c>
      <c r="V451" s="87"/>
    </row>
    <row r="452" spans="1:27" ht="17.25" customHeight="1" x14ac:dyDescent="0.35">
      <c r="A452" s="57">
        <v>15001</v>
      </c>
      <c r="B452" s="57" t="s">
        <v>1521</v>
      </c>
      <c r="C452" s="108" t="s">
        <v>1525</v>
      </c>
      <c r="D452" s="57" t="s">
        <v>1525</v>
      </c>
      <c r="E452" s="93">
        <v>5</v>
      </c>
      <c r="F452" s="57" t="s">
        <v>769</v>
      </c>
      <c r="G452" s="57" t="s">
        <v>12</v>
      </c>
      <c r="H452" s="57" t="s">
        <v>12</v>
      </c>
      <c r="I452" s="57" t="s">
        <v>12</v>
      </c>
      <c r="J452" s="116" t="s">
        <v>13</v>
      </c>
      <c r="K452" s="57">
        <v>1</v>
      </c>
      <c r="L452" s="57">
        <v>14332</v>
      </c>
      <c r="M452" s="57" t="s">
        <v>12</v>
      </c>
      <c r="N452" s="57" t="s">
        <v>14</v>
      </c>
      <c r="O452" s="57" t="s">
        <v>14</v>
      </c>
      <c r="P452" s="57" t="s">
        <v>14</v>
      </c>
      <c r="Q452" s="57" t="s">
        <v>12</v>
      </c>
      <c r="R452" s="57" t="s">
        <v>12</v>
      </c>
      <c r="S452" s="57" t="s">
        <v>14</v>
      </c>
      <c r="T452" s="57" t="s">
        <v>12</v>
      </c>
      <c r="U452" s="57" t="s">
        <v>14</v>
      </c>
      <c r="V452" s="87"/>
      <c r="W452" s="76" t="str">
        <f t="shared" si="12"/>
        <v/>
      </c>
      <c r="X452" s="76"/>
      <c r="Y452" s="76"/>
      <c r="Z452" s="76"/>
      <c r="AA452" s="76"/>
    </row>
    <row r="453" spans="1:27" ht="17.25" customHeight="1" x14ac:dyDescent="0.35">
      <c r="A453" s="57">
        <v>15002</v>
      </c>
      <c r="B453" s="57" t="s">
        <v>1522</v>
      </c>
      <c r="C453" s="108" t="s">
        <v>1525</v>
      </c>
      <c r="D453" s="57" t="s">
        <v>1525</v>
      </c>
      <c r="E453" s="93">
        <v>5</v>
      </c>
      <c r="F453" s="57" t="s">
        <v>769</v>
      </c>
      <c r="G453" s="57" t="s">
        <v>12</v>
      </c>
      <c r="H453" s="57" t="s">
        <v>12</v>
      </c>
      <c r="I453" s="57" t="s">
        <v>12</v>
      </c>
      <c r="J453" s="116" t="s">
        <v>13</v>
      </c>
      <c r="K453" s="57">
        <v>1</v>
      </c>
      <c r="L453" s="57">
        <v>14332</v>
      </c>
      <c r="M453" s="57" t="s">
        <v>12</v>
      </c>
      <c r="N453" s="57" t="s">
        <v>14</v>
      </c>
      <c r="O453" s="57" t="s">
        <v>14</v>
      </c>
      <c r="P453" s="57" t="s">
        <v>14</v>
      </c>
      <c r="Q453" s="57" t="s">
        <v>12</v>
      </c>
      <c r="R453" s="57" t="s">
        <v>12</v>
      </c>
      <c r="S453" s="57" t="s">
        <v>14</v>
      </c>
      <c r="T453" s="57" t="s">
        <v>12</v>
      </c>
      <c r="U453" s="57" t="s">
        <v>14</v>
      </c>
      <c r="V453" s="87"/>
      <c r="W453" s="76" t="str">
        <f t="shared" si="12"/>
        <v/>
      </c>
      <c r="X453" s="76"/>
      <c r="Y453" s="76"/>
      <c r="Z453" s="76"/>
      <c r="AA453" s="76"/>
    </row>
    <row r="454" spans="1:27" ht="17.25" customHeight="1" x14ac:dyDescent="0.35">
      <c r="A454" s="57">
        <v>15003</v>
      </c>
      <c r="B454" s="57" t="s">
        <v>1523</v>
      </c>
      <c r="C454" s="108" t="s">
        <v>1525</v>
      </c>
      <c r="D454" s="57" t="s">
        <v>1525</v>
      </c>
      <c r="E454" s="93">
        <v>5</v>
      </c>
      <c r="F454" s="57" t="s">
        <v>769</v>
      </c>
      <c r="G454" s="57" t="s">
        <v>12</v>
      </c>
      <c r="H454" s="57" t="s">
        <v>12</v>
      </c>
      <c r="I454" s="57" t="s">
        <v>12</v>
      </c>
      <c r="J454" s="116" t="s">
        <v>13</v>
      </c>
      <c r="K454" s="57">
        <v>1</v>
      </c>
      <c r="L454" s="57">
        <v>14332</v>
      </c>
      <c r="M454" s="57" t="s">
        <v>12</v>
      </c>
      <c r="N454" s="57" t="s">
        <v>14</v>
      </c>
      <c r="O454" s="57" t="s">
        <v>14</v>
      </c>
      <c r="P454" s="57" t="s">
        <v>14</v>
      </c>
      <c r="Q454" s="57" t="s">
        <v>12</v>
      </c>
      <c r="R454" s="57" t="s">
        <v>12</v>
      </c>
      <c r="S454" s="57" t="s">
        <v>14</v>
      </c>
      <c r="T454" s="57" t="s">
        <v>12</v>
      </c>
      <c r="U454" s="57" t="s">
        <v>14</v>
      </c>
      <c r="V454" s="87"/>
      <c r="W454" s="76" t="str">
        <f t="shared" si="12"/>
        <v/>
      </c>
      <c r="X454" s="76"/>
      <c r="Y454" s="76"/>
      <c r="Z454" s="76"/>
      <c r="AA454" s="76"/>
    </row>
    <row r="455" spans="1:27" ht="17.25" customHeight="1" x14ac:dyDescent="0.35">
      <c r="A455" s="57">
        <v>15004</v>
      </c>
      <c r="B455" s="57" t="s">
        <v>1524</v>
      </c>
      <c r="C455" s="108" t="s">
        <v>1525</v>
      </c>
      <c r="D455" s="57" t="s">
        <v>1525</v>
      </c>
      <c r="E455" s="93">
        <v>5</v>
      </c>
      <c r="F455" s="57" t="s">
        <v>769</v>
      </c>
      <c r="G455" s="57" t="s">
        <v>12</v>
      </c>
      <c r="H455" s="57" t="s">
        <v>12</v>
      </c>
      <c r="I455" s="57" t="s">
        <v>12</v>
      </c>
      <c r="J455" s="116" t="s">
        <v>13</v>
      </c>
      <c r="K455" s="57">
        <v>1</v>
      </c>
      <c r="L455" s="52">
        <v>14332</v>
      </c>
      <c r="M455" s="57" t="s">
        <v>12</v>
      </c>
      <c r="N455" s="57" t="s">
        <v>14</v>
      </c>
      <c r="O455" s="57" t="s">
        <v>14</v>
      </c>
      <c r="P455" s="57" t="s">
        <v>14</v>
      </c>
      <c r="Q455" s="57" t="s">
        <v>12</v>
      </c>
      <c r="R455" s="57" t="s">
        <v>12</v>
      </c>
      <c r="S455" s="57" t="s">
        <v>14</v>
      </c>
      <c r="T455" s="57" t="s">
        <v>12</v>
      </c>
      <c r="U455" s="57" t="s">
        <v>14</v>
      </c>
      <c r="V455" s="87"/>
      <c r="W455" s="76" t="str">
        <f t="shared" si="12"/>
        <v/>
      </c>
      <c r="X455" s="76"/>
      <c r="Y455" s="76"/>
      <c r="Z455" s="76"/>
      <c r="AA455" s="76"/>
    </row>
    <row r="456" spans="1:27" ht="17.25" customHeight="1" x14ac:dyDescent="0.35">
      <c r="A456" s="79">
        <v>16001</v>
      </c>
      <c r="B456" s="79" t="s">
        <v>683</v>
      </c>
      <c r="C456" s="107" t="s">
        <v>611</v>
      </c>
      <c r="D456" s="70" t="s">
        <v>611</v>
      </c>
      <c r="E456" s="92">
        <v>8</v>
      </c>
      <c r="F456" s="52" t="s">
        <v>12</v>
      </c>
      <c r="G456" s="57" t="s">
        <v>1321</v>
      </c>
      <c r="H456" s="52" t="s">
        <v>12</v>
      </c>
      <c r="I456" s="52" t="s">
        <v>70</v>
      </c>
      <c r="J456" s="115" t="s">
        <v>13</v>
      </c>
      <c r="K456" s="70" t="s">
        <v>25</v>
      </c>
      <c r="L456" s="70">
        <v>16001</v>
      </c>
      <c r="M456" s="70" t="s">
        <v>12</v>
      </c>
      <c r="N456" s="70" t="s">
        <v>14</v>
      </c>
      <c r="O456" s="70" t="s">
        <v>14</v>
      </c>
      <c r="P456" s="70" t="s">
        <v>40</v>
      </c>
      <c r="Q456" s="70" t="s">
        <v>12</v>
      </c>
      <c r="R456" s="57" t="s">
        <v>70</v>
      </c>
      <c r="S456" s="70" t="s">
        <v>14</v>
      </c>
      <c r="T456" s="70" t="s">
        <v>12</v>
      </c>
      <c r="U456" s="70" t="s">
        <v>14</v>
      </c>
      <c r="V456" s="87"/>
      <c r="W456" s="53" t="str">
        <f t="shared" si="12"/>
        <v/>
      </c>
    </row>
    <row r="457" spans="1:27" ht="17.25" customHeight="1" x14ac:dyDescent="0.35">
      <c r="A457" s="79">
        <v>16002</v>
      </c>
      <c r="B457" s="79" t="s">
        <v>684</v>
      </c>
      <c r="C457" s="107" t="s">
        <v>612</v>
      </c>
      <c r="D457" s="70" t="s">
        <v>612</v>
      </c>
      <c r="E457" s="92">
        <v>8</v>
      </c>
      <c r="F457" s="52" t="s">
        <v>12</v>
      </c>
      <c r="G457" s="57" t="s">
        <v>1321</v>
      </c>
      <c r="H457" s="52" t="s">
        <v>12</v>
      </c>
      <c r="I457" s="52" t="s">
        <v>70</v>
      </c>
      <c r="J457" s="115" t="s">
        <v>13</v>
      </c>
      <c r="K457" s="70" t="s">
        <v>37</v>
      </c>
      <c r="L457" s="70">
        <v>16001</v>
      </c>
      <c r="M457" s="70" t="s">
        <v>12</v>
      </c>
      <c r="N457" s="70" t="s">
        <v>14</v>
      </c>
      <c r="O457" s="70" t="s">
        <v>14</v>
      </c>
      <c r="P457" s="70" t="s">
        <v>40</v>
      </c>
      <c r="Q457" s="70" t="s">
        <v>12</v>
      </c>
      <c r="R457" s="57" t="s">
        <v>70</v>
      </c>
      <c r="S457" s="70" t="s">
        <v>14</v>
      </c>
      <c r="T457" s="70" t="s">
        <v>12</v>
      </c>
      <c r="U457" s="70" t="s">
        <v>14</v>
      </c>
      <c r="V457" s="87"/>
      <c r="W457" s="53" t="str">
        <f t="shared" si="12"/>
        <v/>
      </c>
    </row>
    <row r="458" spans="1:27" ht="17.25" customHeight="1" x14ac:dyDescent="0.35">
      <c r="A458" s="79">
        <v>16003</v>
      </c>
      <c r="B458" s="79" t="s">
        <v>682</v>
      </c>
      <c r="C458" s="107" t="s">
        <v>613</v>
      </c>
      <c r="D458" s="70" t="s">
        <v>613</v>
      </c>
      <c r="E458" s="92">
        <v>8</v>
      </c>
      <c r="F458" s="52" t="s">
        <v>12</v>
      </c>
      <c r="G458" s="57" t="s">
        <v>1321</v>
      </c>
      <c r="H458" s="52" t="s">
        <v>12</v>
      </c>
      <c r="I458" s="52" t="s">
        <v>70</v>
      </c>
      <c r="J458" s="115" t="s">
        <v>13</v>
      </c>
      <c r="K458" s="70" t="s">
        <v>37</v>
      </c>
      <c r="L458" s="70">
        <v>16001</v>
      </c>
      <c r="M458" s="70" t="s">
        <v>12</v>
      </c>
      <c r="N458" s="70" t="s">
        <v>14</v>
      </c>
      <c r="O458" s="70" t="s">
        <v>14</v>
      </c>
      <c r="P458" s="70" t="s">
        <v>40</v>
      </c>
      <c r="Q458" s="70" t="s">
        <v>12</v>
      </c>
      <c r="R458" s="57" t="s">
        <v>70</v>
      </c>
      <c r="S458" s="70" t="s">
        <v>14</v>
      </c>
      <c r="T458" s="70" t="s">
        <v>12</v>
      </c>
      <c r="U458" s="70" t="s">
        <v>14</v>
      </c>
      <c r="V458" s="87"/>
      <c r="W458" s="71" t="str">
        <f t="shared" si="12"/>
        <v/>
      </c>
      <c r="X458" s="71"/>
      <c r="Y458" s="71"/>
      <c r="Z458" s="71"/>
      <c r="AA458" s="71"/>
    </row>
    <row r="459" spans="1:27" s="71" customFormat="1" x14ac:dyDescent="0.35">
      <c r="A459" s="79">
        <v>16004</v>
      </c>
      <c r="B459" s="79" t="s">
        <v>685</v>
      </c>
      <c r="C459" s="107" t="s">
        <v>614</v>
      </c>
      <c r="D459" s="70" t="s">
        <v>614</v>
      </c>
      <c r="E459" s="92">
        <v>8</v>
      </c>
      <c r="F459" s="52" t="s">
        <v>12</v>
      </c>
      <c r="G459" s="57" t="s">
        <v>1321</v>
      </c>
      <c r="H459" s="52" t="s">
        <v>12</v>
      </c>
      <c r="I459" s="52" t="s">
        <v>70</v>
      </c>
      <c r="J459" s="115" t="s">
        <v>13</v>
      </c>
      <c r="K459" s="70" t="s">
        <v>37</v>
      </c>
      <c r="L459" s="70">
        <v>16001</v>
      </c>
      <c r="M459" s="70" t="s">
        <v>12</v>
      </c>
      <c r="N459" s="70" t="s">
        <v>14</v>
      </c>
      <c r="O459" s="70" t="s">
        <v>14</v>
      </c>
      <c r="P459" s="70" t="s">
        <v>40</v>
      </c>
      <c r="Q459" s="70" t="s">
        <v>12</v>
      </c>
      <c r="R459" s="57" t="s">
        <v>70</v>
      </c>
      <c r="S459" s="70" t="s">
        <v>14</v>
      </c>
      <c r="T459" s="70" t="s">
        <v>12</v>
      </c>
      <c r="U459" s="70" t="s">
        <v>14</v>
      </c>
      <c r="V459" s="87"/>
      <c r="W459" s="71" t="str">
        <f t="shared" si="12"/>
        <v/>
      </c>
    </row>
    <row r="460" spans="1:27" s="71" customFormat="1" ht="17.25" customHeight="1" x14ac:dyDescent="0.35">
      <c r="A460" s="61">
        <v>16005</v>
      </c>
      <c r="B460" s="61" t="s">
        <v>932</v>
      </c>
      <c r="C460" s="105" t="s">
        <v>1534</v>
      </c>
      <c r="D460" s="52" t="s">
        <v>1534</v>
      </c>
      <c r="E460" s="88">
        <v>6</v>
      </c>
      <c r="F460" s="52" t="s">
        <v>12</v>
      </c>
      <c r="G460" s="57" t="s">
        <v>1322</v>
      </c>
      <c r="H460" s="52" t="s">
        <v>2230</v>
      </c>
      <c r="I460" s="52" t="s">
        <v>1489</v>
      </c>
      <c r="J460" s="113" t="s">
        <v>13</v>
      </c>
      <c r="K460" s="52" t="s">
        <v>25</v>
      </c>
      <c r="L460" s="52">
        <v>16001</v>
      </c>
      <c r="M460" s="52" t="s">
        <v>12</v>
      </c>
      <c r="N460" s="52" t="s">
        <v>14</v>
      </c>
      <c r="O460" s="52" t="s">
        <v>14</v>
      </c>
      <c r="P460" s="52" t="s">
        <v>40</v>
      </c>
      <c r="Q460" s="52" t="s">
        <v>12</v>
      </c>
      <c r="R460" s="57" t="s">
        <v>70</v>
      </c>
      <c r="S460" s="52" t="s">
        <v>14</v>
      </c>
      <c r="T460" s="52" t="s">
        <v>12</v>
      </c>
      <c r="U460" s="52" t="s">
        <v>14</v>
      </c>
      <c r="V460" s="87"/>
      <c r="W460" s="71" t="str">
        <f t="shared" si="12"/>
        <v/>
      </c>
    </row>
    <row r="461" spans="1:27" ht="17.25" customHeight="1" x14ac:dyDescent="0.35">
      <c r="A461" s="79">
        <v>16006</v>
      </c>
      <c r="B461" s="79" t="s">
        <v>947</v>
      </c>
      <c r="C461" s="107" t="s">
        <v>933</v>
      </c>
      <c r="D461" s="70" t="s">
        <v>933</v>
      </c>
      <c r="E461" s="92">
        <v>8</v>
      </c>
      <c r="F461" s="52" t="s">
        <v>12</v>
      </c>
      <c r="G461" s="57" t="s">
        <v>173</v>
      </c>
      <c r="H461" s="52" t="s">
        <v>12</v>
      </c>
      <c r="I461" s="52" t="s">
        <v>70</v>
      </c>
      <c r="J461" s="115" t="s">
        <v>13</v>
      </c>
      <c r="K461" s="70" t="s">
        <v>38</v>
      </c>
      <c r="L461" s="70">
        <v>16006</v>
      </c>
      <c r="M461" s="70" t="s">
        <v>12</v>
      </c>
      <c r="N461" s="70" t="s">
        <v>14</v>
      </c>
      <c r="O461" s="70" t="s">
        <v>14</v>
      </c>
      <c r="P461" s="70" t="s">
        <v>40</v>
      </c>
      <c r="Q461" s="70" t="s">
        <v>12</v>
      </c>
      <c r="R461" s="57" t="s">
        <v>70</v>
      </c>
      <c r="S461" s="70" t="s">
        <v>14</v>
      </c>
      <c r="T461" s="70" t="s">
        <v>12</v>
      </c>
      <c r="U461" s="70" t="s">
        <v>14</v>
      </c>
      <c r="V461" s="87"/>
      <c r="W461" s="71" t="str">
        <f t="shared" si="12"/>
        <v/>
      </c>
      <c r="X461" s="71"/>
      <c r="Y461" s="71"/>
      <c r="Z461" s="71"/>
      <c r="AA461" s="71"/>
    </row>
    <row r="462" spans="1:27" s="76" customFormat="1" ht="17.25" customHeight="1" x14ac:dyDescent="0.35">
      <c r="A462" s="79">
        <v>16007</v>
      </c>
      <c r="B462" s="79" t="s">
        <v>642</v>
      </c>
      <c r="C462" s="107" t="s">
        <v>670</v>
      </c>
      <c r="D462" s="70" t="s">
        <v>670</v>
      </c>
      <c r="E462" s="92">
        <v>5</v>
      </c>
      <c r="F462" s="70" t="s">
        <v>1574</v>
      </c>
      <c r="G462" s="57" t="s">
        <v>153</v>
      </c>
      <c r="H462" s="52" t="s">
        <v>12</v>
      </c>
      <c r="I462" s="52" t="s">
        <v>70</v>
      </c>
      <c r="J462" s="115" t="s">
        <v>13</v>
      </c>
      <c r="K462" s="70" t="s">
        <v>25</v>
      </c>
      <c r="L462" s="70">
        <v>14332</v>
      </c>
      <c r="M462" s="70" t="s">
        <v>12</v>
      </c>
      <c r="N462" s="70" t="s">
        <v>14</v>
      </c>
      <c r="O462" s="70" t="s">
        <v>14</v>
      </c>
      <c r="P462" s="70" t="s">
        <v>14</v>
      </c>
      <c r="Q462" s="70" t="s">
        <v>12</v>
      </c>
      <c r="R462" s="57" t="s">
        <v>12</v>
      </c>
      <c r="S462" s="70" t="s">
        <v>14</v>
      </c>
      <c r="T462" s="70" t="s">
        <v>12</v>
      </c>
      <c r="U462" s="70" t="s">
        <v>14</v>
      </c>
      <c r="V462" s="87"/>
      <c r="W462" s="53" t="str">
        <f t="shared" si="12"/>
        <v/>
      </c>
      <c r="X462" s="53"/>
      <c r="Y462" s="53"/>
      <c r="Z462" s="53"/>
      <c r="AA462" s="53"/>
    </row>
    <row r="463" spans="1:27" s="76" customFormat="1" ht="17.25" customHeight="1" x14ac:dyDescent="0.35">
      <c r="A463" s="79">
        <v>16008</v>
      </c>
      <c r="B463" s="79" t="s">
        <v>622</v>
      </c>
      <c r="C463" s="107" t="s">
        <v>618</v>
      </c>
      <c r="D463" s="70" t="s">
        <v>618</v>
      </c>
      <c r="E463" s="92">
        <v>5</v>
      </c>
      <c r="F463" s="70" t="s">
        <v>1575</v>
      </c>
      <c r="G463" s="57" t="s">
        <v>153</v>
      </c>
      <c r="H463" s="52" t="s">
        <v>12</v>
      </c>
      <c r="I463" s="52" t="s">
        <v>70</v>
      </c>
      <c r="J463" s="115" t="s">
        <v>13</v>
      </c>
      <c r="K463" s="70" t="s">
        <v>25</v>
      </c>
      <c r="L463" s="70">
        <v>14333</v>
      </c>
      <c r="M463" s="70" t="s">
        <v>12</v>
      </c>
      <c r="N463" s="70" t="s">
        <v>14</v>
      </c>
      <c r="O463" s="70" t="s">
        <v>14</v>
      </c>
      <c r="P463" s="70" t="s">
        <v>14</v>
      </c>
      <c r="Q463" s="70" t="s">
        <v>12</v>
      </c>
      <c r="R463" s="57" t="s">
        <v>12</v>
      </c>
      <c r="S463" s="70" t="s">
        <v>14</v>
      </c>
      <c r="T463" s="70" t="s">
        <v>12</v>
      </c>
      <c r="U463" s="70" t="s">
        <v>14</v>
      </c>
      <c r="V463" s="87"/>
      <c r="W463" s="71" t="str">
        <f t="shared" si="12"/>
        <v/>
      </c>
      <c r="X463" s="71"/>
      <c r="Y463" s="71"/>
      <c r="Z463" s="71"/>
      <c r="AA463" s="71"/>
    </row>
    <row r="464" spans="1:27" s="76" customFormat="1" ht="17.25" customHeight="1" x14ac:dyDescent="0.35">
      <c r="A464" s="79">
        <v>16009</v>
      </c>
      <c r="B464" s="79" t="s">
        <v>623</v>
      </c>
      <c r="C464" s="107" t="s">
        <v>618</v>
      </c>
      <c r="D464" s="70" t="s">
        <v>618</v>
      </c>
      <c r="E464" s="92">
        <v>5</v>
      </c>
      <c r="F464" s="70" t="s">
        <v>1576</v>
      </c>
      <c r="G464" s="57" t="s">
        <v>153</v>
      </c>
      <c r="H464" s="52" t="s">
        <v>12</v>
      </c>
      <c r="I464" s="52" t="s">
        <v>70</v>
      </c>
      <c r="J464" s="115" t="s">
        <v>13</v>
      </c>
      <c r="K464" s="70" t="s">
        <v>25</v>
      </c>
      <c r="L464" s="70">
        <v>14333</v>
      </c>
      <c r="M464" s="70" t="s">
        <v>12</v>
      </c>
      <c r="N464" s="70" t="s">
        <v>14</v>
      </c>
      <c r="O464" s="70" t="s">
        <v>14</v>
      </c>
      <c r="P464" s="70" t="s">
        <v>14</v>
      </c>
      <c r="Q464" s="70" t="s">
        <v>12</v>
      </c>
      <c r="R464" s="57" t="s">
        <v>12</v>
      </c>
      <c r="S464" s="70" t="s">
        <v>14</v>
      </c>
      <c r="T464" s="70" t="s">
        <v>12</v>
      </c>
      <c r="U464" s="70" t="s">
        <v>14</v>
      </c>
      <c r="V464" s="87"/>
      <c r="W464" s="71" t="str">
        <f t="shared" si="12"/>
        <v/>
      </c>
      <c r="X464" s="71"/>
      <c r="Y464" s="71"/>
      <c r="Z464" s="71"/>
      <c r="AA464" s="71"/>
    </row>
    <row r="465" spans="1:27" s="76" customFormat="1" x14ac:dyDescent="0.35">
      <c r="A465" s="60">
        <v>16010</v>
      </c>
      <c r="B465" s="60" t="s">
        <v>1672</v>
      </c>
      <c r="C465" s="105" t="s">
        <v>1481</v>
      </c>
      <c r="D465" s="52" t="s">
        <v>1481</v>
      </c>
      <c r="E465" s="88">
        <v>8</v>
      </c>
      <c r="F465" s="52" t="s">
        <v>12</v>
      </c>
      <c r="G465" s="57">
        <v>6</v>
      </c>
      <c r="H465" s="52" t="s">
        <v>2120</v>
      </c>
      <c r="I465" s="52" t="s">
        <v>1487</v>
      </c>
      <c r="J465" s="113" t="s">
        <v>13</v>
      </c>
      <c r="K465" s="52" t="s">
        <v>38</v>
      </c>
      <c r="L465" s="52">
        <v>16006</v>
      </c>
      <c r="M465" s="52" t="s">
        <v>12</v>
      </c>
      <c r="N465" s="52" t="s">
        <v>14</v>
      </c>
      <c r="O465" s="52" t="s">
        <v>14</v>
      </c>
      <c r="P465" s="52" t="s">
        <v>40</v>
      </c>
      <c r="Q465" s="52" t="s">
        <v>12</v>
      </c>
      <c r="R465" s="57" t="s">
        <v>70</v>
      </c>
      <c r="S465" s="52" t="s">
        <v>14</v>
      </c>
      <c r="T465" s="52" t="s">
        <v>12</v>
      </c>
      <c r="U465" s="52" t="s">
        <v>14</v>
      </c>
      <c r="V465" s="87"/>
      <c r="W465" s="71" t="str">
        <f t="shared" si="12"/>
        <v/>
      </c>
      <c r="X465" s="71"/>
      <c r="Y465" s="71"/>
      <c r="Z465" s="71"/>
      <c r="AA465" s="71"/>
    </row>
    <row r="466" spans="1:27" s="76" customFormat="1" x14ac:dyDescent="0.35">
      <c r="A466" s="60">
        <v>16011</v>
      </c>
      <c r="B466" s="60" t="s">
        <v>1531</v>
      </c>
      <c r="C466" s="105" t="s">
        <v>1530</v>
      </c>
      <c r="D466" s="52" t="s">
        <v>1530</v>
      </c>
      <c r="E466" s="88">
        <v>8</v>
      </c>
      <c r="F466" s="52" t="s">
        <v>12</v>
      </c>
      <c r="G466" s="57">
        <v>6</v>
      </c>
      <c r="H466" s="52" t="s">
        <v>1462</v>
      </c>
      <c r="I466" s="52" t="s">
        <v>1490</v>
      </c>
      <c r="J466" s="113" t="s">
        <v>13</v>
      </c>
      <c r="K466" s="52" t="s">
        <v>38</v>
      </c>
      <c r="L466" s="52">
        <v>16011</v>
      </c>
      <c r="M466" s="52" t="s">
        <v>12</v>
      </c>
      <c r="N466" s="52" t="s">
        <v>14</v>
      </c>
      <c r="O466" s="52" t="s">
        <v>14</v>
      </c>
      <c r="P466" s="52" t="s">
        <v>40</v>
      </c>
      <c r="Q466" s="52" t="s">
        <v>12</v>
      </c>
      <c r="R466" s="57" t="s">
        <v>70</v>
      </c>
      <c r="S466" s="52" t="s">
        <v>14</v>
      </c>
      <c r="T466" s="52" t="s">
        <v>12</v>
      </c>
      <c r="U466" s="52" t="s">
        <v>14</v>
      </c>
      <c r="V466" s="87"/>
      <c r="W466" s="71" t="str">
        <f t="shared" si="12"/>
        <v/>
      </c>
      <c r="X466" s="71"/>
      <c r="Y466" s="71"/>
      <c r="Z466" s="71"/>
      <c r="AA466" s="71"/>
    </row>
    <row r="467" spans="1:27" s="76" customFormat="1" ht="17.25" customHeight="1" x14ac:dyDescent="0.35">
      <c r="A467" s="69">
        <v>16501</v>
      </c>
      <c r="B467" s="69" t="s">
        <v>680</v>
      </c>
      <c r="C467" s="107" t="s">
        <v>724</v>
      </c>
      <c r="D467" s="70" t="s">
        <v>724</v>
      </c>
      <c r="E467" s="92">
        <v>8</v>
      </c>
      <c r="F467" s="52" t="s">
        <v>12</v>
      </c>
      <c r="G467" s="57" t="s">
        <v>173</v>
      </c>
      <c r="H467" s="52" t="s">
        <v>12</v>
      </c>
      <c r="I467" s="52" t="s">
        <v>70</v>
      </c>
      <c r="J467" s="115" t="s">
        <v>13</v>
      </c>
      <c r="K467" s="70" t="s">
        <v>37</v>
      </c>
      <c r="L467" s="70">
        <v>16501</v>
      </c>
      <c r="M467" s="70" t="s">
        <v>12</v>
      </c>
      <c r="N467" s="70" t="s">
        <v>14</v>
      </c>
      <c r="O467" s="70" t="s">
        <v>14</v>
      </c>
      <c r="P467" s="70" t="s">
        <v>40</v>
      </c>
      <c r="Q467" s="70" t="s">
        <v>12</v>
      </c>
      <c r="R467" s="57" t="s">
        <v>153</v>
      </c>
      <c r="S467" s="70" t="s">
        <v>14</v>
      </c>
      <c r="T467" s="70" t="s">
        <v>12</v>
      </c>
      <c r="U467" s="70" t="s">
        <v>14</v>
      </c>
      <c r="V467" s="87"/>
      <c r="W467" s="71" t="str">
        <f t="shared" si="12"/>
        <v/>
      </c>
      <c r="X467" s="71"/>
      <c r="Y467" s="71"/>
      <c r="Z467" s="71"/>
      <c r="AA467" s="71"/>
    </row>
    <row r="468" spans="1:27" s="76" customFormat="1" ht="17.25" customHeight="1" x14ac:dyDescent="0.35">
      <c r="A468" s="69">
        <v>16502</v>
      </c>
      <c r="B468" s="69" t="s">
        <v>679</v>
      </c>
      <c r="C468" s="107" t="s">
        <v>726</v>
      </c>
      <c r="D468" s="70" t="s">
        <v>726</v>
      </c>
      <c r="E468" s="92">
        <v>8</v>
      </c>
      <c r="F468" s="52" t="s">
        <v>12</v>
      </c>
      <c r="G468" s="57" t="s">
        <v>173</v>
      </c>
      <c r="H468" s="52" t="s">
        <v>12</v>
      </c>
      <c r="I468" s="52" t="s">
        <v>70</v>
      </c>
      <c r="J468" s="115" t="s">
        <v>13</v>
      </c>
      <c r="K468" s="70" t="s">
        <v>37</v>
      </c>
      <c r="L468" s="70">
        <v>16502</v>
      </c>
      <c r="M468" s="70" t="s">
        <v>12</v>
      </c>
      <c r="N468" s="70" t="s">
        <v>14</v>
      </c>
      <c r="O468" s="70" t="s">
        <v>14</v>
      </c>
      <c r="P468" s="70" t="s">
        <v>40</v>
      </c>
      <c r="Q468" s="70" t="s">
        <v>12</v>
      </c>
      <c r="R468" s="57" t="s">
        <v>153</v>
      </c>
      <c r="S468" s="70" t="s">
        <v>14</v>
      </c>
      <c r="T468" s="70" t="s">
        <v>12</v>
      </c>
      <c r="U468" s="70" t="s">
        <v>14</v>
      </c>
      <c r="V468" s="87"/>
      <c r="W468" s="53" t="str">
        <f t="shared" si="12"/>
        <v/>
      </c>
      <c r="X468" s="53"/>
      <c r="Y468" s="53"/>
      <c r="Z468" s="53"/>
      <c r="AA468" s="53"/>
    </row>
    <row r="469" spans="1:27" s="76" customFormat="1" ht="17.25" customHeight="1" x14ac:dyDescent="0.35">
      <c r="A469" s="79">
        <v>16503</v>
      </c>
      <c r="B469" s="79" t="s">
        <v>681</v>
      </c>
      <c r="C469" s="107" t="s">
        <v>641</v>
      </c>
      <c r="D469" s="70" t="s">
        <v>641</v>
      </c>
      <c r="E469" s="92">
        <v>8</v>
      </c>
      <c r="F469" s="52" t="s">
        <v>12</v>
      </c>
      <c r="G469" s="57" t="s">
        <v>173</v>
      </c>
      <c r="H469" s="52" t="s">
        <v>12</v>
      </c>
      <c r="I469" s="52" t="s">
        <v>70</v>
      </c>
      <c r="J469" s="115" t="s">
        <v>13</v>
      </c>
      <c r="K469" s="70" t="s">
        <v>38</v>
      </c>
      <c r="L469" s="70">
        <v>16503</v>
      </c>
      <c r="M469" s="70" t="s">
        <v>12</v>
      </c>
      <c r="N469" s="70" t="s">
        <v>14</v>
      </c>
      <c r="O469" s="70" t="s">
        <v>14</v>
      </c>
      <c r="P469" s="70" t="s">
        <v>40</v>
      </c>
      <c r="Q469" s="70" t="s">
        <v>12</v>
      </c>
      <c r="R469" s="57" t="s">
        <v>70</v>
      </c>
      <c r="S469" s="70" t="s">
        <v>14</v>
      </c>
      <c r="T469" s="70" t="s">
        <v>12</v>
      </c>
      <c r="U469" s="70" t="s">
        <v>14</v>
      </c>
      <c r="V469" s="87"/>
      <c r="W469" s="71" t="str">
        <f t="shared" si="12"/>
        <v/>
      </c>
      <c r="X469" s="71"/>
      <c r="Y469" s="71"/>
      <c r="Z469" s="71"/>
      <c r="AA469" s="71"/>
    </row>
    <row r="470" spans="1:27" s="76" customFormat="1" x14ac:dyDescent="0.35">
      <c r="A470" s="83">
        <v>16600</v>
      </c>
      <c r="B470" s="83" t="s">
        <v>1430</v>
      </c>
      <c r="C470" s="105" t="s">
        <v>1446</v>
      </c>
      <c r="D470" s="52" t="s">
        <v>1446</v>
      </c>
      <c r="E470" s="88">
        <v>5</v>
      </c>
      <c r="F470" s="52">
        <v>49301</v>
      </c>
      <c r="G470" s="57" t="s">
        <v>70</v>
      </c>
      <c r="H470" s="52" t="s">
        <v>12</v>
      </c>
      <c r="I470" s="52" t="s">
        <v>70</v>
      </c>
      <c r="J470" s="113" t="s">
        <v>13</v>
      </c>
      <c r="K470" s="52">
        <v>1</v>
      </c>
      <c r="L470" s="52">
        <v>14333</v>
      </c>
      <c r="M470" s="52" t="s">
        <v>12</v>
      </c>
      <c r="N470" s="52" t="s">
        <v>14</v>
      </c>
      <c r="O470" s="52" t="s">
        <v>31</v>
      </c>
      <c r="P470" s="52" t="s">
        <v>31</v>
      </c>
      <c r="Q470" s="52" t="s">
        <v>12</v>
      </c>
      <c r="R470" s="57" t="s">
        <v>12</v>
      </c>
      <c r="S470" s="52" t="s">
        <v>14</v>
      </c>
      <c r="T470" s="52" t="s">
        <v>12</v>
      </c>
      <c r="U470" s="52" t="s">
        <v>14</v>
      </c>
      <c r="V470" s="87"/>
      <c r="W470" s="53" t="str">
        <f t="shared" si="12"/>
        <v/>
      </c>
      <c r="X470" s="53"/>
      <c r="Y470" s="53"/>
      <c r="Z470" s="53"/>
      <c r="AA470" s="53"/>
    </row>
    <row r="471" spans="1:27" s="76" customFormat="1" x14ac:dyDescent="0.35">
      <c r="A471" s="83">
        <v>16601</v>
      </c>
      <c r="B471" s="83" t="s">
        <v>1431</v>
      </c>
      <c r="C471" s="105" t="s">
        <v>1447</v>
      </c>
      <c r="D471" s="52" t="s">
        <v>1447</v>
      </c>
      <c r="E471" s="88">
        <v>5</v>
      </c>
      <c r="F471" s="52">
        <v>49302</v>
      </c>
      <c r="G471" s="57" t="s">
        <v>70</v>
      </c>
      <c r="H471" s="52" t="s">
        <v>12</v>
      </c>
      <c r="I471" s="52" t="s">
        <v>70</v>
      </c>
      <c r="J471" s="113" t="s">
        <v>13</v>
      </c>
      <c r="K471" s="52">
        <v>1</v>
      </c>
      <c r="L471" s="52">
        <v>14333</v>
      </c>
      <c r="M471" s="52" t="s">
        <v>12</v>
      </c>
      <c r="N471" s="52" t="s">
        <v>14</v>
      </c>
      <c r="O471" s="52" t="s">
        <v>31</v>
      </c>
      <c r="P471" s="52" t="s">
        <v>31</v>
      </c>
      <c r="Q471" s="52" t="s">
        <v>12</v>
      </c>
      <c r="R471" s="57" t="s">
        <v>12</v>
      </c>
      <c r="S471" s="52" t="s">
        <v>14</v>
      </c>
      <c r="T471" s="52" t="s">
        <v>12</v>
      </c>
      <c r="U471" s="52" t="s">
        <v>14</v>
      </c>
      <c r="V471" s="87"/>
      <c r="W471" s="53" t="str">
        <f t="shared" si="12"/>
        <v/>
      </c>
      <c r="X471" s="53"/>
      <c r="Y471" s="53"/>
      <c r="Z471" s="53"/>
      <c r="AA471" s="53"/>
    </row>
    <row r="472" spans="1:27" s="76" customFormat="1" x14ac:dyDescent="0.35">
      <c r="A472" s="83">
        <v>16602</v>
      </c>
      <c r="B472" s="83" t="s">
        <v>1432</v>
      </c>
      <c r="C472" s="105" t="s">
        <v>1448</v>
      </c>
      <c r="D472" s="52" t="s">
        <v>1448</v>
      </c>
      <c r="E472" s="88">
        <v>5</v>
      </c>
      <c r="F472" s="52">
        <v>49303</v>
      </c>
      <c r="G472" s="57" t="s">
        <v>70</v>
      </c>
      <c r="H472" s="52" t="s">
        <v>12</v>
      </c>
      <c r="I472" s="52" t="s">
        <v>70</v>
      </c>
      <c r="J472" s="113" t="s">
        <v>13</v>
      </c>
      <c r="K472" s="52">
        <v>1</v>
      </c>
      <c r="L472" s="52">
        <v>14333</v>
      </c>
      <c r="M472" s="52" t="s">
        <v>12</v>
      </c>
      <c r="N472" s="52" t="s">
        <v>14</v>
      </c>
      <c r="O472" s="52" t="s">
        <v>31</v>
      </c>
      <c r="P472" s="52" t="s">
        <v>31</v>
      </c>
      <c r="Q472" s="52" t="s">
        <v>12</v>
      </c>
      <c r="R472" s="57" t="s">
        <v>12</v>
      </c>
      <c r="S472" s="52" t="s">
        <v>14</v>
      </c>
      <c r="T472" s="52" t="s">
        <v>12</v>
      </c>
      <c r="U472" s="52" t="s">
        <v>14</v>
      </c>
      <c r="V472" s="87"/>
      <c r="W472" s="53" t="str">
        <f t="shared" si="12"/>
        <v/>
      </c>
      <c r="X472" s="53"/>
      <c r="Y472" s="53"/>
      <c r="Z472" s="53"/>
      <c r="AA472" s="53"/>
    </row>
    <row r="473" spans="1:27" s="76" customFormat="1" x14ac:dyDescent="0.35">
      <c r="A473" s="83">
        <v>16603</v>
      </c>
      <c r="B473" s="83" t="s">
        <v>1433</v>
      </c>
      <c r="C473" s="105" t="s">
        <v>1449</v>
      </c>
      <c r="D473" s="52" t="s">
        <v>1449</v>
      </c>
      <c r="E473" s="88">
        <v>5</v>
      </c>
      <c r="F473" s="52">
        <v>49304</v>
      </c>
      <c r="G473" s="57" t="s">
        <v>70</v>
      </c>
      <c r="H473" s="52" t="s">
        <v>12</v>
      </c>
      <c r="I473" s="52" t="s">
        <v>70</v>
      </c>
      <c r="J473" s="113" t="s">
        <v>13</v>
      </c>
      <c r="K473" s="52">
        <v>1</v>
      </c>
      <c r="L473" s="52">
        <v>14333</v>
      </c>
      <c r="M473" s="52" t="s">
        <v>12</v>
      </c>
      <c r="N473" s="52" t="s">
        <v>14</v>
      </c>
      <c r="O473" s="52" t="s">
        <v>31</v>
      </c>
      <c r="P473" s="52" t="s">
        <v>31</v>
      </c>
      <c r="Q473" s="52" t="s">
        <v>12</v>
      </c>
      <c r="R473" s="57" t="s">
        <v>12</v>
      </c>
      <c r="S473" s="52" t="s">
        <v>14</v>
      </c>
      <c r="T473" s="52" t="s">
        <v>12</v>
      </c>
      <c r="U473" s="52" t="s">
        <v>14</v>
      </c>
      <c r="V473" s="87"/>
      <c r="W473" s="53" t="str">
        <f t="shared" si="12"/>
        <v/>
      </c>
      <c r="X473" s="53"/>
      <c r="Y473" s="53"/>
      <c r="Z473" s="53"/>
      <c r="AA473" s="53"/>
    </row>
    <row r="474" spans="1:27" s="76" customFormat="1" x14ac:dyDescent="0.35">
      <c r="A474" s="83">
        <v>16604</v>
      </c>
      <c r="B474" s="83" t="s">
        <v>1434</v>
      </c>
      <c r="C474" s="105" t="s">
        <v>1450</v>
      </c>
      <c r="D474" s="52" t="s">
        <v>1450</v>
      </c>
      <c r="E474" s="88">
        <v>5</v>
      </c>
      <c r="F474" s="52">
        <v>49305</v>
      </c>
      <c r="G474" s="57" t="s">
        <v>70</v>
      </c>
      <c r="H474" s="52" t="s">
        <v>12</v>
      </c>
      <c r="I474" s="52" t="s">
        <v>70</v>
      </c>
      <c r="J474" s="113" t="s">
        <v>13</v>
      </c>
      <c r="K474" s="52">
        <v>1</v>
      </c>
      <c r="L474" s="52">
        <v>14333</v>
      </c>
      <c r="M474" s="52" t="s">
        <v>12</v>
      </c>
      <c r="N474" s="52" t="s">
        <v>14</v>
      </c>
      <c r="O474" s="52" t="s">
        <v>31</v>
      </c>
      <c r="P474" s="52" t="s">
        <v>31</v>
      </c>
      <c r="Q474" s="52" t="s">
        <v>12</v>
      </c>
      <c r="R474" s="57" t="s">
        <v>12</v>
      </c>
      <c r="S474" s="52" t="s">
        <v>14</v>
      </c>
      <c r="T474" s="52" t="s">
        <v>12</v>
      </c>
      <c r="U474" s="52" t="s">
        <v>14</v>
      </c>
      <c r="V474" s="87"/>
      <c r="W474" s="53" t="str">
        <f t="shared" si="12"/>
        <v/>
      </c>
      <c r="X474" s="53"/>
      <c r="Y474" s="53"/>
      <c r="Z474" s="53"/>
      <c r="AA474" s="53"/>
    </row>
    <row r="475" spans="1:27" s="76" customFormat="1" x14ac:dyDescent="0.35">
      <c r="A475" s="83">
        <v>16605</v>
      </c>
      <c r="B475" s="83" t="s">
        <v>1435</v>
      </c>
      <c r="C475" s="105" t="s">
        <v>1451</v>
      </c>
      <c r="D475" s="52" t="s">
        <v>1451</v>
      </c>
      <c r="E475" s="88">
        <v>5</v>
      </c>
      <c r="F475" s="52">
        <v>49306</v>
      </c>
      <c r="G475" s="57" t="s">
        <v>70</v>
      </c>
      <c r="H475" s="52" t="s">
        <v>12</v>
      </c>
      <c r="I475" s="52" t="s">
        <v>70</v>
      </c>
      <c r="J475" s="113" t="s">
        <v>13</v>
      </c>
      <c r="K475" s="52">
        <v>1</v>
      </c>
      <c r="L475" s="52">
        <v>14333</v>
      </c>
      <c r="M475" s="52" t="s">
        <v>12</v>
      </c>
      <c r="N475" s="52" t="s">
        <v>14</v>
      </c>
      <c r="O475" s="52" t="s">
        <v>31</v>
      </c>
      <c r="P475" s="52" t="s">
        <v>31</v>
      </c>
      <c r="Q475" s="52" t="s">
        <v>12</v>
      </c>
      <c r="R475" s="57" t="s">
        <v>12</v>
      </c>
      <c r="S475" s="52" t="s">
        <v>14</v>
      </c>
      <c r="T475" s="52" t="s">
        <v>12</v>
      </c>
      <c r="U475" s="52" t="s">
        <v>14</v>
      </c>
      <c r="V475" s="87"/>
      <c r="W475" s="53" t="str">
        <f t="shared" si="12"/>
        <v/>
      </c>
      <c r="X475" s="53"/>
      <c r="Y475" s="53"/>
      <c r="Z475" s="53"/>
      <c r="AA475" s="53"/>
    </row>
    <row r="476" spans="1:27" s="76" customFormat="1" x14ac:dyDescent="0.35">
      <c r="A476" s="83">
        <v>16606</v>
      </c>
      <c r="B476" s="83" t="s">
        <v>1436</v>
      </c>
      <c r="C476" s="105" t="s">
        <v>1452</v>
      </c>
      <c r="D476" s="52" t="s">
        <v>1452</v>
      </c>
      <c r="E476" s="88">
        <v>5</v>
      </c>
      <c r="F476" s="52">
        <v>49307</v>
      </c>
      <c r="G476" s="57" t="s">
        <v>70</v>
      </c>
      <c r="H476" s="52" t="s">
        <v>12</v>
      </c>
      <c r="I476" s="52" t="s">
        <v>70</v>
      </c>
      <c r="J476" s="113" t="s">
        <v>13</v>
      </c>
      <c r="K476" s="52">
        <v>1</v>
      </c>
      <c r="L476" s="52">
        <v>14333</v>
      </c>
      <c r="M476" s="52" t="s">
        <v>12</v>
      </c>
      <c r="N476" s="52" t="s">
        <v>14</v>
      </c>
      <c r="O476" s="52" t="s">
        <v>31</v>
      </c>
      <c r="P476" s="52" t="s">
        <v>31</v>
      </c>
      <c r="Q476" s="52" t="s">
        <v>12</v>
      </c>
      <c r="R476" s="57" t="s">
        <v>12</v>
      </c>
      <c r="S476" s="52" t="s">
        <v>14</v>
      </c>
      <c r="T476" s="52" t="s">
        <v>12</v>
      </c>
      <c r="U476" s="52" t="s">
        <v>14</v>
      </c>
      <c r="V476" s="87"/>
      <c r="W476" s="53" t="str">
        <f t="shared" si="12"/>
        <v/>
      </c>
      <c r="X476" s="53"/>
      <c r="Y476" s="53"/>
      <c r="Z476" s="53"/>
      <c r="AA476" s="53"/>
    </row>
    <row r="477" spans="1:27" s="76" customFormat="1" x14ac:dyDescent="0.35">
      <c r="A477" s="83">
        <v>16607</v>
      </c>
      <c r="B477" s="83" t="s">
        <v>1437</v>
      </c>
      <c r="C477" s="105" t="s">
        <v>1453</v>
      </c>
      <c r="D477" s="52" t="s">
        <v>1453</v>
      </c>
      <c r="E477" s="88">
        <v>5</v>
      </c>
      <c r="F477" s="52">
        <v>49308</v>
      </c>
      <c r="G477" s="57" t="s">
        <v>70</v>
      </c>
      <c r="H477" s="52" t="s">
        <v>12</v>
      </c>
      <c r="I477" s="52" t="s">
        <v>70</v>
      </c>
      <c r="J477" s="113" t="s">
        <v>13</v>
      </c>
      <c r="K477" s="52">
        <v>1</v>
      </c>
      <c r="L477" s="52">
        <v>14333</v>
      </c>
      <c r="M477" s="52" t="s">
        <v>12</v>
      </c>
      <c r="N477" s="52" t="s">
        <v>14</v>
      </c>
      <c r="O477" s="52" t="s">
        <v>31</v>
      </c>
      <c r="P477" s="52" t="s">
        <v>31</v>
      </c>
      <c r="Q477" s="52" t="s">
        <v>12</v>
      </c>
      <c r="R477" s="57" t="s">
        <v>12</v>
      </c>
      <c r="S477" s="52" t="s">
        <v>14</v>
      </c>
      <c r="T477" s="52" t="s">
        <v>12</v>
      </c>
      <c r="U477" s="52" t="s">
        <v>14</v>
      </c>
      <c r="V477" s="87"/>
      <c r="W477" s="53" t="str">
        <f t="shared" si="12"/>
        <v/>
      </c>
      <c r="X477" s="53"/>
      <c r="Y477" s="53"/>
      <c r="Z477" s="53"/>
      <c r="AA477" s="53"/>
    </row>
    <row r="478" spans="1:27" s="76" customFormat="1" x14ac:dyDescent="0.35">
      <c r="A478" s="83">
        <v>16608</v>
      </c>
      <c r="B478" s="83" t="s">
        <v>1438</v>
      </c>
      <c r="C478" s="105" t="s">
        <v>1454</v>
      </c>
      <c r="D478" s="52" t="s">
        <v>1454</v>
      </c>
      <c r="E478" s="88">
        <v>5</v>
      </c>
      <c r="F478" s="52">
        <v>49309</v>
      </c>
      <c r="G478" s="57" t="s">
        <v>70</v>
      </c>
      <c r="H478" s="52" t="s">
        <v>12</v>
      </c>
      <c r="I478" s="52" t="s">
        <v>70</v>
      </c>
      <c r="J478" s="113" t="s">
        <v>13</v>
      </c>
      <c r="K478" s="52">
        <v>1</v>
      </c>
      <c r="L478" s="52">
        <v>14333</v>
      </c>
      <c r="M478" s="52" t="s">
        <v>12</v>
      </c>
      <c r="N478" s="52" t="s">
        <v>14</v>
      </c>
      <c r="O478" s="52" t="s">
        <v>31</v>
      </c>
      <c r="P478" s="52" t="s">
        <v>31</v>
      </c>
      <c r="Q478" s="52" t="s">
        <v>12</v>
      </c>
      <c r="R478" s="57" t="s">
        <v>12</v>
      </c>
      <c r="S478" s="52" t="s">
        <v>14</v>
      </c>
      <c r="T478" s="52" t="s">
        <v>12</v>
      </c>
      <c r="U478" s="52" t="s">
        <v>14</v>
      </c>
      <c r="V478" s="87"/>
      <c r="W478" s="53" t="str">
        <f t="shared" si="12"/>
        <v/>
      </c>
      <c r="X478" s="53"/>
      <c r="Y478" s="53"/>
      <c r="Z478" s="53"/>
      <c r="AA478" s="53"/>
    </row>
    <row r="479" spans="1:27" s="76" customFormat="1" x14ac:dyDescent="0.35">
      <c r="A479" s="83">
        <v>16609</v>
      </c>
      <c r="B479" s="83" t="s">
        <v>1439</v>
      </c>
      <c r="C479" s="105" t="s">
        <v>1455</v>
      </c>
      <c r="D479" s="52" t="s">
        <v>1455</v>
      </c>
      <c r="E479" s="88">
        <v>5</v>
      </c>
      <c r="F479" s="52">
        <v>49310</v>
      </c>
      <c r="G479" s="57" t="s">
        <v>70</v>
      </c>
      <c r="H479" s="52" t="s">
        <v>12</v>
      </c>
      <c r="I479" s="52" t="s">
        <v>70</v>
      </c>
      <c r="J479" s="113" t="s">
        <v>13</v>
      </c>
      <c r="K479" s="52">
        <v>1</v>
      </c>
      <c r="L479" s="52">
        <v>14333</v>
      </c>
      <c r="M479" s="52" t="s">
        <v>12</v>
      </c>
      <c r="N479" s="52" t="s">
        <v>14</v>
      </c>
      <c r="O479" s="52" t="s">
        <v>31</v>
      </c>
      <c r="P479" s="52" t="s">
        <v>31</v>
      </c>
      <c r="Q479" s="52" t="s">
        <v>12</v>
      </c>
      <c r="R479" s="57" t="s">
        <v>12</v>
      </c>
      <c r="S479" s="52" t="s">
        <v>14</v>
      </c>
      <c r="T479" s="52" t="s">
        <v>12</v>
      </c>
      <c r="U479" s="52" t="s">
        <v>14</v>
      </c>
      <c r="V479" s="87"/>
      <c r="W479" s="53" t="str">
        <f t="shared" si="12"/>
        <v/>
      </c>
      <c r="X479" s="53"/>
      <c r="Y479" s="53"/>
      <c r="Z479" s="53"/>
      <c r="AA479" s="53"/>
    </row>
    <row r="480" spans="1:27" s="76" customFormat="1" x14ac:dyDescent="0.35">
      <c r="A480" s="83">
        <v>16610</v>
      </c>
      <c r="B480" s="83" t="s">
        <v>1440</v>
      </c>
      <c r="C480" s="105" t="s">
        <v>1456</v>
      </c>
      <c r="D480" s="52" t="s">
        <v>1456</v>
      </c>
      <c r="E480" s="88">
        <v>5</v>
      </c>
      <c r="F480" s="52">
        <v>49311</v>
      </c>
      <c r="G480" s="57" t="s">
        <v>70</v>
      </c>
      <c r="H480" s="52" t="s">
        <v>12</v>
      </c>
      <c r="I480" s="52" t="s">
        <v>70</v>
      </c>
      <c r="J480" s="113" t="s">
        <v>13</v>
      </c>
      <c r="K480" s="52">
        <v>1</v>
      </c>
      <c r="L480" s="52">
        <v>14333</v>
      </c>
      <c r="M480" s="52" t="s">
        <v>12</v>
      </c>
      <c r="N480" s="52" t="s">
        <v>14</v>
      </c>
      <c r="O480" s="52" t="s">
        <v>31</v>
      </c>
      <c r="P480" s="52" t="s">
        <v>31</v>
      </c>
      <c r="Q480" s="52" t="s">
        <v>12</v>
      </c>
      <c r="R480" s="57" t="s">
        <v>12</v>
      </c>
      <c r="S480" s="52" t="s">
        <v>14</v>
      </c>
      <c r="T480" s="52" t="s">
        <v>12</v>
      </c>
      <c r="U480" s="52" t="s">
        <v>14</v>
      </c>
      <c r="V480" s="87"/>
      <c r="W480" s="53" t="str">
        <f t="shared" si="12"/>
        <v/>
      </c>
      <c r="X480" s="53"/>
      <c r="Y480" s="53"/>
      <c r="Z480" s="53"/>
      <c r="AA480" s="53"/>
    </row>
    <row r="481" spans="1:27" s="76" customFormat="1" x14ac:dyDescent="0.35">
      <c r="A481" s="83">
        <v>16611</v>
      </c>
      <c r="B481" s="83" t="s">
        <v>1441</v>
      </c>
      <c r="C481" s="105" t="s">
        <v>1457</v>
      </c>
      <c r="D481" s="52" t="s">
        <v>1457</v>
      </c>
      <c r="E481" s="88">
        <v>5</v>
      </c>
      <c r="F481" s="52">
        <v>49312</v>
      </c>
      <c r="G481" s="57" t="s">
        <v>70</v>
      </c>
      <c r="H481" s="52" t="s">
        <v>12</v>
      </c>
      <c r="I481" s="52" t="s">
        <v>70</v>
      </c>
      <c r="J481" s="113" t="s">
        <v>13</v>
      </c>
      <c r="K481" s="52">
        <v>1</v>
      </c>
      <c r="L481" s="52">
        <v>14333</v>
      </c>
      <c r="M481" s="52" t="s">
        <v>12</v>
      </c>
      <c r="N481" s="52" t="s">
        <v>14</v>
      </c>
      <c r="O481" s="52" t="s">
        <v>31</v>
      </c>
      <c r="P481" s="52" t="s">
        <v>31</v>
      </c>
      <c r="Q481" s="52" t="s">
        <v>12</v>
      </c>
      <c r="R481" s="57" t="s">
        <v>12</v>
      </c>
      <c r="S481" s="52" t="s">
        <v>14</v>
      </c>
      <c r="T481" s="52" t="s">
        <v>12</v>
      </c>
      <c r="U481" s="52" t="s">
        <v>14</v>
      </c>
      <c r="V481" s="87"/>
      <c r="W481" s="53" t="str">
        <f t="shared" si="12"/>
        <v/>
      </c>
      <c r="X481" s="53"/>
      <c r="Y481" s="53"/>
      <c r="Z481" s="53"/>
      <c r="AA481" s="53"/>
    </row>
    <row r="482" spans="1:27" s="76" customFormat="1" x14ac:dyDescent="0.35">
      <c r="A482" s="83">
        <v>16612</v>
      </c>
      <c r="B482" s="83" t="s">
        <v>1442</v>
      </c>
      <c r="C482" s="105" t="s">
        <v>1458</v>
      </c>
      <c r="D482" s="52" t="s">
        <v>1458</v>
      </c>
      <c r="E482" s="88">
        <v>5</v>
      </c>
      <c r="F482" s="52">
        <v>49313</v>
      </c>
      <c r="G482" s="57" t="s">
        <v>70</v>
      </c>
      <c r="H482" s="52" t="s">
        <v>12</v>
      </c>
      <c r="I482" s="52" t="s">
        <v>70</v>
      </c>
      <c r="J482" s="113" t="s">
        <v>13</v>
      </c>
      <c r="K482" s="52">
        <v>1</v>
      </c>
      <c r="L482" s="52">
        <v>14333</v>
      </c>
      <c r="M482" s="52" t="s">
        <v>12</v>
      </c>
      <c r="N482" s="52" t="s">
        <v>14</v>
      </c>
      <c r="O482" s="52" t="s">
        <v>31</v>
      </c>
      <c r="P482" s="52" t="s">
        <v>31</v>
      </c>
      <c r="Q482" s="52" t="s">
        <v>12</v>
      </c>
      <c r="R482" s="57" t="s">
        <v>12</v>
      </c>
      <c r="S482" s="52" t="s">
        <v>14</v>
      </c>
      <c r="T482" s="52" t="s">
        <v>12</v>
      </c>
      <c r="U482" s="52" t="s">
        <v>14</v>
      </c>
      <c r="V482" s="87"/>
      <c r="W482" s="53" t="str">
        <f t="shared" si="12"/>
        <v/>
      </c>
      <c r="X482" s="53"/>
      <c r="Y482" s="53"/>
      <c r="Z482" s="53"/>
      <c r="AA482" s="53"/>
    </row>
    <row r="483" spans="1:27" s="76" customFormat="1" x14ac:dyDescent="0.35">
      <c r="A483" s="83">
        <v>16613</v>
      </c>
      <c r="B483" s="83" t="s">
        <v>1443</v>
      </c>
      <c r="C483" s="105" t="s">
        <v>1459</v>
      </c>
      <c r="D483" s="52" t="s">
        <v>1459</v>
      </c>
      <c r="E483" s="88">
        <v>5</v>
      </c>
      <c r="F483" s="52">
        <v>49314</v>
      </c>
      <c r="G483" s="57" t="s">
        <v>70</v>
      </c>
      <c r="H483" s="52" t="s">
        <v>12</v>
      </c>
      <c r="I483" s="52" t="s">
        <v>70</v>
      </c>
      <c r="J483" s="113" t="s">
        <v>13</v>
      </c>
      <c r="K483" s="52">
        <v>1</v>
      </c>
      <c r="L483" s="52">
        <v>14333</v>
      </c>
      <c r="M483" s="52" t="s">
        <v>12</v>
      </c>
      <c r="N483" s="52" t="s">
        <v>14</v>
      </c>
      <c r="O483" s="52" t="s">
        <v>31</v>
      </c>
      <c r="P483" s="52" t="s">
        <v>31</v>
      </c>
      <c r="Q483" s="52" t="s">
        <v>12</v>
      </c>
      <c r="R483" s="57" t="s">
        <v>12</v>
      </c>
      <c r="S483" s="52" t="s">
        <v>14</v>
      </c>
      <c r="T483" s="52" t="s">
        <v>12</v>
      </c>
      <c r="U483" s="52" t="s">
        <v>14</v>
      </c>
      <c r="V483" s="87"/>
      <c r="W483" s="53" t="str">
        <f t="shared" si="12"/>
        <v/>
      </c>
      <c r="X483" s="53"/>
      <c r="Y483" s="53"/>
      <c r="Z483" s="53"/>
      <c r="AA483" s="53"/>
    </row>
    <row r="484" spans="1:27" s="76" customFormat="1" x14ac:dyDescent="0.35">
      <c r="A484" s="83">
        <v>16614</v>
      </c>
      <c r="B484" s="83" t="s">
        <v>1444</v>
      </c>
      <c r="C484" s="105" t="s">
        <v>1460</v>
      </c>
      <c r="D484" s="52" t="s">
        <v>1460</v>
      </c>
      <c r="E484" s="88">
        <v>5</v>
      </c>
      <c r="F484" s="52">
        <v>49315</v>
      </c>
      <c r="G484" s="57" t="s">
        <v>70</v>
      </c>
      <c r="H484" s="52" t="s">
        <v>12</v>
      </c>
      <c r="I484" s="52" t="s">
        <v>70</v>
      </c>
      <c r="J484" s="113" t="s">
        <v>13</v>
      </c>
      <c r="K484" s="52">
        <v>1</v>
      </c>
      <c r="L484" s="52">
        <v>14333</v>
      </c>
      <c r="M484" s="52" t="s">
        <v>12</v>
      </c>
      <c r="N484" s="52" t="s">
        <v>14</v>
      </c>
      <c r="O484" s="52" t="s">
        <v>31</v>
      </c>
      <c r="P484" s="52" t="s">
        <v>31</v>
      </c>
      <c r="Q484" s="52" t="s">
        <v>12</v>
      </c>
      <c r="R484" s="57" t="s">
        <v>12</v>
      </c>
      <c r="S484" s="52" t="s">
        <v>14</v>
      </c>
      <c r="T484" s="52" t="s">
        <v>12</v>
      </c>
      <c r="U484" s="52" t="s">
        <v>14</v>
      </c>
      <c r="V484" s="87"/>
      <c r="W484" s="53" t="str">
        <f t="shared" si="12"/>
        <v/>
      </c>
      <c r="X484" s="53"/>
      <c r="Y484" s="53"/>
      <c r="Z484" s="53"/>
      <c r="AA484" s="53"/>
    </row>
    <row r="485" spans="1:27" s="76" customFormat="1" x14ac:dyDescent="0.35">
      <c r="A485" s="83">
        <v>16615</v>
      </c>
      <c r="B485" s="83" t="s">
        <v>1445</v>
      </c>
      <c r="C485" s="105" t="s">
        <v>1461</v>
      </c>
      <c r="D485" s="52" t="s">
        <v>1461</v>
      </c>
      <c r="E485" s="88">
        <v>5</v>
      </c>
      <c r="F485" s="52">
        <v>49316</v>
      </c>
      <c r="G485" s="57" t="s">
        <v>70</v>
      </c>
      <c r="H485" s="52" t="s">
        <v>12</v>
      </c>
      <c r="I485" s="52" t="s">
        <v>70</v>
      </c>
      <c r="J485" s="113" t="s">
        <v>13</v>
      </c>
      <c r="K485" s="52">
        <v>1</v>
      </c>
      <c r="L485" s="52">
        <v>14333</v>
      </c>
      <c r="M485" s="52" t="s">
        <v>12</v>
      </c>
      <c r="N485" s="52" t="s">
        <v>14</v>
      </c>
      <c r="O485" s="52" t="s">
        <v>31</v>
      </c>
      <c r="P485" s="52" t="s">
        <v>31</v>
      </c>
      <c r="Q485" s="52" t="s">
        <v>12</v>
      </c>
      <c r="R485" s="57" t="s">
        <v>12</v>
      </c>
      <c r="S485" s="52" t="s">
        <v>14</v>
      </c>
      <c r="T485" s="52" t="s">
        <v>12</v>
      </c>
      <c r="U485" s="52" t="s">
        <v>14</v>
      </c>
      <c r="V485" s="87"/>
      <c r="W485" s="53" t="str">
        <f t="shared" si="12"/>
        <v/>
      </c>
      <c r="X485" s="53"/>
      <c r="Y485" s="53"/>
      <c r="Z485" s="53"/>
      <c r="AA485" s="53"/>
    </row>
    <row r="486" spans="1:27" s="76" customFormat="1" x14ac:dyDescent="0.35">
      <c r="A486" s="60">
        <v>17000</v>
      </c>
      <c r="B486" s="60" t="s">
        <v>1002</v>
      </c>
      <c r="C486" s="105" t="s">
        <v>1533</v>
      </c>
      <c r="D486" s="52" t="s">
        <v>1533</v>
      </c>
      <c r="E486" s="88">
        <v>8</v>
      </c>
      <c r="F486" s="52" t="s">
        <v>12</v>
      </c>
      <c r="G486" s="57">
        <v>3</v>
      </c>
      <c r="H486" s="52" t="s">
        <v>1469</v>
      </c>
      <c r="I486" s="52" t="s">
        <v>1487</v>
      </c>
      <c r="J486" s="113" t="s">
        <v>13</v>
      </c>
      <c r="K486" s="52">
        <v>2</v>
      </c>
      <c r="L486" s="52">
        <v>17000</v>
      </c>
      <c r="M486" s="52" t="s">
        <v>12</v>
      </c>
      <c r="N486" s="52" t="s">
        <v>14</v>
      </c>
      <c r="O486" s="52" t="s">
        <v>14</v>
      </c>
      <c r="P486" s="52" t="s">
        <v>31</v>
      </c>
      <c r="Q486" s="52" t="s">
        <v>12</v>
      </c>
      <c r="R486" s="57" t="s">
        <v>70</v>
      </c>
      <c r="S486" s="52" t="s">
        <v>14</v>
      </c>
      <c r="T486" s="52" t="s">
        <v>12</v>
      </c>
      <c r="U486" s="52" t="s">
        <v>14</v>
      </c>
      <c r="V486" s="87"/>
      <c r="W486" s="71" t="str">
        <f t="shared" si="12"/>
        <v/>
      </c>
      <c r="X486" s="71"/>
      <c r="Y486" s="71"/>
      <c r="Z486" s="71"/>
      <c r="AA486" s="71"/>
    </row>
    <row r="487" spans="1:27" s="76" customFormat="1" x14ac:dyDescent="0.35">
      <c r="A487" s="61">
        <v>17001</v>
      </c>
      <c r="B487" s="61" t="s">
        <v>1628</v>
      </c>
      <c r="C487" s="105" t="s">
        <v>2135</v>
      </c>
      <c r="D487" s="52" t="s">
        <v>2134</v>
      </c>
      <c r="E487" s="88">
        <v>8</v>
      </c>
      <c r="F487" s="52" t="s">
        <v>12</v>
      </c>
      <c r="G487" s="57" t="s">
        <v>1323</v>
      </c>
      <c r="H487" s="52" t="s">
        <v>1470</v>
      </c>
      <c r="I487" s="52" t="s">
        <v>1487</v>
      </c>
      <c r="J487" s="113" t="s">
        <v>13</v>
      </c>
      <c r="K487" s="52">
        <v>3</v>
      </c>
      <c r="L487" s="52">
        <v>17001</v>
      </c>
      <c r="M487" s="52" t="s">
        <v>12</v>
      </c>
      <c r="N487" s="52" t="s">
        <v>14</v>
      </c>
      <c r="O487" s="52" t="s">
        <v>14</v>
      </c>
      <c r="P487" s="52" t="s">
        <v>31</v>
      </c>
      <c r="Q487" s="52" t="s">
        <v>12</v>
      </c>
      <c r="R487" s="57" t="s">
        <v>70</v>
      </c>
      <c r="S487" s="52" t="s">
        <v>14</v>
      </c>
      <c r="T487" s="52" t="s">
        <v>12</v>
      </c>
      <c r="U487" s="52" t="s">
        <v>14</v>
      </c>
      <c r="V487" s="87"/>
      <c r="W487" s="71" t="str">
        <f t="shared" si="12"/>
        <v/>
      </c>
      <c r="X487" s="71"/>
      <c r="Y487" s="71"/>
      <c r="Z487" s="71"/>
      <c r="AA487" s="71"/>
    </row>
    <row r="488" spans="1:27" s="76" customFormat="1" x14ac:dyDescent="0.35">
      <c r="A488" s="95">
        <v>17002</v>
      </c>
      <c r="B488" s="95" t="s">
        <v>1671</v>
      </c>
      <c r="C488" s="95" t="s">
        <v>2075</v>
      </c>
      <c r="D488" s="95" t="s">
        <v>2074</v>
      </c>
      <c r="E488" s="88">
        <v>8</v>
      </c>
      <c r="F488" s="52" t="s">
        <v>12</v>
      </c>
      <c r="G488" s="57" t="s">
        <v>2073</v>
      </c>
      <c r="H488" s="52" t="s">
        <v>2073</v>
      </c>
      <c r="I488" s="52" t="s">
        <v>1487</v>
      </c>
      <c r="J488" s="113" t="s">
        <v>13</v>
      </c>
      <c r="K488" s="52">
        <v>4</v>
      </c>
      <c r="L488" s="52">
        <v>14340</v>
      </c>
      <c r="M488" s="52" t="s">
        <v>12</v>
      </c>
      <c r="N488" s="52" t="s">
        <v>14</v>
      </c>
      <c r="O488" s="52" t="s">
        <v>14</v>
      </c>
      <c r="P488" s="52" t="s">
        <v>31</v>
      </c>
      <c r="Q488" s="52" t="s">
        <v>12</v>
      </c>
      <c r="R488" s="57" t="s">
        <v>70</v>
      </c>
      <c r="S488" s="52" t="s">
        <v>14</v>
      </c>
      <c r="T488" s="52" t="s">
        <v>12</v>
      </c>
      <c r="U488" s="52" t="s">
        <v>14</v>
      </c>
      <c r="V488" s="87"/>
      <c r="W488" s="53" t="str">
        <f t="shared" si="12"/>
        <v/>
      </c>
      <c r="X488" s="53"/>
      <c r="Y488" s="53"/>
      <c r="Z488" s="53"/>
      <c r="AA488" s="53"/>
    </row>
    <row r="489" spans="1:27" s="76" customFormat="1" x14ac:dyDescent="0.35">
      <c r="A489" s="110">
        <v>17101</v>
      </c>
      <c r="B489" s="110" t="s">
        <v>1903</v>
      </c>
      <c r="C489" s="108" t="s">
        <v>1947</v>
      </c>
      <c r="D489" s="57" t="s">
        <v>1947</v>
      </c>
      <c r="E489" s="93">
        <v>21</v>
      </c>
      <c r="F489" s="57" t="s">
        <v>12</v>
      </c>
      <c r="G489" s="57" t="s">
        <v>70</v>
      </c>
      <c r="H489" s="57" t="s">
        <v>1946</v>
      </c>
      <c r="I489" s="57" t="s">
        <v>70</v>
      </c>
      <c r="J489" s="116">
        <v>1</v>
      </c>
      <c r="K489" s="57">
        <v>4</v>
      </c>
      <c r="L489" s="57">
        <v>1300</v>
      </c>
      <c r="M489" s="57" t="s">
        <v>12</v>
      </c>
      <c r="N489" s="57" t="s">
        <v>14</v>
      </c>
      <c r="O489" s="57" t="s">
        <v>14</v>
      </c>
      <c r="P489" s="57" t="s">
        <v>31</v>
      </c>
      <c r="Q489" s="57" t="s">
        <v>12</v>
      </c>
      <c r="R489" s="57" t="s">
        <v>12</v>
      </c>
      <c r="S489" s="57">
        <v>0</v>
      </c>
      <c r="T489" s="57" t="s">
        <v>12</v>
      </c>
      <c r="U489" s="57">
        <v>0</v>
      </c>
      <c r="V489" s="87"/>
      <c r="W489" s="76" t="str">
        <f t="shared" si="12"/>
        <v/>
      </c>
      <c r="Z489" s="76">
        <v>20</v>
      </c>
      <c r="AA489" s="76">
        <v>6</v>
      </c>
    </row>
    <row r="490" spans="1:27" x14ac:dyDescent="0.35">
      <c r="A490" s="56">
        <v>17102</v>
      </c>
      <c r="B490" s="56" t="s">
        <v>2072</v>
      </c>
      <c r="C490" s="105" t="s">
        <v>2071</v>
      </c>
      <c r="D490" s="52" t="s">
        <v>2070</v>
      </c>
      <c r="E490" s="88">
        <v>21</v>
      </c>
      <c r="F490" s="52" t="s">
        <v>12</v>
      </c>
      <c r="G490" s="57" t="s">
        <v>70</v>
      </c>
      <c r="H490" s="52" t="s">
        <v>1946</v>
      </c>
      <c r="I490" s="52" t="s">
        <v>70</v>
      </c>
      <c r="J490" s="113">
        <v>1</v>
      </c>
      <c r="K490" s="52">
        <v>4</v>
      </c>
      <c r="L490" s="52">
        <v>17102</v>
      </c>
      <c r="M490" s="52" t="s">
        <v>12</v>
      </c>
      <c r="N490" s="86" t="s">
        <v>14</v>
      </c>
      <c r="O490" s="52" t="s">
        <v>14</v>
      </c>
      <c r="P490" s="52" t="s">
        <v>31</v>
      </c>
      <c r="Q490" s="52" t="s">
        <v>12</v>
      </c>
      <c r="R490" s="57" t="s">
        <v>12</v>
      </c>
      <c r="S490" s="52">
        <v>0</v>
      </c>
      <c r="T490" s="52" t="s">
        <v>12</v>
      </c>
      <c r="U490" s="52">
        <v>0</v>
      </c>
      <c r="V490" s="87"/>
      <c r="W490" s="53" t="str">
        <f t="shared" si="12"/>
        <v/>
      </c>
      <c r="Z490" s="53">
        <v>16</v>
      </c>
      <c r="AA490" s="53">
        <v>5</v>
      </c>
    </row>
    <row r="491" spans="1:27" x14ac:dyDescent="0.35">
      <c r="A491" s="56">
        <v>17103</v>
      </c>
      <c r="B491" s="56" t="s">
        <v>1904</v>
      </c>
      <c r="C491" s="105" t="s">
        <v>1948</v>
      </c>
      <c r="D491" s="52" t="s">
        <v>1948</v>
      </c>
      <c r="E491" s="88">
        <v>21</v>
      </c>
      <c r="F491" s="52" t="s">
        <v>12</v>
      </c>
      <c r="G491" s="57" t="s">
        <v>70</v>
      </c>
      <c r="H491" s="52" t="s">
        <v>1946</v>
      </c>
      <c r="I491" s="52" t="s">
        <v>70</v>
      </c>
      <c r="J491" s="113">
        <v>1</v>
      </c>
      <c r="K491" s="52">
        <v>5</v>
      </c>
      <c r="L491" s="52">
        <v>1102</v>
      </c>
      <c r="M491" s="52" t="s">
        <v>12</v>
      </c>
      <c r="N491" s="86" t="s">
        <v>14</v>
      </c>
      <c r="O491" s="52" t="s">
        <v>14</v>
      </c>
      <c r="P491" s="52" t="s">
        <v>31</v>
      </c>
      <c r="Q491" s="52" t="s">
        <v>12</v>
      </c>
      <c r="R491" s="57" t="s">
        <v>12</v>
      </c>
      <c r="S491" s="52">
        <v>0</v>
      </c>
      <c r="T491" s="52" t="s">
        <v>12</v>
      </c>
      <c r="U491" s="52">
        <v>0</v>
      </c>
      <c r="V491" s="87"/>
      <c r="W491" s="53" t="str">
        <f t="shared" si="12"/>
        <v/>
      </c>
      <c r="Z491" s="53">
        <v>13</v>
      </c>
      <c r="AA491" s="53">
        <v>4</v>
      </c>
    </row>
    <row r="492" spans="1:27" x14ac:dyDescent="0.35">
      <c r="A492" s="56">
        <v>17104</v>
      </c>
      <c r="B492" s="56" t="s">
        <v>1905</v>
      </c>
      <c r="C492" s="105" t="s">
        <v>1949</v>
      </c>
      <c r="D492" s="52" t="s">
        <v>1949</v>
      </c>
      <c r="E492" s="88">
        <v>21</v>
      </c>
      <c r="F492" s="52" t="s">
        <v>12</v>
      </c>
      <c r="G492" s="57" t="s">
        <v>70</v>
      </c>
      <c r="H492" s="52" t="s">
        <v>2177</v>
      </c>
      <c r="I492" s="52" t="s">
        <v>70</v>
      </c>
      <c r="J492" s="113">
        <v>1</v>
      </c>
      <c r="K492" s="52">
        <v>6</v>
      </c>
      <c r="L492" s="52">
        <v>1211</v>
      </c>
      <c r="M492" s="52" t="s">
        <v>12</v>
      </c>
      <c r="N492" s="86" t="s">
        <v>14</v>
      </c>
      <c r="O492" s="52" t="s">
        <v>14</v>
      </c>
      <c r="P492" s="52" t="s">
        <v>31</v>
      </c>
      <c r="Q492" s="52" t="s">
        <v>12</v>
      </c>
      <c r="R492" s="57" t="s">
        <v>12</v>
      </c>
      <c r="S492" s="52">
        <v>0</v>
      </c>
      <c r="T492" s="52" t="s">
        <v>12</v>
      </c>
      <c r="U492" s="52">
        <v>0</v>
      </c>
      <c r="V492" s="87"/>
      <c r="W492" s="53" t="str">
        <f t="shared" ref="W492:W533" si="13">IF(V492="","",VLOOKUP(V492,$Z$419:$AA$443,2,0))</f>
        <v/>
      </c>
      <c r="Z492" s="53">
        <v>11</v>
      </c>
      <c r="AA492" s="53">
        <v>3</v>
      </c>
    </row>
    <row r="493" spans="1:27" x14ac:dyDescent="0.35">
      <c r="A493" s="56">
        <v>17105</v>
      </c>
      <c r="B493" s="56" t="s">
        <v>1906</v>
      </c>
      <c r="C493" s="105" t="s">
        <v>1950</v>
      </c>
      <c r="D493" s="52" t="s">
        <v>1950</v>
      </c>
      <c r="E493" s="88">
        <v>21</v>
      </c>
      <c r="F493" s="52" t="s">
        <v>12</v>
      </c>
      <c r="G493" s="57" t="s">
        <v>70</v>
      </c>
      <c r="H493" s="52" t="s">
        <v>2177</v>
      </c>
      <c r="I493" s="52" t="s">
        <v>70</v>
      </c>
      <c r="J493" s="113">
        <v>1</v>
      </c>
      <c r="K493" s="52">
        <v>6</v>
      </c>
      <c r="L493" s="52">
        <v>1101</v>
      </c>
      <c r="M493" s="52" t="s">
        <v>12</v>
      </c>
      <c r="N493" s="86" t="s">
        <v>14</v>
      </c>
      <c r="O493" s="52" t="s">
        <v>14</v>
      </c>
      <c r="P493" s="52" t="s">
        <v>31</v>
      </c>
      <c r="Q493" s="52" t="s">
        <v>12</v>
      </c>
      <c r="R493" s="57" t="s">
        <v>12</v>
      </c>
      <c r="S493" s="52">
        <v>0</v>
      </c>
      <c r="T493" s="52" t="s">
        <v>12</v>
      </c>
      <c r="U493" s="52">
        <v>0</v>
      </c>
      <c r="V493" s="87"/>
      <c r="W493" s="53" t="str">
        <f t="shared" si="13"/>
        <v/>
      </c>
      <c r="Z493" s="53">
        <v>6</v>
      </c>
      <c r="AA493" s="53">
        <v>2</v>
      </c>
    </row>
    <row r="494" spans="1:27" x14ac:dyDescent="0.35">
      <c r="A494" s="56">
        <v>17106</v>
      </c>
      <c r="B494" s="56" t="s">
        <v>1907</v>
      </c>
      <c r="C494" s="105" t="s">
        <v>1951</v>
      </c>
      <c r="D494" s="52" t="s">
        <v>1951</v>
      </c>
      <c r="E494" s="88">
        <v>21</v>
      </c>
      <c r="F494" s="52" t="s">
        <v>12</v>
      </c>
      <c r="G494" s="57" t="s">
        <v>70</v>
      </c>
      <c r="H494" s="52" t="s">
        <v>1946</v>
      </c>
      <c r="I494" s="52" t="s">
        <v>70</v>
      </c>
      <c r="J494" s="113">
        <v>1</v>
      </c>
      <c r="K494" s="52">
        <v>5</v>
      </c>
      <c r="L494" s="52">
        <v>1108</v>
      </c>
      <c r="M494" s="52" t="s">
        <v>12</v>
      </c>
      <c r="N494" s="86" t="s">
        <v>14</v>
      </c>
      <c r="O494" s="52" t="s">
        <v>14</v>
      </c>
      <c r="P494" s="52" t="s">
        <v>31</v>
      </c>
      <c r="Q494" s="52" t="s">
        <v>12</v>
      </c>
      <c r="R494" s="57" t="s">
        <v>12</v>
      </c>
      <c r="S494" s="52">
        <v>0</v>
      </c>
      <c r="T494" s="52" t="s">
        <v>12</v>
      </c>
      <c r="U494" s="52">
        <v>0</v>
      </c>
      <c r="V494" s="87"/>
      <c r="W494" s="53" t="str">
        <f t="shared" si="13"/>
        <v/>
      </c>
      <c r="Z494" s="53">
        <v>2</v>
      </c>
      <c r="AA494" s="53">
        <v>1</v>
      </c>
    </row>
    <row r="495" spans="1:27" x14ac:dyDescent="0.35">
      <c r="A495" s="56">
        <v>17107</v>
      </c>
      <c r="B495" s="56" t="s">
        <v>1908</v>
      </c>
      <c r="C495" s="105" t="s">
        <v>1952</v>
      </c>
      <c r="D495" s="52" t="s">
        <v>1952</v>
      </c>
      <c r="E495" s="88">
        <v>21</v>
      </c>
      <c r="F495" s="52" t="s">
        <v>12</v>
      </c>
      <c r="G495" s="57" t="s">
        <v>70</v>
      </c>
      <c r="H495" s="52" t="s">
        <v>1946</v>
      </c>
      <c r="I495" s="52" t="s">
        <v>70</v>
      </c>
      <c r="J495" s="113">
        <v>1</v>
      </c>
      <c r="K495" s="52">
        <v>5</v>
      </c>
      <c r="L495" s="52">
        <v>1113</v>
      </c>
      <c r="M495" s="52" t="s">
        <v>12</v>
      </c>
      <c r="N495" s="86" t="s">
        <v>14</v>
      </c>
      <c r="O495" s="52" t="s">
        <v>14</v>
      </c>
      <c r="P495" s="52" t="s">
        <v>31</v>
      </c>
      <c r="Q495" s="52" t="s">
        <v>12</v>
      </c>
      <c r="R495" s="57" t="s">
        <v>12</v>
      </c>
      <c r="S495" s="52">
        <v>0</v>
      </c>
      <c r="T495" s="52" t="s">
        <v>12</v>
      </c>
      <c r="U495" s="52">
        <v>0</v>
      </c>
      <c r="V495" s="87"/>
      <c r="W495" s="53" t="str">
        <f t="shared" si="13"/>
        <v/>
      </c>
    </row>
    <row r="496" spans="1:27" x14ac:dyDescent="0.35">
      <c r="A496" s="56">
        <v>17108</v>
      </c>
      <c r="B496" s="56" t="s">
        <v>1909</v>
      </c>
      <c r="C496" s="105" t="s">
        <v>1953</v>
      </c>
      <c r="D496" s="52" t="s">
        <v>1953</v>
      </c>
      <c r="E496" s="88">
        <v>21</v>
      </c>
      <c r="F496" s="52" t="s">
        <v>12</v>
      </c>
      <c r="G496" s="57" t="s">
        <v>70</v>
      </c>
      <c r="H496" s="52" t="s">
        <v>1946</v>
      </c>
      <c r="I496" s="52" t="s">
        <v>70</v>
      </c>
      <c r="J496" s="113">
        <v>1</v>
      </c>
      <c r="K496" s="52">
        <v>5</v>
      </c>
      <c r="L496" s="52">
        <v>1120</v>
      </c>
      <c r="M496" s="52" t="s">
        <v>12</v>
      </c>
      <c r="N496" s="86" t="s">
        <v>14</v>
      </c>
      <c r="O496" s="52" t="s">
        <v>14</v>
      </c>
      <c r="P496" s="52" t="s">
        <v>31</v>
      </c>
      <c r="Q496" s="52" t="s">
        <v>12</v>
      </c>
      <c r="R496" s="57" t="s">
        <v>12</v>
      </c>
      <c r="S496" s="52">
        <v>0</v>
      </c>
      <c r="T496" s="52" t="s">
        <v>12</v>
      </c>
      <c r="U496" s="52">
        <v>0</v>
      </c>
      <c r="V496" s="87"/>
      <c r="W496" s="53" t="str">
        <f t="shared" si="13"/>
        <v/>
      </c>
    </row>
    <row r="497" spans="1:23" x14ac:dyDescent="0.35">
      <c r="A497" s="56">
        <v>17109</v>
      </c>
      <c r="B497" s="56" t="s">
        <v>1910</v>
      </c>
      <c r="C497" s="105" t="s">
        <v>1954</v>
      </c>
      <c r="D497" s="52" t="s">
        <v>1954</v>
      </c>
      <c r="E497" s="88">
        <v>21</v>
      </c>
      <c r="F497" s="52" t="s">
        <v>12</v>
      </c>
      <c r="G497" s="57" t="s">
        <v>70</v>
      </c>
      <c r="H497" s="52" t="s">
        <v>1946</v>
      </c>
      <c r="I497" s="52" t="s">
        <v>70</v>
      </c>
      <c r="J497" s="113">
        <v>1</v>
      </c>
      <c r="K497" s="52">
        <v>5</v>
      </c>
      <c r="L497" s="52">
        <v>1127</v>
      </c>
      <c r="M497" s="52" t="s">
        <v>12</v>
      </c>
      <c r="N497" s="86" t="s">
        <v>14</v>
      </c>
      <c r="O497" s="52" t="s">
        <v>14</v>
      </c>
      <c r="P497" s="52" t="s">
        <v>31</v>
      </c>
      <c r="Q497" s="52" t="s">
        <v>12</v>
      </c>
      <c r="R497" s="57" t="s">
        <v>12</v>
      </c>
      <c r="S497" s="52">
        <v>0</v>
      </c>
      <c r="T497" s="52" t="s">
        <v>12</v>
      </c>
      <c r="U497" s="52">
        <v>0</v>
      </c>
      <c r="V497" s="87"/>
      <c r="W497" s="53" t="str">
        <f t="shared" si="13"/>
        <v/>
      </c>
    </row>
    <row r="498" spans="1:23" x14ac:dyDescent="0.35">
      <c r="A498" s="56">
        <v>17110</v>
      </c>
      <c r="B498" s="56" t="s">
        <v>1911</v>
      </c>
      <c r="C498" s="105" t="s">
        <v>1955</v>
      </c>
      <c r="D498" s="52" t="s">
        <v>1955</v>
      </c>
      <c r="E498" s="88">
        <v>21</v>
      </c>
      <c r="F498" s="52" t="s">
        <v>12</v>
      </c>
      <c r="G498" s="57" t="s">
        <v>70</v>
      </c>
      <c r="H498" s="52" t="s">
        <v>1946</v>
      </c>
      <c r="I498" s="52" t="s">
        <v>70</v>
      </c>
      <c r="J498" s="113">
        <v>1</v>
      </c>
      <c r="K498" s="52">
        <v>5</v>
      </c>
      <c r="L498" s="52">
        <v>1212</v>
      </c>
      <c r="M498" s="52" t="s">
        <v>12</v>
      </c>
      <c r="N498" s="86" t="s">
        <v>14</v>
      </c>
      <c r="O498" s="52" t="s">
        <v>14</v>
      </c>
      <c r="P498" s="52" t="s">
        <v>31</v>
      </c>
      <c r="Q498" s="52" t="s">
        <v>12</v>
      </c>
      <c r="R498" s="57" t="s">
        <v>12</v>
      </c>
      <c r="S498" s="52">
        <v>0</v>
      </c>
      <c r="T498" s="52" t="s">
        <v>12</v>
      </c>
      <c r="U498" s="52">
        <v>0</v>
      </c>
      <c r="V498" s="87"/>
      <c r="W498" s="53" t="str">
        <f t="shared" si="13"/>
        <v/>
      </c>
    </row>
    <row r="499" spans="1:23" x14ac:dyDescent="0.35">
      <c r="A499" s="56">
        <v>17111</v>
      </c>
      <c r="B499" s="56" t="s">
        <v>1912</v>
      </c>
      <c r="C499" s="105" t="s">
        <v>1956</v>
      </c>
      <c r="D499" s="52" t="s">
        <v>1956</v>
      </c>
      <c r="E499" s="88">
        <v>21</v>
      </c>
      <c r="F499" s="52" t="s">
        <v>12</v>
      </c>
      <c r="G499" s="57" t="s">
        <v>70</v>
      </c>
      <c r="H499" s="52" t="s">
        <v>1946</v>
      </c>
      <c r="I499" s="52" t="s">
        <v>70</v>
      </c>
      <c r="J499" s="113">
        <v>1</v>
      </c>
      <c r="K499" s="52">
        <v>5</v>
      </c>
      <c r="L499" s="52">
        <v>1219</v>
      </c>
      <c r="M499" s="52" t="s">
        <v>12</v>
      </c>
      <c r="N499" s="86" t="s">
        <v>14</v>
      </c>
      <c r="O499" s="52" t="s">
        <v>14</v>
      </c>
      <c r="P499" s="52" t="s">
        <v>31</v>
      </c>
      <c r="Q499" s="52" t="s">
        <v>12</v>
      </c>
      <c r="R499" s="57" t="s">
        <v>12</v>
      </c>
      <c r="S499" s="52">
        <v>0</v>
      </c>
      <c r="T499" s="52" t="s">
        <v>12</v>
      </c>
      <c r="U499" s="52">
        <v>0</v>
      </c>
      <c r="V499" s="87"/>
      <c r="W499" s="53" t="str">
        <f t="shared" si="13"/>
        <v/>
      </c>
    </row>
    <row r="500" spans="1:23" x14ac:dyDescent="0.35">
      <c r="A500" s="56">
        <v>17112</v>
      </c>
      <c r="B500" s="56" t="s">
        <v>1913</v>
      </c>
      <c r="C500" s="105" t="s">
        <v>1957</v>
      </c>
      <c r="D500" s="52" t="s">
        <v>1957</v>
      </c>
      <c r="E500" s="88">
        <v>21</v>
      </c>
      <c r="F500" s="52" t="s">
        <v>12</v>
      </c>
      <c r="G500" s="57" t="s">
        <v>70</v>
      </c>
      <c r="H500" s="52" t="s">
        <v>1946</v>
      </c>
      <c r="I500" s="52" t="s">
        <v>70</v>
      </c>
      <c r="J500" s="113">
        <v>1</v>
      </c>
      <c r="K500" s="52">
        <v>5</v>
      </c>
      <c r="L500" s="52">
        <v>1112</v>
      </c>
      <c r="M500" s="52" t="s">
        <v>12</v>
      </c>
      <c r="N500" s="86" t="s">
        <v>14</v>
      </c>
      <c r="O500" s="52" t="s">
        <v>14</v>
      </c>
      <c r="P500" s="52" t="s">
        <v>31</v>
      </c>
      <c r="Q500" s="52" t="s">
        <v>12</v>
      </c>
      <c r="R500" s="57" t="s">
        <v>12</v>
      </c>
      <c r="S500" s="52">
        <v>0</v>
      </c>
      <c r="T500" s="52" t="s">
        <v>12</v>
      </c>
      <c r="U500" s="52">
        <v>0</v>
      </c>
      <c r="V500" s="87"/>
      <c r="W500" s="53" t="str">
        <f t="shared" si="13"/>
        <v/>
      </c>
    </row>
    <row r="501" spans="1:23" x14ac:dyDescent="0.35">
      <c r="A501" s="56">
        <v>17113</v>
      </c>
      <c r="B501" s="56" t="s">
        <v>1914</v>
      </c>
      <c r="C501" s="105" t="s">
        <v>1958</v>
      </c>
      <c r="D501" s="52" t="s">
        <v>1958</v>
      </c>
      <c r="E501" s="88">
        <v>21</v>
      </c>
      <c r="F501" s="52" t="s">
        <v>12</v>
      </c>
      <c r="G501" s="57" t="s">
        <v>70</v>
      </c>
      <c r="H501" s="52" t="s">
        <v>2177</v>
      </c>
      <c r="I501" s="52" t="s">
        <v>70</v>
      </c>
      <c r="J501" s="113">
        <v>1</v>
      </c>
      <c r="K501" s="52">
        <v>6</v>
      </c>
      <c r="L501" s="52">
        <v>1119</v>
      </c>
      <c r="M501" s="52" t="s">
        <v>12</v>
      </c>
      <c r="N501" s="86" t="s">
        <v>14</v>
      </c>
      <c r="O501" s="52" t="s">
        <v>14</v>
      </c>
      <c r="P501" s="52" t="s">
        <v>31</v>
      </c>
      <c r="Q501" s="52" t="s">
        <v>12</v>
      </c>
      <c r="R501" s="57" t="s">
        <v>12</v>
      </c>
      <c r="S501" s="52">
        <v>0</v>
      </c>
      <c r="T501" s="52" t="s">
        <v>12</v>
      </c>
      <c r="U501" s="52">
        <v>0</v>
      </c>
      <c r="V501" s="87"/>
      <c r="W501" s="53" t="str">
        <f t="shared" si="13"/>
        <v/>
      </c>
    </row>
    <row r="502" spans="1:23" x14ac:dyDescent="0.35">
      <c r="A502" s="56">
        <v>17114</v>
      </c>
      <c r="B502" s="56" t="s">
        <v>1915</v>
      </c>
      <c r="C502" s="105" t="s">
        <v>1959</v>
      </c>
      <c r="D502" s="52" t="s">
        <v>1959</v>
      </c>
      <c r="E502" s="88">
        <v>21</v>
      </c>
      <c r="F502" s="52" t="s">
        <v>12</v>
      </c>
      <c r="G502" s="57" t="s">
        <v>70</v>
      </c>
      <c r="H502" s="52" t="s">
        <v>2177</v>
      </c>
      <c r="I502" s="52" t="s">
        <v>70</v>
      </c>
      <c r="J502" s="113">
        <v>1</v>
      </c>
      <c r="K502" s="52">
        <v>6</v>
      </c>
      <c r="L502" s="52">
        <v>1105</v>
      </c>
      <c r="M502" s="52" t="s">
        <v>12</v>
      </c>
      <c r="N502" s="86" t="s">
        <v>14</v>
      </c>
      <c r="O502" s="52" t="s">
        <v>14</v>
      </c>
      <c r="P502" s="52" t="s">
        <v>31</v>
      </c>
      <c r="Q502" s="52" t="s">
        <v>12</v>
      </c>
      <c r="R502" s="57" t="s">
        <v>12</v>
      </c>
      <c r="S502" s="52">
        <v>0</v>
      </c>
      <c r="T502" s="52" t="s">
        <v>12</v>
      </c>
      <c r="U502" s="52">
        <v>0</v>
      </c>
      <c r="V502" s="87"/>
      <c r="W502" s="53" t="str">
        <f t="shared" si="13"/>
        <v/>
      </c>
    </row>
    <row r="503" spans="1:23" x14ac:dyDescent="0.35">
      <c r="A503" s="56">
        <v>17115</v>
      </c>
      <c r="B503" s="56" t="s">
        <v>1916</v>
      </c>
      <c r="C503" s="105" t="s">
        <v>1960</v>
      </c>
      <c r="D503" s="52" t="s">
        <v>1960</v>
      </c>
      <c r="E503" s="88">
        <v>21</v>
      </c>
      <c r="F503" s="52" t="s">
        <v>12</v>
      </c>
      <c r="G503" s="57" t="s">
        <v>70</v>
      </c>
      <c r="H503" s="52" t="s">
        <v>1946</v>
      </c>
      <c r="I503" s="52" t="s">
        <v>70</v>
      </c>
      <c r="J503" s="113">
        <v>1</v>
      </c>
      <c r="K503" s="52">
        <v>5</v>
      </c>
      <c r="L503" s="52">
        <v>1218</v>
      </c>
      <c r="M503" s="52" t="s">
        <v>12</v>
      </c>
      <c r="N503" s="86" t="s">
        <v>14</v>
      </c>
      <c r="O503" s="52" t="s">
        <v>14</v>
      </c>
      <c r="P503" s="52" t="s">
        <v>31</v>
      </c>
      <c r="Q503" s="52" t="s">
        <v>12</v>
      </c>
      <c r="R503" s="57" t="s">
        <v>12</v>
      </c>
      <c r="S503" s="52">
        <v>0</v>
      </c>
      <c r="T503" s="52" t="s">
        <v>12</v>
      </c>
      <c r="U503" s="52">
        <v>0</v>
      </c>
      <c r="V503" s="87"/>
      <c r="W503" s="53" t="str">
        <f t="shared" si="13"/>
        <v/>
      </c>
    </row>
    <row r="504" spans="1:23" x14ac:dyDescent="0.35">
      <c r="A504" s="56">
        <v>17116</v>
      </c>
      <c r="B504" s="56" t="s">
        <v>1917</v>
      </c>
      <c r="C504" s="105" t="s">
        <v>1961</v>
      </c>
      <c r="D504" s="52" t="s">
        <v>1961</v>
      </c>
      <c r="E504" s="88">
        <v>21</v>
      </c>
      <c r="F504" s="52" t="s">
        <v>12</v>
      </c>
      <c r="G504" s="57" t="s">
        <v>70</v>
      </c>
      <c r="H504" s="52" t="s">
        <v>2177</v>
      </c>
      <c r="I504" s="52" t="s">
        <v>70</v>
      </c>
      <c r="J504" s="113">
        <v>1</v>
      </c>
      <c r="K504" s="52">
        <v>6</v>
      </c>
      <c r="L504" s="52">
        <v>1124</v>
      </c>
      <c r="M504" s="52" t="s">
        <v>12</v>
      </c>
      <c r="N504" s="86" t="s">
        <v>14</v>
      </c>
      <c r="O504" s="52" t="s">
        <v>14</v>
      </c>
      <c r="P504" s="52" t="s">
        <v>31</v>
      </c>
      <c r="Q504" s="52" t="s">
        <v>12</v>
      </c>
      <c r="R504" s="57" t="s">
        <v>12</v>
      </c>
      <c r="S504" s="52">
        <v>0</v>
      </c>
      <c r="T504" s="52" t="s">
        <v>12</v>
      </c>
      <c r="U504" s="52">
        <v>0</v>
      </c>
      <c r="V504" s="87"/>
      <c r="W504" s="53" t="str">
        <f t="shared" si="13"/>
        <v/>
      </c>
    </row>
    <row r="505" spans="1:23" x14ac:dyDescent="0.35">
      <c r="A505" s="56">
        <v>17117</v>
      </c>
      <c r="B505" s="56" t="s">
        <v>1918</v>
      </c>
      <c r="C505" s="105" t="s">
        <v>1962</v>
      </c>
      <c r="D505" s="52" t="s">
        <v>1962</v>
      </c>
      <c r="E505" s="88">
        <v>21</v>
      </c>
      <c r="F505" s="52" t="s">
        <v>12</v>
      </c>
      <c r="G505" s="57" t="s">
        <v>70</v>
      </c>
      <c r="H505" s="52" t="s">
        <v>1946</v>
      </c>
      <c r="I505" s="52" t="s">
        <v>70</v>
      </c>
      <c r="J505" s="113">
        <v>1</v>
      </c>
      <c r="K505" s="52">
        <v>4</v>
      </c>
      <c r="L505" s="52">
        <v>1126</v>
      </c>
      <c r="M505" s="52" t="s">
        <v>12</v>
      </c>
      <c r="N505" s="86" t="s">
        <v>14</v>
      </c>
      <c r="O505" s="52" t="s">
        <v>14</v>
      </c>
      <c r="P505" s="52" t="s">
        <v>31</v>
      </c>
      <c r="Q505" s="52" t="s">
        <v>12</v>
      </c>
      <c r="R505" s="57" t="s">
        <v>12</v>
      </c>
      <c r="S505" s="52">
        <v>0</v>
      </c>
      <c r="T505" s="52" t="s">
        <v>12</v>
      </c>
      <c r="U505" s="52">
        <v>0</v>
      </c>
      <c r="V505" s="87"/>
      <c r="W505" s="53" t="str">
        <f t="shared" si="13"/>
        <v/>
      </c>
    </row>
    <row r="506" spans="1:23" x14ac:dyDescent="0.35">
      <c r="A506" s="56">
        <v>17118</v>
      </c>
      <c r="B506" s="56" t="s">
        <v>1919</v>
      </c>
      <c r="C506" s="105" t="s">
        <v>1963</v>
      </c>
      <c r="D506" s="52" t="s">
        <v>1963</v>
      </c>
      <c r="E506" s="88">
        <v>21</v>
      </c>
      <c r="F506" s="52" t="s">
        <v>12</v>
      </c>
      <c r="G506" s="57" t="s">
        <v>70</v>
      </c>
      <c r="H506" s="52" t="s">
        <v>1946</v>
      </c>
      <c r="I506" s="52" t="s">
        <v>70</v>
      </c>
      <c r="J506" s="113">
        <v>1</v>
      </c>
      <c r="K506" s="52">
        <v>5</v>
      </c>
      <c r="L506" s="52">
        <v>1213</v>
      </c>
      <c r="M506" s="52" t="s">
        <v>12</v>
      </c>
      <c r="N506" s="86" t="s">
        <v>14</v>
      </c>
      <c r="O506" s="52" t="s">
        <v>14</v>
      </c>
      <c r="P506" s="52" t="s">
        <v>31</v>
      </c>
      <c r="Q506" s="52" t="s">
        <v>12</v>
      </c>
      <c r="R506" s="57" t="s">
        <v>12</v>
      </c>
      <c r="S506" s="52">
        <v>0</v>
      </c>
      <c r="T506" s="52" t="s">
        <v>12</v>
      </c>
      <c r="U506" s="52">
        <v>0</v>
      </c>
      <c r="V506" s="87"/>
      <c r="W506" s="53" t="str">
        <f t="shared" si="13"/>
        <v/>
      </c>
    </row>
    <row r="507" spans="1:23" x14ac:dyDescent="0.35">
      <c r="A507" s="56">
        <v>17119</v>
      </c>
      <c r="B507" s="56" t="s">
        <v>1920</v>
      </c>
      <c r="C507" s="105" t="s">
        <v>1964</v>
      </c>
      <c r="D507" s="52" t="s">
        <v>1964</v>
      </c>
      <c r="E507" s="88">
        <v>21</v>
      </c>
      <c r="F507" s="52" t="s">
        <v>12</v>
      </c>
      <c r="G507" s="57" t="s">
        <v>70</v>
      </c>
      <c r="H507" s="52" t="s">
        <v>1946</v>
      </c>
      <c r="I507" s="52" t="s">
        <v>70</v>
      </c>
      <c r="J507" s="113">
        <v>1</v>
      </c>
      <c r="K507" s="52">
        <v>5</v>
      </c>
      <c r="L507" s="52">
        <v>1214</v>
      </c>
      <c r="M507" s="52" t="s">
        <v>12</v>
      </c>
      <c r="N507" s="86" t="s">
        <v>14</v>
      </c>
      <c r="O507" s="52" t="s">
        <v>14</v>
      </c>
      <c r="P507" s="52" t="s">
        <v>31</v>
      </c>
      <c r="Q507" s="52" t="s">
        <v>12</v>
      </c>
      <c r="R507" s="57" t="s">
        <v>12</v>
      </c>
      <c r="S507" s="52">
        <v>0</v>
      </c>
      <c r="T507" s="52" t="s">
        <v>12</v>
      </c>
      <c r="U507" s="52">
        <v>0</v>
      </c>
      <c r="V507" s="87"/>
      <c r="W507" s="53" t="str">
        <f t="shared" si="13"/>
        <v/>
      </c>
    </row>
    <row r="508" spans="1:23" x14ac:dyDescent="0.35">
      <c r="A508" s="56">
        <v>17120</v>
      </c>
      <c r="B508" s="56" t="s">
        <v>1921</v>
      </c>
      <c r="C508" s="105" t="s">
        <v>1965</v>
      </c>
      <c r="D508" s="52" t="s">
        <v>1965</v>
      </c>
      <c r="E508" s="88">
        <v>21</v>
      </c>
      <c r="F508" s="52" t="s">
        <v>12</v>
      </c>
      <c r="G508" s="57" t="s">
        <v>70</v>
      </c>
      <c r="H508" s="52" t="s">
        <v>1946</v>
      </c>
      <c r="I508" s="52" t="s">
        <v>70</v>
      </c>
      <c r="J508" s="113">
        <v>1</v>
      </c>
      <c r="K508" s="52">
        <v>5</v>
      </c>
      <c r="L508" s="52">
        <v>1103</v>
      </c>
      <c r="M508" s="52" t="s">
        <v>12</v>
      </c>
      <c r="N508" s="86" t="s">
        <v>14</v>
      </c>
      <c r="O508" s="52" t="s">
        <v>14</v>
      </c>
      <c r="P508" s="52" t="s">
        <v>31</v>
      </c>
      <c r="Q508" s="52" t="s">
        <v>12</v>
      </c>
      <c r="R508" s="57" t="s">
        <v>12</v>
      </c>
      <c r="S508" s="52">
        <v>0</v>
      </c>
      <c r="T508" s="52" t="s">
        <v>12</v>
      </c>
      <c r="U508" s="52">
        <v>0</v>
      </c>
      <c r="V508" s="87"/>
      <c r="W508" s="53" t="str">
        <f t="shared" si="13"/>
        <v/>
      </c>
    </row>
    <row r="509" spans="1:23" x14ac:dyDescent="0.35">
      <c r="A509" s="56">
        <v>17121</v>
      </c>
      <c r="B509" s="56" t="s">
        <v>1922</v>
      </c>
      <c r="C509" s="105" t="s">
        <v>1966</v>
      </c>
      <c r="D509" s="52" t="s">
        <v>1966</v>
      </c>
      <c r="E509" s="88">
        <v>21</v>
      </c>
      <c r="F509" s="52" t="s">
        <v>12</v>
      </c>
      <c r="G509" s="57" t="s">
        <v>70</v>
      </c>
      <c r="H509" s="52" t="s">
        <v>1946</v>
      </c>
      <c r="I509" s="52" t="s">
        <v>70</v>
      </c>
      <c r="J509" s="113">
        <v>1</v>
      </c>
      <c r="K509" s="52">
        <v>4</v>
      </c>
      <c r="L509" s="52">
        <v>1109</v>
      </c>
      <c r="M509" s="52" t="s">
        <v>12</v>
      </c>
      <c r="N509" s="86" t="s">
        <v>14</v>
      </c>
      <c r="O509" s="52" t="s">
        <v>14</v>
      </c>
      <c r="P509" s="52" t="s">
        <v>31</v>
      </c>
      <c r="Q509" s="52" t="s">
        <v>12</v>
      </c>
      <c r="R509" s="57" t="s">
        <v>12</v>
      </c>
      <c r="S509" s="52">
        <v>0</v>
      </c>
      <c r="T509" s="52" t="s">
        <v>12</v>
      </c>
      <c r="U509" s="52">
        <v>0</v>
      </c>
      <c r="V509" s="87"/>
      <c r="W509" s="53" t="str">
        <f t="shared" si="13"/>
        <v/>
      </c>
    </row>
    <row r="510" spans="1:23" x14ac:dyDescent="0.35">
      <c r="A510" s="56">
        <v>17122</v>
      </c>
      <c r="B510" s="56" t="s">
        <v>1923</v>
      </c>
      <c r="C510" s="105" t="s">
        <v>1967</v>
      </c>
      <c r="D510" s="52" t="s">
        <v>1967</v>
      </c>
      <c r="E510" s="88">
        <v>21</v>
      </c>
      <c r="F510" s="52" t="s">
        <v>12</v>
      </c>
      <c r="G510" s="57" t="s">
        <v>70</v>
      </c>
      <c r="H510" s="52" t="s">
        <v>1946</v>
      </c>
      <c r="I510" s="52" t="s">
        <v>70</v>
      </c>
      <c r="J510" s="113">
        <v>1</v>
      </c>
      <c r="K510" s="52">
        <v>5</v>
      </c>
      <c r="L510" s="52">
        <v>1111</v>
      </c>
      <c r="M510" s="52" t="s">
        <v>12</v>
      </c>
      <c r="N510" s="86" t="s">
        <v>14</v>
      </c>
      <c r="O510" s="52" t="s">
        <v>14</v>
      </c>
      <c r="P510" s="52" t="s">
        <v>31</v>
      </c>
      <c r="Q510" s="52" t="s">
        <v>12</v>
      </c>
      <c r="R510" s="57" t="s">
        <v>12</v>
      </c>
      <c r="S510" s="52">
        <v>0</v>
      </c>
      <c r="T510" s="52" t="s">
        <v>12</v>
      </c>
      <c r="U510" s="52">
        <v>0</v>
      </c>
      <c r="V510" s="87"/>
      <c r="W510" s="53" t="str">
        <f t="shared" si="13"/>
        <v/>
      </c>
    </row>
    <row r="511" spans="1:23" x14ac:dyDescent="0.35">
      <c r="A511" s="56">
        <v>17123</v>
      </c>
      <c r="B511" s="56" t="s">
        <v>1924</v>
      </c>
      <c r="C511" s="105" t="s">
        <v>1968</v>
      </c>
      <c r="D511" s="52" t="s">
        <v>1968</v>
      </c>
      <c r="E511" s="88">
        <v>21</v>
      </c>
      <c r="F511" s="52" t="s">
        <v>12</v>
      </c>
      <c r="G511" s="57" t="s">
        <v>70</v>
      </c>
      <c r="H511" s="52" t="s">
        <v>1946</v>
      </c>
      <c r="I511" s="52" t="s">
        <v>70</v>
      </c>
      <c r="J511" s="113">
        <v>1</v>
      </c>
      <c r="K511" s="52">
        <v>4</v>
      </c>
      <c r="L511" s="52">
        <v>1116</v>
      </c>
      <c r="M511" s="52" t="s">
        <v>12</v>
      </c>
      <c r="N511" s="86" t="s">
        <v>14</v>
      </c>
      <c r="O511" s="52" t="s">
        <v>14</v>
      </c>
      <c r="P511" s="52" t="s">
        <v>31</v>
      </c>
      <c r="Q511" s="52" t="s">
        <v>12</v>
      </c>
      <c r="R511" s="57" t="s">
        <v>12</v>
      </c>
      <c r="S511" s="52">
        <v>0</v>
      </c>
      <c r="T511" s="52" t="s">
        <v>12</v>
      </c>
      <c r="U511" s="52">
        <v>0</v>
      </c>
      <c r="V511" s="87"/>
      <c r="W511" s="53" t="str">
        <f t="shared" si="13"/>
        <v/>
      </c>
    </row>
    <row r="512" spans="1:23" x14ac:dyDescent="0.35">
      <c r="A512" s="56">
        <v>17124</v>
      </c>
      <c r="B512" s="56" t="s">
        <v>1925</v>
      </c>
      <c r="C512" s="105" t="s">
        <v>1969</v>
      </c>
      <c r="D512" s="52" t="s">
        <v>1969</v>
      </c>
      <c r="E512" s="88">
        <v>21</v>
      </c>
      <c r="F512" s="52" t="s">
        <v>12</v>
      </c>
      <c r="G512" s="57" t="s">
        <v>70</v>
      </c>
      <c r="H512" s="52" t="s">
        <v>2177</v>
      </c>
      <c r="I512" s="52" t="s">
        <v>70</v>
      </c>
      <c r="J512" s="113">
        <v>1</v>
      </c>
      <c r="K512" s="52">
        <v>6</v>
      </c>
      <c r="L512" s="52">
        <v>1121</v>
      </c>
      <c r="M512" s="52" t="s">
        <v>12</v>
      </c>
      <c r="N512" s="86" t="s">
        <v>14</v>
      </c>
      <c r="O512" s="52" t="s">
        <v>14</v>
      </c>
      <c r="P512" s="52" t="s">
        <v>31</v>
      </c>
      <c r="Q512" s="52" t="s">
        <v>12</v>
      </c>
      <c r="R512" s="57" t="s">
        <v>12</v>
      </c>
      <c r="S512" s="52">
        <v>0</v>
      </c>
      <c r="T512" s="52" t="s">
        <v>12</v>
      </c>
      <c r="U512" s="52">
        <v>0</v>
      </c>
      <c r="V512" s="87"/>
      <c r="W512" s="53" t="str">
        <f t="shared" si="13"/>
        <v/>
      </c>
    </row>
    <row r="513" spans="1:23" x14ac:dyDescent="0.35">
      <c r="A513" s="56">
        <v>17125</v>
      </c>
      <c r="B513" s="56" t="s">
        <v>1926</v>
      </c>
      <c r="C513" s="105" t="s">
        <v>1970</v>
      </c>
      <c r="D513" s="52" t="s">
        <v>1970</v>
      </c>
      <c r="E513" s="88">
        <v>21</v>
      </c>
      <c r="F513" s="52" t="s">
        <v>12</v>
      </c>
      <c r="G513" s="57" t="s">
        <v>70</v>
      </c>
      <c r="H513" s="52" t="s">
        <v>1946</v>
      </c>
      <c r="I513" s="52" t="s">
        <v>70</v>
      </c>
      <c r="J513" s="113">
        <v>1</v>
      </c>
      <c r="K513" s="52">
        <v>5</v>
      </c>
      <c r="L513" s="52">
        <v>1215</v>
      </c>
      <c r="M513" s="52" t="s">
        <v>12</v>
      </c>
      <c r="N513" s="86" t="s">
        <v>14</v>
      </c>
      <c r="O513" s="52" t="s">
        <v>14</v>
      </c>
      <c r="P513" s="52" t="s">
        <v>31</v>
      </c>
      <c r="Q513" s="52" t="s">
        <v>12</v>
      </c>
      <c r="R513" s="57" t="s">
        <v>12</v>
      </c>
      <c r="S513" s="52">
        <v>0</v>
      </c>
      <c r="T513" s="52" t="s">
        <v>12</v>
      </c>
      <c r="U513" s="52">
        <v>0</v>
      </c>
      <c r="V513" s="87"/>
      <c r="W513" s="53" t="str">
        <f t="shared" si="13"/>
        <v/>
      </c>
    </row>
    <row r="514" spans="1:23" x14ac:dyDescent="0.35">
      <c r="A514" s="56">
        <v>17126</v>
      </c>
      <c r="B514" s="56" t="s">
        <v>1927</v>
      </c>
      <c r="C514" s="105" t="s">
        <v>1971</v>
      </c>
      <c r="D514" s="52" t="s">
        <v>1971</v>
      </c>
      <c r="E514" s="88">
        <v>21</v>
      </c>
      <c r="F514" s="52" t="s">
        <v>12</v>
      </c>
      <c r="G514" s="57" t="s">
        <v>70</v>
      </c>
      <c r="H514" s="52" t="s">
        <v>1946</v>
      </c>
      <c r="I514" s="52" t="s">
        <v>70</v>
      </c>
      <c r="J514" s="113">
        <v>1</v>
      </c>
      <c r="K514" s="52">
        <v>4</v>
      </c>
      <c r="L514" s="52">
        <v>1114</v>
      </c>
      <c r="M514" s="52" t="s">
        <v>12</v>
      </c>
      <c r="N514" s="86" t="s">
        <v>14</v>
      </c>
      <c r="O514" s="52" t="s">
        <v>14</v>
      </c>
      <c r="P514" s="52" t="s">
        <v>31</v>
      </c>
      <c r="Q514" s="52" t="s">
        <v>12</v>
      </c>
      <c r="R514" s="57" t="s">
        <v>12</v>
      </c>
      <c r="S514" s="52">
        <v>0</v>
      </c>
      <c r="T514" s="52" t="s">
        <v>12</v>
      </c>
      <c r="U514" s="52">
        <v>0</v>
      </c>
      <c r="V514" s="87"/>
      <c r="W514" s="53" t="str">
        <f t="shared" si="13"/>
        <v/>
      </c>
    </row>
    <row r="515" spans="1:23" x14ac:dyDescent="0.35">
      <c r="A515" s="56">
        <v>17127</v>
      </c>
      <c r="B515" s="56" t="s">
        <v>1928</v>
      </c>
      <c r="C515" s="105" t="s">
        <v>1972</v>
      </c>
      <c r="D515" s="52" t="s">
        <v>1972</v>
      </c>
      <c r="E515" s="88">
        <v>21</v>
      </c>
      <c r="F515" s="52" t="s">
        <v>12</v>
      </c>
      <c r="G515" s="57" t="s">
        <v>70</v>
      </c>
      <c r="H515" s="52" t="s">
        <v>1946</v>
      </c>
      <c r="I515" s="52" t="s">
        <v>70</v>
      </c>
      <c r="J515" s="113">
        <v>1</v>
      </c>
      <c r="K515" s="52">
        <v>4</v>
      </c>
      <c r="L515" s="52">
        <v>1110</v>
      </c>
      <c r="M515" s="52" t="s">
        <v>12</v>
      </c>
      <c r="N515" s="86" t="s">
        <v>14</v>
      </c>
      <c r="O515" s="52" t="s">
        <v>14</v>
      </c>
      <c r="P515" s="52" t="s">
        <v>31</v>
      </c>
      <c r="Q515" s="52" t="s">
        <v>12</v>
      </c>
      <c r="R515" s="57" t="s">
        <v>12</v>
      </c>
      <c r="S515" s="52">
        <v>0</v>
      </c>
      <c r="T515" s="52" t="s">
        <v>12</v>
      </c>
      <c r="U515" s="52">
        <v>0</v>
      </c>
      <c r="V515" s="87"/>
      <c r="W515" s="53" t="str">
        <f t="shared" si="13"/>
        <v/>
      </c>
    </row>
    <row r="516" spans="1:23" x14ac:dyDescent="0.35">
      <c r="A516" s="56">
        <v>17128</v>
      </c>
      <c r="B516" s="56" t="s">
        <v>1929</v>
      </c>
      <c r="C516" s="105" t="s">
        <v>1973</v>
      </c>
      <c r="D516" s="52" t="s">
        <v>1973</v>
      </c>
      <c r="E516" s="88">
        <v>21</v>
      </c>
      <c r="F516" s="52" t="s">
        <v>12</v>
      </c>
      <c r="G516" s="57" t="s">
        <v>70</v>
      </c>
      <c r="H516" s="52" t="s">
        <v>1946</v>
      </c>
      <c r="I516" s="52" t="s">
        <v>70</v>
      </c>
      <c r="J516" s="113">
        <v>1</v>
      </c>
      <c r="K516" s="52">
        <v>4</v>
      </c>
      <c r="L516" s="52">
        <v>1104</v>
      </c>
      <c r="M516" s="52" t="s">
        <v>12</v>
      </c>
      <c r="N516" s="86" t="s">
        <v>14</v>
      </c>
      <c r="O516" s="52" t="s">
        <v>14</v>
      </c>
      <c r="P516" s="52" t="s">
        <v>31</v>
      </c>
      <c r="Q516" s="52" t="s">
        <v>12</v>
      </c>
      <c r="R516" s="57" t="s">
        <v>12</v>
      </c>
      <c r="S516" s="52">
        <v>0</v>
      </c>
      <c r="T516" s="52" t="s">
        <v>12</v>
      </c>
      <c r="U516" s="52">
        <v>0</v>
      </c>
      <c r="V516" s="87"/>
      <c r="W516" s="53" t="str">
        <f t="shared" si="13"/>
        <v/>
      </c>
    </row>
    <row r="517" spans="1:23" x14ac:dyDescent="0.35">
      <c r="A517" s="56">
        <v>17129</v>
      </c>
      <c r="B517" s="56" t="s">
        <v>1930</v>
      </c>
      <c r="C517" s="105" t="s">
        <v>1974</v>
      </c>
      <c r="D517" s="52" t="s">
        <v>1974</v>
      </c>
      <c r="E517" s="88">
        <v>21</v>
      </c>
      <c r="F517" s="52" t="s">
        <v>12</v>
      </c>
      <c r="G517" s="57" t="s">
        <v>70</v>
      </c>
      <c r="H517" s="52" t="s">
        <v>1946</v>
      </c>
      <c r="I517" s="52" t="s">
        <v>70</v>
      </c>
      <c r="J517" s="113">
        <v>1</v>
      </c>
      <c r="K517" s="52">
        <v>4</v>
      </c>
      <c r="L517" s="52">
        <v>1135</v>
      </c>
      <c r="M517" s="52" t="s">
        <v>12</v>
      </c>
      <c r="N517" s="86" t="s">
        <v>14</v>
      </c>
      <c r="O517" s="52" t="s">
        <v>14</v>
      </c>
      <c r="P517" s="52" t="s">
        <v>31</v>
      </c>
      <c r="Q517" s="52" t="s">
        <v>12</v>
      </c>
      <c r="R517" s="57" t="s">
        <v>12</v>
      </c>
      <c r="S517" s="52">
        <v>0</v>
      </c>
      <c r="T517" s="52" t="s">
        <v>12</v>
      </c>
      <c r="U517" s="52">
        <v>0</v>
      </c>
      <c r="V517" s="87"/>
      <c r="W517" s="53" t="str">
        <f t="shared" si="13"/>
        <v/>
      </c>
    </row>
    <row r="518" spans="1:23" x14ac:dyDescent="0.35">
      <c r="A518" s="56">
        <v>17130</v>
      </c>
      <c r="B518" s="56" t="s">
        <v>1931</v>
      </c>
      <c r="C518" s="105" t="s">
        <v>1975</v>
      </c>
      <c r="D518" s="52" t="s">
        <v>1975</v>
      </c>
      <c r="E518" s="88">
        <v>21</v>
      </c>
      <c r="F518" s="52" t="s">
        <v>12</v>
      </c>
      <c r="G518" s="57" t="s">
        <v>70</v>
      </c>
      <c r="H518" s="52" t="s">
        <v>1946</v>
      </c>
      <c r="I518" s="52" t="s">
        <v>70</v>
      </c>
      <c r="J518" s="113">
        <v>1</v>
      </c>
      <c r="K518" s="52">
        <v>4</v>
      </c>
      <c r="L518" s="52">
        <v>1132</v>
      </c>
      <c r="M518" s="52" t="s">
        <v>12</v>
      </c>
      <c r="N518" s="86" t="s">
        <v>14</v>
      </c>
      <c r="O518" s="52" t="s">
        <v>14</v>
      </c>
      <c r="P518" s="52" t="s">
        <v>31</v>
      </c>
      <c r="Q518" s="52" t="s">
        <v>12</v>
      </c>
      <c r="R518" s="57" t="s">
        <v>12</v>
      </c>
      <c r="S518" s="52">
        <v>0</v>
      </c>
      <c r="T518" s="52" t="s">
        <v>12</v>
      </c>
      <c r="U518" s="52">
        <v>0</v>
      </c>
      <c r="V518" s="87"/>
      <c r="W518" s="53" t="str">
        <f t="shared" si="13"/>
        <v/>
      </c>
    </row>
    <row r="519" spans="1:23" x14ac:dyDescent="0.35">
      <c r="A519" s="56">
        <v>17131</v>
      </c>
      <c r="B519" s="56" t="s">
        <v>1932</v>
      </c>
      <c r="C519" s="105" t="s">
        <v>1976</v>
      </c>
      <c r="D519" s="52" t="s">
        <v>1976</v>
      </c>
      <c r="E519" s="88">
        <v>21</v>
      </c>
      <c r="F519" s="52" t="s">
        <v>12</v>
      </c>
      <c r="G519" s="57" t="s">
        <v>70</v>
      </c>
      <c r="H519" s="52" t="s">
        <v>1946</v>
      </c>
      <c r="I519" s="52" t="s">
        <v>70</v>
      </c>
      <c r="J519" s="113">
        <v>1</v>
      </c>
      <c r="K519" s="52">
        <v>4</v>
      </c>
      <c r="L519" s="52">
        <v>1125</v>
      </c>
      <c r="M519" s="52" t="s">
        <v>12</v>
      </c>
      <c r="N519" s="86" t="s">
        <v>14</v>
      </c>
      <c r="O519" s="52" t="s">
        <v>14</v>
      </c>
      <c r="P519" s="52" t="s">
        <v>31</v>
      </c>
      <c r="Q519" s="52" t="s">
        <v>12</v>
      </c>
      <c r="R519" s="57" t="s">
        <v>12</v>
      </c>
      <c r="S519" s="52">
        <v>0</v>
      </c>
      <c r="T519" s="52" t="s">
        <v>12</v>
      </c>
      <c r="U519" s="52">
        <v>0</v>
      </c>
      <c r="V519" s="87"/>
      <c r="W519" s="53" t="str">
        <f t="shared" si="13"/>
        <v/>
      </c>
    </row>
    <row r="520" spans="1:23" x14ac:dyDescent="0.35">
      <c r="A520" s="56">
        <v>17132</v>
      </c>
      <c r="B520" s="56" t="s">
        <v>1933</v>
      </c>
      <c r="C520" s="105" t="s">
        <v>1977</v>
      </c>
      <c r="D520" s="52" t="s">
        <v>1977</v>
      </c>
      <c r="E520" s="88">
        <v>21</v>
      </c>
      <c r="F520" s="52" t="s">
        <v>12</v>
      </c>
      <c r="G520" s="57" t="s">
        <v>70</v>
      </c>
      <c r="H520" s="52" t="s">
        <v>1946</v>
      </c>
      <c r="I520" s="52" t="s">
        <v>70</v>
      </c>
      <c r="J520" s="113">
        <v>1</v>
      </c>
      <c r="K520" s="52">
        <v>4</v>
      </c>
      <c r="L520" s="52">
        <v>1202</v>
      </c>
      <c r="M520" s="52" t="s">
        <v>12</v>
      </c>
      <c r="N520" s="86" t="s">
        <v>14</v>
      </c>
      <c r="O520" s="52" t="s">
        <v>14</v>
      </c>
      <c r="P520" s="52" t="s">
        <v>31</v>
      </c>
      <c r="Q520" s="52" t="s">
        <v>12</v>
      </c>
      <c r="R520" s="57" t="s">
        <v>12</v>
      </c>
      <c r="S520" s="52">
        <v>0</v>
      </c>
      <c r="T520" s="52" t="s">
        <v>12</v>
      </c>
      <c r="U520" s="52">
        <v>0</v>
      </c>
      <c r="V520" s="87"/>
      <c r="W520" s="53" t="str">
        <f t="shared" si="13"/>
        <v/>
      </c>
    </row>
    <row r="521" spans="1:23" x14ac:dyDescent="0.35">
      <c r="A521" s="56">
        <v>17133</v>
      </c>
      <c r="B521" s="56" t="s">
        <v>1934</v>
      </c>
      <c r="C521" s="105" t="s">
        <v>1978</v>
      </c>
      <c r="D521" s="52" t="s">
        <v>1978</v>
      </c>
      <c r="E521" s="88">
        <v>21</v>
      </c>
      <c r="F521" s="52" t="s">
        <v>12</v>
      </c>
      <c r="G521" s="57" t="s">
        <v>70</v>
      </c>
      <c r="H521" s="52" t="s">
        <v>1946</v>
      </c>
      <c r="I521" s="52" t="s">
        <v>70</v>
      </c>
      <c r="J521" s="113">
        <v>1</v>
      </c>
      <c r="K521" s="52">
        <v>4</v>
      </c>
      <c r="L521" s="52">
        <v>1123</v>
      </c>
      <c r="M521" s="52" t="s">
        <v>12</v>
      </c>
      <c r="N521" s="86" t="s">
        <v>14</v>
      </c>
      <c r="O521" s="52" t="s">
        <v>14</v>
      </c>
      <c r="P521" s="52" t="s">
        <v>31</v>
      </c>
      <c r="Q521" s="52" t="s">
        <v>12</v>
      </c>
      <c r="R521" s="57" t="s">
        <v>12</v>
      </c>
      <c r="S521" s="52">
        <v>0</v>
      </c>
      <c r="T521" s="52" t="s">
        <v>12</v>
      </c>
      <c r="U521" s="52">
        <v>0</v>
      </c>
      <c r="V521" s="87"/>
      <c r="W521" s="53" t="str">
        <f t="shared" si="13"/>
        <v/>
      </c>
    </row>
    <row r="522" spans="1:23" x14ac:dyDescent="0.35">
      <c r="A522" s="56">
        <v>17134</v>
      </c>
      <c r="B522" s="56" t="s">
        <v>1935</v>
      </c>
      <c r="C522" s="105" t="s">
        <v>1979</v>
      </c>
      <c r="D522" s="52" t="s">
        <v>1979</v>
      </c>
      <c r="E522" s="88">
        <v>21</v>
      </c>
      <c r="F522" s="52" t="s">
        <v>12</v>
      </c>
      <c r="G522" s="57" t="s">
        <v>70</v>
      </c>
      <c r="H522" s="52" t="s">
        <v>1946</v>
      </c>
      <c r="I522" s="52" t="s">
        <v>70</v>
      </c>
      <c r="J522" s="113">
        <v>1</v>
      </c>
      <c r="K522" s="52">
        <v>4</v>
      </c>
      <c r="L522" s="52">
        <v>1117</v>
      </c>
      <c r="M522" s="52" t="s">
        <v>12</v>
      </c>
      <c r="N522" s="86" t="s">
        <v>14</v>
      </c>
      <c r="O522" s="52" t="s">
        <v>14</v>
      </c>
      <c r="P522" s="52" t="s">
        <v>31</v>
      </c>
      <c r="Q522" s="52" t="s">
        <v>12</v>
      </c>
      <c r="R522" s="57" t="s">
        <v>12</v>
      </c>
      <c r="S522" s="52">
        <v>0</v>
      </c>
      <c r="T522" s="52" t="s">
        <v>12</v>
      </c>
      <c r="U522" s="52">
        <v>0</v>
      </c>
      <c r="V522" s="87"/>
      <c r="W522" s="53" t="str">
        <f t="shared" si="13"/>
        <v/>
      </c>
    </row>
    <row r="523" spans="1:23" x14ac:dyDescent="0.35">
      <c r="A523" s="56">
        <v>17135</v>
      </c>
      <c r="B523" s="56" t="s">
        <v>1936</v>
      </c>
      <c r="C523" s="105" t="s">
        <v>1980</v>
      </c>
      <c r="D523" s="52" t="s">
        <v>1980</v>
      </c>
      <c r="E523" s="88">
        <v>21</v>
      </c>
      <c r="F523" s="52" t="s">
        <v>12</v>
      </c>
      <c r="G523" s="57" t="s">
        <v>70</v>
      </c>
      <c r="H523" s="52" t="s">
        <v>1946</v>
      </c>
      <c r="I523" s="52" t="s">
        <v>70</v>
      </c>
      <c r="J523" s="113">
        <v>1</v>
      </c>
      <c r="K523" s="52">
        <v>4</v>
      </c>
      <c r="L523" s="52">
        <v>1201</v>
      </c>
      <c r="M523" s="52" t="s">
        <v>12</v>
      </c>
      <c r="N523" s="86" t="s">
        <v>14</v>
      </c>
      <c r="O523" s="52" t="s">
        <v>14</v>
      </c>
      <c r="P523" s="52" t="s">
        <v>31</v>
      </c>
      <c r="Q523" s="52" t="s">
        <v>12</v>
      </c>
      <c r="R523" s="57" t="s">
        <v>12</v>
      </c>
      <c r="S523" s="52">
        <v>0</v>
      </c>
      <c r="T523" s="52" t="s">
        <v>12</v>
      </c>
      <c r="U523" s="52">
        <v>0</v>
      </c>
      <c r="V523" s="87"/>
      <c r="W523" s="53" t="str">
        <f t="shared" si="13"/>
        <v/>
      </c>
    </row>
    <row r="524" spans="1:23" x14ac:dyDescent="0.35">
      <c r="A524" s="56">
        <v>17136</v>
      </c>
      <c r="B524" s="56" t="s">
        <v>1937</v>
      </c>
      <c r="C524" s="105" t="s">
        <v>1981</v>
      </c>
      <c r="D524" s="52" t="s">
        <v>1981</v>
      </c>
      <c r="E524" s="88">
        <v>21</v>
      </c>
      <c r="F524" s="52" t="s">
        <v>12</v>
      </c>
      <c r="G524" s="57" t="s">
        <v>70</v>
      </c>
      <c r="H524" s="52" t="s">
        <v>1946</v>
      </c>
      <c r="I524" s="52" t="s">
        <v>70</v>
      </c>
      <c r="J524" s="113">
        <v>1</v>
      </c>
      <c r="K524" s="52">
        <v>4</v>
      </c>
      <c r="L524" s="52">
        <v>1131</v>
      </c>
      <c r="M524" s="52" t="s">
        <v>12</v>
      </c>
      <c r="N524" s="86" t="s">
        <v>14</v>
      </c>
      <c r="O524" s="52" t="s">
        <v>14</v>
      </c>
      <c r="P524" s="52" t="s">
        <v>31</v>
      </c>
      <c r="Q524" s="52" t="s">
        <v>12</v>
      </c>
      <c r="R524" s="57" t="s">
        <v>12</v>
      </c>
      <c r="S524" s="52">
        <v>0</v>
      </c>
      <c r="T524" s="52" t="s">
        <v>12</v>
      </c>
      <c r="U524" s="52">
        <v>0</v>
      </c>
      <c r="V524" s="87"/>
      <c r="W524" s="53" t="str">
        <f t="shared" si="13"/>
        <v/>
      </c>
    </row>
    <row r="525" spans="1:23" x14ac:dyDescent="0.35">
      <c r="A525" s="56">
        <v>17137</v>
      </c>
      <c r="B525" s="56" t="s">
        <v>1938</v>
      </c>
      <c r="C525" s="105" t="s">
        <v>1982</v>
      </c>
      <c r="D525" s="52" t="s">
        <v>1982</v>
      </c>
      <c r="E525" s="88">
        <v>21</v>
      </c>
      <c r="F525" s="52" t="s">
        <v>12</v>
      </c>
      <c r="G525" s="57" t="s">
        <v>70</v>
      </c>
      <c r="H525" s="52" t="s">
        <v>1946</v>
      </c>
      <c r="I525" s="52" t="s">
        <v>70</v>
      </c>
      <c r="J525" s="113">
        <v>1</v>
      </c>
      <c r="K525" s="52">
        <v>4</v>
      </c>
      <c r="L525" s="52">
        <v>1137</v>
      </c>
      <c r="M525" s="52" t="s">
        <v>12</v>
      </c>
      <c r="N525" s="86" t="s">
        <v>14</v>
      </c>
      <c r="O525" s="52" t="s">
        <v>14</v>
      </c>
      <c r="P525" s="52" t="s">
        <v>31</v>
      </c>
      <c r="Q525" s="52" t="s">
        <v>12</v>
      </c>
      <c r="R525" s="57" t="s">
        <v>12</v>
      </c>
      <c r="S525" s="52">
        <v>0</v>
      </c>
      <c r="T525" s="52" t="s">
        <v>12</v>
      </c>
      <c r="U525" s="52">
        <v>0</v>
      </c>
      <c r="V525" s="87"/>
      <c r="W525" s="53" t="str">
        <f t="shared" si="13"/>
        <v/>
      </c>
    </row>
    <row r="526" spans="1:23" x14ac:dyDescent="0.35">
      <c r="A526" s="56">
        <v>17138</v>
      </c>
      <c r="B526" s="56" t="s">
        <v>1939</v>
      </c>
      <c r="C526" s="105" t="s">
        <v>1983</v>
      </c>
      <c r="D526" s="52" t="s">
        <v>1983</v>
      </c>
      <c r="E526" s="88">
        <v>21</v>
      </c>
      <c r="F526" s="52" t="s">
        <v>12</v>
      </c>
      <c r="G526" s="57" t="s">
        <v>70</v>
      </c>
      <c r="H526" s="52" t="s">
        <v>1946</v>
      </c>
      <c r="I526" s="52" t="s">
        <v>70</v>
      </c>
      <c r="J526" s="113">
        <v>1</v>
      </c>
      <c r="K526" s="52">
        <v>4</v>
      </c>
      <c r="L526" s="52">
        <v>1216</v>
      </c>
      <c r="M526" s="52" t="s">
        <v>12</v>
      </c>
      <c r="N526" s="86" t="s">
        <v>14</v>
      </c>
      <c r="O526" s="52" t="s">
        <v>14</v>
      </c>
      <c r="P526" s="52" t="s">
        <v>31</v>
      </c>
      <c r="Q526" s="52" t="s">
        <v>12</v>
      </c>
      <c r="R526" s="57" t="s">
        <v>12</v>
      </c>
      <c r="S526" s="52">
        <v>0</v>
      </c>
      <c r="T526" s="52" t="s">
        <v>12</v>
      </c>
      <c r="U526" s="52">
        <v>0</v>
      </c>
      <c r="V526" s="87"/>
      <c r="W526" s="53" t="str">
        <f t="shared" si="13"/>
        <v/>
      </c>
    </row>
    <row r="527" spans="1:23" x14ac:dyDescent="0.35">
      <c r="A527" s="56">
        <v>17139</v>
      </c>
      <c r="B527" s="56" t="s">
        <v>2042</v>
      </c>
      <c r="C527" s="105" t="s">
        <v>1984</v>
      </c>
      <c r="D527" s="52" t="s">
        <v>1984</v>
      </c>
      <c r="E527" s="88">
        <v>21</v>
      </c>
      <c r="F527" s="52" t="s">
        <v>12</v>
      </c>
      <c r="G527" s="57" t="s">
        <v>70</v>
      </c>
      <c r="H527" s="52" t="s">
        <v>1946</v>
      </c>
      <c r="I527" s="52" t="s">
        <v>70</v>
      </c>
      <c r="J527" s="113">
        <v>1</v>
      </c>
      <c r="K527" s="52">
        <v>4</v>
      </c>
      <c r="L527" s="52">
        <v>1106</v>
      </c>
      <c r="M527" s="52" t="s">
        <v>12</v>
      </c>
      <c r="N527" s="86" t="s">
        <v>14</v>
      </c>
      <c r="O527" s="52" t="s">
        <v>14</v>
      </c>
      <c r="P527" s="52" t="s">
        <v>31</v>
      </c>
      <c r="Q527" s="52" t="s">
        <v>12</v>
      </c>
      <c r="R527" s="57" t="s">
        <v>12</v>
      </c>
      <c r="S527" s="52">
        <v>0</v>
      </c>
      <c r="T527" s="52" t="s">
        <v>12</v>
      </c>
      <c r="U527" s="52">
        <v>0</v>
      </c>
      <c r="V527" s="87"/>
      <c r="W527" s="53" t="str">
        <f t="shared" si="13"/>
        <v/>
      </c>
    </row>
    <row r="528" spans="1:23" x14ac:dyDescent="0.35">
      <c r="A528" s="56">
        <v>17140</v>
      </c>
      <c r="B528" s="56" t="s">
        <v>1940</v>
      </c>
      <c r="C528" s="105" t="s">
        <v>1985</v>
      </c>
      <c r="D528" s="52" t="s">
        <v>1985</v>
      </c>
      <c r="E528" s="88">
        <v>21</v>
      </c>
      <c r="F528" s="52" t="s">
        <v>12</v>
      </c>
      <c r="G528" s="57" t="s">
        <v>70</v>
      </c>
      <c r="H528" s="52" t="s">
        <v>1946</v>
      </c>
      <c r="I528" s="52" t="s">
        <v>70</v>
      </c>
      <c r="J528" s="113">
        <v>1</v>
      </c>
      <c r="K528" s="52">
        <v>5</v>
      </c>
      <c r="L528" s="52">
        <v>1115</v>
      </c>
      <c r="M528" s="52" t="s">
        <v>12</v>
      </c>
      <c r="N528" s="86" t="s">
        <v>14</v>
      </c>
      <c r="O528" s="52" t="s">
        <v>14</v>
      </c>
      <c r="P528" s="52" t="s">
        <v>31</v>
      </c>
      <c r="Q528" s="52" t="s">
        <v>12</v>
      </c>
      <c r="R528" s="57" t="s">
        <v>12</v>
      </c>
      <c r="S528" s="52">
        <v>0</v>
      </c>
      <c r="T528" s="52" t="s">
        <v>12</v>
      </c>
      <c r="U528" s="52">
        <v>0</v>
      </c>
      <c r="V528" s="87"/>
      <c r="W528" s="53" t="str">
        <f t="shared" si="13"/>
        <v/>
      </c>
    </row>
    <row r="529" spans="1:23" x14ac:dyDescent="0.35">
      <c r="A529" s="56">
        <v>17141</v>
      </c>
      <c r="B529" s="56" t="s">
        <v>1941</v>
      </c>
      <c r="C529" s="105" t="s">
        <v>1986</v>
      </c>
      <c r="D529" s="52" t="s">
        <v>1986</v>
      </c>
      <c r="E529" s="88">
        <v>21</v>
      </c>
      <c r="F529" s="52" t="s">
        <v>12</v>
      </c>
      <c r="G529" s="57" t="s">
        <v>70</v>
      </c>
      <c r="H529" s="52" t="s">
        <v>1946</v>
      </c>
      <c r="I529" s="52" t="s">
        <v>70</v>
      </c>
      <c r="J529" s="113">
        <v>1</v>
      </c>
      <c r="K529" s="52">
        <v>4</v>
      </c>
      <c r="L529" s="52">
        <v>1208</v>
      </c>
      <c r="M529" s="52" t="s">
        <v>12</v>
      </c>
      <c r="N529" s="86" t="s">
        <v>14</v>
      </c>
      <c r="O529" s="52" t="s">
        <v>14</v>
      </c>
      <c r="P529" s="52" t="s">
        <v>31</v>
      </c>
      <c r="Q529" s="52" t="s">
        <v>12</v>
      </c>
      <c r="R529" s="57" t="s">
        <v>12</v>
      </c>
      <c r="S529" s="52">
        <v>0</v>
      </c>
      <c r="T529" s="52" t="s">
        <v>12</v>
      </c>
      <c r="U529" s="52">
        <v>0</v>
      </c>
      <c r="V529" s="87"/>
      <c r="W529" s="53" t="str">
        <f t="shared" si="13"/>
        <v/>
      </c>
    </row>
    <row r="530" spans="1:23" x14ac:dyDescent="0.35">
      <c r="A530" s="56">
        <v>17142</v>
      </c>
      <c r="B530" s="56" t="s">
        <v>1942</v>
      </c>
      <c r="C530" s="105" t="s">
        <v>1987</v>
      </c>
      <c r="D530" s="52" t="s">
        <v>1987</v>
      </c>
      <c r="E530" s="88">
        <v>21</v>
      </c>
      <c r="F530" s="52" t="s">
        <v>12</v>
      </c>
      <c r="G530" s="57" t="s">
        <v>70</v>
      </c>
      <c r="H530" s="52" t="s">
        <v>1946</v>
      </c>
      <c r="I530" s="52" t="s">
        <v>70</v>
      </c>
      <c r="J530" s="113">
        <v>1</v>
      </c>
      <c r="K530" s="52">
        <v>4</v>
      </c>
      <c r="L530" s="52">
        <v>1122</v>
      </c>
      <c r="M530" s="52" t="s">
        <v>12</v>
      </c>
      <c r="N530" s="86" t="s">
        <v>14</v>
      </c>
      <c r="O530" s="52" t="s">
        <v>14</v>
      </c>
      <c r="P530" s="52" t="s">
        <v>31</v>
      </c>
      <c r="Q530" s="52" t="s">
        <v>12</v>
      </c>
      <c r="R530" s="57" t="s">
        <v>12</v>
      </c>
      <c r="S530" s="52">
        <v>0</v>
      </c>
      <c r="T530" s="52" t="s">
        <v>12</v>
      </c>
      <c r="U530" s="52">
        <v>0</v>
      </c>
      <c r="V530" s="87"/>
      <c r="W530" s="53" t="str">
        <f t="shared" si="13"/>
        <v/>
      </c>
    </row>
    <row r="531" spans="1:23" x14ac:dyDescent="0.35">
      <c r="A531" s="56">
        <v>17143</v>
      </c>
      <c r="B531" s="56" t="s">
        <v>1943</v>
      </c>
      <c r="C531" s="105" t="s">
        <v>1988</v>
      </c>
      <c r="D531" s="52" t="s">
        <v>1988</v>
      </c>
      <c r="E531" s="88">
        <v>21</v>
      </c>
      <c r="F531" s="52" t="s">
        <v>12</v>
      </c>
      <c r="G531" s="57" t="s">
        <v>70</v>
      </c>
      <c r="H531" s="52" t="s">
        <v>1946</v>
      </c>
      <c r="I531" s="52" t="s">
        <v>70</v>
      </c>
      <c r="J531" s="113">
        <v>1</v>
      </c>
      <c r="K531" s="52">
        <v>4</v>
      </c>
      <c r="L531" s="52">
        <v>1207</v>
      </c>
      <c r="M531" s="52" t="s">
        <v>12</v>
      </c>
      <c r="N531" s="86" t="s">
        <v>14</v>
      </c>
      <c r="O531" s="52" t="s">
        <v>14</v>
      </c>
      <c r="P531" s="52" t="s">
        <v>31</v>
      </c>
      <c r="Q531" s="52" t="s">
        <v>12</v>
      </c>
      <c r="R531" s="57" t="s">
        <v>12</v>
      </c>
      <c r="S531" s="52">
        <v>0</v>
      </c>
      <c r="T531" s="52" t="s">
        <v>12</v>
      </c>
      <c r="U531" s="52">
        <v>0</v>
      </c>
      <c r="V531" s="87"/>
      <c r="W531" s="53" t="str">
        <f t="shared" si="13"/>
        <v/>
      </c>
    </row>
    <row r="532" spans="1:23" x14ac:dyDescent="0.35">
      <c r="A532" s="56">
        <v>17144</v>
      </c>
      <c r="B532" s="56" t="s">
        <v>1944</v>
      </c>
      <c r="C532" s="105" t="s">
        <v>1989</v>
      </c>
      <c r="D532" s="52" t="s">
        <v>1989</v>
      </c>
      <c r="E532" s="88">
        <v>21</v>
      </c>
      <c r="F532" s="52" t="s">
        <v>12</v>
      </c>
      <c r="G532" s="57" t="s">
        <v>70</v>
      </c>
      <c r="H532" s="52" t="s">
        <v>1946</v>
      </c>
      <c r="I532" s="52" t="s">
        <v>70</v>
      </c>
      <c r="J532" s="113">
        <v>1</v>
      </c>
      <c r="K532" s="52">
        <v>4</v>
      </c>
      <c r="L532" s="52">
        <v>1107</v>
      </c>
      <c r="M532" s="52" t="s">
        <v>12</v>
      </c>
      <c r="N532" s="86" t="s">
        <v>14</v>
      </c>
      <c r="O532" s="52" t="s">
        <v>14</v>
      </c>
      <c r="P532" s="52" t="s">
        <v>31</v>
      </c>
      <c r="Q532" s="52" t="s">
        <v>12</v>
      </c>
      <c r="R532" s="57" t="s">
        <v>12</v>
      </c>
      <c r="S532" s="52">
        <v>0</v>
      </c>
      <c r="T532" s="52" t="s">
        <v>12</v>
      </c>
      <c r="U532" s="52">
        <v>0</v>
      </c>
      <c r="V532" s="87"/>
      <c r="W532" s="53" t="str">
        <f t="shared" si="13"/>
        <v/>
      </c>
    </row>
    <row r="533" spans="1:23" x14ac:dyDescent="0.35">
      <c r="A533" s="52">
        <v>14591</v>
      </c>
      <c r="B533" s="142" t="s">
        <v>2380</v>
      </c>
      <c r="C533" s="105" t="s">
        <v>2364</v>
      </c>
      <c r="D533" s="105" t="s">
        <v>2349</v>
      </c>
      <c r="E533" s="88">
        <v>5</v>
      </c>
      <c r="F533" s="143">
        <v>55476</v>
      </c>
      <c r="G533" s="57" t="s">
        <v>12</v>
      </c>
      <c r="H533" s="52" t="s">
        <v>12</v>
      </c>
      <c r="I533" s="52" t="s">
        <v>12</v>
      </c>
      <c r="J533" s="113">
        <v>10</v>
      </c>
      <c r="K533" s="52">
        <v>1</v>
      </c>
      <c r="L533" s="52">
        <v>15104</v>
      </c>
      <c r="M533" s="57" t="s">
        <v>12</v>
      </c>
      <c r="N533" s="52">
        <v>0</v>
      </c>
      <c r="O533" s="52">
        <v>0</v>
      </c>
      <c r="P533" s="52">
        <v>0</v>
      </c>
      <c r="Q533" s="57" t="s">
        <v>12</v>
      </c>
      <c r="R533" s="57" t="s">
        <v>12</v>
      </c>
      <c r="S533" s="57" t="s">
        <v>14</v>
      </c>
      <c r="T533" s="57" t="s">
        <v>12</v>
      </c>
      <c r="U533" s="57" t="s">
        <v>14</v>
      </c>
      <c r="V533" s="87" t="str">
        <f t="shared" ref="V533:V547" si="14">IF(ISERROR(FIND("将",$B533)),IF(ISERROR(FIND("伙伴",$B533)),IF(ISERROR(FIND("装",$B533)),IF(ISERROR(FIND("法宝",$B533)),IF(ISERROR(FIND("神兵",$B533)),"","神兵"),"法宝"),"装"),"伙伴"),"将")&amp;$K533</f>
        <v>1</v>
      </c>
      <c r="W533" s="53" t="e">
        <f t="shared" si="13"/>
        <v>#N/A</v>
      </c>
    </row>
    <row r="534" spans="1:23" x14ac:dyDescent="0.35">
      <c r="A534" s="52">
        <v>14592</v>
      </c>
      <c r="B534" s="142" t="s">
        <v>2379</v>
      </c>
      <c r="C534" s="105" t="s">
        <v>2350</v>
      </c>
      <c r="D534" s="105" t="s">
        <v>2350</v>
      </c>
      <c r="E534" s="88">
        <v>5</v>
      </c>
      <c r="F534" s="143">
        <v>55477</v>
      </c>
      <c r="G534" s="57" t="s">
        <v>12</v>
      </c>
      <c r="H534" s="52" t="s">
        <v>12</v>
      </c>
      <c r="I534" s="52" t="s">
        <v>12</v>
      </c>
      <c r="J534" s="113">
        <v>20</v>
      </c>
      <c r="K534" s="52">
        <v>1</v>
      </c>
      <c r="L534" s="52">
        <v>15104</v>
      </c>
      <c r="M534" s="57" t="s">
        <v>12</v>
      </c>
      <c r="N534" s="52">
        <v>0</v>
      </c>
      <c r="O534" s="52">
        <v>0</v>
      </c>
      <c r="P534" s="52">
        <v>0</v>
      </c>
      <c r="Q534" s="57" t="s">
        <v>12</v>
      </c>
      <c r="R534" s="57" t="s">
        <v>12</v>
      </c>
      <c r="S534" s="57" t="s">
        <v>14</v>
      </c>
      <c r="T534" s="57" t="s">
        <v>12</v>
      </c>
      <c r="U534" s="57" t="s">
        <v>14</v>
      </c>
      <c r="V534" s="87" t="str">
        <f t="shared" si="14"/>
        <v>1</v>
      </c>
      <c r="W534" s="53" t="e">
        <f t="shared" ref="W534:W547" si="15">IF(V534="","",VLOOKUP(V534,$Z$419:$AA$443,2,0))</f>
        <v>#N/A</v>
      </c>
    </row>
    <row r="535" spans="1:23" x14ac:dyDescent="0.35">
      <c r="A535" s="142">
        <v>14593</v>
      </c>
      <c r="B535" s="142" t="s">
        <v>2378</v>
      </c>
      <c r="C535" s="105" t="s">
        <v>2351</v>
      </c>
      <c r="D535" s="105" t="s">
        <v>2351</v>
      </c>
      <c r="E535" s="88">
        <v>5</v>
      </c>
      <c r="F535" s="143">
        <v>55478</v>
      </c>
      <c r="G535" s="57" t="s">
        <v>12</v>
      </c>
      <c r="H535" s="52" t="s">
        <v>12</v>
      </c>
      <c r="I535" s="52" t="s">
        <v>12</v>
      </c>
      <c r="J535" s="113">
        <v>30</v>
      </c>
      <c r="K535" s="52">
        <v>2</v>
      </c>
      <c r="L535" s="52">
        <v>15104</v>
      </c>
      <c r="M535" s="57" t="s">
        <v>12</v>
      </c>
      <c r="N535" s="52">
        <v>0</v>
      </c>
      <c r="O535" s="52">
        <v>0</v>
      </c>
      <c r="P535" s="52">
        <v>0</v>
      </c>
      <c r="Q535" s="57" t="s">
        <v>12</v>
      </c>
      <c r="R535" s="57" t="s">
        <v>12</v>
      </c>
      <c r="S535" s="57" t="s">
        <v>14</v>
      </c>
      <c r="T535" s="57" t="s">
        <v>12</v>
      </c>
      <c r="U535" s="57" t="s">
        <v>14</v>
      </c>
      <c r="V535" s="87" t="str">
        <f t="shared" si="14"/>
        <v>2</v>
      </c>
      <c r="W535" s="53" t="e">
        <f t="shared" si="15"/>
        <v>#N/A</v>
      </c>
    </row>
    <row r="536" spans="1:23" x14ac:dyDescent="0.35">
      <c r="A536" s="142">
        <v>14594</v>
      </c>
      <c r="B536" s="142" t="s">
        <v>2377</v>
      </c>
      <c r="C536" s="105" t="s">
        <v>2352</v>
      </c>
      <c r="D536" s="105" t="s">
        <v>2352</v>
      </c>
      <c r="E536" s="88">
        <v>5</v>
      </c>
      <c r="F536" s="143">
        <v>55479</v>
      </c>
      <c r="G536" s="57" t="s">
        <v>12</v>
      </c>
      <c r="H536" s="52" t="s">
        <v>12</v>
      </c>
      <c r="I536" s="52" t="s">
        <v>12</v>
      </c>
      <c r="J536" s="113">
        <v>40</v>
      </c>
      <c r="K536" s="52">
        <v>2</v>
      </c>
      <c r="L536" s="52">
        <v>15104</v>
      </c>
      <c r="M536" s="57" t="s">
        <v>12</v>
      </c>
      <c r="N536" s="52">
        <v>0</v>
      </c>
      <c r="O536" s="52">
        <v>0</v>
      </c>
      <c r="P536" s="52">
        <v>0</v>
      </c>
      <c r="Q536" s="57" t="s">
        <v>12</v>
      </c>
      <c r="R536" s="57" t="s">
        <v>12</v>
      </c>
      <c r="S536" s="57" t="s">
        <v>14</v>
      </c>
      <c r="T536" s="57" t="s">
        <v>12</v>
      </c>
      <c r="U536" s="57" t="s">
        <v>14</v>
      </c>
      <c r="V536" s="87" t="str">
        <f t="shared" si="14"/>
        <v>2</v>
      </c>
      <c r="W536" s="53" t="e">
        <f t="shared" si="15"/>
        <v>#N/A</v>
      </c>
    </row>
    <row r="537" spans="1:23" x14ac:dyDescent="0.35">
      <c r="A537" s="142">
        <v>14595</v>
      </c>
      <c r="B537" s="142" t="s">
        <v>2376</v>
      </c>
      <c r="C537" s="105" t="s">
        <v>2353</v>
      </c>
      <c r="D537" s="105" t="s">
        <v>2353</v>
      </c>
      <c r="E537" s="88">
        <v>5</v>
      </c>
      <c r="F537" s="143">
        <v>55480</v>
      </c>
      <c r="G537" s="57" t="s">
        <v>12</v>
      </c>
      <c r="H537" s="52" t="s">
        <v>12</v>
      </c>
      <c r="I537" s="52" t="s">
        <v>12</v>
      </c>
      <c r="J537" s="113">
        <v>50</v>
      </c>
      <c r="K537" s="52">
        <v>3</v>
      </c>
      <c r="L537" s="52">
        <v>15104</v>
      </c>
      <c r="M537" s="57" t="s">
        <v>12</v>
      </c>
      <c r="N537" s="52">
        <v>0</v>
      </c>
      <c r="O537" s="52">
        <v>0</v>
      </c>
      <c r="P537" s="52">
        <v>0</v>
      </c>
      <c r="Q537" s="57" t="s">
        <v>12</v>
      </c>
      <c r="R537" s="57" t="s">
        <v>12</v>
      </c>
      <c r="S537" s="57" t="s">
        <v>14</v>
      </c>
      <c r="T537" s="57" t="s">
        <v>12</v>
      </c>
      <c r="U537" s="57" t="s">
        <v>14</v>
      </c>
      <c r="V537" s="87" t="str">
        <f t="shared" si="14"/>
        <v>3</v>
      </c>
      <c r="W537" s="53" t="e">
        <f t="shared" si="15"/>
        <v>#N/A</v>
      </c>
    </row>
    <row r="538" spans="1:23" x14ac:dyDescent="0.35">
      <c r="A538" s="142">
        <v>14596</v>
      </c>
      <c r="B538" s="142" t="s">
        <v>2375</v>
      </c>
      <c r="C538" s="105" t="s">
        <v>2354</v>
      </c>
      <c r="D538" s="105" t="s">
        <v>2354</v>
      </c>
      <c r="E538" s="88">
        <v>5</v>
      </c>
      <c r="F538" s="143">
        <v>55481</v>
      </c>
      <c r="G538" s="57" t="s">
        <v>12</v>
      </c>
      <c r="H538" s="52" t="s">
        <v>12</v>
      </c>
      <c r="I538" s="52" t="s">
        <v>12</v>
      </c>
      <c r="J538" s="113">
        <v>60</v>
      </c>
      <c r="K538" s="52">
        <v>3</v>
      </c>
      <c r="L538" s="52">
        <v>15104</v>
      </c>
      <c r="M538" s="57" t="s">
        <v>12</v>
      </c>
      <c r="N538" s="52">
        <v>0</v>
      </c>
      <c r="O538" s="52">
        <v>0</v>
      </c>
      <c r="P538" s="52">
        <v>0</v>
      </c>
      <c r="Q538" s="57" t="s">
        <v>12</v>
      </c>
      <c r="R538" s="57" t="s">
        <v>12</v>
      </c>
      <c r="S538" s="57" t="s">
        <v>14</v>
      </c>
      <c r="T538" s="57" t="s">
        <v>12</v>
      </c>
      <c r="U538" s="57" t="s">
        <v>14</v>
      </c>
      <c r="V538" s="87" t="str">
        <f t="shared" si="14"/>
        <v>3</v>
      </c>
      <c r="W538" s="53" t="e">
        <f t="shared" si="15"/>
        <v>#N/A</v>
      </c>
    </row>
    <row r="539" spans="1:23" x14ac:dyDescent="0.35">
      <c r="A539" s="142">
        <v>14597</v>
      </c>
      <c r="B539" s="142" t="s">
        <v>2373</v>
      </c>
      <c r="C539" s="105" t="s">
        <v>2355</v>
      </c>
      <c r="D539" s="105" t="s">
        <v>2355</v>
      </c>
      <c r="E539" s="88">
        <v>5</v>
      </c>
      <c r="F539" s="143">
        <v>55482</v>
      </c>
      <c r="G539" s="57" t="s">
        <v>12</v>
      </c>
      <c r="H539" s="52" t="s">
        <v>12</v>
      </c>
      <c r="I539" s="52" t="s">
        <v>12</v>
      </c>
      <c r="J539" s="113">
        <v>70</v>
      </c>
      <c r="K539" s="52">
        <v>4</v>
      </c>
      <c r="L539" s="52">
        <v>15104</v>
      </c>
      <c r="M539" s="57" t="s">
        <v>12</v>
      </c>
      <c r="N539" s="52">
        <v>0</v>
      </c>
      <c r="O539" s="52">
        <v>0</v>
      </c>
      <c r="P539" s="52">
        <v>0</v>
      </c>
      <c r="Q539" s="57" t="s">
        <v>12</v>
      </c>
      <c r="R539" s="57" t="s">
        <v>12</v>
      </c>
      <c r="S539" s="57" t="s">
        <v>14</v>
      </c>
      <c r="T539" s="57" t="s">
        <v>12</v>
      </c>
      <c r="U539" s="57" t="s">
        <v>14</v>
      </c>
      <c r="V539" s="87" t="str">
        <f t="shared" si="14"/>
        <v>4</v>
      </c>
      <c r="W539" s="53" t="e">
        <f t="shared" si="15"/>
        <v>#N/A</v>
      </c>
    </row>
    <row r="540" spans="1:23" x14ac:dyDescent="0.35">
      <c r="A540" s="142">
        <v>14598</v>
      </c>
      <c r="B540" s="142" t="s">
        <v>2374</v>
      </c>
      <c r="C540" s="105" t="s">
        <v>2356</v>
      </c>
      <c r="D540" s="105" t="s">
        <v>2356</v>
      </c>
      <c r="E540" s="88">
        <v>5</v>
      </c>
      <c r="F540" s="143">
        <v>55483</v>
      </c>
      <c r="G540" s="57" t="s">
        <v>12</v>
      </c>
      <c r="H540" s="52" t="s">
        <v>12</v>
      </c>
      <c r="I540" s="52" t="s">
        <v>12</v>
      </c>
      <c r="J540" s="113">
        <v>80</v>
      </c>
      <c r="K540" s="52">
        <v>4</v>
      </c>
      <c r="L540" s="52">
        <v>15104</v>
      </c>
      <c r="M540" s="57" t="s">
        <v>12</v>
      </c>
      <c r="N540" s="52">
        <v>0</v>
      </c>
      <c r="O540" s="52">
        <v>0</v>
      </c>
      <c r="P540" s="52">
        <v>0</v>
      </c>
      <c r="Q540" s="57" t="s">
        <v>12</v>
      </c>
      <c r="R540" s="57" t="s">
        <v>12</v>
      </c>
      <c r="S540" s="57" t="s">
        <v>14</v>
      </c>
      <c r="T540" s="57" t="s">
        <v>12</v>
      </c>
      <c r="U540" s="57" t="s">
        <v>14</v>
      </c>
      <c r="V540" s="87" t="str">
        <f t="shared" si="14"/>
        <v>4</v>
      </c>
      <c r="W540" s="53" t="e">
        <f t="shared" si="15"/>
        <v>#N/A</v>
      </c>
    </row>
    <row r="541" spans="1:23" x14ac:dyDescent="0.35">
      <c r="A541" s="142">
        <v>14599</v>
      </c>
      <c r="B541" s="142" t="s">
        <v>2372</v>
      </c>
      <c r="C541" s="105" t="s">
        <v>2357</v>
      </c>
      <c r="D541" s="105" t="s">
        <v>2357</v>
      </c>
      <c r="E541" s="88">
        <v>5</v>
      </c>
      <c r="F541" s="143">
        <v>55484</v>
      </c>
      <c r="G541" s="57" t="s">
        <v>12</v>
      </c>
      <c r="H541" s="52" t="s">
        <v>12</v>
      </c>
      <c r="I541" s="52" t="s">
        <v>12</v>
      </c>
      <c r="J541" s="113">
        <v>90</v>
      </c>
      <c r="K541" s="52">
        <v>5</v>
      </c>
      <c r="L541" s="52">
        <v>15104</v>
      </c>
      <c r="M541" s="57" t="s">
        <v>12</v>
      </c>
      <c r="N541" s="52">
        <v>0</v>
      </c>
      <c r="O541" s="52">
        <v>0</v>
      </c>
      <c r="P541" s="52">
        <v>0</v>
      </c>
      <c r="Q541" s="57" t="s">
        <v>12</v>
      </c>
      <c r="R541" s="57" t="s">
        <v>12</v>
      </c>
      <c r="S541" s="57" t="s">
        <v>14</v>
      </c>
      <c r="T541" s="57" t="s">
        <v>12</v>
      </c>
      <c r="U541" s="57" t="s">
        <v>14</v>
      </c>
      <c r="V541" s="87" t="str">
        <f t="shared" si="14"/>
        <v>5</v>
      </c>
      <c r="W541" s="53" t="e">
        <f t="shared" si="15"/>
        <v>#N/A</v>
      </c>
    </row>
    <row r="542" spans="1:23" x14ac:dyDescent="0.35">
      <c r="A542" s="142">
        <v>14600</v>
      </c>
      <c r="B542" s="142" t="s">
        <v>2371</v>
      </c>
      <c r="C542" s="105" t="s">
        <v>2358</v>
      </c>
      <c r="D542" s="105" t="s">
        <v>2358</v>
      </c>
      <c r="E542" s="88">
        <v>5</v>
      </c>
      <c r="F542" s="143">
        <v>55485</v>
      </c>
      <c r="G542" s="57" t="s">
        <v>12</v>
      </c>
      <c r="H542" s="52" t="s">
        <v>12</v>
      </c>
      <c r="I542" s="52" t="s">
        <v>12</v>
      </c>
      <c r="J542" s="113">
        <v>100</v>
      </c>
      <c r="K542" s="52">
        <v>5</v>
      </c>
      <c r="L542" s="52">
        <v>15104</v>
      </c>
      <c r="M542" s="57" t="s">
        <v>12</v>
      </c>
      <c r="N542" s="52">
        <v>0</v>
      </c>
      <c r="O542" s="52">
        <v>0</v>
      </c>
      <c r="P542" s="52">
        <v>0</v>
      </c>
      <c r="Q542" s="57" t="s">
        <v>12</v>
      </c>
      <c r="R542" s="57" t="s">
        <v>12</v>
      </c>
      <c r="S542" s="57" t="s">
        <v>14</v>
      </c>
      <c r="T542" s="57" t="s">
        <v>12</v>
      </c>
      <c r="U542" s="57" t="s">
        <v>14</v>
      </c>
      <c r="V542" s="87" t="str">
        <f t="shared" si="14"/>
        <v>5</v>
      </c>
      <c r="W542" s="53" t="e">
        <f t="shared" si="15"/>
        <v>#N/A</v>
      </c>
    </row>
    <row r="543" spans="1:23" x14ac:dyDescent="0.35">
      <c r="A543" s="142">
        <v>14601</v>
      </c>
      <c r="B543" s="142" t="s">
        <v>2370</v>
      </c>
      <c r="C543" s="105" t="s">
        <v>2359</v>
      </c>
      <c r="D543" s="105" t="s">
        <v>2359</v>
      </c>
      <c r="E543" s="88">
        <v>5</v>
      </c>
      <c r="F543" s="143">
        <v>55486</v>
      </c>
      <c r="G543" s="57" t="s">
        <v>12</v>
      </c>
      <c r="H543" s="52" t="s">
        <v>12</v>
      </c>
      <c r="I543" s="52" t="s">
        <v>12</v>
      </c>
      <c r="J543" s="113">
        <v>110</v>
      </c>
      <c r="K543" s="52">
        <v>6</v>
      </c>
      <c r="L543" s="52">
        <v>15104</v>
      </c>
      <c r="M543" s="57" t="s">
        <v>12</v>
      </c>
      <c r="N543" s="52">
        <v>0</v>
      </c>
      <c r="O543" s="52">
        <v>0</v>
      </c>
      <c r="P543" s="52">
        <v>0</v>
      </c>
      <c r="Q543" s="57" t="s">
        <v>12</v>
      </c>
      <c r="R543" s="57" t="s">
        <v>12</v>
      </c>
      <c r="S543" s="57" t="s">
        <v>14</v>
      </c>
      <c r="T543" s="57" t="s">
        <v>12</v>
      </c>
      <c r="U543" s="57" t="s">
        <v>14</v>
      </c>
      <c r="V543" s="87" t="str">
        <f t="shared" si="14"/>
        <v>6</v>
      </c>
      <c r="W543" s="53" t="e">
        <f t="shared" si="15"/>
        <v>#N/A</v>
      </c>
    </row>
    <row r="544" spans="1:23" x14ac:dyDescent="0.35">
      <c r="A544" s="142">
        <v>14602</v>
      </c>
      <c r="B544" s="142" t="s">
        <v>2369</v>
      </c>
      <c r="C544" s="105" t="s">
        <v>2360</v>
      </c>
      <c r="D544" s="105" t="s">
        <v>2360</v>
      </c>
      <c r="E544" s="88">
        <v>5</v>
      </c>
      <c r="F544" s="143">
        <v>55487</v>
      </c>
      <c r="G544" s="57" t="s">
        <v>12</v>
      </c>
      <c r="H544" s="52" t="s">
        <v>12</v>
      </c>
      <c r="I544" s="52" t="s">
        <v>12</v>
      </c>
      <c r="J544" s="113">
        <v>120</v>
      </c>
      <c r="K544" s="142">
        <v>6</v>
      </c>
      <c r="L544" s="52">
        <v>15104</v>
      </c>
      <c r="M544" s="57" t="s">
        <v>12</v>
      </c>
      <c r="N544" s="52">
        <v>0</v>
      </c>
      <c r="O544" s="52">
        <v>0</v>
      </c>
      <c r="P544" s="52">
        <v>0</v>
      </c>
      <c r="Q544" s="57" t="s">
        <v>12</v>
      </c>
      <c r="R544" s="57" t="s">
        <v>12</v>
      </c>
      <c r="S544" s="57" t="s">
        <v>14</v>
      </c>
      <c r="T544" s="57" t="s">
        <v>12</v>
      </c>
      <c r="U544" s="57" t="s">
        <v>14</v>
      </c>
      <c r="V544" s="87" t="str">
        <f t="shared" si="14"/>
        <v>6</v>
      </c>
      <c r="W544" s="53" t="e">
        <f t="shared" si="15"/>
        <v>#N/A</v>
      </c>
    </row>
    <row r="545" spans="1:23" x14ac:dyDescent="0.35">
      <c r="A545" s="142">
        <v>14603</v>
      </c>
      <c r="B545" s="142" t="s">
        <v>2368</v>
      </c>
      <c r="C545" s="105" t="s">
        <v>2361</v>
      </c>
      <c r="D545" s="105" t="s">
        <v>2361</v>
      </c>
      <c r="E545" s="88">
        <v>5</v>
      </c>
      <c r="F545" s="143">
        <v>55488</v>
      </c>
      <c r="G545" s="57" t="s">
        <v>12</v>
      </c>
      <c r="H545" s="52" t="s">
        <v>12</v>
      </c>
      <c r="I545" s="52" t="s">
        <v>12</v>
      </c>
      <c r="J545" s="113">
        <v>130</v>
      </c>
      <c r="K545" s="142">
        <v>6</v>
      </c>
      <c r="L545" s="52">
        <v>15104</v>
      </c>
      <c r="M545" s="57" t="s">
        <v>12</v>
      </c>
      <c r="N545" s="52">
        <v>0</v>
      </c>
      <c r="O545" s="52">
        <v>0</v>
      </c>
      <c r="P545" s="52">
        <v>0</v>
      </c>
      <c r="Q545" s="57" t="s">
        <v>12</v>
      </c>
      <c r="R545" s="57" t="s">
        <v>12</v>
      </c>
      <c r="S545" s="57" t="s">
        <v>14</v>
      </c>
      <c r="T545" s="57" t="s">
        <v>12</v>
      </c>
      <c r="U545" s="57" t="s">
        <v>14</v>
      </c>
      <c r="V545" s="87" t="str">
        <f t="shared" si="14"/>
        <v>6</v>
      </c>
      <c r="W545" s="53" t="e">
        <f t="shared" si="15"/>
        <v>#N/A</v>
      </c>
    </row>
    <row r="546" spans="1:23" x14ac:dyDescent="0.35">
      <c r="A546" s="142">
        <v>14604</v>
      </c>
      <c r="B546" s="142" t="s">
        <v>2367</v>
      </c>
      <c r="C546" s="105" t="s">
        <v>2362</v>
      </c>
      <c r="D546" s="105" t="s">
        <v>2362</v>
      </c>
      <c r="E546" s="88">
        <v>5</v>
      </c>
      <c r="F546" s="143">
        <v>55489</v>
      </c>
      <c r="G546" s="57" t="s">
        <v>12</v>
      </c>
      <c r="H546" s="52" t="s">
        <v>12</v>
      </c>
      <c r="I546" s="52" t="s">
        <v>12</v>
      </c>
      <c r="J546" s="113">
        <v>140</v>
      </c>
      <c r="K546" s="142">
        <v>6</v>
      </c>
      <c r="L546" s="52">
        <v>15104</v>
      </c>
      <c r="M546" s="57" t="s">
        <v>12</v>
      </c>
      <c r="N546" s="52">
        <v>0</v>
      </c>
      <c r="O546" s="52">
        <v>0</v>
      </c>
      <c r="P546" s="52">
        <v>0</v>
      </c>
      <c r="Q546" s="57" t="s">
        <v>12</v>
      </c>
      <c r="R546" s="57" t="s">
        <v>12</v>
      </c>
      <c r="S546" s="57" t="s">
        <v>14</v>
      </c>
      <c r="T546" s="57" t="s">
        <v>12</v>
      </c>
      <c r="U546" s="57" t="s">
        <v>14</v>
      </c>
      <c r="V546" s="87" t="str">
        <f t="shared" si="14"/>
        <v>6</v>
      </c>
      <c r="W546" s="53" t="e">
        <f t="shared" si="15"/>
        <v>#N/A</v>
      </c>
    </row>
    <row r="547" spans="1:23" x14ac:dyDescent="0.35">
      <c r="A547" s="142">
        <v>14605</v>
      </c>
      <c r="B547" s="142" t="s">
        <v>2366</v>
      </c>
      <c r="C547" s="105" t="s">
        <v>2363</v>
      </c>
      <c r="D547" s="105" t="s">
        <v>2363</v>
      </c>
      <c r="E547" s="88">
        <v>5</v>
      </c>
      <c r="F547" s="143">
        <v>55490</v>
      </c>
      <c r="G547" s="57" t="s">
        <v>12</v>
      </c>
      <c r="H547" s="52" t="s">
        <v>12</v>
      </c>
      <c r="I547" s="52" t="s">
        <v>12</v>
      </c>
      <c r="J547" s="113">
        <v>150</v>
      </c>
      <c r="K547" s="142">
        <v>6</v>
      </c>
      <c r="L547" s="52">
        <v>15104</v>
      </c>
      <c r="M547" s="57" t="s">
        <v>12</v>
      </c>
      <c r="N547" s="52">
        <v>0</v>
      </c>
      <c r="O547" s="52">
        <v>0</v>
      </c>
      <c r="P547" s="52">
        <v>0</v>
      </c>
      <c r="Q547" s="57" t="s">
        <v>12</v>
      </c>
      <c r="R547" s="57" t="s">
        <v>12</v>
      </c>
      <c r="S547" s="57" t="s">
        <v>14</v>
      </c>
      <c r="T547" s="57" t="s">
        <v>12</v>
      </c>
      <c r="U547" s="57" t="s">
        <v>14</v>
      </c>
      <c r="V547" s="87" t="str">
        <f t="shared" si="14"/>
        <v>6</v>
      </c>
      <c r="W547" s="53" t="e">
        <f t="shared" si="15"/>
        <v>#N/A</v>
      </c>
    </row>
  </sheetData>
  <autoFilter ref="A3:AA532">
    <sortState ref="A4:AB422">
      <sortCondition ref="A3"/>
    </sortState>
  </autoFilter>
  <sortState ref="A2:AB412">
    <sortCondition sortBy="cellColor" ref="A2:A412" dxfId="2"/>
    <sortCondition sortBy="cellColor" ref="A2:A412" dxfId="1"/>
  </sortState>
  <phoneticPr fontId="1" type="noConversion"/>
  <pageMargins left="0.69930555555555596" right="0.69930555555555596" top="0.75" bottom="0.75" header="0.3" footer="0.3"/>
  <pageSetup paperSize="9" orientation="portrait" r:id="rId1"/>
  <headerFooter alignWithMargins="0"/>
  <ignoredErrors>
    <ignoredError sqref="J452:J532 J417:J44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8"/>
  <sheetViews>
    <sheetView topLeftCell="D1" workbookViewId="0">
      <selection activeCell="K2" sqref="K2"/>
    </sheetView>
  </sheetViews>
  <sheetFormatPr defaultColWidth="12" defaultRowHeight="13.5" x14ac:dyDescent="0.15"/>
  <cols>
    <col min="1" max="1" width="36.75" customWidth="1"/>
    <col min="2" max="2" width="20.25" customWidth="1"/>
    <col min="8" max="8" width="44.375" customWidth="1"/>
    <col min="9" max="9" width="33.375" customWidth="1"/>
    <col min="10" max="10" width="35.625" customWidth="1"/>
    <col min="11" max="11" width="54.875" customWidth="1"/>
  </cols>
  <sheetData>
    <row r="1" spans="1:11" ht="135" x14ac:dyDescent="0.15">
      <c r="A1" t="s">
        <v>1561</v>
      </c>
      <c r="C1" t="s">
        <v>1562</v>
      </c>
      <c r="D1" t="s">
        <v>1563</v>
      </c>
      <c r="E1" t="s">
        <v>1564</v>
      </c>
      <c r="H1" s="45" t="s">
        <v>1565</v>
      </c>
      <c r="I1" s="45" t="s">
        <v>1566</v>
      </c>
      <c r="J1" t="s">
        <v>1567</v>
      </c>
      <c r="K1" s="45" t="s">
        <v>1568</v>
      </c>
    </row>
    <row r="2" spans="1:11" ht="16.5" x14ac:dyDescent="0.3">
      <c r="A2" s="10">
        <v>14101</v>
      </c>
      <c r="B2" s="10" t="s">
        <v>1569</v>
      </c>
      <c r="C2">
        <v>25991</v>
      </c>
      <c r="D2">
        <v>1</v>
      </c>
      <c r="E2">
        <v>49001</v>
      </c>
      <c r="H2">
        <f>VLOOKUP($C2,[3]Sheet1!$A:$E,2,FALSE)</f>
        <v>0</v>
      </c>
      <c r="I2" t="str">
        <f>VLOOKUP($C2,[3]Sheet1!$A:$E,3,FALSE)</f>
        <v>4|12|25</v>
      </c>
      <c r="J2" t="str">
        <f>VLOOKUP($C2,[3]Sheet1!$A:$E,4,FALSE)</f>
        <v>恢复25点体力</v>
      </c>
      <c r="K2" t="str">
        <f>VLOOKUP($C2,[3]Sheet1!$A:$E,5,FALSE)</f>
        <v>4|12|25|1</v>
      </c>
    </row>
    <row r="3" spans="1:11" ht="16.5" customHeight="1" x14ac:dyDescent="0.3">
      <c r="A3" s="10">
        <v>14108</v>
      </c>
      <c r="B3" s="10" t="s">
        <v>1570</v>
      </c>
      <c r="C3">
        <v>25992</v>
      </c>
      <c r="D3">
        <v>1</v>
      </c>
      <c r="E3">
        <v>49002</v>
      </c>
      <c r="H3">
        <f>VLOOKUP($C3,[3]Sheet1!$A:$E,2,FALSE)</f>
        <v>0</v>
      </c>
      <c r="I3" t="str">
        <f>VLOOKUP($C3,[3]Sheet1!$A:$E,3,FALSE)</f>
        <v>4|13|10</v>
      </c>
      <c r="J3" t="str">
        <f>VLOOKUP($C3,[3]Sheet1!$A:$E,4,FALSE)</f>
        <v>恢复10点精力</v>
      </c>
      <c r="K3" t="str">
        <f>VLOOKUP($C3,[3]Sheet1!$A:$E,5,FALSE)</f>
        <v>4|13|10|1</v>
      </c>
    </row>
    <row r="4" spans="1:11" ht="16.5" x14ac:dyDescent="0.3">
      <c r="A4" s="6">
        <v>14110</v>
      </c>
      <c r="B4" s="6" t="s">
        <v>1571</v>
      </c>
      <c r="C4">
        <v>25993</v>
      </c>
      <c r="D4">
        <v>1</v>
      </c>
      <c r="E4">
        <v>49003</v>
      </c>
      <c r="H4">
        <f>VLOOKUP($C4,[3]Sheet1!$A:$E,2,FALSE)</f>
        <v>0</v>
      </c>
      <c r="I4" t="str">
        <f>VLOOKUP($C4,[3]Sheet1!$A:$E,3,FALSE)</f>
        <v>4|14|1</v>
      </c>
      <c r="J4" t="str">
        <f>VLOOKUP($C4,[3]Sheet1!$A:$E,4,FALSE)</f>
        <v>获得1个迎战券</v>
      </c>
      <c r="K4" t="str">
        <f>VLOOKUP($C4,[3]Sheet1!$A:$E,5,FALSE)</f>
        <v>4|14|1|1</v>
      </c>
    </row>
    <row r="5" spans="1:11" ht="16.5" x14ac:dyDescent="0.3">
      <c r="A5" s="10">
        <v>14211</v>
      </c>
      <c r="B5" s="10" t="s">
        <v>1536</v>
      </c>
      <c r="C5">
        <v>25998</v>
      </c>
      <c r="D5">
        <v>1</v>
      </c>
      <c r="E5">
        <v>49004</v>
      </c>
      <c r="H5">
        <f>VLOOKUP($C5,[3]Sheet1!$A:$E,2,FALSE)</f>
        <v>0</v>
      </c>
      <c r="I5" t="str">
        <f>VLOOKUP($C5,[3]Sheet1!$A:$E,3,FALSE)</f>
        <v>4|33|1</v>
      </c>
      <c r="J5" t="str">
        <f>VLOOKUP($C5,[3]Sheet1!$A:$E,4,FALSE)</f>
        <v>挑战令开启获得挑战次数</v>
      </c>
      <c r="K5" t="str">
        <f>VLOOKUP($C5,[3]Sheet1!$A:$E,5,FALSE)</f>
        <v>4|33|1|1</v>
      </c>
    </row>
    <row r="6" spans="1:11" ht="16.5" x14ac:dyDescent="0.3">
      <c r="A6" s="13">
        <v>14400</v>
      </c>
      <c r="B6" s="13" t="s">
        <v>1537</v>
      </c>
      <c r="C6">
        <v>50092</v>
      </c>
      <c r="D6">
        <v>1</v>
      </c>
      <c r="E6">
        <v>49005</v>
      </c>
      <c r="H6">
        <f>VLOOKUP($C6,[3]Sheet1!$A:$E,2,FALSE)</f>
        <v>0</v>
      </c>
      <c r="I6" t="str">
        <f>VLOOKUP($C6,[3]Sheet1!$A:$E,3,FALSE)</f>
        <v>4|1|10000</v>
      </c>
      <c r="J6" t="str">
        <f>VLOOKUP($C6,[3]Sheet1!$A:$E,4,FALSE)</f>
        <v>1万金币宝箱</v>
      </c>
      <c r="K6" t="str">
        <f>VLOOKUP($C6,[3]Sheet1!$A:$E,5,FALSE)</f>
        <v>4|1|10000|1</v>
      </c>
    </row>
    <row r="7" spans="1:11" ht="16.5" x14ac:dyDescent="0.3">
      <c r="A7" s="10">
        <v>14401</v>
      </c>
      <c r="B7" s="10" t="s">
        <v>20</v>
      </c>
      <c r="C7">
        <v>25007</v>
      </c>
      <c r="D7">
        <v>1</v>
      </c>
      <c r="E7">
        <v>49006</v>
      </c>
      <c r="H7">
        <f>VLOOKUP($C7,[3]Sheet1!$A:$E,2,FALSE)</f>
        <v>1</v>
      </c>
      <c r="I7" t="str">
        <f>VLOOKUP($C7,[3]Sheet1!$A:$E,3,FALSE)</f>
        <v>4|1|50000</v>
      </c>
      <c r="J7" t="str">
        <f>VLOOKUP($C7,[3]Sheet1!$A:$E,4,FALSE)</f>
        <v>货币</v>
      </c>
      <c r="K7" t="str">
        <f>VLOOKUP($C7,[3]Sheet1!$A:$E,5,FALSE)</f>
        <v>4|1|50000|4,4|1|800000|3,4|1|100000|2,4|1|200000|1</v>
      </c>
    </row>
    <row r="8" spans="1:11" ht="16.5" x14ac:dyDescent="0.3">
      <c r="A8" s="6">
        <v>14402</v>
      </c>
      <c r="B8" s="6" t="s">
        <v>1538</v>
      </c>
      <c r="C8">
        <v>25008</v>
      </c>
      <c r="D8">
        <v>1</v>
      </c>
      <c r="E8">
        <v>49007</v>
      </c>
      <c r="H8">
        <f>VLOOKUP($C8,[3]Sheet1!$A:$E,2,FALSE)</f>
        <v>1</v>
      </c>
      <c r="I8" t="str">
        <f>VLOOKUP($C8,[3]Sheet1!$A:$E,3,FALSE)</f>
        <v>1|14107|50</v>
      </c>
      <c r="J8" t="str">
        <f>VLOOKUP($C8,[3]Sheet1!$A:$E,4,FALSE)</f>
        <v>精炼石</v>
      </c>
      <c r="K8" t="str">
        <f>VLOOKUP($C8,[3]Sheet1!$A:$E,5,FALSE)</f>
        <v>1|14107|50|4,1|14107|100|4,1|14107|400|2</v>
      </c>
    </row>
    <row r="9" spans="1:11" ht="16.5" x14ac:dyDescent="0.3">
      <c r="A9" s="10">
        <v>14403</v>
      </c>
      <c r="B9" s="10" t="s">
        <v>962</v>
      </c>
      <c r="C9">
        <v>25010</v>
      </c>
      <c r="D9">
        <v>1</v>
      </c>
      <c r="E9">
        <v>49008</v>
      </c>
      <c r="H9">
        <f>VLOOKUP($C9,[3]Sheet1!$A:$E,2,FALSE)</f>
        <v>1</v>
      </c>
      <c r="I9" t="str">
        <f>VLOOKUP($C9,[3]Sheet1!$A:$E,3,FALSE)</f>
        <v>1|14201|50</v>
      </c>
      <c r="J9" t="str">
        <f>VLOOKUP($C9,[3]Sheet1!$A:$E,4,FALSE)</f>
        <v>法宝精炼</v>
      </c>
      <c r="K9" t="str">
        <f>VLOOKUP($C9,[3]Sheet1!$A:$E,5,FALSE)</f>
        <v>1|14201|50|4,1|14201|100|4,1|14201|400|2</v>
      </c>
    </row>
    <row r="10" spans="1:11" ht="16.5" customHeight="1" x14ac:dyDescent="0.3">
      <c r="A10" s="10">
        <v>14404</v>
      </c>
      <c r="B10" s="10" t="s">
        <v>1539</v>
      </c>
      <c r="C10">
        <v>25011</v>
      </c>
      <c r="D10">
        <v>1</v>
      </c>
      <c r="E10">
        <v>49009</v>
      </c>
      <c r="H10">
        <f>VLOOKUP($C10,[3]Sheet1!$A:$E,2,FALSE)</f>
        <v>1</v>
      </c>
      <c r="I10" t="str">
        <f>VLOOKUP($C10,[3]Sheet1!$A:$E,3,FALSE)</f>
        <v>1|14104|50</v>
      </c>
      <c r="J10" t="str">
        <f>VLOOKUP($C10,[3]Sheet1!$A:$E,4,FALSE)</f>
        <v>技能书</v>
      </c>
      <c r="K10" t="str">
        <f>VLOOKUP($C10,[3]Sheet1!$A:$E,5,FALSE)</f>
        <v>1|14104|50|4,1|14104|100|4,1|14104|400|2</v>
      </c>
    </row>
    <row r="11" spans="1:11" ht="16.5" customHeight="1" x14ac:dyDescent="0.3">
      <c r="A11" s="14">
        <v>14405</v>
      </c>
      <c r="B11" s="14" t="s">
        <v>1540</v>
      </c>
      <c r="C11">
        <v>25994</v>
      </c>
      <c r="D11">
        <v>1</v>
      </c>
      <c r="E11">
        <v>49010</v>
      </c>
      <c r="H11">
        <f>VLOOKUP($C11,[3]Sheet1!$A:$E,2,FALSE)</f>
        <v>0</v>
      </c>
      <c r="I11" t="str">
        <f>VLOOKUP($C11,[3]Sheet1!$A:$E,3,FALSE)</f>
        <v>4|26|100</v>
      </c>
      <c r="J11" t="str">
        <f>VLOOKUP($C11,[3]Sheet1!$A:$E,4,FALSE)</f>
        <v>VIP经验卡-获得100点VIP经验值</v>
      </c>
      <c r="K11" t="str">
        <f>VLOOKUP($C11,[3]Sheet1!$A:$E,5,FALSE)</f>
        <v>4|26|100|1</v>
      </c>
    </row>
    <row r="12" spans="1:11" ht="16.5" x14ac:dyDescent="0.3">
      <c r="A12" s="17">
        <v>14406</v>
      </c>
      <c r="B12" s="17" t="s">
        <v>1541</v>
      </c>
      <c r="C12">
        <v>25995</v>
      </c>
      <c r="D12">
        <v>1</v>
      </c>
      <c r="E12">
        <v>49011</v>
      </c>
      <c r="H12">
        <f>VLOOKUP($C12,[3]Sheet1!$A:$E,2,FALSE)</f>
        <v>0</v>
      </c>
      <c r="I12" t="str">
        <f>VLOOKUP($C12,[3]Sheet1!$A:$E,3,FALSE)</f>
        <v>4|10|10000</v>
      </c>
      <c r="J12" t="str">
        <f>VLOOKUP($C12,[3]Sheet1!$A:$E,4,FALSE)</f>
        <v>玩家经验-获得10000点玩家经验值</v>
      </c>
      <c r="K12" t="str">
        <f>VLOOKUP($C12,[3]Sheet1!$A:$E,5,FALSE)</f>
        <v>4|10|10000|1</v>
      </c>
    </row>
    <row r="13" spans="1:11" ht="16.5" x14ac:dyDescent="0.3">
      <c r="A13" s="10">
        <v>14407</v>
      </c>
      <c r="B13" s="10" t="s">
        <v>1542</v>
      </c>
      <c r="C13">
        <v>25990</v>
      </c>
      <c r="D13">
        <v>1</v>
      </c>
      <c r="E13">
        <v>49012</v>
      </c>
      <c r="H13">
        <f>VLOOKUP($C13,[3]Sheet1!$A:$E,2,FALSE)</f>
        <v>1</v>
      </c>
      <c r="I13" t="str">
        <f>VLOOKUP($C13,[3]Sheet1!$A:$E,3,FALSE)</f>
        <v>[]</v>
      </c>
      <c r="J13" t="str">
        <f>VLOOKUP($C13,[3]Sheet1!$A:$E,4,FALSE)</f>
        <v>大闹三界宝箱奖励</v>
      </c>
      <c r="K13" t="str">
        <f>VLOOKUP($C13,[3]Sheet1!$A:$E,5,FALSE)</f>
        <v>4|2|5|1000,4|2|10|500,4|2|20|200,4|2|50|100,4|1|1000|1000,4|1|5000|500,4|1|10000|200,4|1|20000|100,1|16005|1|2000,6|4501|1|400,6|4502|1|100,1|14107|1|10000,1|14315|1|200,1|14314|1|500,1|14300|1|1000,1|14306|1|66,1|14305|1|142,1|14299|1|333,1|17000|1|5000,1|17001|1|1000,1|14102|1|500,1|14001|1|1250,1|14002|1|250,1|14003|1|125,1|14004|1|62</v>
      </c>
    </row>
    <row r="14" spans="1:11" ht="16.5" x14ac:dyDescent="0.3">
      <c r="A14" s="20">
        <v>14410</v>
      </c>
      <c r="B14" s="20" t="s">
        <v>1543</v>
      </c>
      <c r="C14">
        <v>50090</v>
      </c>
      <c r="D14">
        <v>1</v>
      </c>
      <c r="E14">
        <v>49013</v>
      </c>
      <c r="H14">
        <f>VLOOKUP($C14,[3]Sheet1!$A:$E,2,FALSE)</f>
        <v>0</v>
      </c>
      <c r="I14" t="str">
        <f>VLOOKUP($C14,[3]Sheet1!$A:$E,3,FALSE)</f>
        <v>4|1|2000000</v>
      </c>
      <c r="J14" t="str">
        <f>VLOOKUP($C14,[3]Sheet1!$A:$E,4,FALSE)</f>
        <v>钱宝</v>
      </c>
      <c r="K14" t="str">
        <f>VLOOKUP($C14,[3]Sheet1!$A:$E,5,FALSE)</f>
        <v>4|1|2000000|1</v>
      </c>
    </row>
    <row r="15" spans="1:11" ht="16.5" x14ac:dyDescent="0.3">
      <c r="A15" s="15">
        <v>14411</v>
      </c>
      <c r="B15" s="15" t="s">
        <v>1544</v>
      </c>
      <c r="C15">
        <v>50091</v>
      </c>
      <c r="D15">
        <v>1</v>
      </c>
      <c r="E15">
        <v>49014</v>
      </c>
      <c r="H15">
        <f>VLOOKUP($C15,[3]Sheet1!$A:$E,2,FALSE)</f>
        <v>0</v>
      </c>
      <c r="I15" t="str">
        <f>VLOOKUP($C15,[3]Sheet1!$A:$E,3,FALSE)</f>
        <v>4|2|10000</v>
      </c>
      <c r="J15" t="str">
        <f>VLOOKUP($C15,[3]Sheet1!$A:$E,4,FALSE)</f>
        <v>阿里巴巴</v>
      </c>
      <c r="K15" t="str">
        <f>VLOOKUP($C15,[3]Sheet1!$A:$E,5,FALSE)</f>
        <v>4|2|10000|1</v>
      </c>
    </row>
    <row r="16" spans="1:11" ht="16.5" x14ac:dyDescent="0.3">
      <c r="A16" s="7">
        <v>14300</v>
      </c>
      <c r="B16" s="7" t="s">
        <v>1545</v>
      </c>
      <c r="C16">
        <v>50024</v>
      </c>
      <c r="D16">
        <v>2</v>
      </c>
      <c r="E16">
        <v>49101</v>
      </c>
      <c r="F16">
        <v>1</v>
      </c>
      <c r="H16">
        <f>VLOOKUP($C16,[3]Sheet1!$A:$E,2,FALSE)</f>
        <v>1</v>
      </c>
      <c r="I16" t="str">
        <f>VLOOKUP($C16,[3]Sheet1!$A:$E,3,FALSE)</f>
        <v>3|50000|1</v>
      </c>
      <c r="J16" t="str">
        <f>VLOOKUP($C16,[3]Sheet1!$A:$E,4,FALSE)</f>
        <v>初级装备碎片宝箱</v>
      </c>
      <c r="K16" t="str">
        <f>VLOOKUP($C16,[3]Sheet1!$A:$E,5,FALSE)</f>
        <v>3|50000|1|95,3|50002|1|5</v>
      </c>
    </row>
    <row r="17" spans="1:11" ht="16.5" x14ac:dyDescent="0.3">
      <c r="A17" s="10">
        <v>14314</v>
      </c>
      <c r="B17" s="10" t="s">
        <v>1546</v>
      </c>
      <c r="C17">
        <v>50016</v>
      </c>
      <c r="D17">
        <v>2</v>
      </c>
      <c r="E17">
        <f>E16+1</f>
        <v>49102</v>
      </c>
      <c r="F17">
        <v>2</v>
      </c>
      <c r="H17">
        <f>VLOOKUP($C17,[3]Sheet1!$A:$E,2,FALSE)</f>
        <v>1</v>
      </c>
      <c r="I17" t="str">
        <f>VLOOKUP($C17,[3]Sheet1!$A:$E,3,FALSE)</f>
        <v>3|50000|1</v>
      </c>
      <c r="J17" t="str">
        <f>VLOOKUP($C17,[3]Sheet1!$A:$E,4,FALSE)</f>
        <v>中级装备碎片宝箱</v>
      </c>
      <c r="K17" t="str">
        <f>VLOOKUP($C17,[3]Sheet1!$A:$E,5,FALSE)</f>
        <v>3|50000|1|75,3|50002|1|20,3|50003|1|5</v>
      </c>
    </row>
    <row r="18" spans="1:11" ht="16.5" x14ac:dyDescent="0.3">
      <c r="A18" s="9">
        <v>14315</v>
      </c>
      <c r="B18" s="9" t="s">
        <v>1547</v>
      </c>
      <c r="C18">
        <v>50017</v>
      </c>
      <c r="D18">
        <v>2</v>
      </c>
      <c r="E18">
        <f t="shared" ref="E18:E66" si="0">E17+1</f>
        <v>49103</v>
      </c>
      <c r="F18">
        <v>3</v>
      </c>
      <c r="H18">
        <f>VLOOKUP($C18,[3]Sheet1!$A:$E,2,FALSE)</f>
        <v>1</v>
      </c>
      <c r="I18" t="str">
        <f>VLOOKUP($C18,[3]Sheet1!$A:$E,3,FALSE)</f>
        <v>3|50000|1</v>
      </c>
      <c r="J18" t="str">
        <f>VLOOKUP($C18,[3]Sheet1!$A:$E,4,FALSE)</f>
        <v>高级装备碎片宝箱</v>
      </c>
      <c r="K18" t="str">
        <f>VLOOKUP($C18,[3]Sheet1!$A:$E,5,FALSE)</f>
        <v>3|50000|1|30,3|50002|1|40,3|50003|1|30</v>
      </c>
    </row>
    <row r="19" spans="1:11" ht="16.5" x14ac:dyDescent="0.3">
      <c r="A19" s="8">
        <v>14504</v>
      </c>
      <c r="B19" s="8" t="s">
        <v>1548</v>
      </c>
      <c r="C19">
        <v>50026</v>
      </c>
      <c r="D19">
        <v>2</v>
      </c>
      <c r="E19">
        <f t="shared" si="0"/>
        <v>49104</v>
      </c>
      <c r="F19">
        <v>4</v>
      </c>
      <c r="H19">
        <f>VLOOKUP($C19,[3]Sheet1!$A:$E,2,FALSE)</f>
        <v>0</v>
      </c>
      <c r="I19" t="str">
        <f>VLOOKUP($C19,[3]Sheet1!$A:$E,3,FALSE)</f>
        <v>2|2021|1,2|2022|1,2|2023|1,2|2024|1</v>
      </c>
      <c r="J19" t="str">
        <f>VLOOKUP($C19,[3]Sheet1!$A:$E,4,FALSE)</f>
        <v>雁虞套装宝箱</v>
      </c>
      <c r="K19" t="str">
        <f>VLOOKUP($C19,[3]Sheet1!$A:$E,5,FALSE)</f>
        <v>2|2021|1|1,2|2022|1|1,2|2023|1|1,2|2024|1|1</v>
      </c>
    </row>
    <row r="20" spans="1:11" ht="16.5" x14ac:dyDescent="0.3">
      <c r="A20" s="8">
        <v>14301</v>
      </c>
      <c r="B20" s="8" t="s">
        <v>1265</v>
      </c>
      <c r="C20">
        <v>50001</v>
      </c>
      <c r="D20">
        <v>2</v>
      </c>
      <c r="E20">
        <f t="shared" si="0"/>
        <v>49105</v>
      </c>
      <c r="F20">
        <v>5</v>
      </c>
      <c r="H20">
        <f>VLOOKUP($C20,[3]Sheet1!$A:$E,2,FALSE)</f>
        <v>1</v>
      </c>
      <c r="I20" t="str">
        <f>VLOOKUP($C20,[3]Sheet1!$A:$E,3,FALSE)</f>
        <v>1|11001|1</v>
      </c>
      <c r="J20" t="str">
        <f>VLOOKUP($C20,[3]Sheet1!$A:$E,4,FALSE)</f>
        <v>蓝色装备碎片宝箱</v>
      </c>
      <c r="K20" t="str">
        <f>VLOOKUP($C20,[3]Sheet1!$A:$E,5,FALSE)</f>
        <v>1|11001|1|3,1|11002|1|3,1|11003|1|3,1|11004|1|3,1|11005|1|3,1|11006|1|3,1|11007|1|3,1|11008|1|3,1|11009|1|3,1|11010|1|3,1|11011|1|3,1|11012|1|3</v>
      </c>
    </row>
    <row r="21" spans="1:11" ht="16.5" x14ac:dyDescent="0.3">
      <c r="A21" s="10">
        <v>14302</v>
      </c>
      <c r="B21" s="10" t="s">
        <v>1266</v>
      </c>
      <c r="C21">
        <v>50002</v>
      </c>
      <c r="D21">
        <v>2</v>
      </c>
      <c r="E21">
        <f t="shared" si="0"/>
        <v>49106</v>
      </c>
      <c r="F21">
        <v>6</v>
      </c>
      <c r="H21">
        <f>VLOOKUP($C21,[3]Sheet1!$A:$E,2,FALSE)</f>
        <v>1</v>
      </c>
      <c r="I21" t="str">
        <f>VLOOKUP($C21,[3]Sheet1!$A:$E,3,FALSE)</f>
        <v>1|11013|1</v>
      </c>
      <c r="J21" t="str">
        <f>VLOOKUP($C21,[3]Sheet1!$A:$E,4,FALSE)</f>
        <v>紫色装备碎片宝箱</v>
      </c>
      <c r="K21" t="str">
        <f>VLOOKUP($C21,[3]Sheet1!$A:$E,5,FALSE)</f>
        <v>1|11013|1|10,1|11014|1|10,1|11015|1|10,1|11016|1|10,1|11017|1|10,1|11018|1|10,1|11019|1|10,1|11020|1|10,1|11021|1|10,1|11022|1|10,1|11023|1|10,1|11024|1|10</v>
      </c>
    </row>
    <row r="22" spans="1:11" ht="16.5" x14ac:dyDescent="0.3">
      <c r="A22" s="11">
        <v>14303</v>
      </c>
      <c r="B22" s="11" t="s">
        <v>1267</v>
      </c>
      <c r="C22">
        <v>50003</v>
      </c>
      <c r="D22">
        <v>2</v>
      </c>
      <c r="E22">
        <f t="shared" si="0"/>
        <v>49107</v>
      </c>
      <c r="F22">
        <v>7</v>
      </c>
      <c r="H22">
        <f>VLOOKUP($C22,[3]Sheet1!$A:$E,2,FALSE)</f>
        <v>1</v>
      </c>
      <c r="I22" t="str">
        <f>VLOOKUP($C22,[3]Sheet1!$A:$E,3,FALSE)</f>
        <v>1|11025|1</v>
      </c>
      <c r="J22" t="str">
        <f>VLOOKUP($C22,[3]Sheet1!$A:$E,4,FALSE)</f>
        <v>橙色装备碎片宝箱</v>
      </c>
      <c r="K22" t="str">
        <f>VLOOKUP($C22,[3]Sheet1!$A:$E,5,FALSE)</f>
        <v>1|11025|1|10,1|11026|1|10,1|11027|1|10,1|11028|1|10,1|11029|1|10,1|11030|1|10,1|11031|1|10,1|11032|1|10,1|11033|1|10,1|11034|1|10,1|11035|1|10,1|11036|1|10</v>
      </c>
    </row>
    <row r="23" spans="1:11" ht="16.5" x14ac:dyDescent="0.3">
      <c r="A23" s="15">
        <v>14304</v>
      </c>
      <c r="B23" s="15" t="s">
        <v>1268</v>
      </c>
      <c r="C23">
        <v>50001</v>
      </c>
      <c r="D23">
        <v>2</v>
      </c>
      <c r="E23">
        <f t="shared" si="0"/>
        <v>49108</v>
      </c>
      <c r="F23">
        <v>9</v>
      </c>
      <c r="H23">
        <f>VLOOKUP($C23,[3]Sheet1!$A:$E,2,FALSE)</f>
        <v>1</v>
      </c>
      <c r="I23" t="str">
        <f>VLOOKUP($C23,[3]Sheet1!$A:$E,3,FALSE)</f>
        <v>1|11001|1</v>
      </c>
      <c r="J23" t="str">
        <f>VLOOKUP($C23,[3]Sheet1!$A:$E,4,FALSE)</f>
        <v>蓝色装备碎片宝箱</v>
      </c>
      <c r="K23" t="str">
        <f>VLOOKUP($C23,[3]Sheet1!$A:$E,5,FALSE)</f>
        <v>1|11001|1|3,1|11002|1|3,1|11003|1|3,1|11004|1|3,1|11005|1|3,1|11006|1|3,1|11007|1|3,1|11008|1|3,1|11009|1|3,1|11010|1|3,1|11011|1|3,1|11012|1|3</v>
      </c>
    </row>
    <row r="24" spans="1:11" ht="16.5" x14ac:dyDescent="0.3">
      <c r="A24" s="7">
        <v>14299</v>
      </c>
      <c r="B24" s="7" t="s">
        <v>1275</v>
      </c>
      <c r="C24">
        <v>50025</v>
      </c>
      <c r="D24">
        <v>3</v>
      </c>
      <c r="E24">
        <f t="shared" si="0"/>
        <v>49109</v>
      </c>
      <c r="F24">
        <v>1</v>
      </c>
      <c r="H24">
        <f>VLOOKUP($C24,[3]Sheet1!$A:$E,2,FALSE)</f>
        <v>1</v>
      </c>
      <c r="I24" t="str">
        <f>VLOOKUP($C24,[3]Sheet1!$A:$E,3,FALSE)</f>
        <v>3|50000|1</v>
      </c>
      <c r="J24" t="str">
        <f>VLOOKUP($C24,[3]Sheet1!$A:$E,4,FALSE)</f>
        <v>初级法宝碎片宝箱</v>
      </c>
      <c r="K24" t="str">
        <f>VLOOKUP($C24,[3]Sheet1!$A:$E,5,FALSE)</f>
        <v>3|50018|1|95,3|50019|1|5</v>
      </c>
    </row>
    <row r="25" spans="1:11" ht="18" customHeight="1" x14ac:dyDescent="0.3">
      <c r="A25" s="10">
        <v>14305</v>
      </c>
      <c r="B25" s="10" t="s">
        <v>1549</v>
      </c>
      <c r="C25">
        <v>50004</v>
      </c>
      <c r="D25">
        <v>3</v>
      </c>
      <c r="E25">
        <f t="shared" si="0"/>
        <v>49110</v>
      </c>
      <c r="F25">
        <v>2</v>
      </c>
      <c r="H25">
        <f>VLOOKUP($C25,[3]Sheet1!$A:$E,2,FALSE)</f>
        <v>1</v>
      </c>
      <c r="I25" t="str">
        <f>VLOOKUP($C25,[3]Sheet1!$A:$E,3,FALSE)</f>
        <v>3|50018|1</v>
      </c>
      <c r="J25" t="str">
        <f>VLOOKUP($C25,[3]Sheet1!$A:$E,4,FALSE)</f>
        <v>中级法宝碎片宝箱</v>
      </c>
      <c r="K25" t="str">
        <f>VLOOKUP($C25,[3]Sheet1!$A:$E,5,FALSE)</f>
        <v>3|50018|1|75,3|50019|1|20,3|50020|1|5</v>
      </c>
    </row>
    <row r="26" spans="1:11" ht="16.5" x14ac:dyDescent="0.3">
      <c r="A26" s="11">
        <v>14306</v>
      </c>
      <c r="B26" s="11" t="s">
        <v>1269</v>
      </c>
      <c r="C26">
        <v>50005</v>
      </c>
      <c r="D26">
        <v>3</v>
      </c>
      <c r="E26">
        <f t="shared" si="0"/>
        <v>49111</v>
      </c>
      <c r="F26">
        <v>3</v>
      </c>
      <c r="H26">
        <f>VLOOKUP($C26,[3]Sheet1!$A:$E,2,FALSE)</f>
        <v>1</v>
      </c>
      <c r="I26" t="str">
        <f>VLOOKUP($C26,[3]Sheet1!$A:$E,3,FALSE)</f>
        <v>3|50018|1</v>
      </c>
      <c r="J26" t="str">
        <f>VLOOKUP($C26,[3]Sheet1!$A:$E,4,FALSE)</f>
        <v>高级法宝碎片宝箱</v>
      </c>
      <c r="K26" t="str">
        <f>VLOOKUP($C26,[3]Sheet1!$A:$E,5,FALSE)</f>
        <v>3|50018|1|20,3|50019|1|40,3|50020|1|40</v>
      </c>
    </row>
    <row r="27" spans="1:11" ht="18" customHeight="1" x14ac:dyDescent="0.3">
      <c r="A27" s="6">
        <v>14316</v>
      </c>
      <c r="B27" s="6" t="s">
        <v>956</v>
      </c>
      <c r="C27">
        <v>50018</v>
      </c>
      <c r="D27">
        <v>3</v>
      </c>
      <c r="E27">
        <f t="shared" si="0"/>
        <v>49112</v>
      </c>
      <c r="F27">
        <v>4</v>
      </c>
      <c r="H27">
        <f>VLOOKUP($C27,[3]Sheet1!$A:$E,2,FALSE)</f>
        <v>1</v>
      </c>
      <c r="I27" t="str">
        <f>VLOOKUP($C27,[3]Sheet1!$A:$E,3,FALSE)</f>
        <v>1|12001|1</v>
      </c>
      <c r="J27" t="str">
        <f>VLOOKUP($C27,[3]Sheet1!$A:$E,4,FALSE)</f>
        <v>蓝色法宝碎片</v>
      </c>
      <c r="K27" t="str">
        <f>VLOOKUP($C27,[3]Sheet1!$A:$E,5,FALSE)</f>
        <v>1|12001|1|1,1|12002|1|1,1|12003|1|1,1|12004|1|1,1|12005|1|1,1|12006|1|1,1|12067|1|1,1|12068|1|1,1|12069|1|1</v>
      </c>
    </row>
    <row r="28" spans="1:11" ht="18" customHeight="1" x14ac:dyDescent="0.3">
      <c r="A28" s="10">
        <v>14317</v>
      </c>
      <c r="B28" s="10" t="s">
        <v>957</v>
      </c>
      <c r="C28">
        <v>50019</v>
      </c>
      <c r="D28">
        <v>3</v>
      </c>
      <c r="E28">
        <f t="shared" si="0"/>
        <v>49113</v>
      </c>
      <c r="F28">
        <v>5</v>
      </c>
      <c r="H28">
        <f>VLOOKUP($C28,[3]Sheet1!$A:$E,2,FALSE)</f>
        <v>1</v>
      </c>
      <c r="I28" t="str">
        <f>VLOOKUP($C28,[3]Sheet1!$A:$E,3,FALSE)</f>
        <v>1|12013|1</v>
      </c>
      <c r="J28" t="str">
        <f>VLOOKUP($C28,[3]Sheet1!$A:$E,4,FALSE)</f>
        <v>紫色法宝碎片</v>
      </c>
      <c r="K28" t="str">
        <f>VLOOKUP($C28,[3]Sheet1!$A:$E,5,FALSE)</f>
        <v>1|12013|1|1,1|12014|1|1,1|12015|1|1,1|12016|1|1,1|12017|1|1,1|12018|1|1,1|12019|1|1,1|12020|1|1,1|12021|1|1,1|12022|1|1,1|12023|1|1,1|12024|1|1,1|12025|1|1,1|12026|1|1,1|12027|1|1,1|12028|1|1,1|12070|1|1,1|12071|1|1,1|12072|1|1,1|12073|1|1</v>
      </c>
    </row>
    <row r="29" spans="1:11" ht="16.5" x14ac:dyDescent="0.3">
      <c r="A29" s="9">
        <v>14318</v>
      </c>
      <c r="B29" s="9" t="s">
        <v>958</v>
      </c>
      <c r="C29">
        <v>50020</v>
      </c>
      <c r="D29">
        <v>3</v>
      </c>
      <c r="E29">
        <f t="shared" si="0"/>
        <v>49114</v>
      </c>
      <c r="F29">
        <v>6</v>
      </c>
      <c r="H29">
        <f>VLOOKUP($C29,[3]Sheet1!$A:$E,2,FALSE)</f>
        <v>1</v>
      </c>
      <c r="I29" t="str">
        <f>VLOOKUP($C29,[3]Sheet1!$A:$E,3,FALSE)</f>
        <v>1|12037|1</v>
      </c>
      <c r="J29" t="str">
        <f>VLOOKUP($C29,[3]Sheet1!$A:$E,4,FALSE)</f>
        <v>橙色法宝碎片</v>
      </c>
      <c r="K29" t="str">
        <f>VLOOKUP($C29,[3]Sheet1!$A:$E,5,FALSE)</f>
        <v>1|12037|1|1,1|12038|1|1,1|12039|1|1,1|12040|1|1,1|12041|1|1,1|12042|1|1,1|12043|1|1,1|12044|1|1,1|12045|1|1,1|12046|1|1,1|12047|1|1,1|12048|1|1,1|12049|1|1,1|12050|1|1,1|12051|1|1,1|12052|1|1,1|12053|1|1,1|12054|1|1,1|12055|1|1,1|12056|1|1,1|12074|1|1,1|12075|1|1,1|12076|1|1,1|12077|1|1,1|12078|1|1</v>
      </c>
    </row>
    <row r="30" spans="1:11" ht="16.5" x14ac:dyDescent="0.3">
      <c r="A30" s="6">
        <v>14319</v>
      </c>
      <c r="B30" s="6" t="s">
        <v>959</v>
      </c>
      <c r="C30">
        <v>50021</v>
      </c>
      <c r="D30">
        <v>3</v>
      </c>
      <c r="E30">
        <f t="shared" si="0"/>
        <v>49115</v>
      </c>
      <c r="F30">
        <v>7</v>
      </c>
      <c r="H30">
        <f>VLOOKUP($C30,[3]Sheet1!$A:$E,2,FALSE)</f>
        <v>1</v>
      </c>
      <c r="I30" t="str">
        <f>VLOOKUP($C30,[3]Sheet1!$A:$E,3,FALSE)</f>
        <v>1|12067|1</v>
      </c>
      <c r="J30" t="str">
        <f>VLOOKUP($C30,[3]Sheet1!$A:$E,4,FALSE)</f>
        <v>蓝色经验法宝碎片</v>
      </c>
      <c r="K30" t="str">
        <f>VLOOKUP($C30,[3]Sheet1!$A:$E,5,FALSE)</f>
        <v>1|12067|1|1,1|12068|1|1,1|12069|1|1</v>
      </c>
    </row>
    <row r="31" spans="1:11" ht="16.5" x14ac:dyDescent="0.3">
      <c r="A31" s="10">
        <v>14320</v>
      </c>
      <c r="B31" s="10" t="s">
        <v>960</v>
      </c>
      <c r="C31">
        <v>50022</v>
      </c>
      <c r="D31">
        <v>3</v>
      </c>
      <c r="E31">
        <f t="shared" si="0"/>
        <v>49116</v>
      </c>
      <c r="F31">
        <v>8</v>
      </c>
      <c r="H31">
        <f>VLOOKUP($C31,[3]Sheet1!$A:$E,2,FALSE)</f>
        <v>1</v>
      </c>
      <c r="I31" t="str">
        <f>VLOOKUP($C31,[3]Sheet1!$A:$E,3,FALSE)</f>
        <v>1|12070|1</v>
      </c>
      <c r="J31" t="str">
        <f>VLOOKUP($C31,[3]Sheet1!$A:$E,4,FALSE)</f>
        <v>紫色经验法宝碎片</v>
      </c>
      <c r="K31" t="str">
        <f>VLOOKUP($C31,[3]Sheet1!$A:$E,5,FALSE)</f>
        <v>1|12070|1|1,1|12071|1|1,1|12072|1|1,1|12073|1|1</v>
      </c>
    </row>
    <row r="32" spans="1:11" ht="16.5" x14ac:dyDescent="0.3">
      <c r="A32" s="9">
        <v>14321</v>
      </c>
      <c r="B32" s="9" t="s">
        <v>961</v>
      </c>
      <c r="C32">
        <v>50023</v>
      </c>
      <c r="D32">
        <v>3</v>
      </c>
      <c r="E32">
        <f t="shared" si="0"/>
        <v>49117</v>
      </c>
      <c r="F32">
        <v>9</v>
      </c>
      <c r="H32">
        <f>VLOOKUP($C32,[3]Sheet1!$A:$E,2,FALSE)</f>
        <v>1</v>
      </c>
      <c r="I32" t="str">
        <f>VLOOKUP($C32,[3]Sheet1!$A:$E,3,FALSE)</f>
        <v>1|12074|1</v>
      </c>
      <c r="J32" t="str">
        <f>VLOOKUP($C32,[3]Sheet1!$A:$E,4,FALSE)</f>
        <v>橙色经验法宝碎片</v>
      </c>
      <c r="K32" t="str">
        <f>VLOOKUP($C32,[3]Sheet1!$A:$E,5,FALSE)</f>
        <v>1|12074|1|1,1|12075|1|1,1|12076|1|1,1|12077|1|1,1|12078|1|1</v>
      </c>
    </row>
    <row r="33" spans="1:11" ht="16.5" x14ac:dyDescent="0.3">
      <c r="A33" s="14">
        <v>14312</v>
      </c>
      <c r="B33" s="14" t="s">
        <v>954</v>
      </c>
      <c r="C33">
        <v>50011</v>
      </c>
      <c r="D33">
        <v>3</v>
      </c>
      <c r="E33">
        <f t="shared" si="0"/>
        <v>49118</v>
      </c>
      <c r="F33">
        <v>10</v>
      </c>
      <c r="H33">
        <f>VLOOKUP($C33,[3]Sheet1!$A:$E,2,FALSE)</f>
        <v>1</v>
      </c>
      <c r="I33" t="str">
        <f>VLOOKUP($C33,[3]Sheet1!$A:$E,3,FALSE)</f>
        <v>1|12037|1</v>
      </c>
      <c r="J33" t="str">
        <f>VLOOKUP($C33,[3]Sheet1!$A:$E,4,FALSE)</f>
        <v>橙色攻击法宝碎片宝箱</v>
      </c>
      <c r="K33" t="str">
        <f>VLOOKUP($C33,[3]Sheet1!$A:$E,5,FALSE)</f>
        <v>1|12037|1|1,1|12038|1|1,1|12039|1|1,1|12040|1|1,1|12041|1|1,1|12047|1|1,1|12048|1|1,1|12049|1|1,1|12050|1|1,1|12051|1|1</v>
      </c>
    </row>
    <row r="34" spans="1:11" ht="16.5" x14ac:dyDescent="0.3">
      <c r="A34" s="14">
        <v>14313</v>
      </c>
      <c r="B34" s="14" t="s">
        <v>955</v>
      </c>
      <c r="C34">
        <v>50012</v>
      </c>
      <c r="D34">
        <v>3</v>
      </c>
      <c r="E34">
        <f t="shared" si="0"/>
        <v>49119</v>
      </c>
      <c r="F34">
        <v>11</v>
      </c>
      <c r="H34">
        <f>VLOOKUP($C34,[3]Sheet1!$A:$E,2,FALSE)</f>
        <v>1</v>
      </c>
      <c r="I34" t="str">
        <f>VLOOKUP($C34,[3]Sheet1!$A:$E,3,FALSE)</f>
        <v>1|12042|1</v>
      </c>
      <c r="J34" t="str">
        <f>VLOOKUP($C34,[3]Sheet1!$A:$E,4,FALSE)</f>
        <v>橙色防御法宝碎片宝箱</v>
      </c>
      <c r="K34" t="str">
        <f>VLOOKUP($C34,[3]Sheet1!$A:$E,5,FALSE)</f>
        <v>1|12042|1|1,1|12043|1|1,1|12044|1|1,1|12045|1|1,1|12046|1|1,1|12052|1|1,1|12053|1|1,1|12054|1|1,1|12055|1|1,1|12056|1|1</v>
      </c>
    </row>
    <row r="35" spans="1:11" ht="16.5" customHeight="1" x14ac:dyDescent="0.3">
      <c r="A35" s="6">
        <v>14307</v>
      </c>
      <c r="B35" s="6" t="s">
        <v>1550</v>
      </c>
      <c r="C35">
        <v>50006</v>
      </c>
      <c r="D35">
        <v>4</v>
      </c>
      <c r="E35">
        <v>49201</v>
      </c>
      <c r="F35">
        <v>1</v>
      </c>
      <c r="H35">
        <f>VLOOKUP($C35,[3]Sheet1!$A:$E,2,FALSE)</f>
        <v>1</v>
      </c>
      <c r="I35" t="str">
        <f>VLOOKUP($C35,[3]Sheet1!$A:$E,3,FALSE)</f>
        <v>5|1142|1</v>
      </c>
      <c r="J35" t="str">
        <f>VLOOKUP($C35,[3]Sheet1!$A:$E,4,FALSE)</f>
        <v>蓝色伙伴碎片宝箱</v>
      </c>
      <c r="K35" t="str">
        <f>VLOOKUP($C35,[3]Sheet1!$A:$E,5,FALSE)</f>
        <v>1|10042|1|1,1|10043|1|1,1|10046|1|1,1|10047|1|1,1|10048|1|1,1|10055|1|1,1|10056|1|1,1|10057|1|1,1|10058|1|1,1|10059|1|1,1|10062|1|1,1|10063|1|1,1|10405|1|1,1|10406|1|1,1|10407|1|1,1|10408|1|1,1|10918|1|1</v>
      </c>
    </row>
    <row r="36" spans="1:11" ht="16.5" customHeight="1" x14ac:dyDescent="0.3">
      <c r="A36" s="10">
        <v>14308</v>
      </c>
      <c r="B36" s="10" t="s">
        <v>1271</v>
      </c>
      <c r="C36">
        <v>50007</v>
      </c>
      <c r="D36">
        <v>4</v>
      </c>
      <c r="E36">
        <f t="shared" si="0"/>
        <v>49202</v>
      </c>
      <c r="F36">
        <v>2</v>
      </c>
      <c r="H36">
        <f>VLOOKUP($C36,[3]Sheet1!$A:$E,2,FALSE)</f>
        <v>1</v>
      </c>
      <c r="I36" t="str">
        <f>VLOOKUP($C36,[3]Sheet1!$A:$E,3,FALSE)</f>
        <v>3|12530|1</v>
      </c>
      <c r="J36" t="str">
        <f>VLOOKUP($C36,[3]Sheet1!$A:$E,4,FALSE)</f>
        <v>紫色伙伴碎片宝箱</v>
      </c>
      <c r="K36" t="str">
        <f>VLOOKUP($C36,[3]Sheet1!$A:$E,5,FALSE)</f>
        <v>1|10108|1|1,1|10018|1|1,1|10036|1|1,1|10028|1|1,1|10092|1|1,1|10052|1|1,1|10034|1|1,1|10033|1|1,1|10103|1|1,1|10104|1|1,1|10106|1|1,1|10105|1|1,1|10039|1|1,1|10040|1|1,1|10038|1|1,1|10126|1|1,1|10041|1|1,1|10404|1|1</v>
      </c>
    </row>
    <row r="37" spans="1:11" ht="16.5" customHeight="1" x14ac:dyDescent="0.3">
      <c r="A37" s="11">
        <v>14309</v>
      </c>
      <c r="B37" s="11" t="s">
        <v>1272</v>
      </c>
      <c r="C37">
        <v>50008</v>
      </c>
      <c r="D37">
        <v>4</v>
      </c>
      <c r="E37">
        <f t="shared" si="0"/>
        <v>49203</v>
      </c>
      <c r="F37">
        <v>3</v>
      </c>
      <c r="H37">
        <f>VLOOKUP($C37,[3]Sheet1!$A:$E,2,FALSE)</f>
        <v>1</v>
      </c>
      <c r="I37" t="str">
        <f>VLOOKUP($C37,[3]Sheet1!$A:$E,3,FALSE)</f>
        <v>3|12504|1</v>
      </c>
      <c r="J37" t="str">
        <f>VLOOKUP($C37,[3]Sheet1!$A:$E,4,FALSE)</f>
        <v>13橙色伙伴碎片宝箱</v>
      </c>
      <c r="K37" t="str">
        <f>VLOOKUP($C37,[3]Sheet1!$A:$E,5,FALSE)</f>
        <v>1|10015|1|1,1|10022|1|1,1|10025|1|1,1|10010|1|1,1|10116|1|1,1|10102|1|1,1|10107|1|1,1|10009|1|1,1|10004|1|1,1|10007|1|1,1|10035|1|1,1|10023|1|1,1|10101|1|1,1|10006|1|1,1|10016|1|1,1|10017|1|1,1|10014|1|1,1|10032|1|1,1|10031|1|1,1|10037|1|1,1|10108|1|1</v>
      </c>
    </row>
    <row r="38" spans="1:11" ht="16.5" customHeight="1" x14ac:dyDescent="0.3">
      <c r="A38" s="14">
        <v>14310</v>
      </c>
      <c r="B38" s="14" t="s">
        <v>1273</v>
      </c>
      <c r="C38">
        <v>50009</v>
      </c>
      <c r="D38">
        <v>4</v>
      </c>
      <c r="E38">
        <f t="shared" si="0"/>
        <v>49204</v>
      </c>
      <c r="F38">
        <v>4</v>
      </c>
      <c r="H38">
        <f>VLOOKUP($C38,[3]Sheet1!$A:$E,2,FALSE)</f>
        <v>1</v>
      </c>
      <c r="I38" t="str">
        <f>VLOOKUP($C38,[3]Sheet1!$A:$E,3,FALSE)</f>
        <v>3|12501|1</v>
      </c>
      <c r="J38" t="str">
        <f>VLOOKUP($C38,[3]Sheet1!$A:$E,4,FALSE)</f>
        <v>16橙色伙伴碎片宝箱</v>
      </c>
      <c r="K38" t="str">
        <f>VLOOKUP($C38,[3]Sheet1!$A:$E,5,FALSE)</f>
        <v>1|10011|1|1,1|10112|1|1,1|10113|1|1,1|10114|1|1,1|10115|1|1,1|10008|1|1,1|10119|1|1,1|10002|1|1,1|10118|1|1,1|10003|1|1,1|10012|1|1,1|10013|1|1,1|10020|1|1,1|10024|1|1,1|10015|1|1</v>
      </c>
    </row>
    <row r="39" spans="1:11" ht="16.5" x14ac:dyDescent="0.3">
      <c r="A39" s="9">
        <v>14311</v>
      </c>
      <c r="B39" s="9" t="s">
        <v>1551</v>
      </c>
      <c r="C39">
        <v>50010</v>
      </c>
      <c r="D39">
        <v>4</v>
      </c>
      <c r="E39">
        <f t="shared" si="0"/>
        <v>49205</v>
      </c>
      <c r="F39">
        <v>5</v>
      </c>
      <c r="H39">
        <f>VLOOKUP($C39,[3]Sheet1!$A:$E,2,FALSE)</f>
        <v>1</v>
      </c>
      <c r="I39" t="str">
        <f>VLOOKUP($C39,[3]Sheet1!$A:$E,3,FALSE)</f>
        <v>3|12501|1</v>
      </c>
      <c r="J39" t="str">
        <f>VLOOKUP($C39,[3]Sheet1!$A:$E,4,FALSE)</f>
        <v>橙色伙伴碎片宝箱</v>
      </c>
      <c r="K39" t="str">
        <f>VLOOKUP($C39,[3]Sheet1!$A:$E,5,FALSE)</f>
        <v>3|50008|1|80,3|50009|1|20</v>
      </c>
    </row>
    <row r="40" spans="1:11" ht="16.5" customHeight="1" x14ac:dyDescent="0.3">
      <c r="A40" s="10">
        <v>14501</v>
      </c>
      <c r="B40" s="10" t="s">
        <v>1552</v>
      </c>
      <c r="C40">
        <v>50013</v>
      </c>
      <c r="D40">
        <v>4</v>
      </c>
      <c r="E40">
        <f t="shared" si="0"/>
        <v>49206</v>
      </c>
      <c r="F40">
        <v>6</v>
      </c>
      <c r="H40">
        <f>VLOOKUP($C40,[3]Sheet1!$A:$E,2,FALSE)</f>
        <v>1</v>
      </c>
      <c r="I40" t="str">
        <f>VLOOKUP($C40,[3]Sheet1!$A:$E,3,FALSE)</f>
        <v>5|1133|1</v>
      </c>
      <c r="J40" t="str">
        <f>VLOOKUP($C40,[3]Sheet1!$A:$E,4,FALSE)</f>
        <v>紫色伙伴宝箱</v>
      </c>
      <c r="K40" t="str">
        <f>VLOOKUP($C40,[3]Sheet1!$A:$E,5,FALSE)</f>
        <v>5|1130|1|1,5|1118|1|1,5|1136|1|1,5|1128|1|1,5|1192|1|1,5|1152|1|1,5|1134|1|1,5|1133|1|1,5|1203|1|1,5|1204|1|1,5|1206|1|1,5|1205|1|1,5|1139|1|1,5|1140|1|1,5|1138|1|1,5|1226|1|1,5|1141|1|1,5|1504|1|1</v>
      </c>
    </row>
    <row r="41" spans="1:11" ht="16.5" x14ac:dyDescent="0.3">
      <c r="A41" s="9">
        <v>14502</v>
      </c>
      <c r="B41" s="9" t="s">
        <v>1553</v>
      </c>
      <c r="C41">
        <v>50014</v>
      </c>
      <c r="D41">
        <v>4</v>
      </c>
      <c r="E41">
        <f t="shared" si="0"/>
        <v>49207</v>
      </c>
      <c r="F41">
        <v>7</v>
      </c>
      <c r="H41">
        <f>VLOOKUP($C41,[3]Sheet1!$A:$E,2,FALSE)</f>
        <v>1</v>
      </c>
      <c r="I41" t="str">
        <f>VLOOKUP($C41,[3]Sheet1!$A:$E,3,FALSE)</f>
        <v>5|1104|1</v>
      </c>
      <c r="J41" t="str">
        <f>VLOOKUP($C41,[3]Sheet1!$A:$E,4,FALSE)</f>
        <v>13橙色伙伴宝箱</v>
      </c>
      <c r="K41" t="str">
        <f>VLOOKUP($C41,[3]Sheet1!$A:$E,5,FALSE)</f>
        <v>5|1126|1|1,5|1122|1|1,5|1125|1|1,5|1110|1|1,5|1216|1|1,5|1202|1|1,5|1207|1|1,5|1109|1|1,5|1104|1|1,5|1107|1|1,5|1135|1|1,5|1123|1|1,5|1201|1|1,5|1106|1|1,5|1116|1|1,5|1117|1|1,5|1114|1|1,5|1132|1|1,5|1131|1|1,5|1137|1|1,5|1208|1|1</v>
      </c>
    </row>
    <row r="42" spans="1:11" ht="16.5" x14ac:dyDescent="0.3">
      <c r="A42" s="14">
        <v>14503</v>
      </c>
      <c r="B42" s="14" t="s">
        <v>1554</v>
      </c>
      <c r="C42">
        <v>50015</v>
      </c>
      <c r="D42">
        <v>4</v>
      </c>
      <c r="E42">
        <f t="shared" si="0"/>
        <v>49208</v>
      </c>
      <c r="F42">
        <v>8</v>
      </c>
      <c r="H42">
        <f>VLOOKUP($C42,[3]Sheet1!$A:$E,2,FALSE)</f>
        <v>1</v>
      </c>
      <c r="I42" t="str">
        <f>VLOOKUP($C42,[3]Sheet1!$A:$E,3,FALSE)</f>
        <v>5|1101|1</v>
      </c>
      <c r="J42" t="str">
        <f>VLOOKUP($C42,[3]Sheet1!$A:$E,4,FALSE)</f>
        <v>16橙色伙伴宝箱</v>
      </c>
      <c r="K42" t="str">
        <f>VLOOKUP($C42,[3]Sheet1!$A:$E,5,FALSE)</f>
        <v>5|1127|1|1,5|1212|1|1,5|1213|1|1,5|1214|1|1,5|1215|1|1,5|1108|1|1,5|1219|1|1,5|1102|1|1,5|1218|1|1,5|1103|1|1,5|1111|1|1,5|1112|1|1,5|1113|1|1,5|1120|1|1,5|1115|1|1</v>
      </c>
    </row>
    <row r="43" spans="1:11" ht="16.5" x14ac:dyDescent="0.15">
      <c r="A43" s="21">
        <v>14510</v>
      </c>
      <c r="B43" s="21" t="s">
        <v>1279</v>
      </c>
      <c r="C43">
        <v>50015</v>
      </c>
      <c r="D43">
        <v>4</v>
      </c>
      <c r="E43">
        <f t="shared" si="0"/>
        <v>49209</v>
      </c>
      <c r="F43">
        <v>10</v>
      </c>
      <c r="H43">
        <f>VLOOKUP($C43,[3]Sheet1!$A:$E,2,FALSE)</f>
        <v>1</v>
      </c>
      <c r="I43" t="str">
        <f>VLOOKUP($C43,[3]Sheet1!$A:$E,3,FALSE)</f>
        <v>5|1101|1</v>
      </c>
      <c r="J43" t="str">
        <f>VLOOKUP($C43,[3]Sheet1!$A:$E,4,FALSE)</f>
        <v>16橙色伙伴宝箱</v>
      </c>
      <c r="K43" t="str">
        <f>VLOOKUP($C43,[3]Sheet1!$A:$E,5,FALSE)</f>
        <v>5|1127|1|1,5|1212|1|1,5|1213|1|1,5|1214|1|1,5|1215|1|1,5|1108|1|1,5|1219|1|1,5|1102|1|1,5|1218|1|1,5|1103|1|1,5|1111|1|1,5|1112|1|1,5|1113|1|1,5|1120|1|1,5|1115|1|1</v>
      </c>
    </row>
    <row r="44" spans="1:11" ht="16.5" x14ac:dyDescent="0.15">
      <c r="A44" s="21">
        <v>14511</v>
      </c>
      <c r="B44" s="21" t="s">
        <v>1280</v>
      </c>
      <c r="C44">
        <v>50015</v>
      </c>
      <c r="D44">
        <v>4</v>
      </c>
      <c r="E44">
        <f t="shared" si="0"/>
        <v>49210</v>
      </c>
      <c r="F44">
        <v>11</v>
      </c>
      <c r="H44">
        <f>VLOOKUP($C44,[3]Sheet1!$A:$E,2,FALSE)</f>
        <v>1</v>
      </c>
      <c r="I44" t="str">
        <f>VLOOKUP($C44,[3]Sheet1!$A:$E,3,FALSE)</f>
        <v>5|1101|1</v>
      </c>
      <c r="J44" t="str">
        <f>VLOOKUP($C44,[3]Sheet1!$A:$E,4,FALSE)</f>
        <v>16橙色伙伴宝箱</v>
      </c>
      <c r="K44" t="str">
        <f>VLOOKUP($C44,[3]Sheet1!$A:$E,5,FALSE)</f>
        <v>5|1127|1|1,5|1212|1|1,5|1213|1|1,5|1214|1|1,5|1215|1|1,5|1108|1|1,5|1219|1|1,5|1102|1|1,5|1218|1|1,5|1103|1|1,5|1111|1|1,5|1112|1|1,5|1113|1|1,5|1120|1|1,5|1115|1|1</v>
      </c>
    </row>
    <row r="45" spans="1:11" ht="16.5" customHeight="1" x14ac:dyDescent="0.15">
      <c r="A45" s="21">
        <v>14512</v>
      </c>
      <c r="B45" s="21" t="s">
        <v>1281</v>
      </c>
      <c r="C45">
        <v>50015</v>
      </c>
      <c r="D45">
        <v>4</v>
      </c>
      <c r="E45">
        <f t="shared" si="0"/>
        <v>49211</v>
      </c>
      <c r="F45">
        <v>12</v>
      </c>
      <c r="H45">
        <f>VLOOKUP($C45,[3]Sheet1!$A:$E,2,FALSE)</f>
        <v>1</v>
      </c>
      <c r="I45" t="str">
        <f>VLOOKUP($C45,[3]Sheet1!$A:$E,3,FALSE)</f>
        <v>5|1101|1</v>
      </c>
      <c r="J45" t="str">
        <f>VLOOKUP($C45,[3]Sheet1!$A:$E,4,FALSE)</f>
        <v>16橙色伙伴宝箱</v>
      </c>
      <c r="K45" t="str">
        <f>VLOOKUP($C45,[3]Sheet1!$A:$E,5,FALSE)</f>
        <v>5|1127|1|1,5|1212|1|1,5|1213|1|1,5|1214|1|1,5|1215|1|1,5|1108|1|1,5|1219|1|1,5|1102|1|1,5|1218|1|1,5|1103|1|1,5|1111|1|1,5|1112|1|1,5|1113|1|1,5|1120|1|1,5|1115|1|1</v>
      </c>
    </row>
    <row r="46" spans="1:11" ht="16.5" customHeight="1" x14ac:dyDescent="0.3">
      <c r="A46" s="22">
        <v>14506</v>
      </c>
      <c r="B46" s="22" t="s">
        <v>1555</v>
      </c>
      <c r="C46">
        <v>50015</v>
      </c>
      <c r="D46">
        <v>4</v>
      </c>
      <c r="E46">
        <f t="shared" si="0"/>
        <v>49212</v>
      </c>
      <c r="F46">
        <v>13</v>
      </c>
      <c r="H46">
        <f>VLOOKUP($C46,[3]Sheet1!$A:$E,2,FALSE)</f>
        <v>1</v>
      </c>
      <c r="I46" t="str">
        <f>VLOOKUP($C46,[3]Sheet1!$A:$E,3,FALSE)</f>
        <v>5|1101|1</v>
      </c>
      <c r="J46" t="str">
        <f>VLOOKUP($C46,[3]Sheet1!$A:$E,4,FALSE)</f>
        <v>16橙色伙伴宝箱</v>
      </c>
      <c r="K46" t="str">
        <f>VLOOKUP($C46,[3]Sheet1!$A:$E,5,FALSE)</f>
        <v>5|1127|1|1,5|1212|1|1,5|1213|1|1,5|1214|1|1,5|1215|1|1,5|1108|1|1,5|1219|1|1,5|1102|1|1,5|1218|1|1,5|1103|1|1,5|1111|1|1,5|1112|1|1,5|1113|1|1,5|1120|1|1,5|1115|1|1</v>
      </c>
    </row>
    <row r="47" spans="1:11" ht="16.5" customHeight="1" x14ac:dyDescent="0.3">
      <c r="A47" s="14">
        <v>14507</v>
      </c>
      <c r="B47" s="14" t="s">
        <v>1556</v>
      </c>
      <c r="C47">
        <v>50015</v>
      </c>
      <c r="D47">
        <v>4</v>
      </c>
      <c r="E47">
        <f t="shared" si="0"/>
        <v>49213</v>
      </c>
      <c r="F47">
        <v>14</v>
      </c>
      <c r="H47">
        <f>VLOOKUP($C47,[3]Sheet1!$A:$E,2,FALSE)</f>
        <v>1</v>
      </c>
      <c r="I47" t="str">
        <f>VLOOKUP($C47,[3]Sheet1!$A:$E,3,FALSE)</f>
        <v>5|1101|1</v>
      </c>
      <c r="J47" t="str">
        <f>VLOOKUP($C47,[3]Sheet1!$A:$E,4,FALSE)</f>
        <v>16橙色伙伴宝箱</v>
      </c>
      <c r="K47" t="str">
        <f>VLOOKUP($C47,[3]Sheet1!$A:$E,5,FALSE)</f>
        <v>5|1127|1|1,5|1212|1|1,5|1213|1|1,5|1214|1|1,5|1215|1|1,5|1108|1|1,5|1219|1|1,5|1102|1|1,5|1218|1|1,5|1103|1|1,5|1111|1|1,5|1112|1|1,5|1113|1|1,5|1120|1|1,5|1115|1|1</v>
      </c>
    </row>
    <row r="48" spans="1:11" ht="16.5" customHeight="1" x14ac:dyDescent="0.3">
      <c r="A48" s="14">
        <v>14508</v>
      </c>
      <c r="B48" s="14" t="s">
        <v>1557</v>
      </c>
      <c r="C48">
        <v>50015</v>
      </c>
      <c r="D48">
        <v>4</v>
      </c>
      <c r="E48">
        <f t="shared" si="0"/>
        <v>49214</v>
      </c>
      <c r="F48">
        <v>15</v>
      </c>
      <c r="H48">
        <f>VLOOKUP($C48,[3]Sheet1!$A:$E,2,FALSE)</f>
        <v>1</v>
      </c>
      <c r="I48" t="str">
        <f>VLOOKUP($C48,[3]Sheet1!$A:$E,3,FALSE)</f>
        <v>5|1101|1</v>
      </c>
      <c r="J48" t="str">
        <f>VLOOKUP($C48,[3]Sheet1!$A:$E,4,FALSE)</f>
        <v>16橙色伙伴宝箱</v>
      </c>
      <c r="K48" t="str">
        <f>VLOOKUP($C48,[3]Sheet1!$A:$E,5,FALSE)</f>
        <v>5|1127|1|1,5|1212|1|1,5|1213|1|1,5|1214|1|1,5|1215|1|1,5|1108|1|1,5|1219|1|1,5|1102|1|1,5|1218|1|1,5|1103|1|1,5|1111|1|1,5|1112|1|1,5|1113|1|1,5|1120|1|1,5|1115|1|1</v>
      </c>
    </row>
    <row r="49" spans="1:11" ht="16.5" customHeight="1" x14ac:dyDescent="0.3">
      <c r="A49" s="14">
        <v>14509</v>
      </c>
      <c r="B49" s="14" t="s">
        <v>1558</v>
      </c>
      <c r="C49">
        <v>50015</v>
      </c>
      <c r="D49">
        <v>4</v>
      </c>
      <c r="E49">
        <f t="shared" si="0"/>
        <v>49215</v>
      </c>
      <c r="F49">
        <v>16</v>
      </c>
      <c r="H49">
        <f>VLOOKUP($C49,[3]Sheet1!$A:$E,2,FALSE)</f>
        <v>1</v>
      </c>
      <c r="I49" t="str">
        <f>VLOOKUP($C49,[3]Sheet1!$A:$E,3,FALSE)</f>
        <v>5|1101|1</v>
      </c>
      <c r="J49" t="str">
        <f>VLOOKUP($C49,[3]Sheet1!$A:$E,4,FALSE)</f>
        <v>16橙色伙伴宝箱</v>
      </c>
      <c r="K49" t="str">
        <f>VLOOKUP($C49,[3]Sheet1!$A:$E,5,FALSE)</f>
        <v>5|1127|1|1,5|1212|1|1,5|1213|1|1,5|1214|1|1,5|1215|1|1,5|1108|1|1,5|1219|1|1,5|1102|1|1,5|1218|1|1,5|1103|1|1,5|1111|1|1,5|1112|1|1,5|1113|1|1,5|1120|1|1,5|1115|1|1</v>
      </c>
    </row>
    <row r="50" spans="1:11" ht="16.5" customHeight="1" x14ac:dyDescent="0.3">
      <c r="A50" s="14">
        <v>14505</v>
      </c>
      <c r="B50" s="14" t="s">
        <v>1559</v>
      </c>
      <c r="C50">
        <v>50015</v>
      </c>
      <c r="D50">
        <v>4</v>
      </c>
      <c r="E50">
        <f t="shared" si="0"/>
        <v>49216</v>
      </c>
      <c r="F50">
        <v>17</v>
      </c>
      <c r="H50">
        <f>VLOOKUP($C50,[3]Sheet1!$A:$E,2,FALSE)</f>
        <v>1</v>
      </c>
      <c r="I50" t="str">
        <f>VLOOKUP($C50,[3]Sheet1!$A:$E,3,FALSE)</f>
        <v>5|1101|1</v>
      </c>
      <c r="J50" t="str">
        <f>VLOOKUP($C50,[3]Sheet1!$A:$E,4,FALSE)</f>
        <v>16橙色伙伴宝箱</v>
      </c>
      <c r="K50" t="str">
        <f>VLOOKUP($C50,[3]Sheet1!$A:$E,5,FALSE)</f>
        <v>5|1127|1|1,5|1212|1|1,5|1213|1|1,5|1214|1|1,5|1215|1|1,5|1108|1|1,5|1219|1|1,5|1102|1|1,5|1218|1|1,5|1103|1|1,5|1111|1|1,5|1112|1|1,5|1113|1|1,5|1120|1|1,5|1115|1|1</v>
      </c>
    </row>
    <row r="51" spans="1:11" ht="16.5" customHeight="1" x14ac:dyDescent="0.3">
      <c r="A51" s="13">
        <v>16600</v>
      </c>
      <c r="B51" s="13" t="s">
        <v>1560</v>
      </c>
      <c r="C51">
        <v>31380</v>
      </c>
      <c r="D51">
        <v>5</v>
      </c>
      <c r="E51">
        <v>49301</v>
      </c>
      <c r="F51">
        <v>1</v>
      </c>
      <c r="H51">
        <f>VLOOKUP($C51,[3]Sheet1!$A:$E,2,FALSE)</f>
        <v>0</v>
      </c>
      <c r="I51" t="str">
        <f>VLOOKUP($C51,[3]Sheet1!$A:$E,3,FALSE)</f>
        <v>4|1|20000</v>
      </c>
      <c r="J51" t="str">
        <f>VLOOKUP($C51,[3]Sheet1!$A:$E,4,FALSE)</f>
        <v>每日礼包vip0</v>
      </c>
      <c r="K51" t="str">
        <f>VLOOKUP($C51,[3]Sheet1!$A:$E,5,FALSE)</f>
        <v>4|1|20000|1</v>
      </c>
    </row>
    <row r="52" spans="1:11" ht="16.5" customHeight="1" x14ac:dyDescent="0.3">
      <c r="A52" s="13">
        <v>16601</v>
      </c>
      <c r="B52" s="13" t="s">
        <v>1431</v>
      </c>
      <c r="C52">
        <v>31381</v>
      </c>
      <c r="D52">
        <v>5</v>
      </c>
      <c r="E52">
        <f t="shared" si="0"/>
        <v>49302</v>
      </c>
      <c r="F52">
        <v>2</v>
      </c>
      <c r="H52">
        <f>VLOOKUP($C52,[3]Sheet1!$A:$E,2,FALSE)</f>
        <v>0</v>
      </c>
      <c r="I52" t="str">
        <f>VLOOKUP($C52,[3]Sheet1!$A:$E,3,FALSE)</f>
        <v>4|1|40000</v>
      </c>
      <c r="J52" t="str">
        <f>VLOOKUP($C52,[3]Sheet1!$A:$E,4,FALSE)</f>
        <v>每日礼包vip1</v>
      </c>
      <c r="K52" t="str">
        <f>VLOOKUP($C52,[3]Sheet1!$A:$E,5,FALSE)</f>
        <v>4|1|40000|1</v>
      </c>
    </row>
    <row r="53" spans="1:11" ht="16.5" customHeight="1" x14ac:dyDescent="0.3">
      <c r="A53" s="13">
        <v>16602</v>
      </c>
      <c r="B53" s="13" t="s">
        <v>1432</v>
      </c>
      <c r="C53">
        <v>31382</v>
      </c>
      <c r="D53">
        <v>5</v>
      </c>
      <c r="E53">
        <f t="shared" si="0"/>
        <v>49303</v>
      </c>
      <c r="F53">
        <v>3</v>
      </c>
      <c r="H53">
        <f>VLOOKUP($C53,[3]Sheet1!$A:$E,2,FALSE)</f>
        <v>0</v>
      </c>
      <c r="I53" t="str">
        <f>VLOOKUP($C53,[3]Sheet1!$A:$E,3,FALSE)</f>
        <v>4|1|60000</v>
      </c>
      <c r="J53" t="str">
        <f>VLOOKUP($C53,[3]Sheet1!$A:$E,4,FALSE)</f>
        <v>每日礼包vip2</v>
      </c>
      <c r="K53" t="str">
        <f>VLOOKUP($C53,[3]Sheet1!$A:$E,5,FALSE)</f>
        <v>4|1|60000|1</v>
      </c>
    </row>
    <row r="54" spans="1:11" ht="16.5" x14ac:dyDescent="0.3">
      <c r="A54" s="13">
        <v>16603</v>
      </c>
      <c r="B54" s="13" t="s">
        <v>1433</v>
      </c>
      <c r="C54">
        <v>31383</v>
      </c>
      <c r="D54">
        <v>5</v>
      </c>
      <c r="E54">
        <f t="shared" si="0"/>
        <v>49304</v>
      </c>
      <c r="F54">
        <v>4</v>
      </c>
      <c r="H54">
        <f>VLOOKUP($C54,[3]Sheet1!$A:$E,2,FALSE)</f>
        <v>0</v>
      </c>
      <c r="I54" t="str">
        <f>VLOOKUP($C54,[3]Sheet1!$A:$E,3,FALSE)</f>
        <v>4|1|80000,1|14106|20</v>
      </c>
      <c r="J54" t="str">
        <f>VLOOKUP($C54,[3]Sheet1!$A:$E,4,FALSE)</f>
        <v>每日礼包vip3</v>
      </c>
      <c r="K54" t="str">
        <f>VLOOKUP($C54,[3]Sheet1!$A:$E,5,FALSE)</f>
        <v>4|1|80000|1,1|14106|20|1</v>
      </c>
    </row>
    <row r="55" spans="1:11" ht="16.5" x14ac:dyDescent="0.3">
      <c r="A55" s="13">
        <v>16604</v>
      </c>
      <c r="B55" s="13" t="s">
        <v>1434</v>
      </c>
      <c r="C55">
        <v>31384</v>
      </c>
      <c r="D55">
        <v>5</v>
      </c>
      <c r="E55">
        <f t="shared" si="0"/>
        <v>49305</v>
      </c>
      <c r="F55">
        <v>5</v>
      </c>
      <c r="H55">
        <f>VLOOKUP($C55,[3]Sheet1!$A:$E,2,FALSE)</f>
        <v>0</v>
      </c>
      <c r="I55" t="str">
        <f>VLOOKUP($C55,[3]Sheet1!$A:$E,3,FALSE)</f>
        <v>4|1|100000,1|14106|25</v>
      </c>
      <c r="J55" t="str">
        <f>VLOOKUP($C55,[3]Sheet1!$A:$E,4,FALSE)</f>
        <v>每日礼包vip4</v>
      </c>
      <c r="K55" t="str">
        <f>VLOOKUP($C55,[3]Sheet1!$A:$E,5,FALSE)</f>
        <v>4|1|100000|1,1|14106|25|1</v>
      </c>
    </row>
    <row r="56" spans="1:11" ht="16.5" customHeight="1" x14ac:dyDescent="0.3">
      <c r="A56" s="13">
        <v>16605</v>
      </c>
      <c r="B56" s="13" t="s">
        <v>1435</v>
      </c>
      <c r="C56">
        <v>31385</v>
      </c>
      <c r="D56">
        <v>5</v>
      </c>
      <c r="E56">
        <f t="shared" si="0"/>
        <v>49306</v>
      </c>
      <c r="F56">
        <v>6</v>
      </c>
      <c r="H56">
        <f>VLOOKUP($C56,[3]Sheet1!$A:$E,2,FALSE)</f>
        <v>0</v>
      </c>
      <c r="I56" t="str">
        <f>VLOOKUP($C56,[3]Sheet1!$A:$E,3,FALSE)</f>
        <v>4|1|120000,1|14106|30,1|16005|20</v>
      </c>
      <c r="J56" t="str">
        <f>VLOOKUP($C56,[3]Sheet1!$A:$E,4,FALSE)</f>
        <v>每日礼包vip5</v>
      </c>
      <c r="K56" t="str">
        <f>VLOOKUP($C56,[3]Sheet1!$A:$E,5,FALSE)</f>
        <v>4|1|120000|1,1|14106|30|1,1|16005|20|1</v>
      </c>
    </row>
    <row r="57" spans="1:11" ht="16.5" customHeight="1" x14ac:dyDescent="0.3">
      <c r="A57" s="13">
        <v>16606</v>
      </c>
      <c r="B57" s="13" t="s">
        <v>1436</v>
      </c>
      <c r="C57">
        <v>31386</v>
      </c>
      <c r="D57">
        <v>5</v>
      </c>
      <c r="E57">
        <f t="shared" si="0"/>
        <v>49307</v>
      </c>
      <c r="F57">
        <v>7</v>
      </c>
      <c r="H57">
        <f>VLOOKUP($C57,[3]Sheet1!$A:$E,2,FALSE)</f>
        <v>0</v>
      </c>
      <c r="I57" t="str">
        <f>VLOOKUP($C57,[3]Sheet1!$A:$E,3,FALSE)</f>
        <v>4|1|140000,1|14106|35,1|16005|24,1|14201|20</v>
      </c>
      <c r="J57" t="str">
        <f>VLOOKUP($C57,[3]Sheet1!$A:$E,4,FALSE)</f>
        <v>每日礼包vip6</v>
      </c>
      <c r="K57" t="str">
        <f>VLOOKUP($C57,[3]Sheet1!$A:$E,5,FALSE)</f>
        <v>4|1|140000|1,1|14106|35|1,1|16005|24|1,1|14201|20|1</v>
      </c>
    </row>
    <row r="58" spans="1:11" ht="16.5" customHeight="1" x14ac:dyDescent="0.3">
      <c r="A58" s="13">
        <v>16607</v>
      </c>
      <c r="B58" s="13" t="s">
        <v>1437</v>
      </c>
      <c r="C58">
        <v>31387</v>
      </c>
      <c r="D58">
        <v>5</v>
      </c>
      <c r="E58">
        <f t="shared" si="0"/>
        <v>49308</v>
      </c>
      <c r="F58">
        <v>8</v>
      </c>
      <c r="H58">
        <f>VLOOKUP($C58,[3]Sheet1!$A:$E,2,FALSE)</f>
        <v>0</v>
      </c>
      <c r="I58" t="str">
        <f>VLOOKUP($C58,[3]Sheet1!$A:$E,3,FALSE)</f>
        <v>4|1|160000,1|14106|40,1|16005|28,1|14201|26,1|17001|20</v>
      </c>
      <c r="J58" t="str">
        <f>VLOOKUP($C58,[3]Sheet1!$A:$E,4,FALSE)</f>
        <v>每日礼包vip7</v>
      </c>
      <c r="K58" t="str">
        <f>VLOOKUP($C58,[3]Sheet1!$A:$E,5,FALSE)</f>
        <v>4|1|160000|1,1|14106|40|1,1|16005|28|1,1|14201|26|1,1|17001|20|1</v>
      </c>
    </row>
    <row r="59" spans="1:11" ht="16.5" customHeight="1" x14ac:dyDescent="0.3">
      <c r="A59" s="13">
        <v>16608</v>
      </c>
      <c r="B59" s="13" t="s">
        <v>1438</v>
      </c>
      <c r="C59">
        <v>31388</v>
      </c>
      <c r="D59">
        <v>5</v>
      </c>
      <c r="E59">
        <f t="shared" si="0"/>
        <v>49309</v>
      </c>
      <c r="F59">
        <v>9</v>
      </c>
      <c r="H59">
        <f>VLOOKUP($C59,[3]Sheet1!$A:$E,2,FALSE)</f>
        <v>0</v>
      </c>
      <c r="I59" t="str">
        <f>VLOOKUP($C59,[3]Sheet1!$A:$E,3,FALSE)</f>
        <v>4|1|180000,1|14106|45,1|16005|32,1|14201|32,1|17001|25</v>
      </c>
      <c r="J59" t="str">
        <f>VLOOKUP($C59,[3]Sheet1!$A:$E,4,FALSE)</f>
        <v>每日礼包vip8</v>
      </c>
      <c r="K59" t="str">
        <f>VLOOKUP($C59,[3]Sheet1!$A:$E,5,FALSE)</f>
        <v>4|1|180000|1,1|14106|45|1,1|16005|32|1,1|14201|32|1,1|17001|25|1</v>
      </c>
    </row>
    <row r="60" spans="1:11" ht="16.5" customHeight="1" x14ac:dyDescent="0.3">
      <c r="A60" s="13">
        <v>16609</v>
      </c>
      <c r="B60" s="13" t="s">
        <v>1439</v>
      </c>
      <c r="C60">
        <v>31389</v>
      </c>
      <c r="D60">
        <v>5</v>
      </c>
      <c r="E60">
        <f t="shared" si="0"/>
        <v>49310</v>
      </c>
      <c r="F60">
        <v>10</v>
      </c>
      <c r="H60">
        <f>VLOOKUP($C60,[3]Sheet1!$A:$E,2,FALSE)</f>
        <v>0</v>
      </c>
      <c r="I60" t="str">
        <f>VLOOKUP($C60,[3]Sheet1!$A:$E,3,FALSE)</f>
        <v>4|1|200000,1|14106|50,1|16005|36,1|14201|38,1|17001|30</v>
      </c>
      <c r="J60" t="str">
        <f>VLOOKUP($C60,[3]Sheet1!$A:$E,4,FALSE)</f>
        <v>每日礼包vip9</v>
      </c>
      <c r="K60" t="str">
        <f>VLOOKUP($C60,[3]Sheet1!$A:$E,5,FALSE)</f>
        <v>4|1|200000|1,1|14106|50|1,1|16005|36|1,1|14201|38|1,1|17001|30|1</v>
      </c>
    </row>
    <row r="61" spans="1:11" ht="16.5" customHeight="1" x14ac:dyDescent="0.3">
      <c r="A61" s="13">
        <v>16610</v>
      </c>
      <c r="B61" s="13" t="s">
        <v>1440</v>
      </c>
      <c r="C61">
        <v>31390</v>
      </c>
      <c r="D61">
        <v>5</v>
      </c>
      <c r="E61">
        <f t="shared" si="0"/>
        <v>49311</v>
      </c>
      <c r="F61">
        <v>11</v>
      </c>
      <c r="H61">
        <f>VLOOKUP($C61,[3]Sheet1!$A:$E,2,FALSE)</f>
        <v>0</v>
      </c>
      <c r="I61" t="str">
        <f>VLOOKUP($C61,[3]Sheet1!$A:$E,3,FALSE)</f>
        <v>4|1|220000,1|14106|55,1|16005|40,1|14201|44,1|17001|35</v>
      </c>
      <c r="J61" t="str">
        <f>VLOOKUP($C61,[3]Sheet1!$A:$E,4,FALSE)</f>
        <v>每日礼包vip10</v>
      </c>
      <c r="K61" t="str">
        <f>VLOOKUP($C61,[3]Sheet1!$A:$E,5,FALSE)</f>
        <v>4|1|220000|1,1|14106|55|1,1|16005|40|1,1|14201|44|1,1|17001|35|1</v>
      </c>
    </row>
    <row r="62" spans="1:11" ht="16.5" customHeight="1" x14ac:dyDescent="0.3">
      <c r="A62" s="13">
        <v>16611</v>
      </c>
      <c r="B62" s="13" t="s">
        <v>1441</v>
      </c>
      <c r="C62">
        <v>31391</v>
      </c>
      <c r="D62">
        <v>5</v>
      </c>
      <c r="E62">
        <f t="shared" si="0"/>
        <v>49312</v>
      </c>
      <c r="F62">
        <v>12</v>
      </c>
      <c r="H62">
        <f>VLOOKUP($C62,[3]Sheet1!$A:$E,2,FALSE)</f>
        <v>0</v>
      </c>
      <c r="I62" t="str">
        <f>VLOOKUP($C62,[3]Sheet1!$A:$E,3,FALSE)</f>
        <v>4|1|240000,1|14106|60,1|16005|44,1|14201|50,1|17001|40</v>
      </c>
      <c r="J62" t="str">
        <f>VLOOKUP($C62,[3]Sheet1!$A:$E,4,FALSE)</f>
        <v>每日礼包vip11</v>
      </c>
      <c r="K62" t="str">
        <f>VLOOKUP($C62,[3]Sheet1!$A:$E,5,FALSE)</f>
        <v>4|1|240000|1,1|14106|60|1,1|16005|44|1,1|14201|50|1,1|17001|40|1</v>
      </c>
    </row>
    <row r="63" spans="1:11" ht="16.5" customHeight="1" x14ac:dyDescent="0.3">
      <c r="A63" s="13">
        <v>16612</v>
      </c>
      <c r="B63" s="13" t="s">
        <v>1442</v>
      </c>
      <c r="C63">
        <v>31392</v>
      </c>
      <c r="D63">
        <v>5</v>
      </c>
      <c r="E63">
        <f t="shared" si="0"/>
        <v>49313</v>
      </c>
      <c r="F63">
        <v>13</v>
      </c>
      <c r="H63">
        <f>VLOOKUP($C63,[3]Sheet1!$A:$E,2,FALSE)</f>
        <v>0</v>
      </c>
      <c r="I63" t="str">
        <f>VLOOKUP($C63,[3]Sheet1!$A:$E,3,FALSE)</f>
        <v>4|1|260000,1|14106|65,1|16005|48,1|14201|56,1|17001|45</v>
      </c>
      <c r="J63" t="str">
        <f>VLOOKUP($C63,[3]Sheet1!$A:$E,4,FALSE)</f>
        <v>每日礼包vip12</v>
      </c>
      <c r="K63" t="str">
        <f>VLOOKUP($C63,[3]Sheet1!$A:$E,5,FALSE)</f>
        <v>4|1|260000|1,1|14106|65|1,1|16005|48|1,1|14201|56|1,1|17001|45|1</v>
      </c>
    </row>
    <row r="64" spans="1:11" ht="16.5" customHeight="1" x14ac:dyDescent="0.3">
      <c r="A64" s="13">
        <v>16613</v>
      </c>
      <c r="B64" s="13" t="s">
        <v>1443</v>
      </c>
      <c r="C64">
        <v>31393</v>
      </c>
      <c r="D64">
        <v>5</v>
      </c>
      <c r="E64">
        <f t="shared" si="0"/>
        <v>49314</v>
      </c>
      <c r="F64">
        <v>14</v>
      </c>
      <c r="H64">
        <f>VLOOKUP($C64,[3]Sheet1!$A:$E,2,FALSE)</f>
        <v>0</v>
      </c>
      <c r="I64" t="str">
        <f>VLOOKUP($C64,[3]Sheet1!$A:$E,3,FALSE)</f>
        <v>4|1|280000,1|14106|70,1|16005|52,1|14201|62,1|17001|50</v>
      </c>
      <c r="J64" t="str">
        <f>VLOOKUP($C64,[3]Sheet1!$A:$E,4,FALSE)</f>
        <v>每日礼包vip13</v>
      </c>
      <c r="K64" t="str">
        <f>VLOOKUP($C64,[3]Sheet1!$A:$E,5,FALSE)</f>
        <v>4|1|280000|1,1|14106|70|1,1|16005|52|1,1|14201|62|1,1|17001|50|1</v>
      </c>
    </row>
    <row r="65" spans="1:11" ht="16.5" customHeight="1" x14ac:dyDescent="0.3">
      <c r="A65" s="13">
        <v>16614</v>
      </c>
      <c r="B65" s="13" t="s">
        <v>1444</v>
      </c>
      <c r="C65">
        <v>31394</v>
      </c>
      <c r="D65">
        <v>5</v>
      </c>
      <c r="E65">
        <f t="shared" si="0"/>
        <v>49315</v>
      </c>
      <c r="F65">
        <v>15</v>
      </c>
      <c r="H65">
        <f>VLOOKUP($C65,[3]Sheet1!$A:$E,2,FALSE)</f>
        <v>0</v>
      </c>
      <c r="I65" t="str">
        <f>VLOOKUP($C65,[3]Sheet1!$A:$E,3,FALSE)</f>
        <v>4|1|300000,1|14106|75,1|16005|56,1|14201|68,1|17001|55</v>
      </c>
      <c r="J65" t="str">
        <f>VLOOKUP($C65,[3]Sheet1!$A:$E,4,FALSE)</f>
        <v>每日礼包vip14</v>
      </c>
      <c r="K65" t="str">
        <f>VLOOKUP($C65,[3]Sheet1!$A:$E,5,FALSE)</f>
        <v>4|1|300000|1,1|14106|75|1,1|16005|56|1,1|14201|68|1,1|17001|55|1</v>
      </c>
    </row>
    <row r="66" spans="1:11" ht="16.5" customHeight="1" x14ac:dyDescent="0.3">
      <c r="A66" s="13">
        <v>16615</v>
      </c>
      <c r="B66" s="13" t="s">
        <v>1445</v>
      </c>
      <c r="C66">
        <v>31395</v>
      </c>
      <c r="D66">
        <v>5</v>
      </c>
      <c r="E66">
        <f t="shared" si="0"/>
        <v>49316</v>
      </c>
      <c r="F66">
        <v>16</v>
      </c>
      <c r="H66">
        <f>VLOOKUP($C66,[3]Sheet1!$A:$E,2,FALSE)</f>
        <v>0</v>
      </c>
      <c r="I66" t="str">
        <f>VLOOKUP($C66,[3]Sheet1!$A:$E,3,FALSE)</f>
        <v>4|1|320000,1|14106|80,1|16005|60,1|14201|74,1|17001|60</v>
      </c>
      <c r="J66" t="str">
        <f>VLOOKUP($C66,[3]Sheet1!$A:$E,4,FALSE)</f>
        <v>每日礼包vip15</v>
      </c>
      <c r="K66" t="str">
        <f>VLOOKUP($C66,[3]Sheet1!$A:$E,5,FALSE)</f>
        <v>4|1|320000|1,1|14106|80|1,1|16005|60|1,1|14201|74|1,1|17001|60|1</v>
      </c>
    </row>
    <row r="67" spans="1:11" ht="16.5" customHeight="1" x14ac:dyDescent="0.3">
      <c r="A67" s="18"/>
      <c r="B67" s="18"/>
    </row>
    <row r="68" spans="1:11" ht="16.5" customHeight="1" x14ac:dyDescent="0.3">
      <c r="A68" s="18"/>
      <c r="B68" s="18"/>
    </row>
    <row r="69" spans="1:11" ht="16.5" customHeight="1" x14ac:dyDescent="0.3">
      <c r="A69" s="18"/>
      <c r="B69" s="18"/>
    </row>
    <row r="70" spans="1:11" ht="16.5" customHeight="1" x14ac:dyDescent="0.15"/>
    <row r="71" spans="1:11" ht="16.5" customHeight="1" x14ac:dyDescent="0.15"/>
    <row r="72" spans="1:11" ht="16.5" customHeight="1" x14ac:dyDescent="0.15"/>
    <row r="73" spans="1:11" ht="16.5" customHeight="1" x14ac:dyDescent="0.15"/>
    <row r="74" spans="1:11" ht="16.5" customHeight="1" x14ac:dyDescent="0.15"/>
    <row r="75" spans="1:11" ht="16.5" customHeight="1" x14ac:dyDescent="0.15"/>
    <row r="76" spans="1:11" ht="16.5" customHeight="1" x14ac:dyDescent="0.15"/>
    <row r="77" spans="1:11" ht="16.5" customHeight="1" x14ac:dyDescent="0.15"/>
    <row r="78" spans="1:11" ht="16.5" customHeight="1" x14ac:dyDescent="0.15"/>
    <row r="79" spans="1:11" ht="16.5" customHeight="1" x14ac:dyDescent="0.15"/>
    <row r="80" spans="1:11" ht="16.5" customHeight="1" x14ac:dyDescent="0.15"/>
    <row r="85" ht="16.5" customHeight="1" x14ac:dyDescent="0.15"/>
    <row r="88" ht="16.5" customHeight="1" x14ac:dyDescent="0.15"/>
    <row r="89" ht="16.5" customHeight="1" x14ac:dyDescent="0.15"/>
    <row r="90" ht="16.5" customHeight="1" x14ac:dyDescent="0.15"/>
    <row r="91" ht="16.5" customHeight="1" x14ac:dyDescent="0.15"/>
    <row r="92" ht="16.5" customHeight="1" x14ac:dyDescent="0.15"/>
    <row r="93" ht="16.5" customHeight="1" x14ac:dyDescent="0.15"/>
    <row r="94" ht="16.5" customHeight="1" x14ac:dyDescent="0.15"/>
    <row r="95" ht="16.5" customHeight="1" x14ac:dyDescent="0.15"/>
    <row r="96" ht="16.5" customHeight="1" x14ac:dyDescent="0.15"/>
    <row r="97" ht="16.5" customHeight="1" x14ac:dyDescent="0.15"/>
    <row r="98" ht="16.5" customHeight="1" x14ac:dyDescent="0.15"/>
    <row r="99" ht="16.5" customHeight="1" x14ac:dyDescent="0.15"/>
    <row r="109" ht="16.5" customHeight="1" x14ac:dyDescent="0.15"/>
    <row r="110" ht="16.5" customHeight="1" x14ac:dyDescent="0.15"/>
    <row r="111" ht="16.5" customHeight="1" x14ac:dyDescent="0.15"/>
    <row r="112" ht="16.5" customHeight="1" x14ac:dyDescent="0.15"/>
    <row r="113" ht="16.5" customHeight="1" x14ac:dyDescent="0.15"/>
    <row r="114" ht="16.5" customHeight="1" x14ac:dyDescent="0.15"/>
    <row r="115" ht="16.5" customHeight="1" x14ac:dyDescent="0.15"/>
    <row r="116" ht="16.5" customHeight="1" x14ac:dyDescent="0.15"/>
    <row r="117" ht="16.5" customHeight="1" x14ac:dyDescent="0.15"/>
    <row r="118" ht="16.5" customHeight="1" x14ac:dyDescent="0.15"/>
  </sheetData>
  <sortState ref="A1:E70">
    <sortCondition ref="A1:A70"/>
  </sortState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12"/>
  <sheetViews>
    <sheetView topLeftCell="A378" workbookViewId="0">
      <selection activeCell="A4" sqref="A4:B412"/>
    </sheetView>
  </sheetViews>
  <sheetFormatPr defaultRowHeight="13.5" x14ac:dyDescent="0.15"/>
  <sheetData>
    <row r="1" spans="1:20" ht="409.6" x14ac:dyDescent="0.3">
      <c r="A1" s="2" t="s">
        <v>610</v>
      </c>
      <c r="B1" s="2" t="s">
        <v>1252</v>
      </c>
      <c r="C1" s="2" t="s">
        <v>1253</v>
      </c>
      <c r="D1" s="2" t="s">
        <v>1254</v>
      </c>
      <c r="E1" s="2" t="s">
        <v>1255</v>
      </c>
      <c r="F1" s="2" t="s">
        <v>693</v>
      </c>
      <c r="G1" s="3" t="s">
        <v>1256</v>
      </c>
      <c r="H1" s="2" t="s">
        <v>934</v>
      </c>
      <c r="I1" s="3" t="s">
        <v>1257</v>
      </c>
      <c r="J1" s="3" t="s">
        <v>1258</v>
      </c>
      <c r="K1" s="3" t="s">
        <v>154</v>
      </c>
      <c r="L1" s="2" t="s">
        <v>39</v>
      </c>
      <c r="M1" s="2" t="s">
        <v>1259</v>
      </c>
      <c r="N1" s="3" t="s">
        <v>1260</v>
      </c>
      <c r="O1" s="2" t="s">
        <v>695</v>
      </c>
      <c r="P1" s="2" t="s">
        <v>694</v>
      </c>
      <c r="Q1" s="3" t="s">
        <v>1261</v>
      </c>
      <c r="R1" s="2" t="s">
        <v>393</v>
      </c>
      <c r="S1" s="3" t="s">
        <v>76</v>
      </c>
      <c r="T1" s="1"/>
    </row>
    <row r="2" spans="1:20" ht="16.5" x14ac:dyDescent="0.3">
      <c r="A2" s="4" t="s">
        <v>0</v>
      </c>
      <c r="B2" s="4" t="s">
        <v>1</v>
      </c>
      <c r="C2" s="4" t="s">
        <v>2</v>
      </c>
      <c r="D2" s="4" t="s">
        <v>3</v>
      </c>
      <c r="E2" s="4" t="s">
        <v>151</v>
      </c>
      <c r="F2" s="4" t="s">
        <v>320</v>
      </c>
      <c r="G2" s="4" t="s">
        <v>4</v>
      </c>
      <c r="H2" s="4" t="s">
        <v>80</v>
      </c>
      <c r="I2" s="4" t="s">
        <v>5</v>
      </c>
      <c r="J2" s="4" t="s">
        <v>155</v>
      </c>
      <c r="K2" s="4" t="s">
        <v>156</v>
      </c>
      <c r="L2" s="4" t="s">
        <v>6</v>
      </c>
      <c r="M2" s="4" t="s">
        <v>56</v>
      </c>
      <c r="N2" s="4" t="s">
        <v>7</v>
      </c>
      <c r="O2" s="4" t="s">
        <v>8</v>
      </c>
      <c r="P2" s="4" t="s">
        <v>9</v>
      </c>
      <c r="Q2" s="4" t="s">
        <v>50</v>
      </c>
      <c r="R2" s="4" t="s">
        <v>62</v>
      </c>
      <c r="S2" s="4" t="s">
        <v>78</v>
      </c>
      <c r="T2" s="1"/>
    </row>
    <row r="3" spans="1:20" ht="16.5" x14ac:dyDescent="0.3">
      <c r="A3" s="4" t="s">
        <v>10</v>
      </c>
      <c r="B3" s="4" t="s">
        <v>10</v>
      </c>
      <c r="C3" s="4" t="s">
        <v>10</v>
      </c>
      <c r="D3" s="4" t="s">
        <v>10</v>
      </c>
      <c r="E3" s="4" t="s">
        <v>11</v>
      </c>
      <c r="F3" s="4" t="s">
        <v>10</v>
      </c>
      <c r="G3" s="4" t="s">
        <v>11</v>
      </c>
      <c r="H3" s="4" t="s">
        <v>77</v>
      </c>
      <c r="I3" s="4" t="s">
        <v>10</v>
      </c>
      <c r="J3" s="4" t="s">
        <v>61</v>
      </c>
      <c r="K3" s="4" t="s">
        <v>77</v>
      </c>
      <c r="L3" s="4" t="s">
        <v>11</v>
      </c>
      <c r="M3" s="4" t="s">
        <v>61</v>
      </c>
      <c r="N3" s="4" t="s">
        <v>51</v>
      </c>
      <c r="O3" s="4" t="s">
        <v>10</v>
      </c>
      <c r="P3" s="4" t="s">
        <v>10</v>
      </c>
      <c r="Q3" s="4" t="s">
        <v>51</v>
      </c>
      <c r="R3" s="4" t="s">
        <v>61</v>
      </c>
      <c r="S3" s="4" t="s">
        <v>77</v>
      </c>
      <c r="T3" s="1"/>
    </row>
    <row r="4" spans="1:20" ht="16.5" x14ac:dyDescent="0.3">
      <c r="A4" s="1">
        <v>10001</v>
      </c>
      <c r="B4" s="1" t="s">
        <v>1066</v>
      </c>
      <c r="C4" s="1" t="s">
        <v>1067</v>
      </c>
      <c r="D4" s="1" t="s">
        <v>1067</v>
      </c>
      <c r="E4" s="1" t="s">
        <v>194</v>
      </c>
      <c r="F4" s="1" t="s">
        <v>1065</v>
      </c>
      <c r="G4" s="1">
        <v>1</v>
      </c>
      <c r="H4" s="1">
        <v>4</v>
      </c>
      <c r="I4" s="1" t="s">
        <v>121</v>
      </c>
      <c r="J4" s="1" t="s">
        <v>12</v>
      </c>
      <c r="K4" s="1" t="s">
        <v>14</v>
      </c>
      <c r="L4" s="1" t="s">
        <v>173</v>
      </c>
      <c r="M4" s="1" t="s">
        <v>12</v>
      </c>
      <c r="N4" s="1">
        <v>100</v>
      </c>
      <c r="O4" s="1" t="s">
        <v>229</v>
      </c>
      <c r="P4" s="1" t="s">
        <v>12</v>
      </c>
      <c r="Q4" s="1">
        <v>0</v>
      </c>
      <c r="R4" s="1" t="s">
        <v>12</v>
      </c>
      <c r="S4" s="1">
        <v>0</v>
      </c>
      <c r="T4" s="1">
        <v>16</v>
      </c>
    </row>
    <row r="5" spans="1:20" ht="16.5" x14ac:dyDescent="0.3">
      <c r="A5" s="1">
        <v>10002</v>
      </c>
      <c r="B5" s="1" t="s">
        <v>92</v>
      </c>
      <c r="C5" s="1" t="s">
        <v>1068</v>
      </c>
      <c r="D5" s="1" t="s">
        <v>1068</v>
      </c>
      <c r="E5" s="1" t="s">
        <v>194</v>
      </c>
      <c r="F5" s="1" t="s">
        <v>862</v>
      </c>
      <c r="G5" s="1">
        <v>1</v>
      </c>
      <c r="H5" s="1">
        <v>4</v>
      </c>
      <c r="I5" s="1" t="s">
        <v>137</v>
      </c>
      <c r="J5" s="1" t="s">
        <v>12</v>
      </c>
      <c r="K5" s="1" t="s">
        <v>14</v>
      </c>
      <c r="L5" s="1" t="s">
        <v>173</v>
      </c>
      <c r="M5" s="1" t="s">
        <v>12</v>
      </c>
      <c r="N5" s="1">
        <v>100</v>
      </c>
      <c r="O5" s="1" t="s">
        <v>230</v>
      </c>
      <c r="P5" s="1" t="s">
        <v>12</v>
      </c>
      <c r="Q5" s="1">
        <v>0</v>
      </c>
      <c r="R5" s="1" t="s">
        <v>12</v>
      </c>
      <c r="S5" s="1">
        <v>0</v>
      </c>
      <c r="T5" s="1">
        <v>16</v>
      </c>
    </row>
    <row r="6" spans="1:20" ht="16.5" x14ac:dyDescent="0.3">
      <c r="A6" s="1">
        <v>10003</v>
      </c>
      <c r="B6" s="1" t="s">
        <v>108</v>
      </c>
      <c r="C6" s="1" t="s">
        <v>1069</v>
      </c>
      <c r="D6" s="1" t="s">
        <v>1069</v>
      </c>
      <c r="E6" s="1" t="s">
        <v>194</v>
      </c>
      <c r="F6" s="1" t="s">
        <v>862</v>
      </c>
      <c r="G6" s="1">
        <v>1</v>
      </c>
      <c r="H6" s="1">
        <v>4</v>
      </c>
      <c r="I6" s="1" t="s">
        <v>143</v>
      </c>
      <c r="J6" s="1" t="s">
        <v>12</v>
      </c>
      <c r="K6" s="1" t="s">
        <v>14</v>
      </c>
      <c r="L6" s="1" t="s">
        <v>173</v>
      </c>
      <c r="M6" s="1" t="s">
        <v>12</v>
      </c>
      <c r="N6" s="1">
        <v>100</v>
      </c>
      <c r="O6" s="1" t="s">
        <v>231</v>
      </c>
      <c r="P6" s="1" t="s">
        <v>12</v>
      </c>
      <c r="Q6" s="1">
        <v>0</v>
      </c>
      <c r="R6" s="1" t="s">
        <v>12</v>
      </c>
      <c r="S6" s="1">
        <v>0</v>
      </c>
      <c r="T6" s="1">
        <v>16</v>
      </c>
    </row>
    <row r="7" spans="1:20" ht="16.5" x14ac:dyDescent="0.3">
      <c r="A7" s="1">
        <v>10004</v>
      </c>
      <c r="B7" s="1" t="s">
        <v>436</v>
      </c>
      <c r="C7" s="1" t="s">
        <v>1070</v>
      </c>
      <c r="D7" s="1" t="s">
        <v>1070</v>
      </c>
      <c r="E7" s="1" t="s">
        <v>194</v>
      </c>
      <c r="F7" s="1" t="s">
        <v>862</v>
      </c>
      <c r="G7" s="1">
        <v>1</v>
      </c>
      <c r="H7" s="1">
        <v>4</v>
      </c>
      <c r="I7" s="1" t="s">
        <v>128</v>
      </c>
      <c r="J7" s="1" t="s">
        <v>12</v>
      </c>
      <c r="K7" s="1" t="s">
        <v>14</v>
      </c>
      <c r="L7" s="1" t="s">
        <v>173</v>
      </c>
      <c r="M7" s="1" t="s">
        <v>12</v>
      </c>
      <c r="N7" s="1">
        <v>80</v>
      </c>
      <c r="O7" s="1" t="s">
        <v>232</v>
      </c>
      <c r="P7" s="1" t="s">
        <v>12</v>
      </c>
      <c r="Q7" s="1">
        <v>0</v>
      </c>
      <c r="R7" s="1" t="s">
        <v>12</v>
      </c>
      <c r="S7" s="1">
        <v>0</v>
      </c>
      <c r="T7" s="1">
        <v>13</v>
      </c>
    </row>
    <row r="8" spans="1:20" ht="16.5" x14ac:dyDescent="0.3">
      <c r="A8" s="1">
        <v>10005</v>
      </c>
      <c r="B8" s="1" t="s">
        <v>437</v>
      </c>
      <c r="C8" s="1" t="s">
        <v>1071</v>
      </c>
      <c r="D8" s="1" t="s">
        <v>1071</v>
      </c>
      <c r="E8" s="1" t="s">
        <v>194</v>
      </c>
      <c r="F8" s="1" t="s">
        <v>862</v>
      </c>
      <c r="G8" s="1">
        <v>1</v>
      </c>
      <c r="H8" s="1">
        <v>4</v>
      </c>
      <c r="I8" s="1" t="s">
        <v>174</v>
      </c>
      <c r="J8" s="1" t="s">
        <v>12</v>
      </c>
      <c r="K8" s="1" t="s">
        <v>14</v>
      </c>
      <c r="L8" s="1" t="s">
        <v>173</v>
      </c>
      <c r="M8" s="1" t="s">
        <v>12</v>
      </c>
      <c r="N8" s="1">
        <v>100</v>
      </c>
      <c r="O8" s="1" t="s">
        <v>233</v>
      </c>
      <c r="P8" s="1" t="s">
        <v>12</v>
      </c>
      <c r="Q8" s="1">
        <v>0</v>
      </c>
      <c r="R8" s="1" t="s">
        <v>12</v>
      </c>
      <c r="S8" s="1">
        <v>0</v>
      </c>
      <c r="T8" s="1">
        <v>16</v>
      </c>
    </row>
    <row r="9" spans="1:20" ht="16.5" x14ac:dyDescent="0.3">
      <c r="A9" s="1">
        <v>10006</v>
      </c>
      <c r="B9" s="1" t="s">
        <v>175</v>
      </c>
      <c r="C9" s="1" t="s">
        <v>1072</v>
      </c>
      <c r="D9" s="1" t="s">
        <v>1072</v>
      </c>
      <c r="E9" s="1" t="s">
        <v>194</v>
      </c>
      <c r="F9" s="1" t="s">
        <v>862</v>
      </c>
      <c r="G9" s="1">
        <v>1</v>
      </c>
      <c r="H9" s="1">
        <v>4</v>
      </c>
      <c r="I9" s="1" t="s">
        <v>176</v>
      </c>
      <c r="J9" s="1" t="s">
        <v>12</v>
      </c>
      <c r="K9" s="1" t="s">
        <v>14</v>
      </c>
      <c r="L9" s="1" t="s">
        <v>173</v>
      </c>
      <c r="M9" s="1" t="s">
        <v>12</v>
      </c>
      <c r="N9" s="1">
        <v>80</v>
      </c>
      <c r="O9" s="1" t="s">
        <v>234</v>
      </c>
      <c r="P9" s="1" t="s">
        <v>12</v>
      </c>
      <c r="Q9" s="1">
        <v>0</v>
      </c>
      <c r="R9" s="1" t="s">
        <v>12</v>
      </c>
      <c r="S9" s="1">
        <v>0</v>
      </c>
      <c r="T9" s="1">
        <v>13</v>
      </c>
    </row>
    <row r="10" spans="1:20" ht="16.5" x14ac:dyDescent="0.3">
      <c r="A10" s="1">
        <v>10007</v>
      </c>
      <c r="B10" s="1" t="s">
        <v>177</v>
      </c>
      <c r="C10" s="1" t="s">
        <v>1073</v>
      </c>
      <c r="D10" s="1" t="s">
        <v>1073</v>
      </c>
      <c r="E10" s="1" t="s">
        <v>194</v>
      </c>
      <c r="F10" s="1" t="s">
        <v>862</v>
      </c>
      <c r="G10" s="1">
        <v>1</v>
      </c>
      <c r="H10" s="1">
        <v>3</v>
      </c>
      <c r="I10" s="1" t="s">
        <v>178</v>
      </c>
      <c r="J10" s="1" t="s">
        <v>12</v>
      </c>
      <c r="K10" s="1" t="s">
        <v>14</v>
      </c>
      <c r="L10" s="1" t="s">
        <v>173</v>
      </c>
      <c r="M10" s="1" t="s">
        <v>12</v>
      </c>
      <c r="N10" s="1">
        <v>40</v>
      </c>
      <c r="O10" s="1" t="s">
        <v>235</v>
      </c>
      <c r="P10" s="1" t="s">
        <v>12</v>
      </c>
      <c r="Q10" s="1">
        <v>0</v>
      </c>
      <c r="R10" s="1" t="s">
        <v>12</v>
      </c>
      <c r="S10" s="1">
        <v>0</v>
      </c>
      <c r="T10" s="1">
        <v>13</v>
      </c>
    </row>
    <row r="11" spans="1:20" ht="16.5" x14ac:dyDescent="0.3">
      <c r="A11" s="1">
        <v>10008</v>
      </c>
      <c r="B11" s="1" t="s">
        <v>96</v>
      </c>
      <c r="C11" s="1" t="s">
        <v>1074</v>
      </c>
      <c r="D11" s="1" t="s">
        <v>1074</v>
      </c>
      <c r="E11" s="1" t="s">
        <v>194</v>
      </c>
      <c r="F11" s="1" t="s">
        <v>862</v>
      </c>
      <c r="G11" s="1">
        <v>1</v>
      </c>
      <c r="H11" s="1">
        <v>4</v>
      </c>
      <c r="I11" s="1" t="s">
        <v>179</v>
      </c>
      <c r="J11" s="1" t="s">
        <v>12</v>
      </c>
      <c r="K11" s="1" t="s">
        <v>14</v>
      </c>
      <c r="L11" s="1" t="s">
        <v>173</v>
      </c>
      <c r="M11" s="1" t="s">
        <v>12</v>
      </c>
      <c r="N11" s="1">
        <v>100</v>
      </c>
      <c r="O11" s="1" t="s">
        <v>236</v>
      </c>
      <c r="P11" s="1" t="s">
        <v>12</v>
      </c>
      <c r="Q11" s="1">
        <v>0</v>
      </c>
      <c r="R11" s="1" t="s">
        <v>12</v>
      </c>
      <c r="S11" s="1">
        <v>0</v>
      </c>
      <c r="T11" s="1">
        <v>16</v>
      </c>
    </row>
    <row r="12" spans="1:20" ht="16.5" x14ac:dyDescent="0.3">
      <c r="A12" s="1">
        <v>10009</v>
      </c>
      <c r="B12" s="1" t="s">
        <v>180</v>
      </c>
      <c r="C12" s="1" t="s">
        <v>1075</v>
      </c>
      <c r="D12" s="1" t="s">
        <v>1075</v>
      </c>
      <c r="E12" s="1" t="s">
        <v>194</v>
      </c>
      <c r="F12" s="1" t="s">
        <v>862</v>
      </c>
      <c r="G12" s="1">
        <v>1</v>
      </c>
      <c r="H12" s="1">
        <v>4</v>
      </c>
      <c r="I12" s="1" t="s">
        <v>181</v>
      </c>
      <c r="J12" s="1" t="s">
        <v>12</v>
      </c>
      <c r="K12" s="1" t="s">
        <v>14</v>
      </c>
      <c r="L12" s="1" t="s">
        <v>173</v>
      </c>
      <c r="M12" s="1" t="s">
        <v>12</v>
      </c>
      <c r="N12" s="1">
        <v>100</v>
      </c>
      <c r="O12" s="1" t="s">
        <v>237</v>
      </c>
      <c r="P12" s="1" t="s">
        <v>12</v>
      </c>
      <c r="Q12" s="1">
        <v>0</v>
      </c>
      <c r="R12" s="1" t="s">
        <v>12</v>
      </c>
      <c r="S12" s="1">
        <v>0</v>
      </c>
      <c r="T12" s="1">
        <v>16</v>
      </c>
    </row>
    <row r="13" spans="1:20" ht="16.5" x14ac:dyDescent="0.3">
      <c r="A13" s="1">
        <v>10010</v>
      </c>
      <c r="B13" s="1" t="s">
        <v>93</v>
      </c>
      <c r="C13" s="1" t="s">
        <v>1076</v>
      </c>
      <c r="D13" s="1" t="s">
        <v>1076</v>
      </c>
      <c r="E13" s="1" t="s">
        <v>194</v>
      </c>
      <c r="F13" s="1" t="s">
        <v>862</v>
      </c>
      <c r="G13" s="1">
        <v>1</v>
      </c>
      <c r="H13" s="1">
        <v>4</v>
      </c>
      <c r="I13" s="1" t="s">
        <v>123</v>
      </c>
      <c r="J13" s="1" t="s">
        <v>12</v>
      </c>
      <c r="K13" s="1" t="s">
        <v>14</v>
      </c>
      <c r="L13" s="1" t="s">
        <v>173</v>
      </c>
      <c r="M13" s="1" t="s">
        <v>12</v>
      </c>
      <c r="N13" s="1">
        <v>80</v>
      </c>
      <c r="O13" s="1" t="s">
        <v>238</v>
      </c>
      <c r="P13" s="1" t="s">
        <v>12</v>
      </c>
      <c r="Q13" s="1">
        <v>0</v>
      </c>
      <c r="R13" s="1" t="s">
        <v>12</v>
      </c>
      <c r="S13" s="1">
        <v>0</v>
      </c>
      <c r="T13" s="1">
        <v>13</v>
      </c>
    </row>
    <row r="14" spans="1:20" ht="16.5" x14ac:dyDescent="0.3">
      <c r="A14" s="1">
        <v>10011</v>
      </c>
      <c r="B14" s="1" t="s">
        <v>107</v>
      </c>
      <c r="C14" s="1" t="s">
        <v>1077</v>
      </c>
      <c r="D14" s="1" t="s">
        <v>1077</v>
      </c>
      <c r="E14" s="1" t="s">
        <v>194</v>
      </c>
      <c r="F14" s="1" t="s">
        <v>862</v>
      </c>
      <c r="G14" s="1">
        <v>1</v>
      </c>
      <c r="H14" s="1">
        <v>4</v>
      </c>
      <c r="I14" s="1" t="s">
        <v>122</v>
      </c>
      <c r="J14" s="1" t="s">
        <v>12</v>
      </c>
      <c r="K14" s="1" t="s">
        <v>14</v>
      </c>
      <c r="L14" s="1" t="s">
        <v>173</v>
      </c>
      <c r="M14" s="1" t="s">
        <v>12</v>
      </c>
      <c r="N14" s="1">
        <v>100</v>
      </c>
      <c r="O14" s="1" t="s">
        <v>239</v>
      </c>
      <c r="P14" s="1" t="s">
        <v>12</v>
      </c>
      <c r="Q14" s="1">
        <v>0</v>
      </c>
      <c r="R14" s="1" t="s">
        <v>12</v>
      </c>
      <c r="S14" s="1">
        <v>0</v>
      </c>
      <c r="T14" s="1">
        <v>16</v>
      </c>
    </row>
    <row r="15" spans="1:20" ht="16.5" x14ac:dyDescent="0.3">
      <c r="A15" s="1">
        <v>10012</v>
      </c>
      <c r="B15" s="1" t="s">
        <v>95</v>
      </c>
      <c r="C15" s="1" t="s">
        <v>1078</v>
      </c>
      <c r="D15" s="1" t="s">
        <v>1078</v>
      </c>
      <c r="E15" s="1" t="s">
        <v>194</v>
      </c>
      <c r="F15" s="1" t="s">
        <v>862</v>
      </c>
      <c r="G15" s="1">
        <v>1</v>
      </c>
      <c r="H15" s="1">
        <v>4</v>
      </c>
      <c r="I15" s="1" t="s">
        <v>124</v>
      </c>
      <c r="J15" s="1" t="s">
        <v>12</v>
      </c>
      <c r="K15" s="1" t="s">
        <v>14</v>
      </c>
      <c r="L15" s="1" t="s">
        <v>173</v>
      </c>
      <c r="M15" s="1" t="s">
        <v>12</v>
      </c>
      <c r="N15" s="1">
        <v>100</v>
      </c>
      <c r="O15" s="1" t="s">
        <v>240</v>
      </c>
      <c r="P15" s="1" t="s">
        <v>12</v>
      </c>
      <c r="Q15" s="1">
        <v>0</v>
      </c>
      <c r="R15" s="1" t="s">
        <v>12</v>
      </c>
      <c r="S15" s="1">
        <v>0</v>
      </c>
      <c r="T15" s="1">
        <v>16</v>
      </c>
    </row>
    <row r="16" spans="1:20" ht="16.5" x14ac:dyDescent="0.3">
      <c r="A16" s="1">
        <v>10013</v>
      </c>
      <c r="B16" s="1" t="s">
        <v>105</v>
      </c>
      <c r="C16" s="1" t="s">
        <v>1079</v>
      </c>
      <c r="D16" s="1" t="s">
        <v>1079</v>
      </c>
      <c r="E16" s="1" t="s">
        <v>194</v>
      </c>
      <c r="F16" s="1" t="s">
        <v>862</v>
      </c>
      <c r="G16" s="1">
        <v>1</v>
      </c>
      <c r="H16" s="1">
        <v>4</v>
      </c>
      <c r="I16" s="1" t="s">
        <v>125</v>
      </c>
      <c r="J16" s="1" t="s">
        <v>12</v>
      </c>
      <c r="K16" s="1" t="s">
        <v>14</v>
      </c>
      <c r="L16" s="1" t="s">
        <v>173</v>
      </c>
      <c r="M16" s="1" t="s">
        <v>12</v>
      </c>
      <c r="N16" s="1">
        <v>100</v>
      </c>
      <c r="O16" s="1" t="s">
        <v>241</v>
      </c>
      <c r="P16" s="1" t="s">
        <v>12</v>
      </c>
      <c r="Q16" s="1">
        <v>0</v>
      </c>
      <c r="R16" s="1" t="s">
        <v>12</v>
      </c>
      <c r="S16" s="1">
        <v>0</v>
      </c>
      <c r="T16" s="1">
        <v>16</v>
      </c>
    </row>
    <row r="17" spans="1:20" ht="16.5" x14ac:dyDescent="0.3">
      <c r="A17" s="1">
        <v>10014</v>
      </c>
      <c r="B17" s="1" t="s">
        <v>106</v>
      </c>
      <c r="C17" s="1" t="s">
        <v>1080</v>
      </c>
      <c r="D17" s="1" t="s">
        <v>1080</v>
      </c>
      <c r="E17" s="1" t="s">
        <v>194</v>
      </c>
      <c r="F17" s="1" t="s">
        <v>862</v>
      </c>
      <c r="G17" s="1">
        <v>1</v>
      </c>
      <c r="H17" s="1">
        <v>4</v>
      </c>
      <c r="I17" s="1" t="s">
        <v>139</v>
      </c>
      <c r="J17" s="1" t="s">
        <v>12</v>
      </c>
      <c r="K17" s="1" t="s">
        <v>14</v>
      </c>
      <c r="L17" s="1" t="s">
        <v>173</v>
      </c>
      <c r="M17" s="1" t="s">
        <v>12</v>
      </c>
      <c r="N17" s="1">
        <v>80</v>
      </c>
      <c r="O17" s="1" t="s">
        <v>242</v>
      </c>
      <c r="P17" s="1" t="s">
        <v>12</v>
      </c>
      <c r="Q17" s="1">
        <v>0</v>
      </c>
      <c r="R17" s="1" t="s">
        <v>12</v>
      </c>
      <c r="S17" s="1">
        <v>0</v>
      </c>
      <c r="T17" s="1">
        <v>13</v>
      </c>
    </row>
    <row r="18" spans="1:20" ht="16.5" x14ac:dyDescent="0.3">
      <c r="A18" s="1">
        <v>10015</v>
      </c>
      <c r="B18" s="1" t="s">
        <v>104</v>
      </c>
      <c r="C18" s="1" t="s">
        <v>1081</v>
      </c>
      <c r="D18" s="1" t="s">
        <v>1081</v>
      </c>
      <c r="E18" s="1" t="s">
        <v>194</v>
      </c>
      <c r="F18" s="1" t="s">
        <v>862</v>
      </c>
      <c r="G18" s="1">
        <v>1</v>
      </c>
      <c r="H18" s="1">
        <v>4</v>
      </c>
      <c r="I18" s="1" t="s">
        <v>138</v>
      </c>
      <c r="J18" s="1" t="s">
        <v>12</v>
      </c>
      <c r="K18" s="1" t="s">
        <v>14</v>
      </c>
      <c r="L18" s="1" t="s">
        <v>173</v>
      </c>
      <c r="M18" s="1" t="s">
        <v>12</v>
      </c>
      <c r="N18" s="1">
        <v>80</v>
      </c>
      <c r="O18" s="1" t="s">
        <v>243</v>
      </c>
      <c r="P18" s="1" t="s">
        <v>12</v>
      </c>
      <c r="Q18" s="1">
        <v>0</v>
      </c>
      <c r="R18" s="1" t="s">
        <v>12</v>
      </c>
      <c r="S18" s="1">
        <v>0</v>
      </c>
      <c r="T18" s="1">
        <v>13</v>
      </c>
    </row>
    <row r="19" spans="1:20" ht="16.5" x14ac:dyDescent="0.3">
      <c r="A19" s="1">
        <v>10016</v>
      </c>
      <c r="B19" s="1" t="s">
        <v>101</v>
      </c>
      <c r="C19" s="1" t="s">
        <v>1082</v>
      </c>
      <c r="D19" s="1" t="s">
        <v>1082</v>
      </c>
      <c r="E19" s="1" t="s">
        <v>194</v>
      </c>
      <c r="F19" s="1" t="s">
        <v>862</v>
      </c>
      <c r="G19" s="1">
        <v>1</v>
      </c>
      <c r="H19" s="1">
        <v>4</v>
      </c>
      <c r="I19" s="1" t="s">
        <v>140</v>
      </c>
      <c r="J19" s="1" t="s">
        <v>12</v>
      </c>
      <c r="K19" s="1" t="s">
        <v>14</v>
      </c>
      <c r="L19" s="1" t="s">
        <v>173</v>
      </c>
      <c r="M19" s="1" t="s">
        <v>12</v>
      </c>
      <c r="N19" s="1">
        <v>100</v>
      </c>
      <c r="O19" s="1" t="s">
        <v>244</v>
      </c>
      <c r="P19" s="1" t="s">
        <v>12</v>
      </c>
      <c r="Q19" s="1">
        <v>0</v>
      </c>
      <c r="R19" s="1" t="s">
        <v>12</v>
      </c>
      <c r="S19" s="1">
        <v>0</v>
      </c>
      <c r="T19" s="1">
        <v>13</v>
      </c>
    </row>
    <row r="20" spans="1:20" ht="16.5" x14ac:dyDescent="0.3">
      <c r="A20" s="1">
        <v>10017</v>
      </c>
      <c r="B20" s="1" t="s">
        <v>100</v>
      </c>
      <c r="C20" s="1" t="s">
        <v>1083</v>
      </c>
      <c r="D20" s="1" t="s">
        <v>1083</v>
      </c>
      <c r="E20" s="1" t="s">
        <v>194</v>
      </c>
      <c r="F20" s="1" t="s">
        <v>862</v>
      </c>
      <c r="G20" s="1">
        <v>1</v>
      </c>
      <c r="H20" s="1">
        <v>4</v>
      </c>
      <c r="I20" s="1" t="s">
        <v>182</v>
      </c>
      <c r="J20" s="1" t="s">
        <v>12</v>
      </c>
      <c r="K20" s="1" t="s">
        <v>14</v>
      </c>
      <c r="L20" s="1" t="s">
        <v>173</v>
      </c>
      <c r="M20" s="1" t="s">
        <v>12</v>
      </c>
      <c r="N20" s="1">
        <v>80</v>
      </c>
      <c r="O20" s="1" t="s">
        <v>245</v>
      </c>
      <c r="P20" s="1" t="s">
        <v>12</v>
      </c>
      <c r="Q20" s="1">
        <v>0</v>
      </c>
      <c r="R20" s="1" t="s">
        <v>12</v>
      </c>
      <c r="S20" s="1">
        <v>0</v>
      </c>
      <c r="T20" s="1">
        <v>16</v>
      </c>
    </row>
    <row r="21" spans="1:20" ht="16.5" x14ac:dyDescent="0.3">
      <c r="A21" s="1">
        <v>10018</v>
      </c>
      <c r="B21" s="1" t="s">
        <v>102</v>
      </c>
      <c r="C21" s="1" t="s">
        <v>1084</v>
      </c>
      <c r="D21" s="1" t="s">
        <v>1084</v>
      </c>
      <c r="E21" s="1" t="s">
        <v>194</v>
      </c>
      <c r="F21" s="1" t="s">
        <v>862</v>
      </c>
      <c r="G21" s="1">
        <v>1</v>
      </c>
      <c r="H21" s="1">
        <v>3</v>
      </c>
      <c r="I21" s="1" t="s">
        <v>141</v>
      </c>
      <c r="J21" s="1" t="s">
        <v>12</v>
      </c>
      <c r="K21" s="1" t="s">
        <v>14</v>
      </c>
      <c r="L21" s="1" t="s">
        <v>173</v>
      </c>
      <c r="M21" s="1" t="s">
        <v>12</v>
      </c>
      <c r="N21" s="1">
        <v>40</v>
      </c>
      <c r="O21" s="1" t="s">
        <v>246</v>
      </c>
      <c r="P21" s="1" t="s">
        <v>12</v>
      </c>
      <c r="Q21" s="1">
        <v>0</v>
      </c>
      <c r="R21" s="1" t="s">
        <v>12</v>
      </c>
      <c r="S21" s="1">
        <v>0</v>
      </c>
      <c r="T21" s="1">
        <v>13</v>
      </c>
    </row>
    <row r="22" spans="1:20" ht="16.5" x14ac:dyDescent="0.3">
      <c r="A22" s="1">
        <v>10019</v>
      </c>
      <c r="B22" s="1" t="s">
        <v>1085</v>
      </c>
      <c r="C22" s="1" t="s">
        <v>1086</v>
      </c>
      <c r="D22" s="1" t="s">
        <v>1086</v>
      </c>
      <c r="E22" s="1" t="s">
        <v>194</v>
      </c>
      <c r="F22" s="1" t="s">
        <v>862</v>
      </c>
      <c r="G22" s="1">
        <v>1</v>
      </c>
      <c r="H22" s="1">
        <v>4</v>
      </c>
      <c r="I22" s="1" t="s">
        <v>136</v>
      </c>
      <c r="J22" s="1" t="s">
        <v>12</v>
      </c>
      <c r="K22" s="1" t="s">
        <v>14</v>
      </c>
      <c r="L22" s="1" t="s">
        <v>173</v>
      </c>
      <c r="M22" s="1" t="s">
        <v>12</v>
      </c>
      <c r="N22" s="1">
        <v>100</v>
      </c>
      <c r="O22" s="1" t="s">
        <v>247</v>
      </c>
      <c r="P22" s="1" t="s">
        <v>12</v>
      </c>
      <c r="Q22" s="1">
        <v>0</v>
      </c>
      <c r="R22" s="1" t="s">
        <v>12</v>
      </c>
      <c r="S22" s="1">
        <v>0</v>
      </c>
      <c r="T22" s="1">
        <v>16</v>
      </c>
    </row>
    <row r="23" spans="1:20" ht="16.5" x14ac:dyDescent="0.3">
      <c r="A23" s="1">
        <v>10020</v>
      </c>
      <c r="B23" s="1" t="s">
        <v>94</v>
      </c>
      <c r="C23" s="1" t="s">
        <v>1087</v>
      </c>
      <c r="D23" s="1" t="s">
        <v>1087</v>
      </c>
      <c r="E23" s="1" t="s">
        <v>194</v>
      </c>
      <c r="F23" s="1" t="s">
        <v>862</v>
      </c>
      <c r="G23" s="1">
        <v>1</v>
      </c>
      <c r="H23" s="1">
        <v>4</v>
      </c>
      <c r="I23" s="1" t="s">
        <v>183</v>
      </c>
      <c r="J23" s="1" t="s">
        <v>12</v>
      </c>
      <c r="K23" s="1" t="s">
        <v>14</v>
      </c>
      <c r="L23" s="1" t="s">
        <v>173</v>
      </c>
      <c r="M23" s="1" t="s">
        <v>12</v>
      </c>
      <c r="N23" s="1">
        <v>100</v>
      </c>
      <c r="O23" s="1" t="s">
        <v>248</v>
      </c>
      <c r="P23" s="1" t="s">
        <v>12</v>
      </c>
      <c r="Q23" s="1">
        <v>0</v>
      </c>
      <c r="R23" s="1" t="s">
        <v>12</v>
      </c>
      <c r="S23" s="1">
        <v>0</v>
      </c>
      <c r="T23" s="1">
        <v>16</v>
      </c>
    </row>
    <row r="24" spans="1:20" ht="16.5" x14ac:dyDescent="0.3">
      <c r="A24" s="1">
        <v>10021</v>
      </c>
      <c r="B24" s="1" t="s">
        <v>97</v>
      </c>
      <c r="C24" s="1" t="s">
        <v>1088</v>
      </c>
      <c r="D24" s="1" t="s">
        <v>1088</v>
      </c>
      <c r="E24" s="1" t="s">
        <v>194</v>
      </c>
      <c r="F24" s="1" t="s">
        <v>862</v>
      </c>
      <c r="G24" s="1">
        <v>1</v>
      </c>
      <c r="H24" s="1">
        <v>4</v>
      </c>
      <c r="I24" s="1" t="s">
        <v>184</v>
      </c>
      <c r="J24" s="1" t="s">
        <v>12</v>
      </c>
      <c r="K24" s="1" t="s">
        <v>14</v>
      </c>
      <c r="L24" s="1" t="s">
        <v>173</v>
      </c>
      <c r="M24" s="1" t="s">
        <v>12</v>
      </c>
      <c r="N24" s="1">
        <v>100</v>
      </c>
      <c r="O24" s="1" t="s">
        <v>249</v>
      </c>
      <c r="P24" s="1" t="s">
        <v>12</v>
      </c>
      <c r="Q24" s="1">
        <v>0</v>
      </c>
      <c r="R24" s="1" t="s">
        <v>12</v>
      </c>
      <c r="S24" s="1">
        <v>0</v>
      </c>
      <c r="T24" s="1">
        <v>16</v>
      </c>
    </row>
    <row r="25" spans="1:20" ht="16.5" x14ac:dyDescent="0.3">
      <c r="A25" s="1">
        <v>10022</v>
      </c>
      <c r="B25" s="1" t="s">
        <v>98</v>
      </c>
      <c r="C25" s="1" t="s">
        <v>1089</v>
      </c>
      <c r="D25" s="1" t="s">
        <v>1089</v>
      </c>
      <c r="E25" s="1" t="s">
        <v>194</v>
      </c>
      <c r="F25" s="1" t="s">
        <v>862</v>
      </c>
      <c r="G25" s="1">
        <v>1</v>
      </c>
      <c r="H25" s="1">
        <v>4</v>
      </c>
      <c r="I25" s="1" t="s">
        <v>185</v>
      </c>
      <c r="J25" s="1" t="s">
        <v>12</v>
      </c>
      <c r="K25" s="1" t="s">
        <v>14</v>
      </c>
      <c r="L25" s="1" t="s">
        <v>173</v>
      </c>
      <c r="M25" s="1" t="s">
        <v>12</v>
      </c>
      <c r="N25" s="1">
        <v>80</v>
      </c>
      <c r="O25" s="1" t="s">
        <v>250</v>
      </c>
      <c r="P25" s="1" t="s">
        <v>12</v>
      </c>
      <c r="Q25" s="1">
        <v>0</v>
      </c>
      <c r="R25" s="1" t="s">
        <v>12</v>
      </c>
      <c r="S25" s="1">
        <v>0</v>
      </c>
      <c r="T25" s="1">
        <v>13</v>
      </c>
    </row>
    <row r="26" spans="1:20" ht="16.5" x14ac:dyDescent="0.3">
      <c r="A26" s="1">
        <v>10023</v>
      </c>
      <c r="B26" s="1" t="s">
        <v>103</v>
      </c>
      <c r="C26" s="1" t="s">
        <v>1090</v>
      </c>
      <c r="D26" s="1" t="s">
        <v>1090</v>
      </c>
      <c r="E26" s="1" t="s">
        <v>194</v>
      </c>
      <c r="F26" s="1" t="s">
        <v>862</v>
      </c>
      <c r="G26" s="1">
        <v>1</v>
      </c>
      <c r="H26" s="1">
        <v>4</v>
      </c>
      <c r="I26" s="1" t="s">
        <v>142</v>
      </c>
      <c r="J26" s="1" t="s">
        <v>12</v>
      </c>
      <c r="K26" s="1" t="s">
        <v>14</v>
      </c>
      <c r="L26" s="1" t="s">
        <v>173</v>
      </c>
      <c r="M26" s="1" t="s">
        <v>12</v>
      </c>
      <c r="N26" s="1">
        <v>80</v>
      </c>
      <c r="O26" s="1" t="s">
        <v>251</v>
      </c>
      <c r="P26" s="1" t="s">
        <v>12</v>
      </c>
      <c r="Q26" s="1">
        <v>0</v>
      </c>
      <c r="R26" s="1" t="s">
        <v>12</v>
      </c>
      <c r="S26" s="1">
        <v>0</v>
      </c>
      <c r="T26" s="1">
        <v>13</v>
      </c>
    </row>
    <row r="27" spans="1:20" ht="16.5" x14ac:dyDescent="0.3">
      <c r="A27" s="1">
        <v>10024</v>
      </c>
      <c r="B27" s="1" t="s">
        <v>99</v>
      </c>
      <c r="C27" s="1" t="s">
        <v>1091</v>
      </c>
      <c r="D27" s="1" t="s">
        <v>1091</v>
      </c>
      <c r="E27" s="1" t="s">
        <v>194</v>
      </c>
      <c r="F27" s="1" t="s">
        <v>862</v>
      </c>
      <c r="G27" s="1">
        <v>1</v>
      </c>
      <c r="H27" s="1">
        <v>4</v>
      </c>
      <c r="I27" s="1" t="s">
        <v>186</v>
      </c>
      <c r="J27" s="1" t="s">
        <v>12</v>
      </c>
      <c r="K27" s="1" t="s">
        <v>14</v>
      </c>
      <c r="L27" s="1" t="s">
        <v>173</v>
      </c>
      <c r="M27" s="1" t="s">
        <v>12</v>
      </c>
      <c r="N27" s="1">
        <v>100</v>
      </c>
      <c r="O27" s="1" t="s">
        <v>252</v>
      </c>
      <c r="P27" s="1" t="s">
        <v>12</v>
      </c>
      <c r="Q27" s="1">
        <v>0</v>
      </c>
      <c r="R27" s="1" t="s">
        <v>12</v>
      </c>
      <c r="S27" s="1">
        <v>0</v>
      </c>
      <c r="T27" s="1">
        <v>13</v>
      </c>
    </row>
    <row r="28" spans="1:20" ht="16.5" x14ac:dyDescent="0.3">
      <c r="A28" s="1">
        <v>10025</v>
      </c>
      <c r="B28" s="1" t="s">
        <v>187</v>
      </c>
      <c r="C28" s="1" t="s">
        <v>1092</v>
      </c>
      <c r="D28" s="1" t="s">
        <v>1092</v>
      </c>
      <c r="E28" s="1" t="s">
        <v>194</v>
      </c>
      <c r="F28" s="1" t="s">
        <v>862</v>
      </c>
      <c r="G28" s="1">
        <v>1</v>
      </c>
      <c r="H28" s="1">
        <v>4</v>
      </c>
      <c r="I28" s="1" t="s">
        <v>188</v>
      </c>
      <c r="J28" s="1" t="s">
        <v>12</v>
      </c>
      <c r="K28" s="1" t="s">
        <v>14</v>
      </c>
      <c r="L28" s="1" t="s">
        <v>173</v>
      </c>
      <c r="M28" s="1" t="s">
        <v>12</v>
      </c>
      <c r="N28" s="1">
        <v>80</v>
      </c>
      <c r="O28" s="1" t="s">
        <v>253</v>
      </c>
      <c r="P28" s="1" t="s">
        <v>12</v>
      </c>
      <c r="Q28" s="1">
        <v>0</v>
      </c>
      <c r="R28" s="1" t="s">
        <v>12</v>
      </c>
      <c r="S28" s="1">
        <v>0</v>
      </c>
      <c r="T28" s="1">
        <v>13</v>
      </c>
    </row>
    <row r="29" spans="1:20" ht="16.5" x14ac:dyDescent="0.3">
      <c r="A29" s="1">
        <v>10026</v>
      </c>
      <c r="B29" s="1" t="s">
        <v>189</v>
      </c>
      <c r="C29" s="1" t="s">
        <v>1093</v>
      </c>
      <c r="D29" s="1" t="s">
        <v>1093</v>
      </c>
      <c r="E29" s="1" t="s">
        <v>194</v>
      </c>
      <c r="F29" s="1" t="s">
        <v>862</v>
      </c>
      <c r="G29" s="1">
        <v>1</v>
      </c>
      <c r="H29" s="1">
        <v>4</v>
      </c>
      <c r="I29" s="1" t="s">
        <v>190</v>
      </c>
      <c r="J29" s="1" t="s">
        <v>12</v>
      </c>
      <c r="K29" s="1" t="s">
        <v>14</v>
      </c>
      <c r="L29" s="1" t="s">
        <v>173</v>
      </c>
      <c r="M29" s="1" t="s">
        <v>12</v>
      </c>
      <c r="N29" s="1">
        <v>100</v>
      </c>
      <c r="O29" s="1" t="s">
        <v>254</v>
      </c>
      <c r="P29" s="1" t="s">
        <v>12</v>
      </c>
      <c r="Q29" s="1">
        <v>0</v>
      </c>
      <c r="R29" s="1" t="s">
        <v>12</v>
      </c>
      <c r="S29" s="1">
        <v>0</v>
      </c>
      <c r="T29" s="1">
        <v>16</v>
      </c>
    </row>
    <row r="30" spans="1:20" ht="16.5" x14ac:dyDescent="0.3">
      <c r="A30" s="1">
        <v>10027</v>
      </c>
      <c r="B30" s="1" t="s">
        <v>191</v>
      </c>
      <c r="C30" s="1" t="s">
        <v>1094</v>
      </c>
      <c r="D30" s="1" t="s">
        <v>1094</v>
      </c>
      <c r="E30" s="1" t="s">
        <v>194</v>
      </c>
      <c r="F30" s="1" t="s">
        <v>862</v>
      </c>
      <c r="G30" s="1">
        <v>1</v>
      </c>
      <c r="H30" s="1">
        <v>4</v>
      </c>
      <c r="I30" s="1" t="s">
        <v>192</v>
      </c>
      <c r="J30" s="1" t="s">
        <v>12</v>
      </c>
      <c r="K30" s="1" t="s">
        <v>14</v>
      </c>
      <c r="L30" s="1" t="s">
        <v>173</v>
      </c>
      <c r="M30" s="1" t="s">
        <v>12</v>
      </c>
      <c r="N30" s="1">
        <v>100</v>
      </c>
      <c r="O30" s="1" t="s">
        <v>255</v>
      </c>
      <c r="P30" s="1" t="s">
        <v>12</v>
      </c>
      <c r="Q30" s="1">
        <v>0</v>
      </c>
      <c r="R30" s="1" t="s">
        <v>12</v>
      </c>
      <c r="S30" s="1">
        <v>0</v>
      </c>
      <c r="T30" s="1">
        <v>16</v>
      </c>
    </row>
    <row r="31" spans="1:20" ht="16.5" x14ac:dyDescent="0.3">
      <c r="A31" s="1">
        <v>10028</v>
      </c>
      <c r="B31" s="1" t="s">
        <v>109</v>
      </c>
      <c r="C31" s="1" t="s">
        <v>1095</v>
      </c>
      <c r="D31" s="1" t="s">
        <v>1095</v>
      </c>
      <c r="E31" s="1" t="s">
        <v>194</v>
      </c>
      <c r="F31" s="1" t="s">
        <v>862</v>
      </c>
      <c r="G31" s="1">
        <v>1</v>
      </c>
      <c r="H31" s="1">
        <v>3</v>
      </c>
      <c r="I31" s="1" t="s">
        <v>987</v>
      </c>
      <c r="J31" s="1" t="s">
        <v>12</v>
      </c>
      <c r="K31" s="1" t="s">
        <v>14</v>
      </c>
      <c r="L31" s="1" t="s">
        <v>173</v>
      </c>
      <c r="M31" s="1" t="s">
        <v>12</v>
      </c>
      <c r="N31" s="1">
        <v>40</v>
      </c>
      <c r="O31" s="1" t="s">
        <v>256</v>
      </c>
      <c r="P31" s="1" t="s">
        <v>12</v>
      </c>
      <c r="Q31" s="1">
        <v>0</v>
      </c>
      <c r="R31" s="1" t="s">
        <v>12</v>
      </c>
      <c r="S31" s="1">
        <v>0</v>
      </c>
      <c r="T31" s="1">
        <v>11</v>
      </c>
    </row>
    <row r="32" spans="1:20" ht="16.5" x14ac:dyDescent="0.3">
      <c r="A32" s="1">
        <v>10030</v>
      </c>
      <c r="B32" s="1" t="s">
        <v>111</v>
      </c>
      <c r="C32" s="1" t="s">
        <v>1096</v>
      </c>
      <c r="D32" s="1" t="s">
        <v>1096</v>
      </c>
      <c r="E32" s="1" t="s">
        <v>194</v>
      </c>
      <c r="F32" s="1" t="s">
        <v>862</v>
      </c>
      <c r="G32" s="1">
        <v>1</v>
      </c>
      <c r="H32" s="1">
        <v>3</v>
      </c>
      <c r="I32" s="1" t="s">
        <v>129</v>
      </c>
      <c r="J32" s="1" t="s">
        <v>12</v>
      </c>
      <c r="K32" s="1" t="s">
        <v>14</v>
      </c>
      <c r="L32" s="1" t="s">
        <v>173</v>
      </c>
      <c r="M32" s="1" t="s">
        <v>12</v>
      </c>
      <c r="N32" s="1">
        <v>40</v>
      </c>
      <c r="O32" s="1" t="s">
        <v>257</v>
      </c>
      <c r="P32" s="1" t="s">
        <v>12</v>
      </c>
      <c r="Q32" s="1">
        <v>0</v>
      </c>
      <c r="R32" s="1" t="s">
        <v>12</v>
      </c>
      <c r="S32" s="1">
        <v>0</v>
      </c>
      <c r="T32" s="1">
        <v>13</v>
      </c>
    </row>
    <row r="33" spans="1:20" ht="16.5" x14ac:dyDescent="0.3">
      <c r="A33" s="1">
        <v>10031</v>
      </c>
      <c r="B33" s="1" t="s">
        <v>112</v>
      </c>
      <c r="C33" s="1" t="s">
        <v>1097</v>
      </c>
      <c r="D33" s="1" t="s">
        <v>1097</v>
      </c>
      <c r="E33" s="1" t="s">
        <v>194</v>
      </c>
      <c r="F33" s="1" t="s">
        <v>862</v>
      </c>
      <c r="G33" s="1">
        <v>1</v>
      </c>
      <c r="H33" s="1">
        <v>4</v>
      </c>
      <c r="I33" s="1" t="s">
        <v>144</v>
      </c>
      <c r="J33" s="1" t="s">
        <v>12</v>
      </c>
      <c r="K33" s="1" t="s">
        <v>14</v>
      </c>
      <c r="L33" s="1" t="s">
        <v>173</v>
      </c>
      <c r="M33" s="1" t="s">
        <v>12</v>
      </c>
      <c r="N33" s="1">
        <v>80</v>
      </c>
      <c r="O33" s="1" t="s">
        <v>258</v>
      </c>
      <c r="P33" s="1" t="s">
        <v>12</v>
      </c>
      <c r="Q33" s="1">
        <v>0</v>
      </c>
      <c r="R33" s="1" t="s">
        <v>12</v>
      </c>
      <c r="S33" s="1">
        <v>0</v>
      </c>
      <c r="T33" s="1">
        <v>13</v>
      </c>
    </row>
    <row r="34" spans="1:20" ht="16.5" x14ac:dyDescent="0.3">
      <c r="A34" s="1">
        <v>10032</v>
      </c>
      <c r="B34" s="1" t="s">
        <v>113</v>
      </c>
      <c r="C34" s="1" t="s">
        <v>1098</v>
      </c>
      <c r="D34" s="1" t="s">
        <v>1098</v>
      </c>
      <c r="E34" s="1" t="s">
        <v>194</v>
      </c>
      <c r="F34" s="1" t="s">
        <v>862</v>
      </c>
      <c r="G34" s="1">
        <v>1</v>
      </c>
      <c r="H34" s="1">
        <v>4</v>
      </c>
      <c r="I34" s="1" t="s">
        <v>130</v>
      </c>
      <c r="J34" s="1" t="s">
        <v>12</v>
      </c>
      <c r="K34" s="1" t="s">
        <v>14</v>
      </c>
      <c r="L34" s="1" t="s">
        <v>173</v>
      </c>
      <c r="M34" s="1" t="s">
        <v>12</v>
      </c>
      <c r="N34" s="1">
        <v>80</v>
      </c>
      <c r="O34" s="1" t="s">
        <v>259</v>
      </c>
      <c r="P34" s="1" t="s">
        <v>12</v>
      </c>
      <c r="Q34" s="1">
        <v>0</v>
      </c>
      <c r="R34" s="1" t="s">
        <v>12</v>
      </c>
      <c r="S34" s="1">
        <v>0</v>
      </c>
      <c r="T34" s="1">
        <v>13</v>
      </c>
    </row>
    <row r="35" spans="1:20" ht="16.5" x14ac:dyDescent="0.3">
      <c r="A35" s="1">
        <v>10033</v>
      </c>
      <c r="B35" s="1" t="s">
        <v>114</v>
      </c>
      <c r="C35" s="1" t="s">
        <v>1099</v>
      </c>
      <c r="D35" s="1" t="s">
        <v>1099</v>
      </c>
      <c r="E35" s="1" t="s">
        <v>194</v>
      </c>
      <c r="F35" s="1" t="s">
        <v>862</v>
      </c>
      <c r="G35" s="1">
        <v>1</v>
      </c>
      <c r="H35" s="1">
        <v>3</v>
      </c>
      <c r="I35" s="1" t="s">
        <v>145</v>
      </c>
      <c r="J35" s="1" t="s">
        <v>12</v>
      </c>
      <c r="K35" s="1" t="s">
        <v>14</v>
      </c>
      <c r="L35" s="1" t="s">
        <v>173</v>
      </c>
      <c r="M35" s="1" t="s">
        <v>12</v>
      </c>
      <c r="N35" s="1">
        <v>40</v>
      </c>
      <c r="O35" s="1" t="s">
        <v>260</v>
      </c>
      <c r="P35" s="1" t="s">
        <v>12</v>
      </c>
      <c r="Q35" s="1">
        <v>0</v>
      </c>
      <c r="R35" s="1" t="s">
        <v>12</v>
      </c>
      <c r="S35" s="1">
        <v>0</v>
      </c>
      <c r="T35" s="1">
        <v>11</v>
      </c>
    </row>
    <row r="36" spans="1:20" ht="16.5" x14ac:dyDescent="0.3">
      <c r="A36" s="1">
        <v>10034</v>
      </c>
      <c r="B36" s="1" t="s">
        <v>438</v>
      </c>
      <c r="C36" s="1" t="s">
        <v>1100</v>
      </c>
      <c r="D36" s="1" t="s">
        <v>1100</v>
      </c>
      <c r="E36" s="1" t="s">
        <v>194</v>
      </c>
      <c r="F36" s="1" t="s">
        <v>862</v>
      </c>
      <c r="G36" s="1">
        <v>1</v>
      </c>
      <c r="H36" s="1">
        <v>3</v>
      </c>
      <c r="I36" s="1" t="s">
        <v>131</v>
      </c>
      <c r="J36" s="1" t="s">
        <v>12</v>
      </c>
      <c r="K36" s="1" t="s">
        <v>14</v>
      </c>
      <c r="L36" s="1" t="s">
        <v>173</v>
      </c>
      <c r="M36" s="1" t="s">
        <v>12</v>
      </c>
      <c r="N36" s="1">
        <v>40</v>
      </c>
      <c r="O36" s="1" t="s">
        <v>261</v>
      </c>
      <c r="P36" s="1" t="s">
        <v>12</v>
      </c>
      <c r="Q36" s="1">
        <v>0</v>
      </c>
      <c r="R36" s="1" t="s">
        <v>12</v>
      </c>
      <c r="S36" s="1">
        <v>0</v>
      </c>
      <c r="T36" s="1">
        <v>11</v>
      </c>
    </row>
    <row r="37" spans="1:20" ht="16.5" x14ac:dyDescent="0.3">
      <c r="A37" s="1">
        <v>10035</v>
      </c>
      <c r="B37" s="1" t="s">
        <v>115</v>
      </c>
      <c r="C37" s="1" t="s">
        <v>1101</v>
      </c>
      <c r="D37" s="1" t="s">
        <v>1101</v>
      </c>
      <c r="E37" s="1" t="s">
        <v>194</v>
      </c>
      <c r="F37" s="1" t="s">
        <v>862</v>
      </c>
      <c r="G37" s="1">
        <v>1</v>
      </c>
      <c r="H37" s="1">
        <v>4</v>
      </c>
      <c r="I37" s="1" t="s">
        <v>146</v>
      </c>
      <c r="J37" s="1" t="s">
        <v>12</v>
      </c>
      <c r="K37" s="1" t="s">
        <v>14</v>
      </c>
      <c r="L37" s="1" t="s">
        <v>173</v>
      </c>
      <c r="M37" s="1" t="s">
        <v>12</v>
      </c>
      <c r="N37" s="1">
        <v>80</v>
      </c>
      <c r="O37" s="1" t="s">
        <v>262</v>
      </c>
      <c r="P37" s="1" t="s">
        <v>12</v>
      </c>
      <c r="Q37" s="1">
        <v>0</v>
      </c>
      <c r="R37" s="1" t="s">
        <v>12</v>
      </c>
      <c r="S37" s="1">
        <v>0</v>
      </c>
      <c r="T37" s="1">
        <v>13</v>
      </c>
    </row>
    <row r="38" spans="1:20" ht="16.5" x14ac:dyDescent="0.3">
      <c r="A38" s="1">
        <v>10036</v>
      </c>
      <c r="B38" s="1" t="s">
        <v>116</v>
      </c>
      <c r="C38" s="1" t="s">
        <v>1102</v>
      </c>
      <c r="D38" s="1" t="s">
        <v>1102</v>
      </c>
      <c r="E38" s="1" t="s">
        <v>194</v>
      </c>
      <c r="F38" s="1" t="s">
        <v>862</v>
      </c>
      <c r="G38" s="1">
        <v>1</v>
      </c>
      <c r="H38" s="1">
        <v>3</v>
      </c>
      <c r="I38" s="1" t="s">
        <v>126</v>
      </c>
      <c r="J38" s="1" t="s">
        <v>12</v>
      </c>
      <c r="K38" s="1" t="s">
        <v>14</v>
      </c>
      <c r="L38" s="1" t="s">
        <v>173</v>
      </c>
      <c r="M38" s="1" t="s">
        <v>12</v>
      </c>
      <c r="N38" s="1">
        <v>40</v>
      </c>
      <c r="O38" s="1" t="s">
        <v>263</v>
      </c>
      <c r="P38" s="1" t="s">
        <v>12</v>
      </c>
      <c r="Q38" s="1">
        <v>0</v>
      </c>
      <c r="R38" s="1" t="s">
        <v>12</v>
      </c>
      <c r="S38" s="1">
        <v>0</v>
      </c>
      <c r="T38" s="1">
        <v>11</v>
      </c>
    </row>
    <row r="39" spans="1:20" ht="16.5" x14ac:dyDescent="0.3">
      <c r="A39" s="1">
        <v>10037</v>
      </c>
      <c r="B39" s="1" t="s">
        <v>193</v>
      </c>
      <c r="C39" s="1" t="s">
        <v>1103</v>
      </c>
      <c r="D39" s="1" t="s">
        <v>1103</v>
      </c>
      <c r="E39" s="1" t="s">
        <v>194</v>
      </c>
      <c r="F39" s="1" t="s">
        <v>862</v>
      </c>
      <c r="G39" s="1">
        <v>1</v>
      </c>
      <c r="H39" s="1">
        <v>4</v>
      </c>
      <c r="I39" s="1" t="s">
        <v>147</v>
      </c>
      <c r="J39" s="1" t="s">
        <v>12</v>
      </c>
      <c r="K39" s="1" t="s">
        <v>14</v>
      </c>
      <c r="L39" s="1" t="s">
        <v>173</v>
      </c>
      <c r="M39" s="1" t="s">
        <v>12</v>
      </c>
      <c r="N39" s="1">
        <v>80</v>
      </c>
      <c r="O39" s="1" t="s">
        <v>264</v>
      </c>
      <c r="P39" s="1" t="s">
        <v>12</v>
      </c>
      <c r="Q39" s="1">
        <v>0</v>
      </c>
      <c r="R39" s="1" t="s">
        <v>12</v>
      </c>
      <c r="S39" s="1">
        <v>0</v>
      </c>
      <c r="T39" s="1">
        <v>13</v>
      </c>
    </row>
    <row r="40" spans="1:20" ht="16.5" x14ac:dyDescent="0.3">
      <c r="A40" s="1">
        <v>10038</v>
      </c>
      <c r="B40" s="1" t="s">
        <v>117</v>
      </c>
      <c r="C40" s="1" t="s">
        <v>1104</v>
      </c>
      <c r="D40" s="1" t="s">
        <v>1104</v>
      </c>
      <c r="E40" s="1" t="s">
        <v>194</v>
      </c>
      <c r="F40" s="1" t="s">
        <v>862</v>
      </c>
      <c r="G40" s="1">
        <v>1</v>
      </c>
      <c r="H40" s="1">
        <v>3</v>
      </c>
      <c r="I40" s="1" t="s">
        <v>148</v>
      </c>
      <c r="J40" s="1" t="s">
        <v>12</v>
      </c>
      <c r="K40" s="1" t="s">
        <v>14</v>
      </c>
      <c r="L40" s="1" t="s">
        <v>173</v>
      </c>
      <c r="M40" s="1" t="s">
        <v>12</v>
      </c>
      <c r="N40" s="1">
        <v>40</v>
      </c>
      <c r="O40" s="1" t="s">
        <v>265</v>
      </c>
      <c r="P40" s="1" t="s">
        <v>12</v>
      </c>
      <c r="Q40" s="1">
        <v>0</v>
      </c>
      <c r="R40" s="1" t="s">
        <v>12</v>
      </c>
      <c r="S40" s="1">
        <v>0</v>
      </c>
      <c r="T40" s="1">
        <v>11</v>
      </c>
    </row>
    <row r="41" spans="1:20" ht="16.5" x14ac:dyDescent="0.3">
      <c r="A41" s="1">
        <v>10039</v>
      </c>
      <c r="B41" s="1" t="s">
        <v>118</v>
      </c>
      <c r="C41" s="1" t="s">
        <v>1105</v>
      </c>
      <c r="D41" s="1" t="s">
        <v>1105</v>
      </c>
      <c r="E41" s="1" t="s">
        <v>194</v>
      </c>
      <c r="F41" s="1" t="s">
        <v>862</v>
      </c>
      <c r="G41" s="1">
        <v>1</v>
      </c>
      <c r="H41" s="1">
        <v>3</v>
      </c>
      <c r="I41" s="1" t="s">
        <v>132</v>
      </c>
      <c r="J41" s="1" t="s">
        <v>12</v>
      </c>
      <c r="K41" s="1" t="s">
        <v>14</v>
      </c>
      <c r="L41" s="1" t="s">
        <v>173</v>
      </c>
      <c r="M41" s="1" t="s">
        <v>12</v>
      </c>
      <c r="N41" s="1">
        <v>40</v>
      </c>
      <c r="O41" s="1" t="s">
        <v>266</v>
      </c>
      <c r="P41" s="1" t="s">
        <v>12</v>
      </c>
      <c r="Q41" s="1">
        <v>0</v>
      </c>
      <c r="R41" s="1" t="s">
        <v>12</v>
      </c>
      <c r="S41" s="1">
        <v>0</v>
      </c>
      <c r="T41" s="1">
        <v>11</v>
      </c>
    </row>
    <row r="42" spans="1:20" ht="16.5" x14ac:dyDescent="0.3">
      <c r="A42" s="1">
        <v>10040</v>
      </c>
      <c r="B42" s="1" t="s">
        <v>119</v>
      </c>
      <c r="C42" s="1" t="s">
        <v>1106</v>
      </c>
      <c r="D42" s="1" t="s">
        <v>1106</v>
      </c>
      <c r="E42" s="1" t="s">
        <v>194</v>
      </c>
      <c r="F42" s="1" t="s">
        <v>862</v>
      </c>
      <c r="G42" s="1">
        <v>1</v>
      </c>
      <c r="H42" s="1">
        <v>3</v>
      </c>
      <c r="I42" s="1" t="s">
        <v>127</v>
      </c>
      <c r="J42" s="1" t="s">
        <v>12</v>
      </c>
      <c r="K42" s="1" t="s">
        <v>14</v>
      </c>
      <c r="L42" s="1" t="s">
        <v>173</v>
      </c>
      <c r="M42" s="1" t="s">
        <v>12</v>
      </c>
      <c r="N42" s="1">
        <v>40</v>
      </c>
      <c r="O42" s="1" t="s">
        <v>267</v>
      </c>
      <c r="P42" s="1" t="s">
        <v>12</v>
      </c>
      <c r="Q42" s="1">
        <v>0</v>
      </c>
      <c r="R42" s="1" t="s">
        <v>12</v>
      </c>
      <c r="S42" s="1">
        <v>0</v>
      </c>
      <c r="T42" s="1">
        <v>11</v>
      </c>
    </row>
    <row r="43" spans="1:20" ht="16.5" x14ac:dyDescent="0.3">
      <c r="A43" s="1">
        <v>10041</v>
      </c>
      <c r="B43" s="1" t="s">
        <v>986</v>
      </c>
      <c r="C43" s="1" t="s">
        <v>1107</v>
      </c>
      <c r="D43" s="1" t="s">
        <v>1107</v>
      </c>
      <c r="E43" s="1" t="s">
        <v>194</v>
      </c>
      <c r="F43" s="1" t="s">
        <v>862</v>
      </c>
      <c r="G43" s="1">
        <v>1</v>
      </c>
      <c r="H43" s="1">
        <v>3</v>
      </c>
      <c r="I43" s="1" t="s">
        <v>1108</v>
      </c>
      <c r="J43" s="1" t="s">
        <v>12</v>
      </c>
      <c r="K43" s="1" t="s">
        <v>14</v>
      </c>
      <c r="L43" s="1" t="s">
        <v>173</v>
      </c>
      <c r="M43" s="1" t="s">
        <v>12</v>
      </c>
      <c r="N43" s="1">
        <v>40</v>
      </c>
      <c r="O43" s="1" t="s">
        <v>268</v>
      </c>
      <c r="P43" s="1" t="s">
        <v>12</v>
      </c>
      <c r="Q43" s="1">
        <v>0</v>
      </c>
      <c r="R43" s="1" t="s">
        <v>12</v>
      </c>
      <c r="S43" s="1">
        <v>0</v>
      </c>
      <c r="T43" s="1">
        <v>11</v>
      </c>
    </row>
    <row r="44" spans="1:20" ht="16.5" x14ac:dyDescent="0.3">
      <c r="A44" s="1">
        <v>10042</v>
      </c>
      <c r="B44" s="1" t="s">
        <v>439</v>
      </c>
      <c r="C44" s="1" t="s">
        <v>1109</v>
      </c>
      <c r="D44" s="1" t="s">
        <v>1109</v>
      </c>
      <c r="E44" s="1" t="s">
        <v>194</v>
      </c>
      <c r="F44" s="1" t="s">
        <v>862</v>
      </c>
      <c r="G44" s="1">
        <v>1</v>
      </c>
      <c r="H44" s="1">
        <v>2</v>
      </c>
      <c r="I44" s="1" t="s">
        <v>988</v>
      </c>
      <c r="J44" s="1" t="s">
        <v>12</v>
      </c>
      <c r="K44" s="1" t="s">
        <v>14</v>
      </c>
      <c r="L44" s="1" t="s">
        <v>173</v>
      </c>
      <c r="M44" s="1" t="s">
        <v>12</v>
      </c>
      <c r="N44" s="1">
        <v>10</v>
      </c>
      <c r="O44" s="1" t="s">
        <v>269</v>
      </c>
      <c r="P44" s="1" t="s">
        <v>12</v>
      </c>
      <c r="Q44" s="1">
        <v>0</v>
      </c>
      <c r="R44" s="1" t="s">
        <v>12</v>
      </c>
      <c r="S44" s="1">
        <v>0</v>
      </c>
      <c r="T44" s="1">
        <v>6</v>
      </c>
    </row>
    <row r="45" spans="1:20" ht="16.5" x14ac:dyDescent="0.3">
      <c r="A45" s="1">
        <v>10043</v>
      </c>
      <c r="B45" s="1" t="s">
        <v>411</v>
      </c>
      <c r="C45" s="1" t="s">
        <v>1110</v>
      </c>
      <c r="D45" s="1" t="s">
        <v>1110</v>
      </c>
      <c r="E45" s="1" t="s">
        <v>194</v>
      </c>
      <c r="F45" s="1" t="s">
        <v>862</v>
      </c>
      <c r="G45" s="1">
        <v>1</v>
      </c>
      <c r="H45" s="1">
        <v>2</v>
      </c>
      <c r="I45" s="1" t="s">
        <v>989</v>
      </c>
      <c r="J45" s="1" t="s">
        <v>12</v>
      </c>
      <c r="K45" s="1" t="s">
        <v>14</v>
      </c>
      <c r="L45" s="1" t="s">
        <v>173</v>
      </c>
      <c r="M45" s="1" t="s">
        <v>12</v>
      </c>
      <c r="N45" s="1">
        <v>10</v>
      </c>
      <c r="O45" s="1" t="s">
        <v>270</v>
      </c>
      <c r="P45" s="1" t="s">
        <v>12</v>
      </c>
      <c r="Q45" s="1">
        <v>0</v>
      </c>
      <c r="R45" s="1" t="s">
        <v>12</v>
      </c>
      <c r="S45" s="1">
        <v>0</v>
      </c>
      <c r="T45" s="1">
        <v>6</v>
      </c>
    </row>
    <row r="46" spans="1:20" ht="16.5" x14ac:dyDescent="0.3">
      <c r="A46" s="1">
        <v>10046</v>
      </c>
      <c r="B46" s="1" t="s">
        <v>1111</v>
      </c>
      <c r="C46" s="1" t="s">
        <v>1112</v>
      </c>
      <c r="D46" s="1" t="s">
        <v>1112</v>
      </c>
      <c r="E46" s="1" t="s">
        <v>194</v>
      </c>
      <c r="F46" s="1" t="s">
        <v>862</v>
      </c>
      <c r="G46" s="1">
        <v>1</v>
      </c>
      <c r="H46" s="1">
        <v>2</v>
      </c>
      <c r="I46" s="1" t="s">
        <v>990</v>
      </c>
      <c r="J46" s="1" t="s">
        <v>12</v>
      </c>
      <c r="K46" s="1" t="s">
        <v>14</v>
      </c>
      <c r="L46" s="1" t="s">
        <v>173</v>
      </c>
      <c r="M46" s="1" t="s">
        <v>12</v>
      </c>
      <c r="N46" s="1">
        <v>10</v>
      </c>
      <c r="O46" s="1" t="s">
        <v>271</v>
      </c>
      <c r="P46" s="1" t="s">
        <v>12</v>
      </c>
      <c r="Q46" s="1">
        <v>0</v>
      </c>
      <c r="R46" s="1" t="s">
        <v>12</v>
      </c>
      <c r="S46" s="1">
        <v>0</v>
      </c>
      <c r="T46" s="1">
        <v>6</v>
      </c>
    </row>
    <row r="47" spans="1:20" ht="16.5" x14ac:dyDescent="0.3">
      <c r="A47" s="1">
        <v>10047</v>
      </c>
      <c r="B47" s="1" t="s">
        <v>1113</v>
      </c>
      <c r="C47" s="1" t="s">
        <v>1114</v>
      </c>
      <c r="D47" s="1" t="s">
        <v>1114</v>
      </c>
      <c r="E47" s="1" t="s">
        <v>194</v>
      </c>
      <c r="F47" s="1" t="s">
        <v>862</v>
      </c>
      <c r="G47" s="1">
        <v>1</v>
      </c>
      <c r="H47" s="1">
        <v>2</v>
      </c>
      <c r="I47" s="1" t="s">
        <v>991</v>
      </c>
      <c r="J47" s="1" t="s">
        <v>12</v>
      </c>
      <c r="K47" s="1" t="s">
        <v>14</v>
      </c>
      <c r="L47" s="1" t="s">
        <v>173</v>
      </c>
      <c r="M47" s="1" t="s">
        <v>12</v>
      </c>
      <c r="N47" s="1">
        <v>10</v>
      </c>
      <c r="O47" s="1" t="s">
        <v>272</v>
      </c>
      <c r="P47" s="1" t="s">
        <v>12</v>
      </c>
      <c r="Q47" s="1">
        <v>0</v>
      </c>
      <c r="R47" s="1" t="s">
        <v>12</v>
      </c>
      <c r="S47" s="1">
        <v>0</v>
      </c>
      <c r="T47" s="1">
        <v>6</v>
      </c>
    </row>
    <row r="48" spans="1:20" ht="16.5" x14ac:dyDescent="0.3">
      <c r="A48" s="1">
        <v>10048</v>
      </c>
      <c r="B48" s="1" t="s">
        <v>1115</v>
      </c>
      <c r="C48" s="1" t="s">
        <v>1116</v>
      </c>
      <c r="D48" s="1" t="s">
        <v>1116</v>
      </c>
      <c r="E48" s="1" t="s">
        <v>194</v>
      </c>
      <c r="F48" s="1" t="s">
        <v>862</v>
      </c>
      <c r="G48" s="1">
        <v>1</v>
      </c>
      <c r="H48" s="1">
        <v>2</v>
      </c>
      <c r="I48" s="1" t="s">
        <v>992</v>
      </c>
      <c r="J48" s="1" t="s">
        <v>12</v>
      </c>
      <c r="K48" s="1" t="s">
        <v>14</v>
      </c>
      <c r="L48" s="1" t="s">
        <v>173</v>
      </c>
      <c r="M48" s="1" t="s">
        <v>12</v>
      </c>
      <c r="N48" s="1">
        <v>10</v>
      </c>
      <c r="O48" s="1" t="s">
        <v>273</v>
      </c>
      <c r="P48" s="1" t="s">
        <v>12</v>
      </c>
      <c r="Q48" s="1">
        <v>0</v>
      </c>
      <c r="R48" s="1" t="s">
        <v>12</v>
      </c>
      <c r="S48" s="1">
        <v>0</v>
      </c>
      <c r="T48" s="1">
        <v>6</v>
      </c>
    </row>
    <row r="49" spans="1:20" ht="16.5" x14ac:dyDescent="0.3">
      <c r="A49" s="1">
        <v>10052</v>
      </c>
      <c r="B49" s="1" t="s">
        <v>120</v>
      </c>
      <c r="C49" s="1" t="s">
        <v>1117</v>
      </c>
      <c r="D49" s="1" t="s">
        <v>1117</v>
      </c>
      <c r="E49" s="1" t="s">
        <v>194</v>
      </c>
      <c r="F49" s="1" t="s">
        <v>862</v>
      </c>
      <c r="G49" s="1">
        <v>1</v>
      </c>
      <c r="H49" s="1">
        <v>2</v>
      </c>
      <c r="I49" s="1" t="s">
        <v>133</v>
      </c>
      <c r="J49" s="1" t="s">
        <v>12</v>
      </c>
      <c r="K49" s="1" t="s">
        <v>14</v>
      </c>
      <c r="L49" s="1" t="s">
        <v>173</v>
      </c>
      <c r="M49" s="1" t="s">
        <v>12</v>
      </c>
      <c r="N49" s="1">
        <v>10</v>
      </c>
      <c r="O49" s="1" t="s">
        <v>274</v>
      </c>
      <c r="P49" s="1" t="s">
        <v>12</v>
      </c>
      <c r="Q49" s="1">
        <v>0</v>
      </c>
      <c r="R49" s="1" t="s">
        <v>12</v>
      </c>
      <c r="S49" s="1">
        <v>0</v>
      </c>
      <c r="T49" s="1">
        <v>6</v>
      </c>
    </row>
    <row r="50" spans="1:20" ht="16.5" x14ac:dyDescent="0.3">
      <c r="A50" s="1">
        <v>10053</v>
      </c>
      <c r="B50" s="1" t="s">
        <v>412</v>
      </c>
      <c r="C50" s="1" t="s">
        <v>1118</v>
      </c>
      <c r="D50" s="1" t="s">
        <v>1118</v>
      </c>
      <c r="E50" s="1">
        <v>2</v>
      </c>
      <c r="F50" s="1" t="s">
        <v>79</v>
      </c>
      <c r="G50" s="1">
        <v>1</v>
      </c>
      <c r="H50" s="1">
        <v>1</v>
      </c>
      <c r="I50" s="1" t="s">
        <v>1000</v>
      </c>
      <c r="J50" s="1" t="s">
        <v>12</v>
      </c>
      <c r="K50" s="1" t="s">
        <v>14</v>
      </c>
      <c r="L50" s="1" t="s">
        <v>173</v>
      </c>
      <c r="M50" s="1" t="s">
        <v>12</v>
      </c>
      <c r="N50" s="1">
        <v>5</v>
      </c>
      <c r="O50" s="1" t="s">
        <v>275</v>
      </c>
      <c r="P50" s="1" t="s">
        <v>12</v>
      </c>
      <c r="Q50" s="1">
        <v>0</v>
      </c>
      <c r="R50" s="1" t="s">
        <v>12</v>
      </c>
      <c r="S50" s="1">
        <v>0</v>
      </c>
      <c r="T50" s="1">
        <v>2</v>
      </c>
    </row>
    <row r="51" spans="1:20" ht="16.5" x14ac:dyDescent="0.3">
      <c r="A51" s="1">
        <v>10054</v>
      </c>
      <c r="B51" s="1" t="s">
        <v>413</v>
      </c>
      <c r="C51" s="1" t="s">
        <v>1119</v>
      </c>
      <c r="D51" s="1" t="s">
        <v>1119</v>
      </c>
      <c r="E51" s="1">
        <v>2</v>
      </c>
      <c r="F51" s="1" t="s">
        <v>79</v>
      </c>
      <c r="G51" s="1">
        <v>1</v>
      </c>
      <c r="H51" s="1">
        <v>1</v>
      </c>
      <c r="I51" s="1" t="s">
        <v>1001</v>
      </c>
      <c r="J51" s="1" t="s">
        <v>12</v>
      </c>
      <c r="K51" s="1" t="s">
        <v>14</v>
      </c>
      <c r="L51" s="1" t="s">
        <v>173</v>
      </c>
      <c r="M51" s="1" t="s">
        <v>12</v>
      </c>
      <c r="N51" s="1">
        <v>5</v>
      </c>
      <c r="O51" s="1" t="s">
        <v>276</v>
      </c>
      <c r="P51" s="1" t="s">
        <v>12</v>
      </c>
      <c r="Q51" s="1">
        <v>0</v>
      </c>
      <c r="R51" s="1" t="s">
        <v>12</v>
      </c>
      <c r="S51" s="1">
        <v>0</v>
      </c>
      <c r="T51" s="1">
        <v>2</v>
      </c>
    </row>
    <row r="52" spans="1:20" ht="16.5" x14ac:dyDescent="0.3">
      <c r="A52" s="1">
        <v>10055</v>
      </c>
      <c r="B52" s="1" t="s">
        <v>1120</v>
      </c>
      <c r="C52" s="1" t="s">
        <v>1121</v>
      </c>
      <c r="D52" s="1" t="s">
        <v>1121</v>
      </c>
      <c r="E52" s="1" t="s">
        <v>194</v>
      </c>
      <c r="F52" s="1" t="s">
        <v>862</v>
      </c>
      <c r="G52" s="1">
        <v>1</v>
      </c>
      <c r="H52" s="1">
        <v>2</v>
      </c>
      <c r="I52" s="1" t="s">
        <v>993</v>
      </c>
      <c r="J52" s="1" t="s">
        <v>12</v>
      </c>
      <c r="K52" s="1" t="s">
        <v>14</v>
      </c>
      <c r="L52" s="1" t="s">
        <v>173</v>
      </c>
      <c r="M52" s="1" t="s">
        <v>12</v>
      </c>
      <c r="N52" s="1">
        <v>10</v>
      </c>
      <c r="O52" s="1" t="s">
        <v>277</v>
      </c>
      <c r="P52" s="1" t="s">
        <v>12</v>
      </c>
      <c r="Q52" s="1">
        <v>0</v>
      </c>
      <c r="R52" s="1" t="s">
        <v>12</v>
      </c>
      <c r="S52" s="1">
        <v>0</v>
      </c>
      <c r="T52" s="1">
        <v>6</v>
      </c>
    </row>
    <row r="53" spans="1:20" ht="16.5" x14ac:dyDescent="0.3">
      <c r="A53" s="1">
        <v>10056</v>
      </c>
      <c r="B53" s="1" t="s">
        <v>1122</v>
      </c>
      <c r="C53" s="1" t="s">
        <v>1123</v>
      </c>
      <c r="D53" s="1" t="s">
        <v>1123</v>
      </c>
      <c r="E53" s="1" t="s">
        <v>194</v>
      </c>
      <c r="F53" s="1" t="s">
        <v>862</v>
      </c>
      <c r="G53" s="1">
        <v>1</v>
      </c>
      <c r="H53" s="1">
        <v>2</v>
      </c>
      <c r="I53" s="1" t="s">
        <v>994</v>
      </c>
      <c r="J53" s="1" t="s">
        <v>12</v>
      </c>
      <c r="K53" s="1" t="s">
        <v>14</v>
      </c>
      <c r="L53" s="1" t="s">
        <v>173</v>
      </c>
      <c r="M53" s="1" t="s">
        <v>12</v>
      </c>
      <c r="N53" s="1">
        <v>10</v>
      </c>
      <c r="O53" s="1" t="s">
        <v>278</v>
      </c>
      <c r="P53" s="1" t="s">
        <v>12</v>
      </c>
      <c r="Q53" s="1">
        <v>0</v>
      </c>
      <c r="R53" s="1" t="s">
        <v>12</v>
      </c>
      <c r="S53" s="1">
        <v>0</v>
      </c>
      <c r="T53" s="1">
        <v>6</v>
      </c>
    </row>
    <row r="54" spans="1:20" ht="16.5" x14ac:dyDescent="0.3">
      <c r="A54" s="1">
        <v>10057</v>
      </c>
      <c r="B54" s="1" t="s">
        <v>1124</v>
      </c>
      <c r="C54" s="1" t="s">
        <v>1125</v>
      </c>
      <c r="D54" s="1" t="s">
        <v>1125</v>
      </c>
      <c r="E54" s="1" t="s">
        <v>194</v>
      </c>
      <c r="F54" s="1" t="s">
        <v>862</v>
      </c>
      <c r="G54" s="1">
        <v>1</v>
      </c>
      <c r="H54" s="1">
        <v>2</v>
      </c>
      <c r="I54" s="1" t="s">
        <v>995</v>
      </c>
      <c r="J54" s="1" t="s">
        <v>12</v>
      </c>
      <c r="K54" s="1" t="s">
        <v>14</v>
      </c>
      <c r="L54" s="1" t="s">
        <v>173</v>
      </c>
      <c r="M54" s="1" t="s">
        <v>12</v>
      </c>
      <c r="N54" s="1">
        <v>10</v>
      </c>
      <c r="O54" s="1" t="s">
        <v>279</v>
      </c>
      <c r="P54" s="1" t="s">
        <v>12</v>
      </c>
      <c r="Q54" s="1">
        <v>0</v>
      </c>
      <c r="R54" s="1" t="s">
        <v>12</v>
      </c>
      <c r="S54" s="1">
        <v>0</v>
      </c>
      <c r="T54" s="1">
        <v>6</v>
      </c>
    </row>
    <row r="55" spans="1:20" ht="16.5" x14ac:dyDescent="0.3">
      <c r="A55" s="1">
        <v>10058</v>
      </c>
      <c r="B55" s="1" t="s">
        <v>1126</v>
      </c>
      <c r="C55" s="1" t="s">
        <v>1127</v>
      </c>
      <c r="D55" s="1" t="s">
        <v>1127</v>
      </c>
      <c r="E55" s="1" t="s">
        <v>194</v>
      </c>
      <c r="F55" s="1" t="s">
        <v>862</v>
      </c>
      <c r="G55" s="1">
        <v>1</v>
      </c>
      <c r="H55" s="1">
        <v>2</v>
      </c>
      <c r="I55" s="1" t="s">
        <v>996</v>
      </c>
      <c r="J55" s="1" t="s">
        <v>12</v>
      </c>
      <c r="K55" s="1" t="s">
        <v>14</v>
      </c>
      <c r="L55" s="1" t="s">
        <v>173</v>
      </c>
      <c r="M55" s="1" t="s">
        <v>12</v>
      </c>
      <c r="N55" s="1">
        <v>10</v>
      </c>
      <c r="O55" s="1" t="s">
        <v>280</v>
      </c>
      <c r="P55" s="1" t="s">
        <v>12</v>
      </c>
      <c r="Q55" s="1">
        <v>0</v>
      </c>
      <c r="R55" s="1" t="s">
        <v>12</v>
      </c>
      <c r="S55" s="1">
        <v>0</v>
      </c>
      <c r="T55" s="1">
        <v>6</v>
      </c>
    </row>
    <row r="56" spans="1:20" ht="16.5" x14ac:dyDescent="0.3">
      <c r="A56" s="1">
        <v>10059</v>
      </c>
      <c r="B56" s="1" t="s">
        <v>1128</v>
      </c>
      <c r="C56" s="1" t="s">
        <v>1129</v>
      </c>
      <c r="D56" s="1" t="s">
        <v>1129</v>
      </c>
      <c r="E56" s="1" t="s">
        <v>194</v>
      </c>
      <c r="F56" s="1" t="s">
        <v>862</v>
      </c>
      <c r="G56" s="1">
        <v>1</v>
      </c>
      <c r="H56" s="1">
        <v>2</v>
      </c>
      <c r="I56" s="1" t="s">
        <v>997</v>
      </c>
      <c r="J56" s="1" t="s">
        <v>12</v>
      </c>
      <c r="K56" s="1" t="s">
        <v>14</v>
      </c>
      <c r="L56" s="1" t="s">
        <v>173</v>
      </c>
      <c r="M56" s="1" t="s">
        <v>12</v>
      </c>
      <c r="N56" s="1">
        <v>10</v>
      </c>
      <c r="O56" s="1" t="s">
        <v>281</v>
      </c>
      <c r="P56" s="1" t="s">
        <v>12</v>
      </c>
      <c r="Q56" s="1">
        <v>0</v>
      </c>
      <c r="R56" s="1" t="s">
        <v>12</v>
      </c>
      <c r="S56" s="1">
        <v>0</v>
      </c>
      <c r="T56" s="1">
        <v>6</v>
      </c>
    </row>
    <row r="57" spans="1:20" ht="16.5" x14ac:dyDescent="0.3">
      <c r="A57" s="1">
        <v>10062</v>
      </c>
      <c r="B57" s="1" t="s">
        <v>414</v>
      </c>
      <c r="C57" s="1" t="s">
        <v>1130</v>
      </c>
      <c r="D57" s="1" t="s">
        <v>1130</v>
      </c>
      <c r="E57" s="1" t="s">
        <v>194</v>
      </c>
      <c r="F57" s="1" t="s">
        <v>862</v>
      </c>
      <c r="G57" s="1">
        <v>1</v>
      </c>
      <c r="H57" s="1">
        <v>2</v>
      </c>
      <c r="I57" s="1" t="s">
        <v>998</v>
      </c>
      <c r="J57" s="1" t="s">
        <v>12</v>
      </c>
      <c r="K57" s="1" t="s">
        <v>14</v>
      </c>
      <c r="L57" s="1" t="s">
        <v>173</v>
      </c>
      <c r="M57" s="1" t="s">
        <v>12</v>
      </c>
      <c r="N57" s="1">
        <v>10</v>
      </c>
      <c r="O57" s="1" t="s">
        <v>282</v>
      </c>
      <c r="P57" s="1" t="s">
        <v>12</v>
      </c>
      <c r="Q57" s="1">
        <v>0</v>
      </c>
      <c r="R57" s="1" t="s">
        <v>12</v>
      </c>
      <c r="S57" s="1">
        <v>0</v>
      </c>
      <c r="T57" s="1">
        <v>6</v>
      </c>
    </row>
    <row r="58" spans="1:20" ht="16.5" x14ac:dyDescent="0.3">
      <c r="A58" s="1">
        <v>10063</v>
      </c>
      <c r="B58" s="1" t="s">
        <v>415</v>
      </c>
      <c r="C58" s="1" t="s">
        <v>1131</v>
      </c>
      <c r="D58" s="1" t="s">
        <v>1131</v>
      </c>
      <c r="E58" s="1" t="s">
        <v>194</v>
      </c>
      <c r="F58" s="1" t="s">
        <v>862</v>
      </c>
      <c r="G58" s="1">
        <v>1</v>
      </c>
      <c r="H58" s="1">
        <v>2</v>
      </c>
      <c r="I58" s="1" t="s">
        <v>998</v>
      </c>
      <c r="J58" s="1" t="s">
        <v>12</v>
      </c>
      <c r="K58" s="1" t="s">
        <v>14</v>
      </c>
      <c r="L58" s="1" t="s">
        <v>173</v>
      </c>
      <c r="M58" s="1" t="s">
        <v>12</v>
      </c>
      <c r="N58" s="1">
        <v>10</v>
      </c>
      <c r="O58" s="1" t="s">
        <v>283</v>
      </c>
      <c r="P58" s="1" t="s">
        <v>12</v>
      </c>
      <c r="Q58" s="1">
        <v>0</v>
      </c>
      <c r="R58" s="1" t="s">
        <v>12</v>
      </c>
      <c r="S58" s="1">
        <v>0</v>
      </c>
      <c r="T58" s="1">
        <v>6</v>
      </c>
    </row>
    <row r="59" spans="1:20" ht="16.5" x14ac:dyDescent="0.3">
      <c r="A59" s="1">
        <v>10064</v>
      </c>
      <c r="B59" s="1" t="s">
        <v>1132</v>
      </c>
      <c r="C59" s="1" t="s">
        <v>1133</v>
      </c>
      <c r="D59" s="1" t="s">
        <v>1133</v>
      </c>
      <c r="E59" s="1" t="s">
        <v>194</v>
      </c>
      <c r="F59" s="1" t="s">
        <v>862</v>
      </c>
      <c r="G59" s="1">
        <v>1</v>
      </c>
      <c r="H59" s="1">
        <v>1</v>
      </c>
      <c r="I59" s="1" t="s">
        <v>1134</v>
      </c>
      <c r="J59" s="1" t="s">
        <v>12</v>
      </c>
      <c r="K59" s="1" t="s">
        <v>14</v>
      </c>
      <c r="L59" s="1" t="s">
        <v>173</v>
      </c>
      <c r="M59" s="1" t="s">
        <v>12</v>
      </c>
      <c r="N59" s="1">
        <v>5</v>
      </c>
      <c r="O59" s="1" t="s">
        <v>1226</v>
      </c>
      <c r="P59" s="1" t="s">
        <v>12</v>
      </c>
      <c r="Q59" s="1">
        <v>0</v>
      </c>
      <c r="R59" s="1" t="s">
        <v>12</v>
      </c>
      <c r="S59" s="1">
        <v>0</v>
      </c>
      <c r="T59" s="1"/>
    </row>
    <row r="60" spans="1:20" ht="16.5" x14ac:dyDescent="0.3">
      <c r="A60" s="1">
        <v>10065</v>
      </c>
      <c r="B60" s="1" t="s">
        <v>1135</v>
      </c>
      <c r="C60" s="1" t="s">
        <v>1136</v>
      </c>
      <c r="D60" s="1" t="s">
        <v>1136</v>
      </c>
      <c r="E60" s="1" t="s">
        <v>194</v>
      </c>
      <c r="F60" s="1" t="s">
        <v>862</v>
      </c>
      <c r="G60" s="1">
        <v>1</v>
      </c>
      <c r="H60" s="1">
        <v>1</v>
      </c>
      <c r="I60" s="1" t="s">
        <v>1137</v>
      </c>
      <c r="J60" s="1" t="s">
        <v>12</v>
      </c>
      <c r="K60" s="1" t="s">
        <v>14</v>
      </c>
      <c r="L60" s="1" t="s">
        <v>173</v>
      </c>
      <c r="M60" s="1" t="s">
        <v>12</v>
      </c>
      <c r="N60" s="1">
        <v>5</v>
      </c>
      <c r="O60" s="1" t="s">
        <v>1227</v>
      </c>
      <c r="P60" s="1" t="s">
        <v>12</v>
      </c>
      <c r="Q60" s="1">
        <v>0</v>
      </c>
      <c r="R60" s="1" t="s">
        <v>12</v>
      </c>
      <c r="S60" s="1">
        <v>0</v>
      </c>
      <c r="T60" s="1"/>
    </row>
    <row r="61" spans="1:20" ht="16.5" x14ac:dyDescent="0.3">
      <c r="A61" s="1">
        <v>10066</v>
      </c>
      <c r="B61" s="1" t="s">
        <v>1138</v>
      </c>
      <c r="C61" s="1" t="s">
        <v>1139</v>
      </c>
      <c r="D61" s="1" t="s">
        <v>1139</v>
      </c>
      <c r="E61" s="1" t="s">
        <v>194</v>
      </c>
      <c r="F61" s="1" t="s">
        <v>862</v>
      </c>
      <c r="G61" s="1">
        <v>1</v>
      </c>
      <c r="H61" s="1">
        <v>1</v>
      </c>
      <c r="I61" s="1" t="s">
        <v>1140</v>
      </c>
      <c r="J61" s="1" t="s">
        <v>12</v>
      </c>
      <c r="K61" s="1" t="s">
        <v>14</v>
      </c>
      <c r="L61" s="1" t="s">
        <v>173</v>
      </c>
      <c r="M61" s="1" t="s">
        <v>12</v>
      </c>
      <c r="N61" s="1">
        <v>5</v>
      </c>
      <c r="O61" s="1" t="s">
        <v>1228</v>
      </c>
      <c r="P61" s="1" t="s">
        <v>12</v>
      </c>
      <c r="Q61" s="1">
        <v>0</v>
      </c>
      <c r="R61" s="1" t="s">
        <v>12</v>
      </c>
      <c r="S61" s="1">
        <v>0</v>
      </c>
      <c r="T61" s="1"/>
    </row>
    <row r="62" spans="1:20" ht="16.5" x14ac:dyDescent="0.3">
      <c r="A62" s="1">
        <v>10067</v>
      </c>
      <c r="B62" s="1" t="s">
        <v>1141</v>
      </c>
      <c r="C62" s="1" t="s">
        <v>1142</v>
      </c>
      <c r="D62" s="1" t="s">
        <v>1142</v>
      </c>
      <c r="E62" s="1" t="s">
        <v>194</v>
      </c>
      <c r="F62" s="1" t="s">
        <v>862</v>
      </c>
      <c r="G62" s="1">
        <v>1</v>
      </c>
      <c r="H62" s="1">
        <v>1</v>
      </c>
      <c r="I62" s="1" t="s">
        <v>1143</v>
      </c>
      <c r="J62" s="1" t="s">
        <v>12</v>
      </c>
      <c r="K62" s="1" t="s">
        <v>14</v>
      </c>
      <c r="L62" s="1" t="s">
        <v>173</v>
      </c>
      <c r="M62" s="1" t="s">
        <v>12</v>
      </c>
      <c r="N62" s="1">
        <v>5</v>
      </c>
      <c r="O62" s="1" t="s">
        <v>1229</v>
      </c>
      <c r="P62" s="1" t="s">
        <v>12</v>
      </c>
      <c r="Q62" s="1">
        <v>0</v>
      </c>
      <c r="R62" s="1" t="s">
        <v>12</v>
      </c>
      <c r="S62" s="1">
        <v>0</v>
      </c>
      <c r="T62" s="1"/>
    </row>
    <row r="63" spans="1:20" ht="16.5" x14ac:dyDescent="0.3">
      <c r="A63" s="1">
        <v>10068</v>
      </c>
      <c r="B63" s="1" t="s">
        <v>1144</v>
      </c>
      <c r="C63" s="1" t="s">
        <v>1145</v>
      </c>
      <c r="D63" s="1" t="s">
        <v>1145</v>
      </c>
      <c r="E63" s="1" t="s">
        <v>194</v>
      </c>
      <c r="F63" s="1" t="s">
        <v>862</v>
      </c>
      <c r="G63" s="1">
        <v>1</v>
      </c>
      <c r="H63" s="1">
        <v>1</v>
      </c>
      <c r="I63" s="1" t="s">
        <v>1146</v>
      </c>
      <c r="J63" s="1" t="s">
        <v>12</v>
      </c>
      <c r="K63" s="1" t="s">
        <v>14</v>
      </c>
      <c r="L63" s="1" t="s">
        <v>173</v>
      </c>
      <c r="M63" s="1" t="s">
        <v>12</v>
      </c>
      <c r="N63" s="1">
        <v>5</v>
      </c>
      <c r="O63" s="1" t="s">
        <v>1230</v>
      </c>
      <c r="P63" s="1" t="s">
        <v>12</v>
      </c>
      <c r="Q63" s="1">
        <v>0</v>
      </c>
      <c r="R63" s="1" t="s">
        <v>12</v>
      </c>
      <c r="S63" s="1">
        <v>0</v>
      </c>
      <c r="T63" s="1"/>
    </row>
    <row r="64" spans="1:20" ht="16.5" x14ac:dyDescent="0.3">
      <c r="A64" s="1">
        <v>10069</v>
      </c>
      <c r="B64" s="1" t="s">
        <v>1147</v>
      </c>
      <c r="C64" s="1" t="s">
        <v>1148</v>
      </c>
      <c r="D64" s="1" t="s">
        <v>1148</v>
      </c>
      <c r="E64" s="1" t="s">
        <v>194</v>
      </c>
      <c r="F64" s="1" t="s">
        <v>862</v>
      </c>
      <c r="G64" s="1">
        <v>1</v>
      </c>
      <c r="H64" s="1">
        <v>1</v>
      </c>
      <c r="I64" s="1" t="s">
        <v>1149</v>
      </c>
      <c r="J64" s="1" t="s">
        <v>12</v>
      </c>
      <c r="K64" s="1" t="s">
        <v>14</v>
      </c>
      <c r="L64" s="1" t="s">
        <v>173</v>
      </c>
      <c r="M64" s="1" t="s">
        <v>12</v>
      </c>
      <c r="N64" s="1">
        <v>5</v>
      </c>
      <c r="O64" s="1" t="s">
        <v>1231</v>
      </c>
      <c r="P64" s="1" t="s">
        <v>12</v>
      </c>
      <c r="Q64" s="1">
        <v>0</v>
      </c>
      <c r="R64" s="1" t="s">
        <v>12</v>
      </c>
      <c r="S64" s="1">
        <v>0</v>
      </c>
      <c r="T64" s="1"/>
    </row>
    <row r="65" spans="1:20" ht="16.5" x14ac:dyDescent="0.3">
      <c r="A65" s="1">
        <v>10070</v>
      </c>
      <c r="B65" s="1" t="s">
        <v>1150</v>
      </c>
      <c r="C65" s="1" t="s">
        <v>1151</v>
      </c>
      <c r="D65" s="1" t="s">
        <v>1151</v>
      </c>
      <c r="E65" s="1" t="s">
        <v>194</v>
      </c>
      <c r="F65" s="1" t="s">
        <v>862</v>
      </c>
      <c r="G65" s="1">
        <v>1</v>
      </c>
      <c r="H65" s="1">
        <v>1</v>
      </c>
      <c r="I65" s="1" t="s">
        <v>1152</v>
      </c>
      <c r="J65" s="1" t="s">
        <v>12</v>
      </c>
      <c r="K65" s="1" t="s">
        <v>14</v>
      </c>
      <c r="L65" s="1" t="s">
        <v>173</v>
      </c>
      <c r="M65" s="1" t="s">
        <v>12</v>
      </c>
      <c r="N65" s="1">
        <v>5</v>
      </c>
      <c r="O65" s="1" t="s">
        <v>1232</v>
      </c>
      <c r="P65" s="1" t="s">
        <v>12</v>
      </c>
      <c r="Q65" s="1">
        <v>0</v>
      </c>
      <c r="R65" s="1" t="s">
        <v>12</v>
      </c>
      <c r="S65" s="1">
        <v>0</v>
      </c>
      <c r="T65" s="1"/>
    </row>
    <row r="66" spans="1:20" ht="16.5" x14ac:dyDescent="0.3">
      <c r="A66" s="1">
        <v>10071</v>
      </c>
      <c r="B66" s="1" t="s">
        <v>1153</v>
      </c>
      <c r="C66" s="1" t="s">
        <v>1154</v>
      </c>
      <c r="D66" s="1" t="s">
        <v>1154</v>
      </c>
      <c r="E66" s="1" t="s">
        <v>194</v>
      </c>
      <c r="F66" s="1" t="s">
        <v>862</v>
      </c>
      <c r="G66" s="1">
        <v>1</v>
      </c>
      <c r="H66" s="1">
        <v>1</v>
      </c>
      <c r="I66" s="1" t="s">
        <v>1155</v>
      </c>
      <c r="J66" s="1" t="s">
        <v>12</v>
      </c>
      <c r="K66" s="1" t="s">
        <v>14</v>
      </c>
      <c r="L66" s="1" t="s">
        <v>173</v>
      </c>
      <c r="M66" s="1" t="s">
        <v>12</v>
      </c>
      <c r="N66" s="1">
        <v>5</v>
      </c>
      <c r="O66" s="1" t="s">
        <v>1233</v>
      </c>
      <c r="P66" s="1" t="s">
        <v>12</v>
      </c>
      <c r="Q66" s="1">
        <v>0</v>
      </c>
      <c r="R66" s="1" t="s">
        <v>12</v>
      </c>
      <c r="S66" s="1">
        <v>0</v>
      </c>
      <c r="T66" s="1"/>
    </row>
    <row r="67" spans="1:20" ht="16.5" x14ac:dyDescent="0.3">
      <c r="A67" s="1">
        <v>10076</v>
      </c>
      <c r="B67" s="1" t="s">
        <v>1156</v>
      </c>
      <c r="C67" s="1" t="s">
        <v>1157</v>
      </c>
      <c r="D67" s="1" t="s">
        <v>1157</v>
      </c>
      <c r="E67" s="1" t="s">
        <v>194</v>
      </c>
      <c r="F67" s="1" t="s">
        <v>862</v>
      </c>
      <c r="G67" s="1">
        <v>1</v>
      </c>
      <c r="H67" s="1">
        <v>1</v>
      </c>
      <c r="I67" s="1" t="s">
        <v>1158</v>
      </c>
      <c r="J67" s="1" t="s">
        <v>12</v>
      </c>
      <c r="K67" s="1" t="s">
        <v>14</v>
      </c>
      <c r="L67" s="1" t="s">
        <v>173</v>
      </c>
      <c r="M67" s="1" t="s">
        <v>12</v>
      </c>
      <c r="N67" s="1">
        <v>5</v>
      </c>
      <c r="O67" s="1" t="s">
        <v>1234</v>
      </c>
      <c r="P67" s="1" t="s">
        <v>12</v>
      </c>
      <c r="Q67" s="1">
        <v>0</v>
      </c>
      <c r="R67" s="1" t="s">
        <v>12</v>
      </c>
      <c r="S67" s="1">
        <v>0</v>
      </c>
      <c r="T67" s="1"/>
    </row>
    <row r="68" spans="1:20" ht="16.5" x14ac:dyDescent="0.3">
      <c r="A68" s="1">
        <v>10077</v>
      </c>
      <c r="B68" s="1" t="s">
        <v>1159</v>
      </c>
      <c r="C68" s="1" t="s">
        <v>1160</v>
      </c>
      <c r="D68" s="1" t="s">
        <v>1160</v>
      </c>
      <c r="E68" s="1" t="s">
        <v>194</v>
      </c>
      <c r="F68" s="1" t="s">
        <v>862</v>
      </c>
      <c r="G68" s="1">
        <v>1</v>
      </c>
      <c r="H68" s="1">
        <v>1</v>
      </c>
      <c r="I68" s="1" t="s">
        <v>1161</v>
      </c>
      <c r="J68" s="1" t="s">
        <v>12</v>
      </c>
      <c r="K68" s="1" t="s">
        <v>14</v>
      </c>
      <c r="L68" s="1" t="s">
        <v>173</v>
      </c>
      <c r="M68" s="1" t="s">
        <v>12</v>
      </c>
      <c r="N68" s="1">
        <v>5</v>
      </c>
      <c r="O68" s="1" t="s">
        <v>1235</v>
      </c>
      <c r="P68" s="1" t="s">
        <v>12</v>
      </c>
      <c r="Q68" s="1">
        <v>0</v>
      </c>
      <c r="R68" s="1" t="s">
        <v>12</v>
      </c>
      <c r="S68" s="1">
        <v>0</v>
      </c>
      <c r="T68" s="1"/>
    </row>
    <row r="69" spans="1:20" ht="16.5" x14ac:dyDescent="0.3">
      <c r="A69" s="1">
        <v>10078</v>
      </c>
      <c r="B69" s="1" t="s">
        <v>1162</v>
      </c>
      <c r="C69" s="1" t="s">
        <v>1163</v>
      </c>
      <c r="D69" s="1" t="s">
        <v>1163</v>
      </c>
      <c r="E69" s="1" t="s">
        <v>194</v>
      </c>
      <c r="F69" s="1" t="s">
        <v>862</v>
      </c>
      <c r="G69" s="1">
        <v>1</v>
      </c>
      <c r="H69" s="1">
        <v>1</v>
      </c>
      <c r="I69" s="1" t="s">
        <v>1164</v>
      </c>
      <c r="J69" s="1" t="s">
        <v>12</v>
      </c>
      <c r="K69" s="1" t="s">
        <v>14</v>
      </c>
      <c r="L69" s="1" t="s">
        <v>173</v>
      </c>
      <c r="M69" s="1" t="s">
        <v>12</v>
      </c>
      <c r="N69" s="1">
        <v>5</v>
      </c>
      <c r="O69" s="1" t="s">
        <v>1236</v>
      </c>
      <c r="P69" s="1" t="s">
        <v>12</v>
      </c>
      <c r="Q69" s="1">
        <v>0</v>
      </c>
      <c r="R69" s="1" t="s">
        <v>12</v>
      </c>
      <c r="S69" s="1">
        <v>0</v>
      </c>
      <c r="T69" s="1"/>
    </row>
    <row r="70" spans="1:20" ht="16.5" x14ac:dyDescent="0.3">
      <c r="A70" s="1">
        <v>10079</v>
      </c>
      <c r="B70" s="1" t="s">
        <v>1165</v>
      </c>
      <c r="C70" s="1" t="s">
        <v>1166</v>
      </c>
      <c r="D70" s="1" t="s">
        <v>1166</v>
      </c>
      <c r="E70" s="1" t="s">
        <v>194</v>
      </c>
      <c r="F70" s="1" t="s">
        <v>862</v>
      </c>
      <c r="G70" s="1">
        <v>1</v>
      </c>
      <c r="H70" s="1">
        <v>1</v>
      </c>
      <c r="I70" s="1" t="s">
        <v>1167</v>
      </c>
      <c r="J70" s="1" t="s">
        <v>12</v>
      </c>
      <c r="K70" s="1" t="s">
        <v>14</v>
      </c>
      <c r="L70" s="1" t="s">
        <v>173</v>
      </c>
      <c r="M70" s="1" t="s">
        <v>12</v>
      </c>
      <c r="N70" s="1">
        <v>5</v>
      </c>
      <c r="O70" s="1" t="s">
        <v>1237</v>
      </c>
      <c r="P70" s="1" t="s">
        <v>12</v>
      </c>
      <c r="Q70" s="1">
        <v>0</v>
      </c>
      <c r="R70" s="1" t="s">
        <v>12</v>
      </c>
      <c r="S70" s="1">
        <v>0</v>
      </c>
      <c r="T70" s="1"/>
    </row>
    <row r="71" spans="1:20" ht="16.5" x14ac:dyDescent="0.3">
      <c r="A71" s="1">
        <v>10080</v>
      </c>
      <c r="B71" s="1" t="s">
        <v>1168</v>
      </c>
      <c r="C71" s="1" t="s">
        <v>1169</v>
      </c>
      <c r="D71" s="1" t="s">
        <v>1169</v>
      </c>
      <c r="E71" s="1" t="s">
        <v>194</v>
      </c>
      <c r="F71" s="1" t="s">
        <v>862</v>
      </c>
      <c r="G71" s="1">
        <v>1</v>
      </c>
      <c r="H71" s="1">
        <v>1</v>
      </c>
      <c r="I71" s="1" t="s">
        <v>1170</v>
      </c>
      <c r="J71" s="1" t="s">
        <v>12</v>
      </c>
      <c r="K71" s="1" t="s">
        <v>14</v>
      </c>
      <c r="L71" s="1" t="s">
        <v>173</v>
      </c>
      <c r="M71" s="1" t="s">
        <v>12</v>
      </c>
      <c r="N71" s="1">
        <v>5</v>
      </c>
      <c r="O71" s="1" t="s">
        <v>1238</v>
      </c>
      <c r="P71" s="1" t="s">
        <v>12</v>
      </c>
      <c r="Q71" s="1">
        <v>0</v>
      </c>
      <c r="R71" s="1" t="s">
        <v>12</v>
      </c>
      <c r="S71" s="1">
        <v>0</v>
      </c>
      <c r="T71" s="1"/>
    </row>
    <row r="72" spans="1:20" ht="16.5" x14ac:dyDescent="0.3">
      <c r="A72" s="1">
        <v>10081</v>
      </c>
      <c r="B72" s="1" t="s">
        <v>1171</v>
      </c>
      <c r="C72" s="1" t="s">
        <v>1172</v>
      </c>
      <c r="D72" s="1" t="s">
        <v>1172</v>
      </c>
      <c r="E72" s="1" t="s">
        <v>194</v>
      </c>
      <c r="F72" s="1" t="s">
        <v>862</v>
      </c>
      <c r="G72" s="1">
        <v>1</v>
      </c>
      <c r="H72" s="1">
        <v>1</v>
      </c>
      <c r="I72" s="1" t="s">
        <v>1173</v>
      </c>
      <c r="J72" s="1" t="s">
        <v>12</v>
      </c>
      <c r="K72" s="1" t="s">
        <v>14</v>
      </c>
      <c r="L72" s="1" t="s">
        <v>173</v>
      </c>
      <c r="M72" s="1" t="s">
        <v>12</v>
      </c>
      <c r="N72" s="1">
        <v>5</v>
      </c>
      <c r="O72" s="1" t="s">
        <v>1239</v>
      </c>
      <c r="P72" s="1" t="s">
        <v>12</v>
      </c>
      <c r="Q72" s="1">
        <v>0</v>
      </c>
      <c r="R72" s="1" t="s">
        <v>12</v>
      </c>
      <c r="S72" s="1">
        <v>0</v>
      </c>
      <c r="T72" s="1"/>
    </row>
    <row r="73" spans="1:20" ht="16.5" x14ac:dyDescent="0.3">
      <c r="A73" s="1">
        <v>10082</v>
      </c>
      <c r="B73" s="1" t="s">
        <v>1174</v>
      </c>
      <c r="C73" s="1" t="s">
        <v>1175</v>
      </c>
      <c r="D73" s="1" t="s">
        <v>1175</v>
      </c>
      <c r="E73" s="1" t="s">
        <v>194</v>
      </c>
      <c r="F73" s="1" t="s">
        <v>862</v>
      </c>
      <c r="G73" s="1">
        <v>1</v>
      </c>
      <c r="H73" s="1">
        <v>1</v>
      </c>
      <c r="I73" s="1" t="s">
        <v>1176</v>
      </c>
      <c r="J73" s="1" t="s">
        <v>12</v>
      </c>
      <c r="K73" s="1" t="s">
        <v>14</v>
      </c>
      <c r="L73" s="1" t="s">
        <v>173</v>
      </c>
      <c r="M73" s="1" t="s">
        <v>12</v>
      </c>
      <c r="N73" s="1">
        <v>5</v>
      </c>
      <c r="O73" s="1" t="s">
        <v>1240</v>
      </c>
      <c r="P73" s="1" t="s">
        <v>12</v>
      </c>
      <c r="Q73" s="1">
        <v>0</v>
      </c>
      <c r="R73" s="1" t="s">
        <v>12</v>
      </c>
      <c r="S73" s="1">
        <v>0</v>
      </c>
      <c r="T73" s="1"/>
    </row>
    <row r="74" spans="1:20" ht="16.5" x14ac:dyDescent="0.3">
      <c r="A74" s="1">
        <v>10085</v>
      </c>
      <c r="B74" s="1" t="s">
        <v>1177</v>
      </c>
      <c r="C74" s="1" t="s">
        <v>1178</v>
      </c>
      <c r="D74" s="1" t="s">
        <v>1178</v>
      </c>
      <c r="E74" s="1" t="s">
        <v>194</v>
      </c>
      <c r="F74" s="1" t="s">
        <v>862</v>
      </c>
      <c r="G74" s="1">
        <v>1</v>
      </c>
      <c r="H74" s="1">
        <v>1</v>
      </c>
      <c r="I74" s="1" t="s">
        <v>1179</v>
      </c>
      <c r="J74" s="1" t="s">
        <v>12</v>
      </c>
      <c r="K74" s="1" t="s">
        <v>14</v>
      </c>
      <c r="L74" s="1" t="s">
        <v>173</v>
      </c>
      <c r="M74" s="1" t="s">
        <v>12</v>
      </c>
      <c r="N74" s="1">
        <v>5</v>
      </c>
      <c r="O74" s="1" t="s">
        <v>1241</v>
      </c>
      <c r="P74" s="1" t="s">
        <v>12</v>
      </c>
      <c r="Q74" s="1">
        <v>0</v>
      </c>
      <c r="R74" s="1" t="s">
        <v>12</v>
      </c>
      <c r="S74" s="1">
        <v>0</v>
      </c>
      <c r="T74" s="1"/>
    </row>
    <row r="75" spans="1:20" ht="16.5" x14ac:dyDescent="0.3">
      <c r="A75" s="1">
        <v>10086</v>
      </c>
      <c r="B75" s="1" t="s">
        <v>1180</v>
      </c>
      <c r="C75" s="1" t="s">
        <v>1181</v>
      </c>
      <c r="D75" s="1" t="s">
        <v>1181</v>
      </c>
      <c r="E75" s="1" t="s">
        <v>194</v>
      </c>
      <c r="F75" s="1" t="s">
        <v>862</v>
      </c>
      <c r="G75" s="1">
        <v>1</v>
      </c>
      <c r="H75" s="1">
        <v>1</v>
      </c>
      <c r="I75" s="1" t="s">
        <v>1182</v>
      </c>
      <c r="J75" s="1" t="s">
        <v>12</v>
      </c>
      <c r="K75" s="1" t="s">
        <v>14</v>
      </c>
      <c r="L75" s="1" t="s">
        <v>173</v>
      </c>
      <c r="M75" s="1" t="s">
        <v>12</v>
      </c>
      <c r="N75" s="1">
        <v>5</v>
      </c>
      <c r="O75" s="1" t="s">
        <v>1242</v>
      </c>
      <c r="P75" s="1" t="s">
        <v>12</v>
      </c>
      <c r="Q75" s="1">
        <v>0</v>
      </c>
      <c r="R75" s="1" t="s">
        <v>12</v>
      </c>
      <c r="S75" s="1">
        <v>0</v>
      </c>
      <c r="T75" s="1"/>
    </row>
    <row r="76" spans="1:20" ht="16.5" x14ac:dyDescent="0.3">
      <c r="A76" s="1">
        <v>10087</v>
      </c>
      <c r="B76" s="1" t="s">
        <v>1183</v>
      </c>
      <c r="C76" s="1" t="s">
        <v>1184</v>
      </c>
      <c r="D76" s="1" t="s">
        <v>1184</v>
      </c>
      <c r="E76" s="1" t="s">
        <v>194</v>
      </c>
      <c r="F76" s="1" t="s">
        <v>862</v>
      </c>
      <c r="G76" s="1">
        <v>1</v>
      </c>
      <c r="H76" s="1">
        <v>1</v>
      </c>
      <c r="I76" s="1" t="s">
        <v>1185</v>
      </c>
      <c r="J76" s="1" t="s">
        <v>12</v>
      </c>
      <c r="K76" s="1" t="s">
        <v>14</v>
      </c>
      <c r="L76" s="1" t="s">
        <v>173</v>
      </c>
      <c r="M76" s="1" t="s">
        <v>12</v>
      </c>
      <c r="N76" s="1">
        <v>5</v>
      </c>
      <c r="O76" s="1" t="s">
        <v>1243</v>
      </c>
      <c r="P76" s="1" t="s">
        <v>12</v>
      </c>
      <c r="Q76" s="1">
        <v>0</v>
      </c>
      <c r="R76" s="1" t="s">
        <v>12</v>
      </c>
      <c r="S76" s="1">
        <v>0</v>
      </c>
      <c r="T76" s="1"/>
    </row>
    <row r="77" spans="1:20" ht="16.5" x14ac:dyDescent="0.3">
      <c r="A77" s="1">
        <v>10088</v>
      </c>
      <c r="B77" s="1" t="s">
        <v>1186</v>
      </c>
      <c r="C77" s="1" t="s">
        <v>1187</v>
      </c>
      <c r="D77" s="1" t="s">
        <v>1187</v>
      </c>
      <c r="E77" s="1" t="s">
        <v>194</v>
      </c>
      <c r="F77" s="1" t="s">
        <v>862</v>
      </c>
      <c r="G77" s="1">
        <v>1</v>
      </c>
      <c r="H77" s="1">
        <v>1</v>
      </c>
      <c r="I77" s="1" t="s">
        <v>1188</v>
      </c>
      <c r="J77" s="1" t="s">
        <v>12</v>
      </c>
      <c r="K77" s="1" t="s">
        <v>14</v>
      </c>
      <c r="L77" s="1" t="s">
        <v>173</v>
      </c>
      <c r="M77" s="1" t="s">
        <v>12</v>
      </c>
      <c r="N77" s="1">
        <v>5</v>
      </c>
      <c r="O77" s="1" t="s">
        <v>1244</v>
      </c>
      <c r="P77" s="1" t="s">
        <v>12</v>
      </c>
      <c r="Q77" s="1">
        <v>0</v>
      </c>
      <c r="R77" s="1" t="s">
        <v>12</v>
      </c>
      <c r="S77" s="1">
        <v>0</v>
      </c>
      <c r="T77" s="1"/>
    </row>
    <row r="78" spans="1:20" ht="16.5" x14ac:dyDescent="0.3">
      <c r="A78" s="1">
        <v>10092</v>
      </c>
      <c r="B78" s="1" t="s">
        <v>440</v>
      </c>
      <c r="C78" s="1" t="s">
        <v>1189</v>
      </c>
      <c r="D78" s="1" t="s">
        <v>1189</v>
      </c>
      <c r="E78" s="1" t="s">
        <v>194</v>
      </c>
      <c r="F78" s="1" t="s">
        <v>862</v>
      </c>
      <c r="G78" s="1">
        <v>1</v>
      </c>
      <c r="H78" s="1">
        <v>2</v>
      </c>
      <c r="I78" s="1" t="s">
        <v>441</v>
      </c>
      <c r="J78" s="1" t="s">
        <v>12</v>
      </c>
      <c r="K78" s="1" t="s">
        <v>14</v>
      </c>
      <c r="L78" s="1" t="s">
        <v>173</v>
      </c>
      <c r="M78" s="1" t="s">
        <v>12</v>
      </c>
      <c r="N78" s="1">
        <v>10</v>
      </c>
      <c r="O78" s="1" t="s">
        <v>442</v>
      </c>
      <c r="P78" s="1" t="s">
        <v>12</v>
      </c>
      <c r="Q78" s="1">
        <v>0</v>
      </c>
      <c r="R78" s="1" t="s">
        <v>12</v>
      </c>
      <c r="S78" s="1">
        <v>0</v>
      </c>
      <c r="T78" s="1">
        <v>6</v>
      </c>
    </row>
    <row r="79" spans="1:20" ht="16.5" x14ac:dyDescent="0.3">
      <c r="A79" s="1">
        <v>10093</v>
      </c>
      <c r="B79" s="1" t="s">
        <v>1190</v>
      </c>
      <c r="C79" s="1" t="s">
        <v>1191</v>
      </c>
      <c r="D79" s="1" t="s">
        <v>1191</v>
      </c>
      <c r="E79" s="1" t="s">
        <v>194</v>
      </c>
      <c r="F79" s="1" t="s">
        <v>862</v>
      </c>
      <c r="G79" s="1">
        <v>1</v>
      </c>
      <c r="H79" s="1">
        <v>1</v>
      </c>
      <c r="I79" s="1" t="s">
        <v>1192</v>
      </c>
      <c r="J79" s="1" t="s">
        <v>12</v>
      </c>
      <c r="K79" s="1" t="s">
        <v>14</v>
      </c>
      <c r="L79" s="1" t="s">
        <v>173</v>
      </c>
      <c r="M79" s="1" t="s">
        <v>12</v>
      </c>
      <c r="N79" s="1">
        <v>5</v>
      </c>
      <c r="O79" s="1" t="s">
        <v>1245</v>
      </c>
      <c r="P79" s="1" t="s">
        <v>12</v>
      </c>
      <c r="Q79" s="1">
        <v>0</v>
      </c>
      <c r="R79" s="1" t="s">
        <v>12</v>
      </c>
      <c r="S79" s="1">
        <v>0</v>
      </c>
      <c r="T79" s="1"/>
    </row>
    <row r="80" spans="1:20" ht="16.5" x14ac:dyDescent="0.3">
      <c r="A80" s="1">
        <v>10094</v>
      </c>
      <c r="B80" s="1" t="s">
        <v>1193</v>
      </c>
      <c r="C80" s="1" t="s">
        <v>1194</v>
      </c>
      <c r="D80" s="1" t="s">
        <v>1194</v>
      </c>
      <c r="E80" s="1" t="s">
        <v>194</v>
      </c>
      <c r="F80" s="1" t="s">
        <v>862</v>
      </c>
      <c r="G80" s="1">
        <v>1</v>
      </c>
      <c r="H80" s="1">
        <v>1</v>
      </c>
      <c r="I80" s="1" t="s">
        <v>1195</v>
      </c>
      <c r="J80" s="1" t="s">
        <v>12</v>
      </c>
      <c r="K80" s="1" t="s">
        <v>14</v>
      </c>
      <c r="L80" s="1" t="s">
        <v>173</v>
      </c>
      <c r="M80" s="1" t="s">
        <v>12</v>
      </c>
      <c r="N80" s="1">
        <v>5</v>
      </c>
      <c r="O80" s="1" t="s">
        <v>1246</v>
      </c>
      <c r="P80" s="1" t="s">
        <v>12</v>
      </c>
      <c r="Q80" s="1">
        <v>0</v>
      </c>
      <c r="R80" s="1" t="s">
        <v>12</v>
      </c>
      <c r="S80" s="1">
        <v>0</v>
      </c>
      <c r="T80" s="1"/>
    </row>
    <row r="81" spans="1:20" ht="16.5" x14ac:dyDescent="0.3">
      <c r="A81" s="1">
        <v>10101</v>
      </c>
      <c r="B81" s="1" t="s">
        <v>110</v>
      </c>
      <c r="C81" s="1" t="s">
        <v>1196</v>
      </c>
      <c r="D81" s="1" t="s">
        <v>1196</v>
      </c>
      <c r="E81" s="1" t="s">
        <v>194</v>
      </c>
      <c r="F81" s="1" t="s">
        <v>862</v>
      </c>
      <c r="G81" s="1">
        <v>1</v>
      </c>
      <c r="H81" s="1">
        <v>4</v>
      </c>
      <c r="I81" s="1" t="s">
        <v>753</v>
      </c>
      <c r="J81" s="1" t="s">
        <v>12</v>
      </c>
      <c r="K81" s="1" t="s">
        <v>14</v>
      </c>
      <c r="L81" s="1" t="s">
        <v>173</v>
      </c>
      <c r="M81" s="1" t="s">
        <v>12</v>
      </c>
      <c r="N81" s="1">
        <v>80</v>
      </c>
      <c r="O81" s="1" t="s">
        <v>443</v>
      </c>
      <c r="P81" s="1" t="s">
        <v>12</v>
      </c>
      <c r="Q81" s="1">
        <v>0</v>
      </c>
      <c r="R81" s="1" t="s">
        <v>12</v>
      </c>
      <c r="S81" s="1">
        <v>0</v>
      </c>
      <c r="T81" s="1">
        <v>13</v>
      </c>
    </row>
    <row r="82" spans="1:20" ht="16.5" x14ac:dyDescent="0.3">
      <c r="A82" s="1">
        <v>10102</v>
      </c>
      <c r="B82" s="1" t="s">
        <v>444</v>
      </c>
      <c r="C82" s="1" t="s">
        <v>1197</v>
      </c>
      <c r="D82" s="1" t="s">
        <v>1197</v>
      </c>
      <c r="E82" s="1" t="s">
        <v>194</v>
      </c>
      <c r="F82" s="1" t="s">
        <v>862</v>
      </c>
      <c r="G82" s="1">
        <v>1</v>
      </c>
      <c r="H82" s="1">
        <v>4</v>
      </c>
      <c r="I82" s="1" t="s">
        <v>999</v>
      </c>
      <c r="J82" s="1" t="s">
        <v>12</v>
      </c>
      <c r="K82" s="1" t="s">
        <v>14</v>
      </c>
      <c r="L82" s="1" t="s">
        <v>173</v>
      </c>
      <c r="M82" s="1" t="s">
        <v>12</v>
      </c>
      <c r="N82" s="1">
        <v>80</v>
      </c>
      <c r="O82" s="1" t="s">
        <v>445</v>
      </c>
      <c r="P82" s="1" t="s">
        <v>12</v>
      </c>
      <c r="Q82" s="1">
        <v>0</v>
      </c>
      <c r="R82" s="1" t="s">
        <v>12</v>
      </c>
      <c r="S82" s="1">
        <v>0</v>
      </c>
      <c r="T82" s="1">
        <v>13</v>
      </c>
    </row>
    <row r="83" spans="1:20" ht="16.5" x14ac:dyDescent="0.3">
      <c r="A83" s="1">
        <v>10103</v>
      </c>
      <c r="B83" s="1" t="s">
        <v>893</v>
      </c>
      <c r="C83" s="1" t="s">
        <v>1198</v>
      </c>
      <c r="D83" s="1" t="s">
        <v>1198</v>
      </c>
      <c r="E83" s="1" t="s">
        <v>194</v>
      </c>
      <c r="F83" s="1" t="s">
        <v>862</v>
      </c>
      <c r="G83" s="1">
        <v>1</v>
      </c>
      <c r="H83" s="1">
        <v>3</v>
      </c>
      <c r="I83" s="1" t="s">
        <v>896</v>
      </c>
      <c r="J83" s="1" t="s">
        <v>12</v>
      </c>
      <c r="K83" s="1" t="s">
        <v>14</v>
      </c>
      <c r="L83" s="1" t="s">
        <v>173</v>
      </c>
      <c r="M83" s="1" t="s">
        <v>12</v>
      </c>
      <c r="N83" s="1">
        <v>40</v>
      </c>
      <c r="O83" s="1" t="s">
        <v>446</v>
      </c>
      <c r="P83" s="1" t="s">
        <v>12</v>
      </c>
      <c r="Q83" s="1">
        <v>0</v>
      </c>
      <c r="R83" s="1" t="s">
        <v>12</v>
      </c>
      <c r="S83" s="1">
        <v>0</v>
      </c>
      <c r="T83" s="1">
        <v>11</v>
      </c>
    </row>
    <row r="84" spans="1:20" ht="16.5" x14ac:dyDescent="0.3">
      <c r="A84" s="1">
        <v>10104</v>
      </c>
      <c r="B84" s="1" t="s">
        <v>894</v>
      </c>
      <c r="C84" s="1" t="s">
        <v>1199</v>
      </c>
      <c r="D84" s="1" t="s">
        <v>1199</v>
      </c>
      <c r="E84" s="1" t="s">
        <v>194</v>
      </c>
      <c r="F84" s="1" t="s">
        <v>862</v>
      </c>
      <c r="G84" s="1">
        <v>1</v>
      </c>
      <c r="H84" s="1">
        <v>3</v>
      </c>
      <c r="I84" s="1" t="s">
        <v>895</v>
      </c>
      <c r="J84" s="1" t="s">
        <v>12</v>
      </c>
      <c r="K84" s="1" t="s">
        <v>14</v>
      </c>
      <c r="L84" s="1" t="s">
        <v>173</v>
      </c>
      <c r="M84" s="1" t="s">
        <v>12</v>
      </c>
      <c r="N84" s="1">
        <v>40</v>
      </c>
      <c r="O84" s="1" t="s">
        <v>447</v>
      </c>
      <c r="P84" s="1" t="s">
        <v>12</v>
      </c>
      <c r="Q84" s="1">
        <v>0</v>
      </c>
      <c r="R84" s="1" t="s">
        <v>12</v>
      </c>
      <c r="S84" s="1">
        <v>0</v>
      </c>
      <c r="T84" s="1">
        <v>11</v>
      </c>
    </row>
    <row r="85" spans="1:20" ht="16.5" x14ac:dyDescent="0.3">
      <c r="A85" s="1">
        <v>10105</v>
      </c>
      <c r="B85" s="1" t="s">
        <v>448</v>
      </c>
      <c r="C85" s="1" t="s">
        <v>1200</v>
      </c>
      <c r="D85" s="1" t="s">
        <v>1200</v>
      </c>
      <c r="E85" s="1" t="s">
        <v>194</v>
      </c>
      <c r="F85" s="1" t="s">
        <v>862</v>
      </c>
      <c r="G85" s="1">
        <v>1</v>
      </c>
      <c r="H85" s="1">
        <v>3</v>
      </c>
      <c r="I85" s="1" t="s">
        <v>754</v>
      </c>
      <c r="J85" s="1" t="s">
        <v>12</v>
      </c>
      <c r="K85" s="1" t="s">
        <v>14</v>
      </c>
      <c r="L85" s="1" t="s">
        <v>173</v>
      </c>
      <c r="M85" s="1" t="s">
        <v>12</v>
      </c>
      <c r="N85" s="1">
        <v>40</v>
      </c>
      <c r="O85" s="1" t="s">
        <v>449</v>
      </c>
      <c r="P85" s="1" t="s">
        <v>12</v>
      </c>
      <c r="Q85" s="1">
        <v>0</v>
      </c>
      <c r="R85" s="1" t="s">
        <v>12</v>
      </c>
      <c r="S85" s="1">
        <v>0</v>
      </c>
      <c r="T85" s="1">
        <v>11</v>
      </c>
    </row>
    <row r="86" spans="1:20" ht="16.5" x14ac:dyDescent="0.3">
      <c r="A86" s="1">
        <v>10106</v>
      </c>
      <c r="B86" s="1" t="s">
        <v>450</v>
      </c>
      <c r="C86" s="1" t="s">
        <v>1201</v>
      </c>
      <c r="D86" s="1" t="s">
        <v>1201</v>
      </c>
      <c r="E86" s="1" t="s">
        <v>194</v>
      </c>
      <c r="F86" s="1" t="s">
        <v>862</v>
      </c>
      <c r="G86" s="1">
        <v>1</v>
      </c>
      <c r="H86" s="1">
        <v>3</v>
      </c>
      <c r="I86" s="1" t="s">
        <v>755</v>
      </c>
      <c r="J86" s="1" t="s">
        <v>12</v>
      </c>
      <c r="K86" s="1" t="s">
        <v>14</v>
      </c>
      <c r="L86" s="1" t="s">
        <v>173</v>
      </c>
      <c r="M86" s="1" t="s">
        <v>12</v>
      </c>
      <c r="N86" s="1">
        <v>40</v>
      </c>
      <c r="O86" s="1" t="s">
        <v>451</v>
      </c>
      <c r="P86" s="1" t="s">
        <v>12</v>
      </c>
      <c r="Q86" s="1">
        <v>0</v>
      </c>
      <c r="R86" s="1" t="s">
        <v>12</v>
      </c>
      <c r="S86" s="1">
        <v>0</v>
      </c>
      <c r="T86" s="1">
        <v>11</v>
      </c>
    </row>
    <row r="87" spans="1:20" ht="16.5" x14ac:dyDescent="0.3">
      <c r="A87" s="1">
        <v>10107</v>
      </c>
      <c r="B87" s="1" t="s">
        <v>452</v>
      </c>
      <c r="C87" s="1" t="s">
        <v>1202</v>
      </c>
      <c r="D87" s="1" t="s">
        <v>1202</v>
      </c>
      <c r="E87" s="1" t="s">
        <v>194</v>
      </c>
      <c r="F87" s="1" t="s">
        <v>862</v>
      </c>
      <c r="G87" s="1">
        <v>1</v>
      </c>
      <c r="H87" s="1">
        <v>4</v>
      </c>
      <c r="I87" s="1" t="s">
        <v>756</v>
      </c>
      <c r="J87" s="1" t="s">
        <v>12</v>
      </c>
      <c r="K87" s="1" t="s">
        <v>14</v>
      </c>
      <c r="L87" s="1" t="s">
        <v>173</v>
      </c>
      <c r="M87" s="1" t="s">
        <v>12</v>
      </c>
      <c r="N87" s="1">
        <v>80</v>
      </c>
      <c r="O87" s="1" t="s">
        <v>453</v>
      </c>
      <c r="P87" s="1" t="s">
        <v>12</v>
      </c>
      <c r="Q87" s="1">
        <v>0</v>
      </c>
      <c r="R87" s="1" t="s">
        <v>12</v>
      </c>
      <c r="S87" s="1">
        <v>0</v>
      </c>
      <c r="T87" s="1">
        <v>13</v>
      </c>
    </row>
    <row r="88" spans="1:20" ht="16.5" x14ac:dyDescent="0.3">
      <c r="A88" s="1">
        <v>10108</v>
      </c>
      <c r="B88" s="1" t="s">
        <v>454</v>
      </c>
      <c r="C88" s="1" t="s">
        <v>1203</v>
      </c>
      <c r="D88" s="1" t="s">
        <v>1203</v>
      </c>
      <c r="E88" s="1" t="s">
        <v>194</v>
      </c>
      <c r="F88" s="1" t="s">
        <v>862</v>
      </c>
      <c r="G88" s="1">
        <v>1</v>
      </c>
      <c r="H88" s="1">
        <v>4</v>
      </c>
      <c r="I88" s="1" t="s">
        <v>455</v>
      </c>
      <c r="J88" s="1" t="s">
        <v>12</v>
      </c>
      <c r="K88" s="1" t="s">
        <v>14</v>
      </c>
      <c r="L88" s="1" t="s">
        <v>173</v>
      </c>
      <c r="M88" s="1" t="s">
        <v>12</v>
      </c>
      <c r="N88" s="1">
        <v>80</v>
      </c>
      <c r="O88" s="1" t="s">
        <v>456</v>
      </c>
      <c r="P88" s="1" t="s">
        <v>12</v>
      </c>
      <c r="Q88" s="1">
        <v>0</v>
      </c>
      <c r="R88" s="1" t="s">
        <v>12</v>
      </c>
      <c r="S88" s="1">
        <v>0</v>
      </c>
      <c r="T88" s="1">
        <v>13</v>
      </c>
    </row>
    <row r="89" spans="1:20" ht="16.5" x14ac:dyDescent="0.3">
      <c r="A89" s="1">
        <v>10111</v>
      </c>
      <c r="B89" s="1" t="s">
        <v>457</v>
      </c>
      <c r="C89" s="1" t="s">
        <v>1204</v>
      </c>
      <c r="D89" s="1" t="s">
        <v>1204</v>
      </c>
      <c r="E89" s="1" t="s">
        <v>194</v>
      </c>
      <c r="F89" s="1" t="s">
        <v>862</v>
      </c>
      <c r="G89" s="1">
        <v>1</v>
      </c>
      <c r="H89" s="1">
        <v>4</v>
      </c>
      <c r="I89" s="1" t="s">
        <v>757</v>
      </c>
      <c r="J89" s="1" t="s">
        <v>12</v>
      </c>
      <c r="K89" s="1" t="s">
        <v>14</v>
      </c>
      <c r="L89" s="1" t="s">
        <v>173</v>
      </c>
      <c r="M89" s="1" t="s">
        <v>12</v>
      </c>
      <c r="N89" s="1">
        <v>100</v>
      </c>
      <c r="O89" s="1" t="s">
        <v>458</v>
      </c>
      <c r="P89" s="1" t="s">
        <v>12</v>
      </c>
      <c r="Q89" s="1">
        <v>0</v>
      </c>
      <c r="R89" s="1" t="s">
        <v>12</v>
      </c>
      <c r="S89" s="1">
        <v>0</v>
      </c>
      <c r="T89" s="1">
        <v>16</v>
      </c>
    </row>
    <row r="90" spans="1:20" ht="16.5" x14ac:dyDescent="0.3">
      <c r="A90" s="1">
        <v>10112</v>
      </c>
      <c r="B90" s="1" t="s">
        <v>459</v>
      </c>
      <c r="C90" s="1" t="s">
        <v>1205</v>
      </c>
      <c r="D90" s="1" t="s">
        <v>1205</v>
      </c>
      <c r="E90" s="1" t="s">
        <v>194</v>
      </c>
      <c r="F90" s="1" t="s">
        <v>862</v>
      </c>
      <c r="G90" s="1">
        <v>1</v>
      </c>
      <c r="H90" s="1">
        <v>4</v>
      </c>
      <c r="I90" s="1" t="s">
        <v>758</v>
      </c>
      <c r="J90" s="1" t="s">
        <v>12</v>
      </c>
      <c r="K90" s="1" t="s">
        <v>14</v>
      </c>
      <c r="L90" s="1" t="s">
        <v>173</v>
      </c>
      <c r="M90" s="1" t="s">
        <v>12</v>
      </c>
      <c r="N90" s="1">
        <v>100</v>
      </c>
      <c r="O90" s="1" t="s">
        <v>460</v>
      </c>
      <c r="P90" s="1" t="s">
        <v>12</v>
      </c>
      <c r="Q90" s="1">
        <v>0</v>
      </c>
      <c r="R90" s="1" t="s">
        <v>12</v>
      </c>
      <c r="S90" s="1">
        <v>0</v>
      </c>
      <c r="T90" s="1">
        <v>16</v>
      </c>
    </row>
    <row r="91" spans="1:20" ht="16.5" x14ac:dyDescent="0.3">
      <c r="A91" s="1">
        <v>10113</v>
      </c>
      <c r="B91" s="1" t="s">
        <v>461</v>
      </c>
      <c r="C91" s="1" t="s">
        <v>1206</v>
      </c>
      <c r="D91" s="1" t="s">
        <v>1206</v>
      </c>
      <c r="E91" s="1" t="s">
        <v>194</v>
      </c>
      <c r="F91" s="1" t="s">
        <v>862</v>
      </c>
      <c r="G91" s="1">
        <v>1</v>
      </c>
      <c r="H91" s="1">
        <v>4</v>
      </c>
      <c r="I91" s="1" t="s">
        <v>759</v>
      </c>
      <c r="J91" s="1" t="s">
        <v>12</v>
      </c>
      <c r="K91" s="1" t="s">
        <v>14</v>
      </c>
      <c r="L91" s="1" t="s">
        <v>173</v>
      </c>
      <c r="M91" s="1" t="s">
        <v>12</v>
      </c>
      <c r="N91" s="1">
        <v>100</v>
      </c>
      <c r="O91" s="1" t="s">
        <v>462</v>
      </c>
      <c r="P91" s="1" t="s">
        <v>12</v>
      </c>
      <c r="Q91" s="1">
        <v>0</v>
      </c>
      <c r="R91" s="1" t="s">
        <v>12</v>
      </c>
      <c r="S91" s="1">
        <v>0</v>
      </c>
      <c r="T91" s="1">
        <v>16</v>
      </c>
    </row>
    <row r="92" spans="1:20" ht="16.5" x14ac:dyDescent="0.3">
      <c r="A92" s="1">
        <v>10114</v>
      </c>
      <c r="B92" s="1" t="s">
        <v>463</v>
      </c>
      <c r="C92" s="1" t="s">
        <v>1207</v>
      </c>
      <c r="D92" s="1" t="s">
        <v>1207</v>
      </c>
      <c r="E92" s="1" t="s">
        <v>194</v>
      </c>
      <c r="F92" s="1" t="s">
        <v>862</v>
      </c>
      <c r="G92" s="1">
        <v>1</v>
      </c>
      <c r="H92" s="1">
        <v>4</v>
      </c>
      <c r="I92" s="1" t="s">
        <v>760</v>
      </c>
      <c r="J92" s="1" t="s">
        <v>12</v>
      </c>
      <c r="K92" s="1" t="s">
        <v>14</v>
      </c>
      <c r="L92" s="1" t="s">
        <v>173</v>
      </c>
      <c r="M92" s="1" t="s">
        <v>12</v>
      </c>
      <c r="N92" s="1">
        <v>100</v>
      </c>
      <c r="O92" s="1" t="s">
        <v>464</v>
      </c>
      <c r="P92" s="1" t="s">
        <v>12</v>
      </c>
      <c r="Q92" s="1">
        <v>0</v>
      </c>
      <c r="R92" s="1" t="s">
        <v>12</v>
      </c>
      <c r="S92" s="1">
        <v>0</v>
      </c>
      <c r="T92" s="1">
        <v>16</v>
      </c>
    </row>
    <row r="93" spans="1:20" ht="16.5" x14ac:dyDescent="0.3">
      <c r="A93" s="1">
        <v>10115</v>
      </c>
      <c r="B93" s="1" t="s">
        <v>465</v>
      </c>
      <c r="C93" s="1" t="s">
        <v>1208</v>
      </c>
      <c r="D93" s="1" t="s">
        <v>1208</v>
      </c>
      <c r="E93" s="1" t="s">
        <v>194</v>
      </c>
      <c r="F93" s="1" t="s">
        <v>862</v>
      </c>
      <c r="G93" s="1">
        <v>1</v>
      </c>
      <c r="H93" s="1">
        <v>4</v>
      </c>
      <c r="I93" s="1" t="s">
        <v>761</v>
      </c>
      <c r="J93" s="1" t="s">
        <v>12</v>
      </c>
      <c r="K93" s="1" t="s">
        <v>14</v>
      </c>
      <c r="L93" s="1" t="s">
        <v>173</v>
      </c>
      <c r="M93" s="1" t="s">
        <v>12</v>
      </c>
      <c r="N93" s="1">
        <v>100</v>
      </c>
      <c r="O93" s="1" t="s">
        <v>466</v>
      </c>
      <c r="P93" s="1" t="s">
        <v>12</v>
      </c>
      <c r="Q93" s="1">
        <v>0</v>
      </c>
      <c r="R93" s="1" t="s">
        <v>12</v>
      </c>
      <c r="S93" s="1">
        <v>0</v>
      </c>
      <c r="T93" s="1">
        <v>16</v>
      </c>
    </row>
    <row r="94" spans="1:20" ht="16.5" x14ac:dyDescent="0.3">
      <c r="A94" s="1">
        <v>10116</v>
      </c>
      <c r="B94" s="1" t="s">
        <v>467</v>
      </c>
      <c r="C94" s="1" t="s">
        <v>1209</v>
      </c>
      <c r="D94" s="1" t="s">
        <v>1209</v>
      </c>
      <c r="E94" s="1" t="s">
        <v>194</v>
      </c>
      <c r="F94" s="1" t="s">
        <v>862</v>
      </c>
      <c r="G94" s="1">
        <v>1</v>
      </c>
      <c r="H94" s="1">
        <v>4</v>
      </c>
      <c r="I94" s="1" t="s">
        <v>762</v>
      </c>
      <c r="J94" s="1" t="s">
        <v>12</v>
      </c>
      <c r="K94" s="1" t="s">
        <v>14</v>
      </c>
      <c r="L94" s="1" t="s">
        <v>173</v>
      </c>
      <c r="M94" s="1" t="s">
        <v>12</v>
      </c>
      <c r="N94" s="1">
        <v>80</v>
      </c>
      <c r="O94" s="1" t="s">
        <v>468</v>
      </c>
      <c r="P94" s="1" t="s">
        <v>12</v>
      </c>
      <c r="Q94" s="1">
        <v>0</v>
      </c>
      <c r="R94" s="1" t="s">
        <v>12</v>
      </c>
      <c r="S94" s="1">
        <v>0</v>
      </c>
      <c r="T94" s="1">
        <v>13</v>
      </c>
    </row>
    <row r="95" spans="1:20" ht="16.5" x14ac:dyDescent="0.3">
      <c r="A95" s="1">
        <v>10117</v>
      </c>
      <c r="B95" s="1" t="s">
        <v>1210</v>
      </c>
      <c r="C95" s="1" t="s">
        <v>1211</v>
      </c>
      <c r="D95" s="1" t="s">
        <v>1211</v>
      </c>
      <c r="E95" s="1" t="s">
        <v>194</v>
      </c>
      <c r="F95" s="1" t="s">
        <v>862</v>
      </c>
      <c r="G95" s="1">
        <v>1</v>
      </c>
      <c r="H95" s="1">
        <v>1</v>
      </c>
      <c r="I95" s="1" t="s">
        <v>1212</v>
      </c>
      <c r="J95" s="1" t="s">
        <v>12</v>
      </c>
      <c r="K95" s="1" t="s">
        <v>14</v>
      </c>
      <c r="L95" s="1" t="s">
        <v>173</v>
      </c>
      <c r="M95" s="1" t="s">
        <v>12</v>
      </c>
      <c r="N95" s="1">
        <v>5</v>
      </c>
      <c r="O95" s="1" t="s">
        <v>1247</v>
      </c>
      <c r="P95" s="1" t="s">
        <v>12</v>
      </c>
      <c r="Q95" s="1">
        <v>0</v>
      </c>
      <c r="R95" s="1" t="s">
        <v>12</v>
      </c>
      <c r="S95" s="1">
        <v>0</v>
      </c>
      <c r="T95" s="1"/>
    </row>
    <row r="96" spans="1:20" ht="16.5" x14ac:dyDescent="0.3">
      <c r="A96" s="1">
        <v>10118</v>
      </c>
      <c r="B96" s="1" t="s">
        <v>921</v>
      </c>
      <c r="C96" s="1" t="s">
        <v>1213</v>
      </c>
      <c r="D96" s="1" t="s">
        <v>1213</v>
      </c>
      <c r="E96" s="1" t="s">
        <v>194</v>
      </c>
      <c r="F96" s="1" t="s">
        <v>862</v>
      </c>
      <c r="G96" s="1">
        <v>1</v>
      </c>
      <c r="H96" s="1">
        <v>4</v>
      </c>
      <c r="I96" s="1" t="s">
        <v>923</v>
      </c>
      <c r="J96" s="1" t="s">
        <v>12</v>
      </c>
      <c r="K96" s="1" t="s">
        <v>14</v>
      </c>
      <c r="L96" s="1" t="s">
        <v>173</v>
      </c>
      <c r="M96" s="1" t="s">
        <v>12</v>
      </c>
      <c r="N96" s="1">
        <v>100</v>
      </c>
      <c r="O96" s="1" t="s">
        <v>924</v>
      </c>
      <c r="P96" s="1" t="s">
        <v>12</v>
      </c>
      <c r="Q96" s="1">
        <v>0</v>
      </c>
      <c r="R96" s="1" t="s">
        <v>12</v>
      </c>
      <c r="S96" s="1">
        <v>0</v>
      </c>
      <c r="T96" s="1">
        <v>16</v>
      </c>
    </row>
    <row r="97" spans="1:20" ht="16.5" x14ac:dyDescent="0.3">
      <c r="A97" s="1">
        <v>10119</v>
      </c>
      <c r="B97" s="1" t="s">
        <v>922</v>
      </c>
      <c r="C97" s="1" t="s">
        <v>1214</v>
      </c>
      <c r="D97" s="1" t="s">
        <v>1214</v>
      </c>
      <c r="E97" s="1" t="s">
        <v>194</v>
      </c>
      <c r="F97" s="1" t="s">
        <v>862</v>
      </c>
      <c r="G97" s="1">
        <v>1</v>
      </c>
      <c r="H97" s="1">
        <v>4</v>
      </c>
      <c r="I97" s="1" t="s">
        <v>925</v>
      </c>
      <c r="J97" s="1" t="s">
        <v>12</v>
      </c>
      <c r="K97" s="1" t="s">
        <v>14</v>
      </c>
      <c r="L97" s="1" t="s">
        <v>173</v>
      </c>
      <c r="M97" s="1" t="s">
        <v>12</v>
      </c>
      <c r="N97" s="1">
        <v>100</v>
      </c>
      <c r="O97" s="1" t="s">
        <v>926</v>
      </c>
      <c r="P97" s="1" t="s">
        <v>12</v>
      </c>
      <c r="Q97" s="1">
        <v>0</v>
      </c>
      <c r="R97" s="1" t="s">
        <v>12</v>
      </c>
      <c r="S97" s="1">
        <v>0</v>
      </c>
      <c r="T97" s="1">
        <v>16</v>
      </c>
    </row>
    <row r="98" spans="1:20" ht="16.5" x14ac:dyDescent="0.3">
      <c r="A98" s="1">
        <v>10120</v>
      </c>
      <c r="B98" s="1" t="s">
        <v>1030</v>
      </c>
      <c r="C98" s="1" t="s">
        <v>1044</v>
      </c>
      <c r="D98" s="1" t="s">
        <v>1044</v>
      </c>
      <c r="E98" s="1" t="s">
        <v>194</v>
      </c>
      <c r="F98" s="1" t="s">
        <v>862</v>
      </c>
      <c r="G98" s="1">
        <v>1</v>
      </c>
      <c r="H98" s="1">
        <v>4</v>
      </c>
      <c r="I98" s="1" t="s">
        <v>178</v>
      </c>
      <c r="J98" s="1" t="s">
        <v>12</v>
      </c>
      <c r="K98" s="1" t="s">
        <v>14</v>
      </c>
      <c r="L98" s="1" t="s">
        <v>173</v>
      </c>
      <c r="M98" s="1" t="s">
        <v>12</v>
      </c>
      <c r="N98" s="1">
        <v>100</v>
      </c>
      <c r="O98" s="1" t="s">
        <v>1057</v>
      </c>
      <c r="P98" s="1" t="s">
        <v>12</v>
      </c>
      <c r="Q98" s="1">
        <v>0</v>
      </c>
      <c r="R98" s="1" t="s">
        <v>12</v>
      </c>
      <c r="S98" s="1">
        <v>0</v>
      </c>
      <c r="T98" s="1"/>
    </row>
    <row r="99" spans="1:20" ht="16.5" x14ac:dyDescent="0.3">
      <c r="A99" s="1">
        <v>10121</v>
      </c>
      <c r="B99" s="1" t="s">
        <v>1031</v>
      </c>
      <c r="C99" s="1" t="s">
        <v>1045</v>
      </c>
      <c r="D99" s="1" t="s">
        <v>1045</v>
      </c>
      <c r="E99" s="1" t="s">
        <v>194</v>
      </c>
      <c r="F99" s="1" t="s">
        <v>862</v>
      </c>
      <c r="G99" s="1">
        <v>1</v>
      </c>
      <c r="H99" s="1">
        <v>4</v>
      </c>
      <c r="I99" s="1" t="s">
        <v>178</v>
      </c>
      <c r="J99" s="1" t="s">
        <v>12</v>
      </c>
      <c r="K99" s="1" t="s">
        <v>14</v>
      </c>
      <c r="L99" s="1" t="s">
        <v>173</v>
      </c>
      <c r="M99" s="1" t="s">
        <v>12</v>
      </c>
      <c r="N99" s="1">
        <v>100</v>
      </c>
      <c r="O99" s="1" t="s">
        <v>1058</v>
      </c>
      <c r="P99" s="1" t="s">
        <v>12</v>
      </c>
      <c r="Q99" s="1">
        <v>0</v>
      </c>
      <c r="R99" s="1" t="s">
        <v>12</v>
      </c>
      <c r="S99" s="1">
        <v>0</v>
      </c>
      <c r="T99" s="1"/>
    </row>
    <row r="100" spans="1:20" ht="16.5" x14ac:dyDescent="0.3">
      <c r="A100" s="1">
        <v>10122</v>
      </c>
      <c r="B100" s="1" t="s">
        <v>1032</v>
      </c>
      <c r="C100" s="1" t="s">
        <v>1046</v>
      </c>
      <c r="D100" s="1" t="s">
        <v>1046</v>
      </c>
      <c r="E100" s="1" t="s">
        <v>194</v>
      </c>
      <c r="F100" s="1" t="s">
        <v>862</v>
      </c>
      <c r="G100" s="1">
        <v>1</v>
      </c>
      <c r="H100" s="1">
        <v>4</v>
      </c>
      <c r="I100" s="1" t="s">
        <v>178</v>
      </c>
      <c r="J100" s="1" t="s">
        <v>12</v>
      </c>
      <c r="K100" s="1" t="s">
        <v>14</v>
      </c>
      <c r="L100" s="1" t="s">
        <v>173</v>
      </c>
      <c r="M100" s="1" t="s">
        <v>12</v>
      </c>
      <c r="N100" s="1">
        <v>100</v>
      </c>
      <c r="O100" s="1" t="s">
        <v>1059</v>
      </c>
      <c r="P100" s="1" t="s">
        <v>12</v>
      </c>
      <c r="Q100" s="1">
        <v>0</v>
      </c>
      <c r="R100" s="1" t="s">
        <v>12</v>
      </c>
      <c r="S100" s="1">
        <v>0</v>
      </c>
      <c r="T100" s="1"/>
    </row>
    <row r="101" spans="1:20" ht="16.5" x14ac:dyDescent="0.3">
      <c r="A101" s="1">
        <v>10123</v>
      </c>
      <c r="B101" s="1" t="s">
        <v>1033</v>
      </c>
      <c r="C101" s="1" t="s">
        <v>1047</v>
      </c>
      <c r="D101" s="1" t="s">
        <v>1047</v>
      </c>
      <c r="E101" s="1" t="s">
        <v>194</v>
      </c>
      <c r="F101" s="1" t="s">
        <v>862</v>
      </c>
      <c r="G101" s="1">
        <v>1</v>
      </c>
      <c r="H101" s="1">
        <v>3</v>
      </c>
      <c r="I101" s="1" t="s">
        <v>1043</v>
      </c>
      <c r="J101" s="1" t="s">
        <v>12</v>
      </c>
      <c r="K101" s="1" t="s">
        <v>14</v>
      </c>
      <c r="L101" s="1" t="s">
        <v>173</v>
      </c>
      <c r="M101" s="1" t="s">
        <v>12</v>
      </c>
      <c r="N101" s="1">
        <v>100</v>
      </c>
      <c r="O101" s="1" t="s">
        <v>1060</v>
      </c>
      <c r="P101" s="1" t="s">
        <v>12</v>
      </c>
      <c r="Q101" s="1">
        <v>0</v>
      </c>
      <c r="R101" s="1" t="s">
        <v>12</v>
      </c>
      <c r="S101" s="1">
        <v>0</v>
      </c>
      <c r="T101" s="1"/>
    </row>
    <row r="102" spans="1:20" ht="16.5" x14ac:dyDescent="0.3">
      <c r="A102" s="1">
        <v>10124</v>
      </c>
      <c r="B102" s="1" t="s">
        <v>1034</v>
      </c>
      <c r="C102" s="1" t="s">
        <v>1048</v>
      </c>
      <c r="D102" s="1" t="s">
        <v>1048</v>
      </c>
      <c r="E102" s="1" t="s">
        <v>194</v>
      </c>
      <c r="F102" s="1" t="s">
        <v>862</v>
      </c>
      <c r="G102" s="1">
        <v>1</v>
      </c>
      <c r="H102" s="1">
        <v>4</v>
      </c>
      <c r="I102" s="1" t="s">
        <v>178</v>
      </c>
      <c r="J102" s="1" t="s">
        <v>12</v>
      </c>
      <c r="K102" s="1" t="s">
        <v>14</v>
      </c>
      <c r="L102" s="1" t="s">
        <v>173</v>
      </c>
      <c r="M102" s="1" t="s">
        <v>12</v>
      </c>
      <c r="N102" s="1">
        <v>100</v>
      </c>
      <c r="O102" s="1" t="s">
        <v>1061</v>
      </c>
      <c r="P102" s="1" t="s">
        <v>12</v>
      </c>
      <c r="Q102" s="1">
        <v>0</v>
      </c>
      <c r="R102" s="1" t="s">
        <v>12</v>
      </c>
      <c r="S102" s="1">
        <v>0</v>
      </c>
      <c r="T102" s="1"/>
    </row>
    <row r="103" spans="1:20" ht="16.5" x14ac:dyDescent="0.3">
      <c r="A103" s="1">
        <v>10124</v>
      </c>
      <c r="B103" s="1" t="s">
        <v>1034</v>
      </c>
      <c r="C103" s="1" t="s">
        <v>1048</v>
      </c>
      <c r="D103" s="1" t="s">
        <v>1048</v>
      </c>
      <c r="E103" s="1" t="s">
        <v>194</v>
      </c>
      <c r="F103" s="1" t="s">
        <v>862</v>
      </c>
      <c r="G103" s="1">
        <v>1</v>
      </c>
      <c r="H103" s="1">
        <v>4</v>
      </c>
      <c r="I103" s="1" t="s">
        <v>178</v>
      </c>
      <c r="J103" s="1" t="s">
        <v>12</v>
      </c>
      <c r="K103" s="1" t="s">
        <v>14</v>
      </c>
      <c r="L103" s="1" t="s">
        <v>173</v>
      </c>
      <c r="M103" s="1" t="s">
        <v>12</v>
      </c>
      <c r="N103" s="1">
        <v>100</v>
      </c>
      <c r="O103" s="1" t="s">
        <v>1061</v>
      </c>
      <c r="P103" s="1" t="s">
        <v>12</v>
      </c>
      <c r="Q103" s="1">
        <v>0</v>
      </c>
      <c r="R103" s="1" t="s">
        <v>12</v>
      </c>
      <c r="S103" s="1">
        <v>0</v>
      </c>
      <c r="T103" s="1"/>
    </row>
    <row r="104" spans="1:20" ht="16.5" x14ac:dyDescent="0.3">
      <c r="A104" s="1">
        <v>10125</v>
      </c>
      <c r="B104" s="1" t="s">
        <v>1035</v>
      </c>
      <c r="C104" s="1" t="s">
        <v>1049</v>
      </c>
      <c r="D104" s="1" t="s">
        <v>1049</v>
      </c>
      <c r="E104" s="1" t="s">
        <v>194</v>
      </c>
      <c r="F104" s="1" t="s">
        <v>862</v>
      </c>
      <c r="G104" s="1">
        <v>1</v>
      </c>
      <c r="H104" s="1">
        <v>4</v>
      </c>
      <c r="I104" s="1" t="s">
        <v>178</v>
      </c>
      <c r="J104" s="1" t="s">
        <v>12</v>
      </c>
      <c r="K104" s="1" t="s">
        <v>14</v>
      </c>
      <c r="L104" s="1" t="s">
        <v>173</v>
      </c>
      <c r="M104" s="1" t="s">
        <v>12</v>
      </c>
      <c r="N104" s="1">
        <v>100</v>
      </c>
      <c r="O104" s="1" t="s">
        <v>1062</v>
      </c>
      <c r="P104" s="1" t="s">
        <v>12</v>
      </c>
      <c r="Q104" s="1">
        <v>0</v>
      </c>
      <c r="R104" s="1" t="s">
        <v>12</v>
      </c>
      <c r="S104" s="1">
        <v>0</v>
      </c>
      <c r="T104" s="1"/>
    </row>
    <row r="105" spans="1:20" ht="16.5" x14ac:dyDescent="0.3">
      <c r="A105" s="1">
        <v>10125</v>
      </c>
      <c r="B105" s="1" t="s">
        <v>1035</v>
      </c>
      <c r="C105" s="1" t="s">
        <v>1049</v>
      </c>
      <c r="D105" s="1" t="s">
        <v>1049</v>
      </c>
      <c r="E105" s="1" t="s">
        <v>194</v>
      </c>
      <c r="F105" s="1" t="s">
        <v>862</v>
      </c>
      <c r="G105" s="1">
        <v>1</v>
      </c>
      <c r="H105" s="1">
        <v>4</v>
      </c>
      <c r="I105" s="1" t="s">
        <v>178</v>
      </c>
      <c r="J105" s="1" t="s">
        <v>12</v>
      </c>
      <c r="K105" s="1" t="s">
        <v>14</v>
      </c>
      <c r="L105" s="1" t="s">
        <v>173</v>
      </c>
      <c r="M105" s="1" t="s">
        <v>12</v>
      </c>
      <c r="N105" s="1">
        <v>100</v>
      </c>
      <c r="O105" s="1" t="s">
        <v>1062</v>
      </c>
      <c r="P105" s="1" t="s">
        <v>12</v>
      </c>
      <c r="Q105" s="1">
        <v>0</v>
      </c>
      <c r="R105" s="1" t="s">
        <v>12</v>
      </c>
      <c r="S105" s="1">
        <v>0</v>
      </c>
      <c r="T105" s="1"/>
    </row>
    <row r="106" spans="1:20" ht="16.5" x14ac:dyDescent="0.3">
      <c r="A106" s="1">
        <v>10126</v>
      </c>
      <c r="B106" s="1" t="s">
        <v>1036</v>
      </c>
      <c r="C106" s="1" t="s">
        <v>1215</v>
      </c>
      <c r="D106" s="1" t="s">
        <v>1215</v>
      </c>
      <c r="E106" s="1" t="s">
        <v>194</v>
      </c>
      <c r="F106" s="1" t="s">
        <v>862</v>
      </c>
      <c r="G106" s="1">
        <v>1</v>
      </c>
      <c r="H106" s="1">
        <v>3</v>
      </c>
      <c r="I106" s="1" t="s">
        <v>1216</v>
      </c>
      <c r="J106" s="1" t="s">
        <v>12</v>
      </c>
      <c r="K106" s="1" t="s">
        <v>14</v>
      </c>
      <c r="L106" s="1" t="s">
        <v>173</v>
      </c>
      <c r="M106" s="1" t="s">
        <v>12</v>
      </c>
      <c r="N106" s="1">
        <v>40</v>
      </c>
      <c r="O106" s="1" t="s">
        <v>1063</v>
      </c>
      <c r="P106" s="1" t="s">
        <v>12</v>
      </c>
      <c r="Q106" s="1">
        <v>0</v>
      </c>
      <c r="R106" s="1" t="s">
        <v>12</v>
      </c>
      <c r="S106" s="1">
        <v>0</v>
      </c>
      <c r="T106" s="1"/>
    </row>
    <row r="107" spans="1:20" ht="16.5" x14ac:dyDescent="0.3">
      <c r="A107" s="1">
        <v>10127</v>
      </c>
      <c r="B107" s="1" t="s">
        <v>1037</v>
      </c>
      <c r="C107" s="1" t="s">
        <v>1050</v>
      </c>
      <c r="D107" s="1" t="s">
        <v>1050</v>
      </c>
      <c r="E107" s="1" t="s">
        <v>194</v>
      </c>
      <c r="F107" s="1" t="s">
        <v>862</v>
      </c>
      <c r="G107" s="1">
        <v>1</v>
      </c>
      <c r="H107" s="1">
        <v>4</v>
      </c>
      <c r="I107" s="1" t="s">
        <v>178</v>
      </c>
      <c r="J107" s="1" t="s">
        <v>12</v>
      </c>
      <c r="K107" s="1" t="s">
        <v>14</v>
      </c>
      <c r="L107" s="1" t="s">
        <v>173</v>
      </c>
      <c r="M107" s="1" t="s">
        <v>12</v>
      </c>
      <c r="N107" s="1">
        <v>100</v>
      </c>
      <c r="O107" s="1" t="s">
        <v>1064</v>
      </c>
      <c r="P107" s="1" t="s">
        <v>12</v>
      </c>
      <c r="Q107" s="1">
        <v>0</v>
      </c>
      <c r="R107" s="1" t="s">
        <v>12</v>
      </c>
      <c r="S107" s="1">
        <v>0</v>
      </c>
      <c r="T107" s="1"/>
    </row>
    <row r="108" spans="1:20" ht="16.5" x14ac:dyDescent="0.3">
      <c r="A108" s="1">
        <v>10401</v>
      </c>
      <c r="B108" s="1" t="s">
        <v>1217</v>
      </c>
      <c r="C108" s="1" t="s">
        <v>1218</v>
      </c>
      <c r="D108" s="1" t="s">
        <v>1218</v>
      </c>
      <c r="E108" s="1" t="s">
        <v>194</v>
      </c>
      <c r="F108" s="1" t="s">
        <v>862</v>
      </c>
      <c r="G108" s="1">
        <v>1</v>
      </c>
      <c r="H108" s="1">
        <v>1</v>
      </c>
      <c r="I108" s="1" t="s">
        <v>1219</v>
      </c>
      <c r="J108" s="1" t="s">
        <v>12</v>
      </c>
      <c r="K108" s="1" t="s">
        <v>14</v>
      </c>
      <c r="L108" s="1" t="s">
        <v>173</v>
      </c>
      <c r="M108" s="1" t="s">
        <v>12</v>
      </c>
      <c r="N108" s="1">
        <v>5</v>
      </c>
      <c r="O108" s="1" t="s">
        <v>1248</v>
      </c>
      <c r="P108" s="1" t="s">
        <v>12</v>
      </c>
      <c r="Q108" s="1">
        <v>0</v>
      </c>
      <c r="R108" s="1" t="s">
        <v>12</v>
      </c>
      <c r="S108" s="1">
        <v>0</v>
      </c>
      <c r="T108" s="1"/>
    </row>
    <row r="109" spans="1:20" ht="16.5" x14ac:dyDescent="0.3">
      <c r="A109" s="1">
        <v>10402</v>
      </c>
      <c r="B109" s="1" t="s">
        <v>1220</v>
      </c>
      <c r="C109" s="1" t="s">
        <v>1221</v>
      </c>
      <c r="D109" s="1" t="s">
        <v>1221</v>
      </c>
      <c r="E109" s="1" t="s">
        <v>194</v>
      </c>
      <c r="F109" s="1" t="s">
        <v>862</v>
      </c>
      <c r="G109" s="1">
        <v>1</v>
      </c>
      <c r="H109" s="1">
        <v>1</v>
      </c>
      <c r="I109" s="1" t="s">
        <v>1222</v>
      </c>
      <c r="J109" s="1" t="s">
        <v>12</v>
      </c>
      <c r="K109" s="1" t="s">
        <v>14</v>
      </c>
      <c r="L109" s="1" t="s">
        <v>173</v>
      </c>
      <c r="M109" s="1" t="s">
        <v>12</v>
      </c>
      <c r="N109" s="1">
        <v>5</v>
      </c>
      <c r="O109" s="1" t="s">
        <v>1249</v>
      </c>
      <c r="P109" s="1" t="s">
        <v>12</v>
      </c>
      <c r="Q109" s="1">
        <v>0</v>
      </c>
      <c r="R109" s="1" t="s">
        <v>12</v>
      </c>
      <c r="S109" s="1">
        <v>0</v>
      </c>
      <c r="T109" s="1"/>
    </row>
    <row r="110" spans="1:20" ht="16.5" x14ac:dyDescent="0.3">
      <c r="A110" s="1">
        <v>10403</v>
      </c>
      <c r="B110" s="1" t="s">
        <v>1223</v>
      </c>
      <c r="C110" s="1" t="s">
        <v>1224</v>
      </c>
      <c r="D110" s="1" t="s">
        <v>1224</v>
      </c>
      <c r="E110" s="1" t="s">
        <v>194</v>
      </c>
      <c r="F110" s="1" t="s">
        <v>862</v>
      </c>
      <c r="G110" s="1">
        <v>1</v>
      </c>
      <c r="H110" s="1">
        <v>1</v>
      </c>
      <c r="I110" s="1" t="s">
        <v>1225</v>
      </c>
      <c r="J110" s="1" t="s">
        <v>12</v>
      </c>
      <c r="K110" s="1" t="s">
        <v>14</v>
      </c>
      <c r="L110" s="1" t="s">
        <v>173</v>
      </c>
      <c r="M110" s="1" t="s">
        <v>12</v>
      </c>
      <c r="N110" s="1">
        <v>5</v>
      </c>
      <c r="O110" s="1" t="s">
        <v>1250</v>
      </c>
      <c r="P110" s="1" t="s">
        <v>12</v>
      </c>
      <c r="Q110" s="1">
        <v>0</v>
      </c>
      <c r="R110" s="1" t="s">
        <v>12</v>
      </c>
      <c r="S110" s="1">
        <v>0</v>
      </c>
      <c r="T110" s="1"/>
    </row>
    <row r="111" spans="1:20" ht="16.5" x14ac:dyDescent="0.3">
      <c r="A111" s="1">
        <v>10404</v>
      </c>
      <c r="B111" s="1" t="s">
        <v>1018</v>
      </c>
      <c r="C111" s="1" t="s">
        <v>1019</v>
      </c>
      <c r="D111" s="1" t="s">
        <v>1019</v>
      </c>
      <c r="E111" s="1" t="s">
        <v>194</v>
      </c>
      <c r="F111" s="1" t="s">
        <v>862</v>
      </c>
      <c r="G111" s="1">
        <v>1</v>
      </c>
      <c r="H111" s="1">
        <v>2</v>
      </c>
      <c r="I111" s="1" t="s">
        <v>1038</v>
      </c>
      <c r="J111" s="1" t="s">
        <v>12</v>
      </c>
      <c r="K111" s="1" t="s">
        <v>14</v>
      </c>
      <c r="L111" s="1" t="s">
        <v>173</v>
      </c>
      <c r="M111" s="1" t="s">
        <v>12</v>
      </c>
      <c r="N111" s="1">
        <v>10</v>
      </c>
      <c r="O111" s="1" t="s">
        <v>1052</v>
      </c>
      <c r="P111" s="1" t="s">
        <v>12</v>
      </c>
      <c r="Q111" s="1">
        <v>0</v>
      </c>
      <c r="R111" s="1" t="s">
        <v>12</v>
      </c>
      <c r="S111" s="1">
        <v>0</v>
      </c>
      <c r="T111" s="1"/>
    </row>
    <row r="112" spans="1:20" ht="16.5" x14ac:dyDescent="0.3">
      <c r="A112" s="1">
        <v>10405</v>
      </c>
      <c r="B112" s="1" t="s">
        <v>1020</v>
      </c>
      <c r="C112" s="1" t="s">
        <v>1021</v>
      </c>
      <c r="D112" s="1" t="s">
        <v>1021</v>
      </c>
      <c r="E112" s="1" t="s">
        <v>194</v>
      </c>
      <c r="F112" s="1" t="s">
        <v>862</v>
      </c>
      <c r="G112" s="1">
        <v>1</v>
      </c>
      <c r="H112" s="1">
        <v>2</v>
      </c>
      <c r="I112" s="1" t="s">
        <v>1039</v>
      </c>
      <c r="J112" s="1" t="s">
        <v>12</v>
      </c>
      <c r="K112" s="1" t="s">
        <v>14</v>
      </c>
      <c r="L112" s="1" t="s">
        <v>173</v>
      </c>
      <c r="M112" s="1" t="s">
        <v>12</v>
      </c>
      <c r="N112" s="1">
        <v>10</v>
      </c>
      <c r="O112" s="1" t="s">
        <v>1053</v>
      </c>
      <c r="P112" s="1" t="s">
        <v>12</v>
      </c>
      <c r="Q112" s="1">
        <v>0</v>
      </c>
      <c r="R112" s="1" t="s">
        <v>12</v>
      </c>
      <c r="S112" s="1">
        <v>0</v>
      </c>
      <c r="T112" s="1"/>
    </row>
    <row r="113" spans="1:20" ht="16.5" x14ac:dyDescent="0.3">
      <c r="A113" s="1">
        <v>10406</v>
      </c>
      <c r="B113" s="1" t="s">
        <v>1022</v>
      </c>
      <c r="C113" s="1" t="s">
        <v>1023</v>
      </c>
      <c r="D113" s="1" t="s">
        <v>1023</v>
      </c>
      <c r="E113" s="1" t="s">
        <v>194</v>
      </c>
      <c r="F113" s="1" t="s">
        <v>862</v>
      </c>
      <c r="G113" s="1">
        <v>1</v>
      </c>
      <c r="H113" s="1">
        <v>2</v>
      </c>
      <c r="I113" s="1" t="s">
        <v>1040</v>
      </c>
      <c r="J113" s="1" t="s">
        <v>12</v>
      </c>
      <c r="K113" s="1" t="s">
        <v>14</v>
      </c>
      <c r="L113" s="1" t="s">
        <v>173</v>
      </c>
      <c r="M113" s="1" t="s">
        <v>12</v>
      </c>
      <c r="N113" s="1">
        <v>10</v>
      </c>
      <c r="O113" s="1" t="s">
        <v>1054</v>
      </c>
      <c r="P113" s="1" t="s">
        <v>12</v>
      </c>
      <c r="Q113" s="1">
        <v>0</v>
      </c>
      <c r="R113" s="1" t="s">
        <v>12</v>
      </c>
      <c r="S113" s="1">
        <v>0</v>
      </c>
      <c r="T113" s="1"/>
    </row>
    <row r="114" spans="1:20" ht="16.5" x14ac:dyDescent="0.3">
      <c r="A114" s="1">
        <v>10407</v>
      </c>
      <c r="B114" s="1" t="s">
        <v>1024</v>
      </c>
      <c r="C114" s="1" t="s">
        <v>1025</v>
      </c>
      <c r="D114" s="1" t="s">
        <v>1025</v>
      </c>
      <c r="E114" s="1" t="s">
        <v>194</v>
      </c>
      <c r="F114" s="1" t="s">
        <v>862</v>
      </c>
      <c r="G114" s="1">
        <v>1</v>
      </c>
      <c r="H114" s="1">
        <v>2</v>
      </c>
      <c r="I114" s="1" t="s">
        <v>1041</v>
      </c>
      <c r="J114" s="1" t="s">
        <v>12</v>
      </c>
      <c r="K114" s="1" t="s">
        <v>14</v>
      </c>
      <c r="L114" s="1" t="s">
        <v>173</v>
      </c>
      <c r="M114" s="1" t="s">
        <v>12</v>
      </c>
      <c r="N114" s="1">
        <v>10</v>
      </c>
      <c r="O114" s="1" t="s">
        <v>1055</v>
      </c>
      <c r="P114" s="1" t="s">
        <v>12</v>
      </c>
      <c r="Q114" s="1">
        <v>0</v>
      </c>
      <c r="R114" s="1" t="s">
        <v>12</v>
      </c>
      <c r="S114" s="1">
        <v>0</v>
      </c>
      <c r="T114" s="1"/>
    </row>
    <row r="115" spans="1:20" ht="16.5" x14ac:dyDescent="0.3">
      <c r="A115" s="1">
        <v>10408</v>
      </c>
      <c r="B115" s="1" t="s">
        <v>1026</v>
      </c>
      <c r="C115" s="1" t="s">
        <v>1027</v>
      </c>
      <c r="D115" s="1" t="s">
        <v>1027</v>
      </c>
      <c r="E115" s="1" t="s">
        <v>194</v>
      </c>
      <c r="F115" s="1" t="s">
        <v>862</v>
      </c>
      <c r="G115" s="1">
        <v>1</v>
      </c>
      <c r="H115" s="1">
        <v>2</v>
      </c>
      <c r="I115" s="1" t="s">
        <v>1042</v>
      </c>
      <c r="J115" s="1" t="s">
        <v>12</v>
      </c>
      <c r="K115" s="1" t="s">
        <v>14</v>
      </c>
      <c r="L115" s="1" t="s">
        <v>173</v>
      </c>
      <c r="M115" s="1" t="s">
        <v>12</v>
      </c>
      <c r="N115" s="1">
        <v>10</v>
      </c>
      <c r="O115" s="1" t="s">
        <v>1056</v>
      </c>
      <c r="P115" s="1" t="s">
        <v>12</v>
      </c>
      <c r="Q115" s="1">
        <v>0</v>
      </c>
      <c r="R115" s="1" t="s">
        <v>12</v>
      </c>
      <c r="S115" s="1">
        <v>0</v>
      </c>
      <c r="T115" s="1"/>
    </row>
    <row r="116" spans="1:20" ht="16.5" x14ac:dyDescent="0.3">
      <c r="A116" s="1">
        <v>10409</v>
      </c>
      <c r="B116" s="1" t="s">
        <v>1028</v>
      </c>
      <c r="C116" s="1" t="s">
        <v>1029</v>
      </c>
      <c r="D116" s="1" t="s">
        <v>1029</v>
      </c>
      <c r="E116" s="1" t="s">
        <v>194</v>
      </c>
      <c r="F116" s="1" t="s">
        <v>862</v>
      </c>
      <c r="G116" s="1">
        <v>1</v>
      </c>
      <c r="H116" s="1">
        <v>2</v>
      </c>
      <c r="I116" s="1" t="s">
        <v>1017</v>
      </c>
      <c r="J116" s="1" t="s">
        <v>12</v>
      </c>
      <c r="K116" s="1" t="s">
        <v>14</v>
      </c>
      <c r="L116" s="1" t="s">
        <v>173</v>
      </c>
      <c r="M116" s="1" t="s">
        <v>12</v>
      </c>
      <c r="N116" s="1">
        <v>10</v>
      </c>
      <c r="O116" s="1" t="s">
        <v>1251</v>
      </c>
      <c r="P116" s="1" t="s">
        <v>12</v>
      </c>
      <c r="Q116" s="1">
        <v>0</v>
      </c>
      <c r="R116" s="1" t="s">
        <v>12</v>
      </c>
      <c r="S116" s="1">
        <v>0</v>
      </c>
      <c r="T116" s="1"/>
    </row>
    <row r="117" spans="1:20" ht="16.5" x14ac:dyDescent="0.3">
      <c r="A117" s="1">
        <v>11001</v>
      </c>
      <c r="B117" s="1" t="s">
        <v>643</v>
      </c>
      <c r="C117" s="1" t="s">
        <v>897</v>
      </c>
      <c r="D117" s="1" t="s">
        <v>897</v>
      </c>
      <c r="E117" s="1" t="s">
        <v>13</v>
      </c>
      <c r="F117" s="1" t="s">
        <v>333</v>
      </c>
      <c r="G117" s="1" t="s">
        <v>13</v>
      </c>
      <c r="H117" s="1" t="s">
        <v>194</v>
      </c>
      <c r="I117" s="1" t="s">
        <v>781</v>
      </c>
      <c r="J117" s="1" t="s">
        <v>12</v>
      </c>
      <c r="K117" s="1" t="s">
        <v>14</v>
      </c>
      <c r="L117" s="1" t="s">
        <v>13</v>
      </c>
      <c r="M117" s="1" t="s">
        <v>12</v>
      </c>
      <c r="N117" s="1" t="s">
        <v>728</v>
      </c>
      <c r="O117" s="1" t="s">
        <v>431</v>
      </c>
      <c r="P117" s="1" t="s">
        <v>12</v>
      </c>
      <c r="Q117" s="1" t="s">
        <v>14</v>
      </c>
      <c r="R117" s="1" t="s">
        <v>12</v>
      </c>
      <c r="S117" s="1" t="s">
        <v>14</v>
      </c>
      <c r="T117" s="1"/>
    </row>
    <row r="118" spans="1:20" ht="16.5" x14ac:dyDescent="0.3">
      <c r="A118" s="1">
        <v>11002</v>
      </c>
      <c r="B118" s="1" t="s">
        <v>644</v>
      </c>
      <c r="C118" s="1" t="s">
        <v>898</v>
      </c>
      <c r="D118" s="1" t="s">
        <v>898</v>
      </c>
      <c r="E118" s="1" t="s">
        <v>13</v>
      </c>
      <c r="F118" s="1" t="s">
        <v>333</v>
      </c>
      <c r="G118" s="1" t="s">
        <v>13</v>
      </c>
      <c r="H118" s="1" t="s">
        <v>194</v>
      </c>
      <c r="I118" s="1" t="s">
        <v>787</v>
      </c>
      <c r="J118" s="1" t="s">
        <v>12</v>
      </c>
      <c r="K118" s="1" t="s">
        <v>14</v>
      </c>
      <c r="L118" s="1" t="s">
        <v>13</v>
      </c>
      <c r="M118" s="1" t="s">
        <v>12</v>
      </c>
      <c r="N118" s="1" t="s">
        <v>728</v>
      </c>
      <c r="O118" s="1" t="s">
        <v>202</v>
      </c>
      <c r="P118" s="1" t="s">
        <v>12</v>
      </c>
      <c r="Q118" s="1" t="s">
        <v>14</v>
      </c>
      <c r="R118" s="1" t="s">
        <v>12</v>
      </c>
      <c r="S118" s="1" t="s">
        <v>14</v>
      </c>
      <c r="T118" s="1"/>
    </row>
    <row r="119" spans="1:20" ht="16.5" x14ac:dyDescent="0.3">
      <c r="A119" s="1">
        <v>11003</v>
      </c>
      <c r="B119" s="1" t="s">
        <v>645</v>
      </c>
      <c r="C119" s="1" t="s">
        <v>899</v>
      </c>
      <c r="D119" s="1" t="s">
        <v>899</v>
      </c>
      <c r="E119" s="1" t="s">
        <v>13</v>
      </c>
      <c r="F119" s="1" t="s">
        <v>333</v>
      </c>
      <c r="G119" s="1" t="s">
        <v>13</v>
      </c>
      <c r="H119" s="1" t="s">
        <v>194</v>
      </c>
      <c r="I119" s="1" t="s">
        <v>788</v>
      </c>
      <c r="J119" s="1" t="s">
        <v>12</v>
      </c>
      <c r="K119" s="1" t="s">
        <v>14</v>
      </c>
      <c r="L119" s="1" t="s">
        <v>13</v>
      </c>
      <c r="M119" s="1" t="s">
        <v>12</v>
      </c>
      <c r="N119" s="1" t="s">
        <v>728</v>
      </c>
      <c r="O119" s="1" t="s">
        <v>203</v>
      </c>
      <c r="P119" s="1" t="s">
        <v>12</v>
      </c>
      <c r="Q119" s="1" t="s">
        <v>14</v>
      </c>
      <c r="R119" s="1" t="s">
        <v>12</v>
      </c>
      <c r="S119" s="1" t="s">
        <v>14</v>
      </c>
      <c r="T119" s="1"/>
    </row>
    <row r="120" spans="1:20" ht="16.5" x14ac:dyDescent="0.3">
      <c r="A120" s="1">
        <v>11004</v>
      </c>
      <c r="B120" s="1" t="s">
        <v>773</v>
      </c>
      <c r="C120" s="1" t="s">
        <v>900</v>
      </c>
      <c r="D120" s="1" t="s">
        <v>900</v>
      </c>
      <c r="E120" s="1" t="s">
        <v>13</v>
      </c>
      <c r="F120" s="1" t="s">
        <v>333</v>
      </c>
      <c r="G120" s="1" t="s">
        <v>13</v>
      </c>
      <c r="H120" s="1" t="s">
        <v>194</v>
      </c>
      <c r="I120" s="1" t="s">
        <v>789</v>
      </c>
      <c r="J120" s="1" t="s">
        <v>12</v>
      </c>
      <c r="K120" s="1" t="s">
        <v>14</v>
      </c>
      <c r="L120" s="1" t="s">
        <v>13</v>
      </c>
      <c r="M120" s="1" t="s">
        <v>12</v>
      </c>
      <c r="N120" s="1" t="s">
        <v>728</v>
      </c>
      <c r="O120" s="1" t="s">
        <v>204</v>
      </c>
      <c r="P120" s="1" t="s">
        <v>12</v>
      </c>
      <c r="Q120" s="1" t="s">
        <v>14</v>
      </c>
      <c r="R120" s="1" t="s">
        <v>12</v>
      </c>
      <c r="S120" s="1" t="s">
        <v>14</v>
      </c>
      <c r="T120" s="1"/>
    </row>
    <row r="121" spans="1:20" ht="16.5" x14ac:dyDescent="0.3">
      <c r="A121" s="1">
        <v>11005</v>
      </c>
      <c r="B121" s="1" t="s">
        <v>646</v>
      </c>
      <c r="C121" s="1" t="s">
        <v>901</v>
      </c>
      <c r="D121" s="1" t="s">
        <v>901</v>
      </c>
      <c r="E121" s="1" t="s">
        <v>13</v>
      </c>
      <c r="F121" s="1" t="s">
        <v>333</v>
      </c>
      <c r="G121" s="1" t="s">
        <v>13</v>
      </c>
      <c r="H121" s="1" t="s">
        <v>194</v>
      </c>
      <c r="I121" s="1" t="s">
        <v>861</v>
      </c>
      <c r="J121" s="1" t="s">
        <v>12</v>
      </c>
      <c r="K121" s="1" t="s">
        <v>14</v>
      </c>
      <c r="L121" s="1" t="s">
        <v>13</v>
      </c>
      <c r="M121" s="1" t="s">
        <v>12</v>
      </c>
      <c r="N121" s="1" t="s">
        <v>728</v>
      </c>
      <c r="O121" s="1" t="s">
        <v>205</v>
      </c>
      <c r="P121" s="1" t="s">
        <v>12</v>
      </c>
      <c r="Q121" s="1" t="s">
        <v>14</v>
      </c>
      <c r="R121" s="1" t="s">
        <v>12</v>
      </c>
      <c r="S121" s="1" t="s">
        <v>14</v>
      </c>
      <c r="T121" s="1"/>
    </row>
    <row r="122" spans="1:20" ht="16.5" x14ac:dyDescent="0.3">
      <c r="A122" s="1">
        <v>11006</v>
      </c>
      <c r="B122" s="1" t="s">
        <v>647</v>
      </c>
      <c r="C122" s="1" t="s">
        <v>902</v>
      </c>
      <c r="D122" s="1" t="s">
        <v>902</v>
      </c>
      <c r="E122" s="1" t="s">
        <v>13</v>
      </c>
      <c r="F122" s="1" t="s">
        <v>333</v>
      </c>
      <c r="G122" s="1" t="s">
        <v>13</v>
      </c>
      <c r="H122" s="1" t="s">
        <v>194</v>
      </c>
      <c r="I122" s="1" t="s">
        <v>1051</v>
      </c>
      <c r="J122" s="1" t="s">
        <v>12</v>
      </c>
      <c r="K122" s="1" t="s">
        <v>14</v>
      </c>
      <c r="L122" s="1" t="s">
        <v>13</v>
      </c>
      <c r="M122" s="1" t="s">
        <v>12</v>
      </c>
      <c r="N122" s="1" t="s">
        <v>728</v>
      </c>
      <c r="O122" s="1" t="s">
        <v>206</v>
      </c>
      <c r="P122" s="1" t="s">
        <v>12</v>
      </c>
      <c r="Q122" s="1" t="s">
        <v>14</v>
      </c>
      <c r="R122" s="1" t="s">
        <v>12</v>
      </c>
      <c r="S122" s="1" t="s">
        <v>14</v>
      </c>
      <c r="T122" s="1"/>
    </row>
    <row r="123" spans="1:20" ht="16.5" x14ac:dyDescent="0.3">
      <c r="A123" s="1">
        <v>11007</v>
      </c>
      <c r="B123" s="1" t="s">
        <v>648</v>
      </c>
      <c r="C123" s="1" t="s">
        <v>903</v>
      </c>
      <c r="D123" s="1" t="s">
        <v>903</v>
      </c>
      <c r="E123" s="1" t="s">
        <v>13</v>
      </c>
      <c r="F123" s="1" t="s">
        <v>333</v>
      </c>
      <c r="G123" s="1" t="s">
        <v>13</v>
      </c>
      <c r="H123" s="1" t="s">
        <v>194</v>
      </c>
      <c r="I123" s="1" t="s">
        <v>790</v>
      </c>
      <c r="J123" s="1" t="s">
        <v>12</v>
      </c>
      <c r="K123" s="1" t="s">
        <v>14</v>
      </c>
      <c r="L123" s="1" t="s">
        <v>13</v>
      </c>
      <c r="M123" s="1" t="s">
        <v>12</v>
      </c>
      <c r="N123" s="1" t="s">
        <v>728</v>
      </c>
      <c r="O123" s="1" t="s">
        <v>207</v>
      </c>
      <c r="P123" s="1" t="s">
        <v>12</v>
      </c>
      <c r="Q123" s="1" t="s">
        <v>14</v>
      </c>
      <c r="R123" s="1" t="s">
        <v>12</v>
      </c>
      <c r="S123" s="1" t="s">
        <v>14</v>
      </c>
      <c r="T123" s="1"/>
    </row>
    <row r="124" spans="1:20" ht="16.5" x14ac:dyDescent="0.3">
      <c r="A124" s="1">
        <v>11008</v>
      </c>
      <c r="B124" s="1" t="s">
        <v>774</v>
      </c>
      <c r="C124" s="1" t="s">
        <v>904</v>
      </c>
      <c r="D124" s="1" t="s">
        <v>904</v>
      </c>
      <c r="E124" s="1" t="s">
        <v>13</v>
      </c>
      <c r="F124" s="1" t="s">
        <v>333</v>
      </c>
      <c r="G124" s="1" t="s">
        <v>13</v>
      </c>
      <c r="H124" s="1" t="s">
        <v>194</v>
      </c>
      <c r="I124" s="1" t="s">
        <v>782</v>
      </c>
      <c r="J124" s="1" t="s">
        <v>12</v>
      </c>
      <c r="K124" s="1" t="s">
        <v>14</v>
      </c>
      <c r="L124" s="1" t="s">
        <v>13</v>
      </c>
      <c r="M124" s="1" t="s">
        <v>12</v>
      </c>
      <c r="N124" s="1" t="s">
        <v>728</v>
      </c>
      <c r="O124" s="1" t="s">
        <v>208</v>
      </c>
      <c r="P124" s="1" t="s">
        <v>12</v>
      </c>
      <c r="Q124" s="1" t="s">
        <v>14</v>
      </c>
      <c r="R124" s="1" t="s">
        <v>12</v>
      </c>
      <c r="S124" s="1" t="s">
        <v>14</v>
      </c>
      <c r="T124" s="1"/>
    </row>
    <row r="125" spans="1:20" ht="16.5" x14ac:dyDescent="0.3">
      <c r="A125" s="1">
        <v>11009</v>
      </c>
      <c r="B125" s="1" t="s">
        <v>649</v>
      </c>
      <c r="C125" s="1" t="s">
        <v>905</v>
      </c>
      <c r="D125" s="1" t="s">
        <v>905</v>
      </c>
      <c r="E125" s="1" t="s">
        <v>13</v>
      </c>
      <c r="F125" s="1" t="s">
        <v>333</v>
      </c>
      <c r="G125" s="1" t="s">
        <v>13</v>
      </c>
      <c r="H125" s="1" t="s">
        <v>194</v>
      </c>
      <c r="I125" s="1" t="s">
        <v>783</v>
      </c>
      <c r="J125" s="1" t="s">
        <v>12</v>
      </c>
      <c r="K125" s="1" t="s">
        <v>14</v>
      </c>
      <c r="L125" s="1" t="s">
        <v>13</v>
      </c>
      <c r="M125" s="1" t="s">
        <v>12</v>
      </c>
      <c r="N125" s="1" t="s">
        <v>728</v>
      </c>
      <c r="O125" s="1" t="s">
        <v>626</v>
      </c>
      <c r="P125" s="1" t="s">
        <v>12</v>
      </c>
      <c r="Q125" s="1" t="s">
        <v>14</v>
      </c>
      <c r="R125" s="1" t="s">
        <v>12</v>
      </c>
      <c r="S125" s="1" t="s">
        <v>14</v>
      </c>
      <c r="T125" s="1"/>
    </row>
    <row r="126" spans="1:20" ht="16.5" x14ac:dyDescent="0.3">
      <c r="A126" s="1">
        <v>11010</v>
      </c>
      <c r="B126" s="1" t="s">
        <v>650</v>
      </c>
      <c r="C126" s="1" t="s">
        <v>906</v>
      </c>
      <c r="D126" s="1" t="s">
        <v>906</v>
      </c>
      <c r="E126" s="1" t="s">
        <v>13</v>
      </c>
      <c r="F126" s="1" t="s">
        <v>333</v>
      </c>
      <c r="G126" s="1" t="s">
        <v>13</v>
      </c>
      <c r="H126" s="1" t="s">
        <v>194</v>
      </c>
      <c r="I126" s="1" t="s">
        <v>784</v>
      </c>
      <c r="J126" s="1" t="s">
        <v>12</v>
      </c>
      <c r="K126" s="1" t="s">
        <v>14</v>
      </c>
      <c r="L126" s="1" t="s">
        <v>13</v>
      </c>
      <c r="M126" s="1" t="s">
        <v>12</v>
      </c>
      <c r="N126" s="1" t="s">
        <v>728</v>
      </c>
      <c r="O126" s="1" t="s">
        <v>627</v>
      </c>
      <c r="P126" s="1" t="s">
        <v>12</v>
      </c>
      <c r="Q126" s="1" t="s">
        <v>14</v>
      </c>
      <c r="R126" s="1" t="s">
        <v>12</v>
      </c>
      <c r="S126" s="1" t="s">
        <v>14</v>
      </c>
      <c r="T126" s="1"/>
    </row>
    <row r="127" spans="1:20" ht="16.5" x14ac:dyDescent="0.3">
      <c r="A127" s="1">
        <v>11011</v>
      </c>
      <c r="B127" s="1" t="s">
        <v>651</v>
      </c>
      <c r="C127" s="1" t="s">
        <v>907</v>
      </c>
      <c r="D127" s="1" t="s">
        <v>907</v>
      </c>
      <c r="E127" s="1" t="s">
        <v>13</v>
      </c>
      <c r="F127" s="1" t="s">
        <v>333</v>
      </c>
      <c r="G127" s="1" t="s">
        <v>13</v>
      </c>
      <c r="H127" s="1" t="s">
        <v>194</v>
      </c>
      <c r="I127" s="1" t="s">
        <v>785</v>
      </c>
      <c r="J127" s="1" t="s">
        <v>12</v>
      </c>
      <c r="K127" s="1" t="s">
        <v>14</v>
      </c>
      <c r="L127" s="1" t="s">
        <v>13</v>
      </c>
      <c r="M127" s="1" t="s">
        <v>12</v>
      </c>
      <c r="N127" s="1" t="s">
        <v>728</v>
      </c>
      <c r="O127" s="1" t="s">
        <v>628</v>
      </c>
      <c r="P127" s="1" t="s">
        <v>12</v>
      </c>
      <c r="Q127" s="1" t="s">
        <v>14</v>
      </c>
      <c r="R127" s="1" t="s">
        <v>12</v>
      </c>
      <c r="S127" s="1" t="s">
        <v>14</v>
      </c>
      <c r="T127" s="1"/>
    </row>
    <row r="128" spans="1:20" ht="16.5" x14ac:dyDescent="0.3">
      <c r="A128" s="1">
        <v>11012</v>
      </c>
      <c r="B128" s="1" t="s">
        <v>775</v>
      </c>
      <c r="C128" s="1" t="s">
        <v>908</v>
      </c>
      <c r="D128" s="1" t="s">
        <v>908</v>
      </c>
      <c r="E128" s="1" t="s">
        <v>13</v>
      </c>
      <c r="F128" s="1" t="s">
        <v>333</v>
      </c>
      <c r="G128" s="1" t="s">
        <v>13</v>
      </c>
      <c r="H128" s="1" t="s">
        <v>194</v>
      </c>
      <c r="I128" s="1" t="s">
        <v>786</v>
      </c>
      <c r="J128" s="1" t="s">
        <v>12</v>
      </c>
      <c r="K128" s="1" t="s">
        <v>14</v>
      </c>
      <c r="L128" s="1" t="s">
        <v>13</v>
      </c>
      <c r="M128" s="1" t="s">
        <v>12</v>
      </c>
      <c r="N128" s="1" t="s">
        <v>728</v>
      </c>
      <c r="O128" s="1" t="s">
        <v>629</v>
      </c>
      <c r="P128" s="1" t="s">
        <v>12</v>
      </c>
      <c r="Q128" s="1" t="s">
        <v>14</v>
      </c>
      <c r="R128" s="1" t="s">
        <v>12</v>
      </c>
      <c r="S128" s="1" t="s">
        <v>14</v>
      </c>
      <c r="T128" s="1"/>
    </row>
    <row r="129" spans="1:20" ht="16.5" x14ac:dyDescent="0.3">
      <c r="A129" s="1">
        <v>11013</v>
      </c>
      <c r="B129" s="1" t="s">
        <v>652</v>
      </c>
      <c r="C129" s="1" t="s">
        <v>1005</v>
      </c>
      <c r="D129" s="1" t="s">
        <v>1005</v>
      </c>
      <c r="E129" s="1" t="s">
        <v>13</v>
      </c>
      <c r="F129" s="1" t="s">
        <v>333</v>
      </c>
      <c r="G129" s="1" t="s">
        <v>13</v>
      </c>
      <c r="H129" s="1" t="s">
        <v>173</v>
      </c>
      <c r="I129" s="1" t="s">
        <v>791</v>
      </c>
      <c r="J129" s="1" t="s">
        <v>12</v>
      </c>
      <c r="K129" s="1" t="s">
        <v>14</v>
      </c>
      <c r="L129" s="1" t="s">
        <v>13</v>
      </c>
      <c r="M129" s="1" t="s">
        <v>12</v>
      </c>
      <c r="N129" s="1" t="s">
        <v>1004</v>
      </c>
      <c r="O129" s="1" t="s">
        <v>209</v>
      </c>
      <c r="P129" s="1" t="s">
        <v>12</v>
      </c>
      <c r="Q129" s="1" t="s">
        <v>14</v>
      </c>
      <c r="R129" s="1" t="s">
        <v>12</v>
      </c>
      <c r="S129" s="1" t="s">
        <v>14</v>
      </c>
      <c r="T129" s="1"/>
    </row>
    <row r="130" spans="1:20" ht="16.5" x14ac:dyDescent="0.3">
      <c r="A130" s="1">
        <v>11014</v>
      </c>
      <c r="B130" s="1" t="s">
        <v>653</v>
      </c>
      <c r="C130" s="1" t="s">
        <v>1006</v>
      </c>
      <c r="D130" s="1" t="s">
        <v>1006</v>
      </c>
      <c r="E130" s="1" t="s">
        <v>13</v>
      </c>
      <c r="F130" s="1" t="s">
        <v>333</v>
      </c>
      <c r="G130" s="1" t="s">
        <v>13</v>
      </c>
      <c r="H130" s="1" t="s">
        <v>173</v>
      </c>
      <c r="I130" s="1" t="s">
        <v>792</v>
      </c>
      <c r="J130" s="1" t="s">
        <v>12</v>
      </c>
      <c r="K130" s="1" t="s">
        <v>14</v>
      </c>
      <c r="L130" s="1" t="s">
        <v>13</v>
      </c>
      <c r="M130" s="1" t="s">
        <v>12</v>
      </c>
      <c r="N130" s="1" t="s">
        <v>1004</v>
      </c>
      <c r="O130" s="1" t="s">
        <v>210</v>
      </c>
      <c r="P130" s="1" t="s">
        <v>12</v>
      </c>
      <c r="Q130" s="1" t="s">
        <v>14</v>
      </c>
      <c r="R130" s="1" t="s">
        <v>12</v>
      </c>
      <c r="S130" s="1" t="s">
        <v>14</v>
      </c>
      <c r="T130" s="1"/>
    </row>
    <row r="131" spans="1:20" ht="16.5" x14ac:dyDescent="0.3">
      <c r="A131" s="1">
        <v>11015</v>
      </c>
      <c r="B131" s="1" t="s">
        <v>654</v>
      </c>
      <c r="C131" s="1" t="s">
        <v>1007</v>
      </c>
      <c r="D131" s="1" t="s">
        <v>1007</v>
      </c>
      <c r="E131" s="1" t="s">
        <v>13</v>
      </c>
      <c r="F131" s="1" t="s">
        <v>333</v>
      </c>
      <c r="G131" s="1" t="s">
        <v>13</v>
      </c>
      <c r="H131" s="1" t="s">
        <v>173</v>
      </c>
      <c r="I131" s="1" t="s">
        <v>793</v>
      </c>
      <c r="J131" s="1" t="s">
        <v>12</v>
      </c>
      <c r="K131" s="1" t="s">
        <v>14</v>
      </c>
      <c r="L131" s="1" t="s">
        <v>13</v>
      </c>
      <c r="M131" s="1" t="s">
        <v>12</v>
      </c>
      <c r="N131" s="1" t="s">
        <v>1004</v>
      </c>
      <c r="O131" s="1" t="s">
        <v>211</v>
      </c>
      <c r="P131" s="1" t="s">
        <v>12</v>
      </c>
      <c r="Q131" s="1" t="s">
        <v>14</v>
      </c>
      <c r="R131" s="1" t="s">
        <v>12</v>
      </c>
      <c r="S131" s="1" t="s">
        <v>14</v>
      </c>
      <c r="T131" s="1"/>
    </row>
    <row r="132" spans="1:20" ht="16.5" x14ac:dyDescent="0.3">
      <c r="A132" s="1">
        <v>11016</v>
      </c>
      <c r="B132" s="1" t="s">
        <v>776</v>
      </c>
      <c r="C132" s="1" t="s">
        <v>1008</v>
      </c>
      <c r="D132" s="1" t="s">
        <v>1008</v>
      </c>
      <c r="E132" s="1" t="s">
        <v>13</v>
      </c>
      <c r="F132" s="1" t="s">
        <v>333</v>
      </c>
      <c r="G132" s="1" t="s">
        <v>13</v>
      </c>
      <c r="H132" s="1" t="s">
        <v>173</v>
      </c>
      <c r="I132" s="1" t="s">
        <v>794</v>
      </c>
      <c r="J132" s="1" t="s">
        <v>12</v>
      </c>
      <c r="K132" s="1" t="s">
        <v>14</v>
      </c>
      <c r="L132" s="1" t="s">
        <v>13</v>
      </c>
      <c r="M132" s="1" t="s">
        <v>12</v>
      </c>
      <c r="N132" s="1" t="s">
        <v>1004</v>
      </c>
      <c r="O132" s="1" t="s">
        <v>212</v>
      </c>
      <c r="P132" s="1" t="s">
        <v>12</v>
      </c>
      <c r="Q132" s="1" t="s">
        <v>14</v>
      </c>
      <c r="R132" s="1" t="s">
        <v>12</v>
      </c>
      <c r="S132" s="1" t="s">
        <v>14</v>
      </c>
      <c r="T132" s="1"/>
    </row>
    <row r="133" spans="1:20" ht="16.5" x14ac:dyDescent="0.3">
      <c r="A133" s="1">
        <v>11017</v>
      </c>
      <c r="B133" s="1" t="s">
        <v>655</v>
      </c>
      <c r="C133" s="1" t="s">
        <v>1009</v>
      </c>
      <c r="D133" s="1" t="s">
        <v>1009</v>
      </c>
      <c r="E133" s="1" t="s">
        <v>13</v>
      </c>
      <c r="F133" s="1" t="s">
        <v>319</v>
      </c>
      <c r="G133" s="1" t="s">
        <v>13</v>
      </c>
      <c r="H133" s="1" t="s">
        <v>173</v>
      </c>
      <c r="I133" s="1" t="s">
        <v>795</v>
      </c>
      <c r="J133" s="1" t="s">
        <v>12</v>
      </c>
      <c r="K133" s="1" t="s">
        <v>14</v>
      </c>
      <c r="L133" s="1" t="s">
        <v>13</v>
      </c>
      <c r="M133" s="1" t="s">
        <v>12</v>
      </c>
      <c r="N133" s="1" t="s">
        <v>1004</v>
      </c>
      <c r="O133" s="1" t="s">
        <v>213</v>
      </c>
      <c r="P133" s="1" t="s">
        <v>12</v>
      </c>
      <c r="Q133" s="1" t="s">
        <v>14</v>
      </c>
      <c r="R133" s="1" t="s">
        <v>12</v>
      </c>
      <c r="S133" s="1" t="s">
        <v>14</v>
      </c>
      <c r="T133" s="1"/>
    </row>
    <row r="134" spans="1:20" ht="16.5" x14ac:dyDescent="0.3">
      <c r="A134" s="1">
        <v>11018</v>
      </c>
      <c r="B134" s="1" t="s">
        <v>656</v>
      </c>
      <c r="C134" s="1" t="s">
        <v>1010</v>
      </c>
      <c r="D134" s="1" t="s">
        <v>1010</v>
      </c>
      <c r="E134" s="1" t="s">
        <v>13</v>
      </c>
      <c r="F134" s="1" t="s">
        <v>319</v>
      </c>
      <c r="G134" s="1" t="s">
        <v>13</v>
      </c>
      <c r="H134" s="1" t="s">
        <v>173</v>
      </c>
      <c r="I134" s="1" t="s">
        <v>796</v>
      </c>
      <c r="J134" s="1" t="s">
        <v>12</v>
      </c>
      <c r="K134" s="1" t="s">
        <v>14</v>
      </c>
      <c r="L134" s="1" t="s">
        <v>13</v>
      </c>
      <c r="M134" s="1" t="s">
        <v>12</v>
      </c>
      <c r="N134" s="1" t="s">
        <v>1004</v>
      </c>
      <c r="O134" s="1" t="s">
        <v>214</v>
      </c>
      <c r="P134" s="1" t="s">
        <v>12</v>
      </c>
      <c r="Q134" s="1" t="s">
        <v>14</v>
      </c>
      <c r="R134" s="1" t="s">
        <v>12</v>
      </c>
      <c r="S134" s="1" t="s">
        <v>14</v>
      </c>
      <c r="T134" s="1"/>
    </row>
    <row r="135" spans="1:20" ht="16.5" x14ac:dyDescent="0.3">
      <c r="A135" s="1">
        <v>11019</v>
      </c>
      <c r="B135" s="1" t="s">
        <v>657</v>
      </c>
      <c r="C135" s="1" t="s">
        <v>1011</v>
      </c>
      <c r="D135" s="1" t="s">
        <v>1011</v>
      </c>
      <c r="E135" s="1" t="s">
        <v>13</v>
      </c>
      <c r="F135" s="1" t="s">
        <v>319</v>
      </c>
      <c r="G135" s="1" t="s">
        <v>13</v>
      </c>
      <c r="H135" s="1" t="s">
        <v>173</v>
      </c>
      <c r="I135" s="1" t="s">
        <v>797</v>
      </c>
      <c r="J135" s="1" t="s">
        <v>12</v>
      </c>
      <c r="K135" s="1" t="s">
        <v>14</v>
      </c>
      <c r="L135" s="1" t="s">
        <v>13</v>
      </c>
      <c r="M135" s="1" t="s">
        <v>12</v>
      </c>
      <c r="N135" s="1" t="s">
        <v>1004</v>
      </c>
      <c r="O135" s="1" t="s">
        <v>215</v>
      </c>
      <c r="P135" s="1" t="s">
        <v>12</v>
      </c>
      <c r="Q135" s="1" t="s">
        <v>14</v>
      </c>
      <c r="R135" s="1" t="s">
        <v>12</v>
      </c>
      <c r="S135" s="1" t="s">
        <v>14</v>
      </c>
      <c r="T135" s="1"/>
    </row>
    <row r="136" spans="1:20" ht="16.5" x14ac:dyDescent="0.3">
      <c r="A136" s="1">
        <v>11020</v>
      </c>
      <c r="B136" s="1" t="s">
        <v>777</v>
      </c>
      <c r="C136" s="1" t="s">
        <v>1012</v>
      </c>
      <c r="D136" s="1" t="s">
        <v>1012</v>
      </c>
      <c r="E136" s="1" t="s">
        <v>13</v>
      </c>
      <c r="F136" s="1" t="s">
        <v>319</v>
      </c>
      <c r="G136" s="1" t="s">
        <v>13</v>
      </c>
      <c r="H136" s="1" t="s">
        <v>173</v>
      </c>
      <c r="I136" s="1" t="s">
        <v>798</v>
      </c>
      <c r="J136" s="1" t="s">
        <v>12</v>
      </c>
      <c r="K136" s="1" t="s">
        <v>14</v>
      </c>
      <c r="L136" s="1" t="s">
        <v>13</v>
      </c>
      <c r="M136" s="1" t="s">
        <v>12</v>
      </c>
      <c r="N136" s="1" t="s">
        <v>1004</v>
      </c>
      <c r="O136" s="1" t="s">
        <v>216</v>
      </c>
      <c r="P136" s="1" t="s">
        <v>12</v>
      </c>
      <c r="Q136" s="1" t="s">
        <v>14</v>
      </c>
      <c r="R136" s="1" t="s">
        <v>12</v>
      </c>
      <c r="S136" s="1" t="s">
        <v>14</v>
      </c>
      <c r="T136" s="1"/>
    </row>
    <row r="137" spans="1:20" ht="16.5" x14ac:dyDescent="0.3">
      <c r="A137" s="1">
        <v>11021</v>
      </c>
      <c r="B137" s="1" t="s">
        <v>658</v>
      </c>
      <c r="C137" s="1" t="s">
        <v>1013</v>
      </c>
      <c r="D137" s="1" t="s">
        <v>1013</v>
      </c>
      <c r="E137" s="1" t="s">
        <v>13</v>
      </c>
      <c r="F137" s="1" t="s">
        <v>319</v>
      </c>
      <c r="G137" s="1" t="s">
        <v>13</v>
      </c>
      <c r="H137" s="1" t="s">
        <v>173</v>
      </c>
      <c r="I137" s="1" t="s">
        <v>799</v>
      </c>
      <c r="J137" s="1" t="s">
        <v>12</v>
      </c>
      <c r="K137" s="1" t="s">
        <v>14</v>
      </c>
      <c r="L137" s="1" t="s">
        <v>13</v>
      </c>
      <c r="M137" s="1" t="s">
        <v>12</v>
      </c>
      <c r="N137" s="1" t="s">
        <v>1004</v>
      </c>
      <c r="O137" s="1" t="s">
        <v>432</v>
      </c>
      <c r="P137" s="1" t="s">
        <v>12</v>
      </c>
      <c r="Q137" s="1" t="s">
        <v>14</v>
      </c>
      <c r="R137" s="1" t="s">
        <v>12</v>
      </c>
      <c r="S137" s="1" t="s">
        <v>14</v>
      </c>
      <c r="T137" s="1"/>
    </row>
    <row r="138" spans="1:20" ht="16.5" x14ac:dyDescent="0.3">
      <c r="A138" s="1">
        <v>11022</v>
      </c>
      <c r="B138" s="1" t="s">
        <v>659</v>
      </c>
      <c r="C138" s="1" t="s">
        <v>1014</v>
      </c>
      <c r="D138" s="1" t="s">
        <v>1014</v>
      </c>
      <c r="E138" s="1" t="s">
        <v>13</v>
      </c>
      <c r="F138" s="1" t="s">
        <v>319</v>
      </c>
      <c r="G138" s="1" t="s">
        <v>13</v>
      </c>
      <c r="H138" s="1" t="s">
        <v>173</v>
      </c>
      <c r="I138" s="1" t="s">
        <v>800</v>
      </c>
      <c r="J138" s="1" t="s">
        <v>12</v>
      </c>
      <c r="K138" s="1" t="s">
        <v>14</v>
      </c>
      <c r="L138" s="1" t="s">
        <v>13</v>
      </c>
      <c r="M138" s="1" t="s">
        <v>12</v>
      </c>
      <c r="N138" s="1" t="s">
        <v>1004</v>
      </c>
      <c r="O138" s="1" t="s">
        <v>433</v>
      </c>
      <c r="P138" s="1" t="s">
        <v>12</v>
      </c>
      <c r="Q138" s="1" t="s">
        <v>14</v>
      </c>
      <c r="R138" s="1" t="s">
        <v>12</v>
      </c>
      <c r="S138" s="1" t="s">
        <v>14</v>
      </c>
      <c r="T138" s="1"/>
    </row>
    <row r="139" spans="1:20" ht="16.5" x14ac:dyDescent="0.3">
      <c r="A139" s="1">
        <v>11023</v>
      </c>
      <c r="B139" s="1" t="s">
        <v>660</v>
      </c>
      <c r="C139" s="1" t="s">
        <v>1015</v>
      </c>
      <c r="D139" s="1" t="s">
        <v>1015</v>
      </c>
      <c r="E139" s="1" t="s">
        <v>13</v>
      </c>
      <c r="F139" s="1" t="s">
        <v>319</v>
      </c>
      <c r="G139" s="1" t="s">
        <v>13</v>
      </c>
      <c r="H139" s="1" t="s">
        <v>173</v>
      </c>
      <c r="I139" s="1" t="s">
        <v>801</v>
      </c>
      <c r="J139" s="1" t="s">
        <v>12</v>
      </c>
      <c r="K139" s="1" t="s">
        <v>14</v>
      </c>
      <c r="L139" s="1" t="s">
        <v>13</v>
      </c>
      <c r="M139" s="1" t="s">
        <v>12</v>
      </c>
      <c r="N139" s="1" t="s">
        <v>1004</v>
      </c>
      <c r="O139" s="1" t="s">
        <v>434</v>
      </c>
      <c r="P139" s="1" t="s">
        <v>12</v>
      </c>
      <c r="Q139" s="1" t="s">
        <v>14</v>
      </c>
      <c r="R139" s="1" t="s">
        <v>12</v>
      </c>
      <c r="S139" s="1" t="s">
        <v>14</v>
      </c>
      <c r="T139" s="1"/>
    </row>
    <row r="140" spans="1:20" ht="16.5" x14ac:dyDescent="0.3">
      <c r="A140" s="1">
        <v>11024</v>
      </c>
      <c r="B140" s="1" t="s">
        <v>778</v>
      </c>
      <c r="C140" s="1" t="s">
        <v>1016</v>
      </c>
      <c r="D140" s="1" t="s">
        <v>1016</v>
      </c>
      <c r="E140" s="1" t="s">
        <v>13</v>
      </c>
      <c r="F140" s="1" t="s">
        <v>319</v>
      </c>
      <c r="G140" s="1" t="s">
        <v>13</v>
      </c>
      <c r="H140" s="1" t="s">
        <v>173</v>
      </c>
      <c r="I140" s="1" t="s">
        <v>802</v>
      </c>
      <c r="J140" s="1" t="s">
        <v>12</v>
      </c>
      <c r="K140" s="1" t="s">
        <v>14</v>
      </c>
      <c r="L140" s="1" t="s">
        <v>13</v>
      </c>
      <c r="M140" s="1" t="s">
        <v>12</v>
      </c>
      <c r="N140" s="1" t="s">
        <v>1004</v>
      </c>
      <c r="O140" s="1" t="s">
        <v>435</v>
      </c>
      <c r="P140" s="1" t="s">
        <v>12</v>
      </c>
      <c r="Q140" s="1" t="s">
        <v>14</v>
      </c>
      <c r="R140" s="1" t="s">
        <v>12</v>
      </c>
      <c r="S140" s="1" t="s">
        <v>14</v>
      </c>
      <c r="T140" s="1"/>
    </row>
    <row r="141" spans="1:20" ht="16.5" x14ac:dyDescent="0.3">
      <c r="A141" s="1">
        <v>11025</v>
      </c>
      <c r="B141" s="1" t="s">
        <v>661</v>
      </c>
      <c r="C141" s="1" t="s">
        <v>909</v>
      </c>
      <c r="D141" s="1" t="s">
        <v>909</v>
      </c>
      <c r="E141" s="1" t="s">
        <v>13</v>
      </c>
      <c r="F141" s="1" t="s">
        <v>319</v>
      </c>
      <c r="G141" s="1" t="s">
        <v>13</v>
      </c>
      <c r="H141" s="1" t="s">
        <v>38</v>
      </c>
      <c r="I141" s="1" t="s">
        <v>419</v>
      </c>
      <c r="J141" s="1" t="s">
        <v>12</v>
      </c>
      <c r="K141" s="1" t="s">
        <v>14</v>
      </c>
      <c r="L141" s="1" t="s">
        <v>13</v>
      </c>
      <c r="M141" s="1" t="s">
        <v>12</v>
      </c>
      <c r="N141" s="1" t="s">
        <v>729</v>
      </c>
      <c r="O141" s="1" t="s">
        <v>217</v>
      </c>
      <c r="P141" s="1" t="s">
        <v>12</v>
      </c>
      <c r="Q141" s="1" t="s">
        <v>14</v>
      </c>
      <c r="R141" s="1" t="s">
        <v>12</v>
      </c>
      <c r="S141" s="1" t="s">
        <v>14</v>
      </c>
      <c r="T141" s="1"/>
    </row>
    <row r="142" spans="1:20" ht="16.5" x14ac:dyDescent="0.3">
      <c r="A142" s="1">
        <v>11026</v>
      </c>
      <c r="B142" s="1" t="s">
        <v>662</v>
      </c>
      <c r="C142" s="1" t="s">
        <v>910</v>
      </c>
      <c r="D142" s="1" t="s">
        <v>910</v>
      </c>
      <c r="E142" s="1" t="s">
        <v>13</v>
      </c>
      <c r="F142" s="1" t="s">
        <v>319</v>
      </c>
      <c r="G142" s="1" t="s">
        <v>13</v>
      </c>
      <c r="H142" s="1" t="s">
        <v>26</v>
      </c>
      <c r="I142" s="1" t="s">
        <v>420</v>
      </c>
      <c r="J142" s="1" t="s">
        <v>12</v>
      </c>
      <c r="K142" s="1" t="s">
        <v>14</v>
      </c>
      <c r="L142" s="1" t="s">
        <v>13</v>
      </c>
      <c r="M142" s="1" t="s">
        <v>12</v>
      </c>
      <c r="N142" s="1" t="s">
        <v>729</v>
      </c>
      <c r="O142" s="1" t="s">
        <v>218</v>
      </c>
      <c r="P142" s="1" t="s">
        <v>12</v>
      </c>
      <c r="Q142" s="1" t="s">
        <v>14</v>
      </c>
      <c r="R142" s="1" t="s">
        <v>12</v>
      </c>
      <c r="S142" s="1" t="s">
        <v>14</v>
      </c>
      <c r="T142" s="1"/>
    </row>
    <row r="143" spans="1:20" ht="16.5" x14ac:dyDescent="0.3">
      <c r="A143" s="1">
        <v>11027</v>
      </c>
      <c r="B143" s="1" t="s">
        <v>663</v>
      </c>
      <c r="C143" s="1" t="s">
        <v>911</v>
      </c>
      <c r="D143" s="1" t="s">
        <v>911</v>
      </c>
      <c r="E143" s="1" t="s">
        <v>13</v>
      </c>
      <c r="F143" s="1" t="s">
        <v>319</v>
      </c>
      <c r="G143" s="1" t="s">
        <v>13</v>
      </c>
      <c r="H143" s="1" t="s">
        <v>172</v>
      </c>
      <c r="I143" s="1" t="s">
        <v>421</v>
      </c>
      <c r="J143" s="1" t="s">
        <v>12</v>
      </c>
      <c r="K143" s="1" t="s">
        <v>14</v>
      </c>
      <c r="L143" s="1" t="s">
        <v>13</v>
      </c>
      <c r="M143" s="1" t="s">
        <v>12</v>
      </c>
      <c r="N143" s="1" t="s">
        <v>729</v>
      </c>
      <c r="O143" s="1" t="s">
        <v>219</v>
      </c>
      <c r="P143" s="1" t="s">
        <v>12</v>
      </c>
      <c r="Q143" s="1" t="s">
        <v>14</v>
      </c>
      <c r="R143" s="1" t="s">
        <v>12</v>
      </c>
      <c r="S143" s="1" t="s">
        <v>14</v>
      </c>
      <c r="T143" s="1"/>
    </row>
    <row r="144" spans="1:20" ht="16.5" x14ac:dyDescent="0.3">
      <c r="A144" s="1">
        <v>11028</v>
      </c>
      <c r="B144" s="1" t="s">
        <v>779</v>
      </c>
      <c r="C144" s="1" t="s">
        <v>912</v>
      </c>
      <c r="D144" s="1" t="s">
        <v>912</v>
      </c>
      <c r="E144" s="1" t="s">
        <v>13</v>
      </c>
      <c r="F144" s="1" t="s">
        <v>319</v>
      </c>
      <c r="G144" s="1" t="s">
        <v>13</v>
      </c>
      <c r="H144" s="1" t="s">
        <v>172</v>
      </c>
      <c r="I144" s="1" t="s">
        <v>803</v>
      </c>
      <c r="J144" s="1" t="s">
        <v>12</v>
      </c>
      <c r="K144" s="1" t="s">
        <v>14</v>
      </c>
      <c r="L144" s="1" t="s">
        <v>13</v>
      </c>
      <c r="M144" s="1" t="s">
        <v>12</v>
      </c>
      <c r="N144" s="1" t="s">
        <v>729</v>
      </c>
      <c r="O144" s="1" t="s">
        <v>220</v>
      </c>
      <c r="P144" s="1" t="s">
        <v>12</v>
      </c>
      <c r="Q144" s="1" t="s">
        <v>14</v>
      </c>
      <c r="R144" s="1" t="s">
        <v>12</v>
      </c>
      <c r="S144" s="1" t="s">
        <v>14</v>
      </c>
      <c r="T144" s="1"/>
    </row>
    <row r="145" spans="1:20" ht="16.5" x14ac:dyDescent="0.3">
      <c r="A145" s="1">
        <v>11029</v>
      </c>
      <c r="B145" s="1" t="s">
        <v>664</v>
      </c>
      <c r="C145" s="1" t="s">
        <v>913</v>
      </c>
      <c r="D145" s="1" t="s">
        <v>913</v>
      </c>
      <c r="E145" s="1" t="s">
        <v>35</v>
      </c>
      <c r="F145" s="1" t="s">
        <v>165</v>
      </c>
      <c r="G145" s="1" t="s">
        <v>35</v>
      </c>
      <c r="H145" s="1" t="s">
        <v>172</v>
      </c>
      <c r="I145" s="1" t="s">
        <v>804</v>
      </c>
      <c r="J145" s="1" t="s">
        <v>12</v>
      </c>
      <c r="K145" s="1" t="s">
        <v>14</v>
      </c>
      <c r="L145" s="1" t="s">
        <v>35</v>
      </c>
      <c r="M145" s="1" t="s">
        <v>12</v>
      </c>
      <c r="N145" s="1" t="s">
        <v>729</v>
      </c>
      <c r="O145" s="1" t="s">
        <v>221</v>
      </c>
      <c r="P145" s="1" t="s">
        <v>12</v>
      </c>
      <c r="Q145" s="1" t="s">
        <v>14</v>
      </c>
      <c r="R145" s="1" t="s">
        <v>12</v>
      </c>
      <c r="S145" s="1" t="s">
        <v>14</v>
      </c>
      <c r="T145" s="1"/>
    </row>
    <row r="146" spans="1:20" ht="16.5" x14ac:dyDescent="0.3">
      <c r="A146" s="1">
        <v>11030</v>
      </c>
      <c r="B146" s="1" t="s">
        <v>665</v>
      </c>
      <c r="C146" s="1" t="s">
        <v>914</v>
      </c>
      <c r="D146" s="1" t="s">
        <v>914</v>
      </c>
      <c r="E146" s="1" t="s">
        <v>13</v>
      </c>
      <c r="F146" s="1" t="s">
        <v>52</v>
      </c>
      <c r="G146" s="1" t="s">
        <v>30</v>
      </c>
      <c r="H146" s="1" t="s">
        <v>172</v>
      </c>
      <c r="I146" s="1" t="s">
        <v>805</v>
      </c>
      <c r="J146" s="1" t="s">
        <v>12</v>
      </c>
      <c r="K146" s="1" t="s">
        <v>14</v>
      </c>
      <c r="L146" s="1" t="s">
        <v>35</v>
      </c>
      <c r="M146" s="1" t="s">
        <v>12</v>
      </c>
      <c r="N146" s="1" t="s">
        <v>729</v>
      </c>
      <c r="O146" s="1" t="s">
        <v>222</v>
      </c>
      <c r="P146" s="1" t="s">
        <v>12</v>
      </c>
      <c r="Q146" s="1" t="s">
        <v>14</v>
      </c>
      <c r="R146" s="1" t="s">
        <v>12</v>
      </c>
      <c r="S146" s="1" t="s">
        <v>14</v>
      </c>
      <c r="T146" s="1"/>
    </row>
    <row r="147" spans="1:20" ht="16.5" x14ac:dyDescent="0.3">
      <c r="A147" s="1">
        <v>11031</v>
      </c>
      <c r="B147" s="1" t="s">
        <v>666</v>
      </c>
      <c r="C147" s="1" t="s">
        <v>915</v>
      </c>
      <c r="D147" s="1" t="s">
        <v>915</v>
      </c>
      <c r="E147" s="1" t="s">
        <v>13</v>
      </c>
      <c r="F147" s="1" t="s">
        <v>52</v>
      </c>
      <c r="G147" s="1" t="s">
        <v>30</v>
      </c>
      <c r="H147" s="1" t="s">
        <v>172</v>
      </c>
      <c r="I147" s="1" t="s">
        <v>806</v>
      </c>
      <c r="J147" s="1" t="s">
        <v>12</v>
      </c>
      <c r="K147" s="1" t="s">
        <v>14</v>
      </c>
      <c r="L147" s="1" t="s">
        <v>13</v>
      </c>
      <c r="M147" s="1" t="s">
        <v>12</v>
      </c>
      <c r="N147" s="1" t="s">
        <v>729</v>
      </c>
      <c r="O147" s="1" t="s">
        <v>223</v>
      </c>
      <c r="P147" s="1" t="s">
        <v>12</v>
      </c>
      <c r="Q147" s="1" t="s">
        <v>14</v>
      </c>
      <c r="R147" s="1" t="s">
        <v>12</v>
      </c>
      <c r="S147" s="1" t="s">
        <v>14</v>
      </c>
      <c r="T147" s="1"/>
    </row>
    <row r="148" spans="1:20" ht="16.5" x14ac:dyDescent="0.3">
      <c r="A148" s="1">
        <v>11032</v>
      </c>
      <c r="B148" s="1" t="s">
        <v>780</v>
      </c>
      <c r="C148" s="1" t="s">
        <v>916</v>
      </c>
      <c r="D148" s="1" t="s">
        <v>916</v>
      </c>
      <c r="E148" s="1" t="s">
        <v>13</v>
      </c>
      <c r="F148" s="1" t="s">
        <v>165</v>
      </c>
      <c r="G148" s="1" t="s">
        <v>35</v>
      </c>
      <c r="H148" s="1" t="s">
        <v>172</v>
      </c>
      <c r="I148" s="1" t="s">
        <v>807</v>
      </c>
      <c r="J148" s="1" t="s">
        <v>12</v>
      </c>
      <c r="K148" s="1" t="s">
        <v>14</v>
      </c>
      <c r="L148" s="1" t="s">
        <v>13</v>
      </c>
      <c r="M148" s="1" t="s">
        <v>12</v>
      </c>
      <c r="N148" s="1" t="s">
        <v>729</v>
      </c>
      <c r="O148" s="1" t="s">
        <v>224</v>
      </c>
      <c r="P148" s="1" t="s">
        <v>12</v>
      </c>
      <c r="Q148" s="1" t="s">
        <v>14</v>
      </c>
      <c r="R148" s="1" t="s">
        <v>12</v>
      </c>
      <c r="S148" s="1" t="s">
        <v>14</v>
      </c>
      <c r="T148" s="1"/>
    </row>
    <row r="149" spans="1:20" ht="16.5" x14ac:dyDescent="0.3">
      <c r="A149" s="1">
        <v>11033</v>
      </c>
      <c r="B149" s="1" t="s">
        <v>667</v>
      </c>
      <c r="C149" s="1" t="s">
        <v>917</v>
      </c>
      <c r="D149" s="1" t="s">
        <v>917</v>
      </c>
      <c r="E149" s="1" t="s">
        <v>13</v>
      </c>
      <c r="F149" s="1" t="s">
        <v>52</v>
      </c>
      <c r="G149" s="1" t="s">
        <v>30</v>
      </c>
      <c r="H149" s="1" t="s">
        <v>172</v>
      </c>
      <c r="I149" s="1" t="s">
        <v>809</v>
      </c>
      <c r="J149" s="1" t="s">
        <v>12</v>
      </c>
      <c r="K149" s="1" t="s">
        <v>14</v>
      </c>
      <c r="L149" s="1" t="s">
        <v>13</v>
      </c>
      <c r="M149" s="1" t="s">
        <v>12</v>
      </c>
      <c r="N149" s="1" t="s">
        <v>729</v>
      </c>
      <c r="O149" s="1" t="s">
        <v>225</v>
      </c>
      <c r="P149" s="1" t="s">
        <v>12</v>
      </c>
      <c r="Q149" s="1" t="s">
        <v>14</v>
      </c>
      <c r="R149" s="1" t="s">
        <v>12</v>
      </c>
      <c r="S149" s="1" t="s">
        <v>14</v>
      </c>
      <c r="T149" s="1"/>
    </row>
    <row r="150" spans="1:20" ht="16.5" x14ac:dyDescent="0.3">
      <c r="A150" s="1">
        <v>11034</v>
      </c>
      <c r="B150" s="1" t="s">
        <v>668</v>
      </c>
      <c r="C150" s="1" t="s">
        <v>918</v>
      </c>
      <c r="D150" s="1" t="s">
        <v>918</v>
      </c>
      <c r="E150" s="1" t="s">
        <v>13</v>
      </c>
      <c r="F150" s="1" t="s">
        <v>52</v>
      </c>
      <c r="G150" s="1" t="s">
        <v>35</v>
      </c>
      <c r="H150" s="1" t="s">
        <v>172</v>
      </c>
      <c r="I150" s="1" t="s">
        <v>810</v>
      </c>
      <c r="J150" s="1" t="s">
        <v>12</v>
      </c>
      <c r="K150" s="1" t="s">
        <v>14</v>
      </c>
      <c r="L150" s="1" t="s">
        <v>13</v>
      </c>
      <c r="M150" s="1" t="s">
        <v>12</v>
      </c>
      <c r="N150" s="1" t="s">
        <v>729</v>
      </c>
      <c r="O150" s="1" t="s">
        <v>226</v>
      </c>
      <c r="P150" s="1" t="s">
        <v>12</v>
      </c>
      <c r="Q150" s="1" t="s">
        <v>14</v>
      </c>
      <c r="R150" s="1" t="s">
        <v>12</v>
      </c>
      <c r="S150" s="1" t="s">
        <v>14</v>
      </c>
      <c r="T150" s="1"/>
    </row>
    <row r="151" spans="1:20" ht="16.5" x14ac:dyDescent="0.3">
      <c r="A151" s="1">
        <v>11035</v>
      </c>
      <c r="B151" s="1" t="s">
        <v>669</v>
      </c>
      <c r="C151" s="1" t="s">
        <v>919</v>
      </c>
      <c r="D151" s="1" t="s">
        <v>919</v>
      </c>
      <c r="E151" s="1" t="s">
        <v>13</v>
      </c>
      <c r="F151" s="1" t="s">
        <v>165</v>
      </c>
      <c r="G151" s="1" t="s">
        <v>30</v>
      </c>
      <c r="H151" s="1" t="s">
        <v>172</v>
      </c>
      <c r="I151" s="1" t="s">
        <v>811</v>
      </c>
      <c r="J151" s="1" t="s">
        <v>12</v>
      </c>
      <c r="K151" s="1" t="s">
        <v>14</v>
      </c>
      <c r="L151" s="1" t="s">
        <v>13</v>
      </c>
      <c r="M151" s="1" t="s">
        <v>12</v>
      </c>
      <c r="N151" s="1" t="s">
        <v>729</v>
      </c>
      <c r="O151" s="1" t="s">
        <v>227</v>
      </c>
      <c r="P151" s="1" t="s">
        <v>12</v>
      </c>
      <c r="Q151" s="1" t="s">
        <v>14</v>
      </c>
      <c r="R151" s="1" t="s">
        <v>12</v>
      </c>
      <c r="S151" s="1" t="s">
        <v>14</v>
      </c>
      <c r="T151" s="1"/>
    </row>
    <row r="152" spans="1:20" ht="16.5" x14ac:dyDescent="0.3">
      <c r="A152" s="1">
        <v>11036</v>
      </c>
      <c r="B152" s="1" t="s">
        <v>808</v>
      </c>
      <c r="C152" s="1" t="s">
        <v>920</v>
      </c>
      <c r="D152" s="1" t="s">
        <v>920</v>
      </c>
      <c r="E152" s="1" t="s">
        <v>13</v>
      </c>
      <c r="F152" s="1" t="s">
        <v>165</v>
      </c>
      <c r="G152" s="1" t="s">
        <v>30</v>
      </c>
      <c r="H152" s="1" t="s">
        <v>172</v>
      </c>
      <c r="I152" s="1" t="s">
        <v>812</v>
      </c>
      <c r="J152" s="1" t="s">
        <v>12</v>
      </c>
      <c r="K152" s="1" t="s">
        <v>14</v>
      </c>
      <c r="L152" s="1" t="s">
        <v>13</v>
      </c>
      <c r="M152" s="1" t="s">
        <v>12</v>
      </c>
      <c r="N152" s="1" t="s">
        <v>729</v>
      </c>
      <c r="O152" s="1" t="s">
        <v>228</v>
      </c>
      <c r="P152" s="1" t="s">
        <v>12</v>
      </c>
      <c r="Q152" s="1" t="s">
        <v>14</v>
      </c>
      <c r="R152" s="1" t="s">
        <v>12</v>
      </c>
      <c r="S152" s="1" t="s">
        <v>14</v>
      </c>
      <c r="T152" s="1"/>
    </row>
    <row r="153" spans="1:20" ht="16.5" x14ac:dyDescent="0.3">
      <c r="A153" s="1">
        <v>12001</v>
      </c>
      <c r="B153" s="1" t="s">
        <v>813</v>
      </c>
      <c r="C153" s="1" t="s">
        <v>813</v>
      </c>
      <c r="D153" s="1" t="s">
        <v>813</v>
      </c>
      <c r="E153" s="1" t="s">
        <v>25</v>
      </c>
      <c r="F153" s="1" t="s">
        <v>321</v>
      </c>
      <c r="G153" s="1" t="s">
        <v>13</v>
      </c>
      <c r="H153" s="1" t="s">
        <v>24</v>
      </c>
      <c r="I153" s="1" t="s">
        <v>303</v>
      </c>
      <c r="J153" s="1" t="s">
        <v>12</v>
      </c>
      <c r="K153" s="1" t="s">
        <v>14</v>
      </c>
      <c r="L153" s="1" t="s">
        <v>31</v>
      </c>
      <c r="M153" s="1" t="s">
        <v>70</v>
      </c>
      <c r="N153" s="1" t="s">
        <v>31</v>
      </c>
      <c r="O153" s="1" t="s">
        <v>284</v>
      </c>
      <c r="P153" s="1" t="s">
        <v>12</v>
      </c>
      <c r="Q153" s="1" t="s">
        <v>14</v>
      </c>
      <c r="R153" s="1" t="s">
        <v>12</v>
      </c>
      <c r="S153" s="1" t="s">
        <v>14</v>
      </c>
      <c r="T153" s="1"/>
    </row>
    <row r="154" spans="1:20" ht="16.5" x14ac:dyDescent="0.3">
      <c r="A154" s="1">
        <v>12002</v>
      </c>
      <c r="B154" s="1" t="s">
        <v>814</v>
      </c>
      <c r="C154" s="1" t="s">
        <v>814</v>
      </c>
      <c r="D154" s="1" t="s">
        <v>814</v>
      </c>
      <c r="E154" s="1" t="s">
        <v>25</v>
      </c>
      <c r="F154" s="1" t="s">
        <v>321</v>
      </c>
      <c r="G154" s="1" t="s">
        <v>13</v>
      </c>
      <c r="H154" s="1" t="s">
        <v>24</v>
      </c>
      <c r="I154" s="1" t="s">
        <v>303</v>
      </c>
      <c r="J154" s="1" t="s">
        <v>12</v>
      </c>
      <c r="K154" s="1" t="s">
        <v>14</v>
      </c>
      <c r="L154" s="1" t="s">
        <v>31</v>
      </c>
      <c r="M154" s="1" t="s">
        <v>70</v>
      </c>
      <c r="N154" s="1" t="s">
        <v>31</v>
      </c>
      <c r="O154" s="1" t="s">
        <v>284</v>
      </c>
      <c r="P154" s="1" t="s">
        <v>12</v>
      </c>
      <c r="Q154" s="1" t="s">
        <v>14</v>
      </c>
      <c r="R154" s="1" t="s">
        <v>12</v>
      </c>
      <c r="S154" s="1" t="s">
        <v>14</v>
      </c>
      <c r="T154" s="1"/>
    </row>
    <row r="155" spans="1:20" ht="16.5" x14ac:dyDescent="0.3">
      <c r="A155" s="1">
        <v>12003</v>
      </c>
      <c r="B155" s="1" t="s">
        <v>815</v>
      </c>
      <c r="C155" s="1" t="s">
        <v>815</v>
      </c>
      <c r="D155" s="1" t="s">
        <v>815</v>
      </c>
      <c r="E155" s="1" t="s">
        <v>25</v>
      </c>
      <c r="F155" s="1" t="s">
        <v>321</v>
      </c>
      <c r="G155" s="1" t="s">
        <v>13</v>
      </c>
      <c r="H155" s="1" t="s">
        <v>24</v>
      </c>
      <c r="I155" s="1" t="s">
        <v>303</v>
      </c>
      <c r="J155" s="1" t="s">
        <v>12</v>
      </c>
      <c r="K155" s="1" t="s">
        <v>14</v>
      </c>
      <c r="L155" s="1" t="s">
        <v>31</v>
      </c>
      <c r="M155" s="1" t="s">
        <v>70</v>
      </c>
      <c r="N155" s="1" t="s">
        <v>31</v>
      </c>
      <c r="O155" s="1" t="s">
        <v>284</v>
      </c>
      <c r="P155" s="1" t="s">
        <v>12</v>
      </c>
      <c r="Q155" s="1" t="s">
        <v>14</v>
      </c>
      <c r="R155" s="1" t="s">
        <v>12</v>
      </c>
      <c r="S155" s="1" t="s">
        <v>14</v>
      </c>
      <c r="T155" s="1"/>
    </row>
    <row r="156" spans="1:20" ht="16.5" x14ac:dyDescent="0.3">
      <c r="A156" s="1">
        <v>12004</v>
      </c>
      <c r="B156" s="1" t="s">
        <v>816</v>
      </c>
      <c r="C156" s="1" t="s">
        <v>816</v>
      </c>
      <c r="D156" s="1" t="s">
        <v>816</v>
      </c>
      <c r="E156" s="1" t="s">
        <v>25</v>
      </c>
      <c r="F156" s="1" t="s">
        <v>321</v>
      </c>
      <c r="G156" s="1" t="s">
        <v>13</v>
      </c>
      <c r="H156" s="1" t="s">
        <v>24</v>
      </c>
      <c r="I156" s="1" t="s">
        <v>304</v>
      </c>
      <c r="J156" s="1" t="s">
        <v>12</v>
      </c>
      <c r="K156" s="1" t="s">
        <v>14</v>
      </c>
      <c r="L156" s="1" t="s">
        <v>31</v>
      </c>
      <c r="M156" s="1" t="s">
        <v>70</v>
      </c>
      <c r="N156" s="1" t="s">
        <v>31</v>
      </c>
      <c r="O156" s="1" t="s">
        <v>285</v>
      </c>
      <c r="P156" s="1" t="s">
        <v>12</v>
      </c>
      <c r="Q156" s="1" t="s">
        <v>14</v>
      </c>
      <c r="R156" s="1" t="s">
        <v>12</v>
      </c>
      <c r="S156" s="1" t="s">
        <v>14</v>
      </c>
      <c r="T156" s="1"/>
    </row>
    <row r="157" spans="1:20" ht="16.5" x14ac:dyDescent="0.3">
      <c r="A157" s="1">
        <v>12005</v>
      </c>
      <c r="B157" s="1" t="s">
        <v>817</v>
      </c>
      <c r="C157" s="1" t="s">
        <v>817</v>
      </c>
      <c r="D157" s="1" t="s">
        <v>817</v>
      </c>
      <c r="E157" s="1" t="s">
        <v>37</v>
      </c>
      <c r="F157" s="1" t="s">
        <v>321</v>
      </c>
      <c r="G157" s="1" t="s">
        <v>13</v>
      </c>
      <c r="H157" s="1" t="s">
        <v>24</v>
      </c>
      <c r="I157" s="1" t="s">
        <v>304</v>
      </c>
      <c r="J157" s="1" t="s">
        <v>12</v>
      </c>
      <c r="K157" s="1" t="s">
        <v>14</v>
      </c>
      <c r="L157" s="1" t="s">
        <v>40</v>
      </c>
      <c r="M157" s="1" t="s">
        <v>70</v>
      </c>
      <c r="N157" s="1" t="s">
        <v>31</v>
      </c>
      <c r="O157" s="1" t="s">
        <v>285</v>
      </c>
      <c r="P157" s="1" t="s">
        <v>12</v>
      </c>
      <c r="Q157" s="1" t="s">
        <v>14</v>
      </c>
      <c r="R157" s="1" t="s">
        <v>12</v>
      </c>
      <c r="S157" s="1" t="s">
        <v>14</v>
      </c>
      <c r="T157" s="1"/>
    </row>
    <row r="158" spans="1:20" ht="16.5" x14ac:dyDescent="0.3">
      <c r="A158" s="1">
        <v>12006</v>
      </c>
      <c r="B158" s="1" t="s">
        <v>818</v>
      </c>
      <c r="C158" s="1" t="s">
        <v>818</v>
      </c>
      <c r="D158" s="1" t="s">
        <v>818</v>
      </c>
      <c r="E158" s="1" t="s">
        <v>37</v>
      </c>
      <c r="F158" s="1" t="s">
        <v>321</v>
      </c>
      <c r="G158" s="1" t="s">
        <v>35</v>
      </c>
      <c r="H158" s="1" t="s">
        <v>24</v>
      </c>
      <c r="I158" s="1" t="s">
        <v>304</v>
      </c>
      <c r="J158" s="1" t="s">
        <v>12</v>
      </c>
      <c r="K158" s="1" t="s">
        <v>14</v>
      </c>
      <c r="L158" s="1" t="s">
        <v>31</v>
      </c>
      <c r="M158" s="1" t="s">
        <v>70</v>
      </c>
      <c r="N158" s="1" t="s">
        <v>40</v>
      </c>
      <c r="O158" s="1" t="s">
        <v>285</v>
      </c>
      <c r="P158" s="1" t="s">
        <v>12</v>
      </c>
      <c r="Q158" s="1" t="s">
        <v>14</v>
      </c>
      <c r="R158" s="1" t="s">
        <v>12</v>
      </c>
      <c r="S158" s="1" t="s">
        <v>14</v>
      </c>
      <c r="T158" s="1"/>
    </row>
    <row r="159" spans="1:20" ht="16.5" x14ac:dyDescent="0.3">
      <c r="A159" s="1">
        <v>12007</v>
      </c>
      <c r="B159" s="1" t="s">
        <v>819</v>
      </c>
      <c r="C159" s="1" t="s">
        <v>819</v>
      </c>
      <c r="D159" s="1" t="s">
        <v>819</v>
      </c>
      <c r="E159" s="1" t="s">
        <v>37</v>
      </c>
      <c r="F159" s="1" t="s">
        <v>321</v>
      </c>
      <c r="G159" s="1" t="s">
        <v>35</v>
      </c>
      <c r="H159" s="1" t="s">
        <v>36</v>
      </c>
      <c r="I159" s="1" t="s">
        <v>305</v>
      </c>
      <c r="J159" s="1" t="s">
        <v>12</v>
      </c>
      <c r="K159" s="1" t="s">
        <v>14</v>
      </c>
      <c r="L159" s="1" t="s">
        <v>40</v>
      </c>
      <c r="M159" s="1" t="s">
        <v>153</v>
      </c>
      <c r="N159" s="1" t="s">
        <v>40</v>
      </c>
      <c r="O159" s="1" t="s">
        <v>730</v>
      </c>
      <c r="P159" s="1" t="s">
        <v>12</v>
      </c>
      <c r="Q159" s="1" t="s">
        <v>14</v>
      </c>
      <c r="R159" s="1" t="s">
        <v>12</v>
      </c>
      <c r="S159" s="1" t="s">
        <v>14</v>
      </c>
      <c r="T159" s="1"/>
    </row>
    <row r="160" spans="1:20" ht="16.5" x14ac:dyDescent="0.3">
      <c r="A160" s="1">
        <v>12008</v>
      </c>
      <c r="B160" s="1" t="s">
        <v>820</v>
      </c>
      <c r="C160" s="1" t="s">
        <v>820</v>
      </c>
      <c r="D160" s="1" t="s">
        <v>820</v>
      </c>
      <c r="E160" s="1" t="s">
        <v>37</v>
      </c>
      <c r="F160" s="1" t="s">
        <v>321</v>
      </c>
      <c r="G160" s="1" t="s">
        <v>35</v>
      </c>
      <c r="H160" s="1" t="s">
        <v>36</v>
      </c>
      <c r="I160" s="1" t="s">
        <v>305</v>
      </c>
      <c r="J160" s="1" t="s">
        <v>12</v>
      </c>
      <c r="K160" s="1" t="s">
        <v>14</v>
      </c>
      <c r="L160" s="1" t="s">
        <v>40</v>
      </c>
      <c r="M160" s="1" t="s">
        <v>153</v>
      </c>
      <c r="N160" s="1" t="s">
        <v>40</v>
      </c>
      <c r="O160" s="1" t="s">
        <v>730</v>
      </c>
      <c r="P160" s="1" t="s">
        <v>12</v>
      </c>
      <c r="Q160" s="1" t="s">
        <v>14</v>
      </c>
      <c r="R160" s="1" t="s">
        <v>12</v>
      </c>
      <c r="S160" s="1" t="s">
        <v>14</v>
      </c>
      <c r="T160" s="1"/>
    </row>
    <row r="161" spans="1:20" ht="16.5" x14ac:dyDescent="0.3">
      <c r="A161" s="1">
        <v>12009</v>
      </c>
      <c r="B161" s="1" t="s">
        <v>821</v>
      </c>
      <c r="C161" s="1" t="s">
        <v>821</v>
      </c>
      <c r="D161" s="1" t="s">
        <v>821</v>
      </c>
      <c r="E161" s="1" t="s">
        <v>37</v>
      </c>
      <c r="F161" s="1" t="s">
        <v>321</v>
      </c>
      <c r="G161" s="1" t="s">
        <v>35</v>
      </c>
      <c r="H161" s="1" t="s">
        <v>36</v>
      </c>
      <c r="I161" s="1" t="s">
        <v>305</v>
      </c>
      <c r="J161" s="1" t="s">
        <v>12</v>
      </c>
      <c r="K161" s="1" t="s">
        <v>14</v>
      </c>
      <c r="L161" s="1" t="s">
        <v>40</v>
      </c>
      <c r="M161" s="1" t="s">
        <v>153</v>
      </c>
      <c r="N161" s="1" t="s">
        <v>40</v>
      </c>
      <c r="O161" s="1" t="s">
        <v>730</v>
      </c>
      <c r="P161" s="1" t="s">
        <v>12</v>
      </c>
      <c r="Q161" s="1" t="s">
        <v>14</v>
      </c>
      <c r="R161" s="1" t="s">
        <v>12</v>
      </c>
      <c r="S161" s="1" t="s">
        <v>14</v>
      </c>
      <c r="T161" s="1"/>
    </row>
    <row r="162" spans="1:20" ht="16.5" x14ac:dyDescent="0.3">
      <c r="A162" s="1">
        <v>12010</v>
      </c>
      <c r="B162" s="1" t="s">
        <v>822</v>
      </c>
      <c r="C162" s="1" t="s">
        <v>822</v>
      </c>
      <c r="D162" s="1" t="s">
        <v>822</v>
      </c>
      <c r="E162" s="1" t="s">
        <v>37</v>
      </c>
      <c r="F162" s="1" t="s">
        <v>321</v>
      </c>
      <c r="G162" s="1" t="s">
        <v>30</v>
      </c>
      <c r="H162" s="1" t="s">
        <v>36</v>
      </c>
      <c r="I162" s="1" t="s">
        <v>306</v>
      </c>
      <c r="J162" s="1" t="s">
        <v>12</v>
      </c>
      <c r="K162" s="1" t="s">
        <v>14</v>
      </c>
      <c r="L162" s="1" t="s">
        <v>40</v>
      </c>
      <c r="M162" s="1" t="s">
        <v>153</v>
      </c>
      <c r="N162" s="1" t="s">
        <v>40</v>
      </c>
      <c r="O162" s="1" t="s">
        <v>731</v>
      </c>
      <c r="P162" s="1" t="s">
        <v>12</v>
      </c>
      <c r="Q162" s="1" t="s">
        <v>14</v>
      </c>
      <c r="R162" s="1" t="s">
        <v>12</v>
      </c>
      <c r="S162" s="1" t="s">
        <v>14</v>
      </c>
      <c r="T162" s="1"/>
    </row>
    <row r="163" spans="1:20" ht="16.5" x14ac:dyDescent="0.3">
      <c r="A163" s="1">
        <v>12011</v>
      </c>
      <c r="B163" s="1" t="s">
        <v>823</v>
      </c>
      <c r="C163" s="1" t="s">
        <v>823</v>
      </c>
      <c r="D163" s="1" t="s">
        <v>823</v>
      </c>
      <c r="E163" s="1" t="s">
        <v>37</v>
      </c>
      <c r="F163" s="1" t="s">
        <v>321</v>
      </c>
      <c r="G163" s="1" t="s">
        <v>30</v>
      </c>
      <c r="H163" s="1" t="s">
        <v>36</v>
      </c>
      <c r="I163" s="1" t="s">
        <v>306</v>
      </c>
      <c r="J163" s="1" t="s">
        <v>12</v>
      </c>
      <c r="K163" s="1" t="s">
        <v>14</v>
      </c>
      <c r="L163" s="1" t="s">
        <v>40</v>
      </c>
      <c r="M163" s="1" t="s">
        <v>153</v>
      </c>
      <c r="N163" s="1" t="s">
        <v>40</v>
      </c>
      <c r="O163" s="1" t="s">
        <v>731</v>
      </c>
      <c r="P163" s="1" t="s">
        <v>12</v>
      </c>
      <c r="Q163" s="1" t="s">
        <v>14</v>
      </c>
      <c r="R163" s="1" t="s">
        <v>12</v>
      </c>
      <c r="S163" s="1" t="s">
        <v>14</v>
      </c>
      <c r="T163" s="1"/>
    </row>
    <row r="164" spans="1:20" ht="16.5" x14ac:dyDescent="0.3">
      <c r="A164" s="1">
        <v>12012</v>
      </c>
      <c r="B164" s="1" t="s">
        <v>824</v>
      </c>
      <c r="C164" s="1" t="s">
        <v>824</v>
      </c>
      <c r="D164" s="1" t="s">
        <v>824</v>
      </c>
      <c r="E164" s="1" t="s">
        <v>37</v>
      </c>
      <c r="F164" s="1" t="s">
        <v>321</v>
      </c>
      <c r="G164" s="1" t="s">
        <v>35</v>
      </c>
      <c r="H164" s="1" t="s">
        <v>36</v>
      </c>
      <c r="I164" s="1" t="s">
        <v>306</v>
      </c>
      <c r="J164" s="1" t="s">
        <v>12</v>
      </c>
      <c r="K164" s="1" t="s">
        <v>14</v>
      </c>
      <c r="L164" s="1" t="s">
        <v>40</v>
      </c>
      <c r="M164" s="1" t="s">
        <v>153</v>
      </c>
      <c r="N164" s="1" t="s">
        <v>40</v>
      </c>
      <c r="O164" s="1" t="s">
        <v>731</v>
      </c>
      <c r="P164" s="1" t="s">
        <v>12</v>
      </c>
      <c r="Q164" s="1" t="s">
        <v>14</v>
      </c>
      <c r="R164" s="1" t="s">
        <v>12</v>
      </c>
      <c r="S164" s="1" t="s">
        <v>14</v>
      </c>
      <c r="T164" s="1"/>
    </row>
    <row r="165" spans="1:20" ht="16.5" x14ac:dyDescent="0.3">
      <c r="A165" s="1">
        <v>12013</v>
      </c>
      <c r="B165" s="1" t="s">
        <v>825</v>
      </c>
      <c r="C165" s="1" t="s">
        <v>825</v>
      </c>
      <c r="D165" s="1" t="s">
        <v>825</v>
      </c>
      <c r="E165" s="1" t="s">
        <v>25</v>
      </c>
      <c r="F165" s="1" t="s">
        <v>321</v>
      </c>
      <c r="G165" s="1" t="s">
        <v>30</v>
      </c>
      <c r="H165" s="1" t="s">
        <v>25</v>
      </c>
      <c r="I165" s="1" t="s">
        <v>307</v>
      </c>
      <c r="J165" s="1" t="s">
        <v>12</v>
      </c>
      <c r="K165" s="1" t="s">
        <v>14</v>
      </c>
      <c r="L165" s="1" t="s">
        <v>31</v>
      </c>
      <c r="M165" s="1" t="s">
        <v>70</v>
      </c>
      <c r="N165" s="1" t="s">
        <v>31</v>
      </c>
      <c r="O165" s="1" t="s">
        <v>286</v>
      </c>
      <c r="P165" s="1" t="s">
        <v>12</v>
      </c>
      <c r="Q165" s="1" t="s">
        <v>14</v>
      </c>
      <c r="R165" s="1" t="s">
        <v>12</v>
      </c>
      <c r="S165" s="1" t="s">
        <v>14</v>
      </c>
      <c r="T165" s="1"/>
    </row>
    <row r="166" spans="1:20" ht="16.5" x14ac:dyDescent="0.3">
      <c r="A166" s="1">
        <v>12014</v>
      </c>
      <c r="B166" s="1" t="s">
        <v>826</v>
      </c>
      <c r="C166" s="1" t="s">
        <v>826</v>
      </c>
      <c r="D166" s="1" t="s">
        <v>826</v>
      </c>
      <c r="E166" s="1" t="s">
        <v>25</v>
      </c>
      <c r="F166" s="1" t="s">
        <v>321</v>
      </c>
      <c r="G166" s="1" t="s">
        <v>30</v>
      </c>
      <c r="H166" s="1" t="s">
        <v>25</v>
      </c>
      <c r="I166" s="1" t="s">
        <v>307</v>
      </c>
      <c r="J166" s="1" t="s">
        <v>12</v>
      </c>
      <c r="K166" s="1" t="s">
        <v>14</v>
      </c>
      <c r="L166" s="1" t="s">
        <v>31</v>
      </c>
      <c r="M166" s="1" t="s">
        <v>70</v>
      </c>
      <c r="N166" s="1" t="s">
        <v>31</v>
      </c>
      <c r="O166" s="1" t="s">
        <v>286</v>
      </c>
      <c r="P166" s="1" t="s">
        <v>12</v>
      </c>
      <c r="Q166" s="1" t="s">
        <v>14</v>
      </c>
      <c r="R166" s="1" t="s">
        <v>12</v>
      </c>
      <c r="S166" s="1" t="s">
        <v>14</v>
      </c>
      <c r="T166" s="1"/>
    </row>
    <row r="167" spans="1:20" ht="16.5" x14ac:dyDescent="0.3">
      <c r="A167" s="1">
        <v>12015</v>
      </c>
      <c r="B167" s="1" t="s">
        <v>827</v>
      </c>
      <c r="C167" s="1" t="s">
        <v>827</v>
      </c>
      <c r="D167" s="1" t="s">
        <v>827</v>
      </c>
      <c r="E167" s="1" t="s">
        <v>25</v>
      </c>
      <c r="F167" s="1" t="s">
        <v>321</v>
      </c>
      <c r="G167" s="1" t="s">
        <v>30</v>
      </c>
      <c r="H167" s="1" t="s">
        <v>25</v>
      </c>
      <c r="I167" s="1" t="s">
        <v>307</v>
      </c>
      <c r="J167" s="1" t="s">
        <v>12</v>
      </c>
      <c r="K167" s="1" t="s">
        <v>14</v>
      </c>
      <c r="L167" s="1" t="s">
        <v>31</v>
      </c>
      <c r="M167" s="1" t="s">
        <v>70</v>
      </c>
      <c r="N167" s="1" t="s">
        <v>31</v>
      </c>
      <c r="O167" s="1" t="s">
        <v>286</v>
      </c>
      <c r="P167" s="1" t="s">
        <v>12</v>
      </c>
      <c r="Q167" s="1" t="s">
        <v>14</v>
      </c>
      <c r="R167" s="1" t="s">
        <v>12</v>
      </c>
      <c r="S167" s="1" t="s">
        <v>14</v>
      </c>
      <c r="T167" s="1"/>
    </row>
    <row r="168" spans="1:20" ht="16.5" x14ac:dyDescent="0.3">
      <c r="A168" s="1">
        <v>12016</v>
      </c>
      <c r="B168" s="1" t="s">
        <v>828</v>
      </c>
      <c r="C168" s="1" t="s">
        <v>828</v>
      </c>
      <c r="D168" s="1" t="s">
        <v>828</v>
      </c>
      <c r="E168" s="1" t="s">
        <v>25</v>
      </c>
      <c r="F168" s="1" t="s">
        <v>321</v>
      </c>
      <c r="G168" s="1" t="s">
        <v>30</v>
      </c>
      <c r="H168" s="1" t="s">
        <v>25</v>
      </c>
      <c r="I168" s="1" t="s">
        <v>307</v>
      </c>
      <c r="J168" s="1" t="s">
        <v>12</v>
      </c>
      <c r="K168" s="1" t="s">
        <v>14</v>
      </c>
      <c r="L168" s="1" t="s">
        <v>31</v>
      </c>
      <c r="M168" s="1" t="s">
        <v>70</v>
      </c>
      <c r="N168" s="1" t="s">
        <v>31</v>
      </c>
      <c r="O168" s="1" t="s">
        <v>286</v>
      </c>
      <c r="P168" s="1" t="s">
        <v>12</v>
      </c>
      <c r="Q168" s="1" t="s">
        <v>14</v>
      </c>
      <c r="R168" s="1" t="s">
        <v>12</v>
      </c>
      <c r="S168" s="1" t="s">
        <v>14</v>
      </c>
      <c r="T168" s="1"/>
    </row>
    <row r="169" spans="1:20" ht="16.5" x14ac:dyDescent="0.3">
      <c r="A169" s="1">
        <v>12017</v>
      </c>
      <c r="B169" s="1" t="s">
        <v>829</v>
      </c>
      <c r="C169" s="1" t="s">
        <v>829</v>
      </c>
      <c r="D169" s="1" t="s">
        <v>829</v>
      </c>
      <c r="E169" s="1" t="s">
        <v>25</v>
      </c>
      <c r="F169" s="1" t="s">
        <v>321</v>
      </c>
      <c r="G169" s="1" t="s">
        <v>30</v>
      </c>
      <c r="H169" s="1" t="s">
        <v>25</v>
      </c>
      <c r="I169" s="1" t="s">
        <v>308</v>
      </c>
      <c r="J169" s="1" t="s">
        <v>12</v>
      </c>
      <c r="K169" s="1" t="s">
        <v>14</v>
      </c>
      <c r="L169" s="1" t="s">
        <v>31</v>
      </c>
      <c r="M169" s="1" t="s">
        <v>70</v>
      </c>
      <c r="N169" s="1" t="s">
        <v>31</v>
      </c>
      <c r="O169" s="1" t="s">
        <v>287</v>
      </c>
      <c r="P169" s="1" t="s">
        <v>12</v>
      </c>
      <c r="Q169" s="1" t="s">
        <v>14</v>
      </c>
      <c r="R169" s="1" t="s">
        <v>12</v>
      </c>
      <c r="S169" s="1" t="s">
        <v>14</v>
      </c>
      <c r="T169" s="1"/>
    </row>
    <row r="170" spans="1:20" ht="16.5" x14ac:dyDescent="0.3">
      <c r="A170" s="1">
        <v>12018</v>
      </c>
      <c r="B170" s="1" t="s">
        <v>830</v>
      </c>
      <c r="C170" s="1" t="s">
        <v>830</v>
      </c>
      <c r="D170" s="1" t="s">
        <v>830</v>
      </c>
      <c r="E170" s="1" t="s">
        <v>25</v>
      </c>
      <c r="F170" s="1" t="s">
        <v>321</v>
      </c>
      <c r="G170" s="1" t="s">
        <v>30</v>
      </c>
      <c r="H170" s="1" t="s">
        <v>25</v>
      </c>
      <c r="I170" s="1" t="s">
        <v>308</v>
      </c>
      <c r="J170" s="1" t="s">
        <v>12</v>
      </c>
      <c r="K170" s="1" t="s">
        <v>14</v>
      </c>
      <c r="L170" s="1" t="s">
        <v>31</v>
      </c>
      <c r="M170" s="1" t="s">
        <v>70</v>
      </c>
      <c r="N170" s="1" t="s">
        <v>31</v>
      </c>
      <c r="O170" s="1" t="s">
        <v>287</v>
      </c>
      <c r="P170" s="1" t="s">
        <v>12</v>
      </c>
      <c r="Q170" s="1" t="s">
        <v>14</v>
      </c>
      <c r="R170" s="1" t="s">
        <v>12</v>
      </c>
      <c r="S170" s="1" t="s">
        <v>14</v>
      </c>
      <c r="T170" s="1"/>
    </row>
    <row r="171" spans="1:20" ht="16.5" x14ac:dyDescent="0.3">
      <c r="A171" s="1">
        <v>12019</v>
      </c>
      <c r="B171" s="1" t="s">
        <v>831</v>
      </c>
      <c r="C171" s="1" t="s">
        <v>831</v>
      </c>
      <c r="D171" s="1" t="s">
        <v>831</v>
      </c>
      <c r="E171" s="1" t="s">
        <v>25</v>
      </c>
      <c r="F171" s="1" t="s">
        <v>321</v>
      </c>
      <c r="G171" s="1" t="s">
        <v>30</v>
      </c>
      <c r="H171" s="1" t="s">
        <v>25</v>
      </c>
      <c r="I171" s="1" t="s">
        <v>308</v>
      </c>
      <c r="J171" s="1" t="s">
        <v>12</v>
      </c>
      <c r="K171" s="1" t="s">
        <v>14</v>
      </c>
      <c r="L171" s="1" t="s">
        <v>31</v>
      </c>
      <c r="M171" s="1" t="s">
        <v>70</v>
      </c>
      <c r="N171" s="1" t="s">
        <v>31</v>
      </c>
      <c r="O171" s="1" t="s">
        <v>287</v>
      </c>
      <c r="P171" s="1" t="s">
        <v>12</v>
      </c>
      <c r="Q171" s="1" t="s">
        <v>14</v>
      </c>
      <c r="R171" s="1" t="s">
        <v>12</v>
      </c>
      <c r="S171" s="1" t="s">
        <v>14</v>
      </c>
      <c r="T171" s="1"/>
    </row>
    <row r="172" spans="1:20" ht="16.5" x14ac:dyDescent="0.3">
      <c r="A172" s="1">
        <v>12020</v>
      </c>
      <c r="B172" s="1" t="s">
        <v>832</v>
      </c>
      <c r="C172" s="1" t="s">
        <v>832</v>
      </c>
      <c r="D172" s="1" t="s">
        <v>832</v>
      </c>
      <c r="E172" s="1" t="s">
        <v>25</v>
      </c>
      <c r="F172" s="1" t="s">
        <v>321</v>
      </c>
      <c r="G172" s="1" t="s">
        <v>30</v>
      </c>
      <c r="H172" s="1" t="s">
        <v>25</v>
      </c>
      <c r="I172" s="1" t="s">
        <v>308</v>
      </c>
      <c r="J172" s="1" t="s">
        <v>12</v>
      </c>
      <c r="K172" s="1" t="s">
        <v>14</v>
      </c>
      <c r="L172" s="1" t="s">
        <v>31</v>
      </c>
      <c r="M172" s="1" t="s">
        <v>70</v>
      </c>
      <c r="N172" s="1" t="s">
        <v>31</v>
      </c>
      <c r="O172" s="1" t="s">
        <v>287</v>
      </c>
      <c r="P172" s="1" t="s">
        <v>12</v>
      </c>
      <c r="Q172" s="1" t="s">
        <v>14</v>
      </c>
      <c r="R172" s="1" t="s">
        <v>12</v>
      </c>
      <c r="S172" s="1" t="s">
        <v>14</v>
      </c>
      <c r="T172" s="1"/>
    </row>
    <row r="173" spans="1:20" ht="16.5" x14ac:dyDescent="0.3">
      <c r="A173" s="1">
        <v>12021</v>
      </c>
      <c r="B173" s="1" t="s">
        <v>833</v>
      </c>
      <c r="C173" s="1" t="s">
        <v>833</v>
      </c>
      <c r="D173" s="1" t="s">
        <v>833</v>
      </c>
      <c r="E173" s="1" t="s">
        <v>37</v>
      </c>
      <c r="F173" s="1" t="s">
        <v>321</v>
      </c>
      <c r="G173" s="1" t="s">
        <v>35</v>
      </c>
      <c r="H173" s="1" t="s">
        <v>37</v>
      </c>
      <c r="I173" s="1" t="s">
        <v>309</v>
      </c>
      <c r="J173" s="1" t="s">
        <v>12</v>
      </c>
      <c r="K173" s="1" t="s">
        <v>14</v>
      </c>
      <c r="L173" s="1" t="s">
        <v>40</v>
      </c>
      <c r="M173" s="1" t="s">
        <v>153</v>
      </c>
      <c r="N173" s="1" t="s">
        <v>40</v>
      </c>
      <c r="O173" s="1" t="s">
        <v>732</v>
      </c>
      <c r="P173" s="1" t="s">
        <v>12</v>
      </c>
      <c r="Q173" s="1" t="s">
        <v>14</v>
      </c>
      <c r="R173" s="1" t="s">
        <v>12</v>
      </c>
      <c r="S173" s="1" t="s">
        <v>14</v>
      </c>
      <c r="T173" s="1"/>
    </row>
    <row r="174" spans="1:20" ht="16.5" x14ac:dyDescent="0.3">
      <c r="A174" s="1">
        <v>12022</v>
      </c>
      <c r="B174" s="1" t="s">
        <v>834</v>
      </c>
      <c r="C174" s="1" t="s">
        <v>834</v>
      </c>
      <c r="D174" s="1" t="s">
        <v>834</v>
      </c>
      <c r="E174" s="1" t="s">
        <v>37</v>
      </c>
      <c r="F174" s="1" t="s">
        <v>321</v>
      </c>
      <c r="G174" s="1" t="s">
        <v>35</v>
      </c>
      <c r="H174" s="1" t="s">
        <v>37</v>
      </c>
      <c r="I174" s="1" t="s">
        <v>309</v>
      </c>
      <c r="J174" s="1" t="s">
        <v>12</v>
      </c>
      <c r="K174" s="1" t="s">
        <v>14</v>
      </c>
      <c r="L174" s="1" t="s">
        <v>40</v>
      </c>
      <c r="M174" s="1" t="s">
        <v>153</v>
      </c>
      <c r="N174" s="1" t="s">
        <v>40</v>
      </c>
      <c r="O174" s="1" t="s">
        <v>732</v>
      </c>
      <c r="P174" s="1" t="s">
        <v>12</v>
      </c>
      <c r="Q174" s="1" t="s">
        <v>14</v>
      </c>
      <c r="R174" s="1" t="s">
        <v>12</v>
      </c>
      <c r="S174" s="1" t="s">
        <v>14</v>
      </c>
      <c r="T174" s="1"/>
    </row>
    <row r="175" spans="1:20" ht="16.5" x14ac:dyDescent="0.3">
      <c r="A175" s="1">
        <v>12023</v>
      </c>
      <c r="B175" s="1" t="s">
        <v>835</v>
      </c>
      <c r="C175" s="1" t="s">
        <v>835</v>
      </c>
      <c r="D175" s="1" t="s">
        <v>835</v>
      </c>
      <c r="E175" s="1" t="s">
        <v>37</v>
      </c>
      <c r="F175" s="1" t="s">
        <v>321</v>
      </c>
      <c r="G175" s="1" t="s">
        <v>35</v>
      </c>
      <c r="H175" s="1" t="s">
        <v>37</v>
      </c>
      <c r="I175" s="1" t="s">
        <v>309</v>
      </c>
      <c r="J175" s="1" t="s">
        <v>12</v>
      </c>
      <c r="K175" s="1" t="s">
        <v>14</v>
      </c>
      <c r="L175" s="1" t="s">
        <v>40</v>
      </c>
      <c r="M175" s="1" t="s">
        <v>153</v>
      </c>
      <c r="N175" s="1" t="s">
        <v>40</v>
      </c>
      <c r="O175" s="1" t="s">
        <v>732</v>
      </c>
      <c r="P175" s="1" t="s">
        <v>12</v>
      </c>
      <c r="Q175" s="1" t="s">
        <v>14</v>
      </c>
      <c r="R175" s="1" t="s">
        <v>12</v>
      </c>
      <c r="S175" s="1" t="s">
        <v>14</v>
      </c>
      <c r="T175" s="1"/>
    </row>
    <row r="176" spans="1:20" ht="16.5" x14ac:dyDescent="0.3">
      <c r="A176" s="1">
        <v>12024</v>
      </c>
      <c r="B176" s="1" t="s">
        <v>836</v>
      </c>
      <c r="C176" s="1" t="s">
        <v>836</v>
      </c>
      <c r="D176" s="1" t="s">
        <v>836</v>
      </c>
      <c r="E176" s="1" t="s">
        <v>37</v>
      </c>
      <c r="F176" s="1" t="s">
        <v>321</v>
      </c>
      <c r="G176" s="1" t="s">
        <v>35</v>
      </c>
      <c r="H176" s="1" t="s">
        <v>37</v>
      </c>
      <c r="I176" s="1" t="s">
        <v>309</v>
      </c>
      <c r="J176" s="1" t="s">
        <v>12</v>
      </c>
      <c r="K176" s="1" t="s">
        <v>14</v>
      </c>
      <c r="L176" s="1" t="s">
        <v>40</v>
      </c>
      <c r="M176" s="1" t="s">
        <v>153</v>
      </c>
      <c r="N176" s="1" t="s">
        <v>40</v>
      </c>
      <c r="O176" s="1" t="s">
        <v>732</v>
      </c>
      <c r="P176" s="1" t="s">
        <v>12</v>
      </c>
      <c r="Q176" s="1" t="s">
        <v>14</v>
      </c>
      <c r="R176" s="1" t="s">
        <v>12</v>
      </c>
      <c r="S176" s="1" t="s">
        <v>14</v>
      </c>
      <c r="T176" s="1"/>
    </row>
    <row r="177" spans="1:20" ht="16.5" x14ac:dyDescent="0.3">
      <c r="A177" s="1">
        <v>12025</v>
      </c>
      <c r="B177" s="1" t="s">
        <v>837</v>
      </c>
      <c r="C177" s="1" t="s">
        <v>837</v>
      </c>
      <c r="D177" s="1" t="s">
        <v>837</v>
      </c>
      <c r="E177" s="1" t="s">
        <v>37</v>
      </c>
      <c r="F177" s="1" t="s">
        <v>321</v>
      </c>
      <c r="G177" s="1" t="s">
        <v>35</v>
      </c>
      <c r="H177" s="1" t="s">
        <v>37</v>
      </c>
      <c r="I177" s="1" t="s">
        <v>310</v>
      </c>
      <c r="J177" s="1" t="s">
        <v>12</v>
      </c>
      <c r="K177" s="1" t="s">
        <v>14</v>
      </c>
      <c r="L177" s="1" t="s">
        <v>40</v>
      </c>
      <c r="M177" s="1" t="s">
        <v>153</v>
      </c>
      <c r="N177" s="1" t="s">
        <v>40</v>
      </c>
      <c r="O177" s="1" t="s">
        <v>733</v>
      </c>
      <c r="P177" s="1" t="s">
        <v>12</v>
      </c>
      <c r="Q177" s="1" t="s">
        <v>14</v>
      </c>
      <c r="R177" s="1" t="s">
        <v>12</v>
      </c>
      <c r="S177" s="1" t="s">
        <v>14</v>
      </c>
      <c r="T177" s="1"/>
    </row>
    <row r="178" spans="1:20" ht="16.5" x14ac:dyDescent="0.3">
      <c r="A178" s="1">
        <v>12026</v>
      </c>
      <c r="B178" s="1" t="s">
        <v>838</v>
      </c>
      <c r="C178" s="1" t="s">
        <v>838</v>
      </c>
      <c r="D178" s="1" t="s">
        <v>838</v>
      </c>
      <c r="E178" s="1" t="s">
        <v>37</v>
      </c>
      <c r="F178" s="1" t="s">
        <v>321</v>
      </c>
      <c r="G178" s="1" t="s">
        <v>35</v>
      </c>
      <c r="H178" s="1" t="s">
        <v>37</v>
      </c>
      <c r="I178" s="1" t="s">
        <v>310</v>
      </c>
      <c r="J178" s="1" t="s">
        <v>12</v>
      </c>
      <c r="K178" s="1" t="s">
        <v>14</v>
      </c>
      <c r="L178" s="1" t="s">
        <v>40</v>
      </c>
      <c r="M178" s="1" t="s">
        <v>153</v>
      </c>
      <c r="N178" s="1" t="s">
        <v>40</v>
      </c>
      <c r="O178" s="1" t="s">
        <v>733</v>
      </c>
      <c r="P178" s="1" t="s">
        <v>12</v>
      </c>
      <c r="Q178" s="1" t="s">
        <v>14</v>
      </c>
      <c r="R178" s="1" t="s">
        <v>12</v>
      </c>
      <c r="S178" s="1" t="s">
        <v>14</v>
      </c>
      <c r="T178" s="1"/>
    </row>
    <row r="179" spans="1:20" ht="16.5" x14ac:dyDescent="0.3">
      <c r="A179" s="1">
        <v>12027</v>
      </c>
      <c r="B179" s="1" t="s">
        <v>839</v>
      </c>
      <c r="C179" s="1" t="s">
        <v>839</v>
      </c>
      <c r="D179" s="1" t="s">
        <v>839</v>
      </c>
      <c r="E179" s="1" t="s">
        <v>37</v>
      </c>
      <c r="F179" s="1" t="s">
        <v>321</v>
      </c>
      <c r="G179" s="1" t="s">
        <v>35</v>
      </c>
      <c r="H179" s="1" t="s">
        <v>37</v>
      </c>
      <c r="I179" s="1" t="s">
        <v>310</v>
      </c>
      <c r="J179" s="1" t="s">
        <v>12</v>
      </c>
      <c r="K179" s="1" t="s">
        <v>14</v>
      </c>
      <c r="L179" s="1" t="s">
        <v>40</v>
      </c>
      <c r="M179" s="1" t="s">
        <v>153</v>
      </c>
      <c r="N179" s="1" t="s">
        <v>40</v>
      </c>
      <c r="O179" s="1" t="s">
        <v>733</v>
      </c>
      <c r="P179" s="1" t="s">
        <v>12</v>
      </c>
      <c r="Q179" s="1" t="s">
        <v>14</v>
      </c>
      <c r="R179" s="1" t="s">
        <v>12</v>
      </c>
      <c r="S179" s="1" t="s">
        <v>14</v>
      </c>
      <c r="T179" s="1"/>
    </row>
    <row r="180" spans="1:20" ht="16.5" x14ac:dyDescent="0.3">
      <c r="A180" s="1">
        <v>12028</v>
      </c>
      <c r="B180" s="1" t="s">
        <v>840</v>
      </c>
      <c r="C180" s="1" t="s">
        <v>840</v>
      </c>
      <c r="D180" s="1" t="s">
        <v>840</v>
      </c>
      <c r="E180" s="1" t="s">
        <v>37</v>
      </c>
      <c r="F180" s="1" t="s">
        <v>321</v>
      </c>
      <c r="G180" s="1" t="s">
        <v>35</v>
      </c>
      <c r="H180" s="1" t="s">
        <v>37</v>
      </c>
      <c r="I180" s="1" t="s">
        <v>310</v>
      </c>
      <c r="J180" s="1" t="s">
        <v>12</v>
      </c>
      <c r="K180" s="1" t="s">
        <v>14</v>
      </c>
      <c r="L180" s="1" t="s">
        <v>40</v>
      </c>
      <c r="M180" s="1" t="s">
        <v>153</v>
      </c>
      <c r="N180" s="1" t="s">
        <v>40</v>
      </c>
      <c r="O180" s="1" t="s">
        <v>733</v>
      </c>
      <c r="P180" s="1" t="s">
        <v>12</v>
      </c>
      <c r="Q180" s="1" t="s">
        <v>14</v>
      </c>
      <c r="R180" s="1" t="s">
        <v>12</v>
      </c>
      <c r="S180" s="1" t="s">
        <v>14</v>
      </c>
      <c r="T180" s="1"/>
    </row>
    <row r="181" spans="1:20" ht="16.5" x14ac:dyDescent="0.3">
      <c r="A181" s="1">
        <v>12029</v>
      </c>
      <c r="B181" s="1" t="s">
        <v>701</v>
      </c>
      <c r="C181" s="1" t="s">
        <v>701</v>
      </c>
      <c r="D181" s="1" t="s">
        <v>701</v>
      </c>
      <c r="E181" s="1" t="s">
        <v>37</v>
      </c>
      <c r="F181" s="1" t="s">
        <v>321</v>
      </c>
      <c r="G181" s="1" t="s">
        <v>35</v>
      </c>
      <c r="H181" s="1" t="s">
        <v>37</v>
      </c>
      <c r="I181" s="1" t="s">
        <v>311</v>
      </c>
      <c r="J181" s="1" t="s">
        <v>12</v>
      </c>
      <c r="K181" s="1" t="s">
        <v>14</v>
      </c>
      <c r="L181" s="1" t="s">
        <v>40</v>
      </c>
      <c r="M181" s="1" t="s">
        <v>153</v>
      </c>
      <c r="N181" s="1" t="s">
        <v>40</v>
      </c>
      <c r="O181" s="1" t="s">
        <v>734</v>
      </c>
      <c r="P181" s="1" t="s">
        <v>12</v>
      </c>
      <c r="Q181" s="1" t="s">
        <v>14</v>
      </c>
      <c r="R181" s="1" t="s">
        <v>12</v>
      </c>
      <c r="S181" s="1" t="s">
        <v>14</v>
      </c>
      <c r="T181" s="1"/>
    </row>
    <row r="182" spans="1:20" ht="16.5" x14ac:dyDescent="0.3">
      <c r="A182" s="1">
        <v>12030</v>
      </c>
      <c r="B182" s="1" t="s">
        <v>705</v>
      </c>
      <c r="C182" s="1" t="s">
        <v>705</v>
      </c>
      <c r="D182" s="1" t="s">
        <v>705</v>
      </c>
      <c r="E182" s="1" t="s">
        <v>37</v>
      </c>
      <c r="F182" s="1" t="s">
        <v>321</v>
      </c>
      <c r="G182" s="1" t="s">
        <v>35</v>
      </c>
      <c r="H182" s="1" t="s">
        <v>37</v>
      </c>
      <c r="I182" s="1" t="s">
        <v>311</v>
      </c>
      <c r="J182" s="1" t="s">
        <v>12</v>
      </c>
      <c r="K182" s="1" t="s">
        <v>14</v>
      </c>
      <c r="L182" s="1" t="s">
        <v>40</v>
      </c>
      <c r="M182" s="1" t="s">
        <v>153</v>
      </c>
      <c r="N182" s="1" t="s">
        <v>40</v>
      </c>
      <c r="O182" s="1" t="s">
        <v>734</v>
      </c>
      <c r="P182" s="1" t="s">
        <v>12</v>
      </c>
      <c r="Q182" s="1" t="s">
        <v>14</v>
      </c>
      <c r="R182" s="1" t="s">
        <v>12</v>
      </c>
      <c r="S182" s="1" t="s">
        <v>14</v>
      </c>
      <c r="T182" s="1"/>
    </row>
    <row r="183" spans="1:20" ht="16.5" x14ac:dyDescent="0.3">
      <c r="A183" s="1">
        <v>12031</v>
      </c>
      <c r="B183" s="1" t="s">
        <v>710</v>
      </c>
      <c r="C183" s="1" t="s">
        <v>710</v>
      </c>
      <c r="D183" s="1" t="s">
        <v>710</v>
      </c>
      <c r="E183" s="1" t="s">
        <v>37</v>
      </c>
      <c r="F183" s="1" t="s">
        <v>321</v>
      </c>
      <c r="G183" s="1" t="s">
        <v>35</v>
      </c>
      <c r="H183" s="1" t="s">
        <v>37</v>
      </c>
      <c r="I183" s="1" t="s">
        <v>311</v>
      </c>
      <c r="J183" s="1" t="s">
        <v>12</v>
      </c>
      <c r="K183" s="1" t="s">
        <v>14</v>
      </c>
      <c r="L183" s="1" t="s">
        <v>40</v>
      </c>
      <c r="M183" s="1" t="s">
        <v>153</v>
      </c>
      <c r="N183" s="1" t="s">
        <v>40</v>
      </c>
      <c r="O183" s="1" t="s">
        <v>734</v>
      </c>
      <c r="P183" s="1" t="s">
        <v>12</v>
      </c>
      <c r="Q183" s="1" t="s">
        <v>14</v>
      </c>
      <c r="R183" s="1" t="s">
        <v>12</v>
      </c>
      <c r="S183" s="1" t="s">
        <v>14</v>
      </c>
      <c r="T183" s="1"/>
    </row>
    <row r="184" spans="1:20" ht="16.5" x14ac:dyDescent="0.3">
      <c r="A184" s="1">
        <v>12032</v>
      </c>
      <c r="B184" s="1" t="s">
        <v>715</v>
      </c>
      <c r="C184" s="1" t="s">
        <v>715</v>
      </c>
      <c r="D184" s="1" t="s">
        <v>715</v>
      </c>
      <c r="E184" s="1" t="s">
        <v>37</v>
      </c>
      <c r="F184" s="1" t="s">
        <v>321</v>
      </c>
      <c r="G184" s="1" t="s">
        <v>35</v>
      </c>
      <c r="H184" s="1" t="s">
        <v>37</v>
      </c>
      <c r="I184" s="1" t="s">
        <v>311</v>
      </c>
      <c r="J184" s="1" t="s">
        <v>12</v>
      </c>
      <c r="K184" s="1" t="s">
        <v>14</v>
      </c>
      <c r="L184" s="1" t="s">
        <v>40</v>
      </c>
      <c r="M184" s="1" t="s">
        <v>153</v>
      </c>
      <c r="N184" s="1" t="s">
        <v>40</v>
      </c>
      <c r="O184" s="1" t="s">
        <v>734</v>
      </c>
      <c r="P184" s="1" t="s">
        <v>12</v>
      </c>
      <c r="Q184" s="1" t="s">
        <v>14</v>
      </c>
      <c r="R184" s="1" t="s">
        <v>12</v>
      </c>
      <c r="S184" s="1" t="s">
        <v>14</v>
      </c>
      <c r="T184" s="1"/>
    </row>
    <row r="185" spans="1:20" ht="16.5" x14ac:dyDescent="0.3">
      <c r="A185" s="1">
        <v>12033</v>
      </c>
      <c r="B185" s="1" t="s">
        <v>702</v>
      </c>
      <c r="C185" s="1" t="s">
        <v>702</v>
      </c>
      <c r="D185" s="1" t="s">
        <v>702</v>
      </c>
      <c r="E185" s="1" t="s">
        <v>37</v>
      </c>
      <c r="F185" s="1" t="s">
        <v>321</v>
      </c>
      <c r="G185" s="1" t="s">
        <v>35</v>
      </c>
      <c r="H185" s="1" t="s">
        <v>37</v>
      </c>
      <c r="I185" s="1" t="s">
        <v>312</v>
      </c>
      <c r="J185" s="1" t="s">
        <v>12</v>
      </c>
      <c r="K185" s="1" t="s">
        <v>14</v>
      </c>
      <c r="L185" s="1" t="s">
        <v>40</v>
      </c>
      <c r="M185" s="1" t="s">
        <v>153</v>
      </c>
      <c r="N185" s="1" t="s">
        <v>40</v>
      </c>
      <c r="O185" s="1" t="s">
        <v>752</v>
      </c>
      <c r="P185" s="1" t="s">
        <v>12</v>
      </c>
      <c r="Q185" s="1" t="s">
        <v>14</v>
      </c>
      <c r="R185" s="1" t="s">
        <v>12</v>
      </c>
      <c r="S185" s="1" t="s">
        <v>14</v>
      </c>
      <c r="T185" s="1"/>
    </row>
    <row r="186" spans="1:20" ht="16.5" x14ac:dyDescent="0.3">
      <c r="A186" s="1">
        <v>12034</v>
      </c>
      <c r="B186" s="1" t="s">
        <v>706</v>
      </c>
      <c r="C186" s="1" t="s">
        <v>706</v>
      </c>
      <c r="D186" s="1" t="s">
        <v>706</v>
      </c>
      <c r="E186" s="1" t="s">
        <v>37</v>
      </c>
      <c r="F186" s="1" t="s">
        <v>321</v>
      </c>
      <c r="G186" s="1" t="s">
        <v>35</v>
      </c>
      <c r="H186" s="1" t="s">
        <v>37</v>
      </c>
      <c r="I186" s="1" t="s">
        <v>312</v>
      </c>
      <c r="J186" s="1" t="s">
        <v>12</v>
      </c>
      <c r="K186" s="1" t="s">
        <v>14</v>
      </c>
      <c r="L186" s="1" t="s">
        <v>40</v>
      </c>
      <c r="M186" s="1" t="s">
        <v>153</v>
      </c>
      <c r="N186" s="1" t="s">
        <v>40</v>
      </c>
      <c r="O186" s="1" t="s">
        <v>752</v>
      </c>
      <c r="P186" s="1" t="s">
        <v>12</v>
      </c>
      <c r="Q186" s="1" t="s">
        <v>14</v>
      </c>
      <c r="R186" s="1" t="s">
        <v>12</v>
      </c>
      <c r="S186" s="1" t="s">
        <v>14</v>
      </c>
      <c r="T186" s="1"/>
    </row>
    <row r="187" spans="1:20" ht="16.5" x14ac:dyDescent="0.3">
      <c r="A187" s="1">
        <v>12035</v>
      </c>
      <c r="B187" s="1" t="s">
        <v>711</v>
      </c>
      <c r="C187" s="1" t="s">
        <v>711</v>
      </c>
      <c r="D187" s="1" t="s">
        <v>711</v>
      </c>
      <c r="E187" s="1" t="s">
        <v>37</v>
      </c>
      <c r="F187" s="1" t="s">
        <v>321</v>
      </c>
      <c r="G187" s="1" t="s">
        <v>35</v>
      </c>
      <c r="H187" s="1" t="s">
        <v>37</v>
      </c>
      <c r="I187" s="1" t="s">
        <v>312</v>
      </c>
      <c r="J187" s="1" t="s">
        <v>12</v>
      </c>
      <c r="K187" s="1" t="s">
        <v>14</v>
      </c>
      <c r="L187" s="1" t="s">
        <v>40</v>
      </c>
      <c r="M187" s="1" t="s">
        <v>153</v>
      </c>
      <c r="N187" s="1" t="s">
        <v>40</v>
      </c>
      <c r="O187" s="1" t="s">
        <v>752</v>
      </c>
      <c r="P187" s="1" t="s">
        <v>12</v>
      </c>
      <c r="Q187" s="1" t="s">
        <v>14</v>
      </c>
      <c r="R187" s="1" t="s">
        <v>12</v>
      </c>
      <c r="S187" s="1" t="s">
        <v>14</v>
      </c>
      <c r="T187" s="1"/>
    </row>
    <row r="188" spans="1:20" ht="16.5" x14ac:dyDescent="0.3">
      <c r="A188" s="1">
        <v>12036</v>
      </c>
      <c r="B188" s="1" t="s">
        <v>716</v>
      </c>
      <c r="C188" s="1" t="s">
        <v>716</v>
      </c>
      <c r="D188" s="1" t="s">
        <v>716</v>
      </c>
      <c r="E188" s="1" t="s">
        <v>37</v>
      </c>
      <c r="F188" s="1" t="s">
        <v>321</v>
      </c>
      <c r="G188" s="1" t="s">
        <v>35</v>
      </c>
      <c r="H188" s="1" t="s">
        <v>37</v>
      </c>
      <c r="I188" s="1" t="s">
        <v>312</v>
      </c>
      <c r="J188" s="1" t="s">
        <v>12</v>
      </c>
      <c r="K188" s="1" t="s">
        <v>14</v>
      </c>
      <c r="L188" s="1" t="s">
        <v>40</v>
      </c>
      <c r="M188" s="1" t="s">
        <v>153</v>
      </c>
      <c r="N188" s="1" t="s">
        <v>40</v>
      </c>
      <c r="O188" s="1" t="s">
        <v>752</v>
      </c>
      <c r="P188" s="1" t="s">
        <v>12</v>
      </c>
      <c r="Q188" s="1" t="s">
        <v>14</v>
      </c>
      <c r="R188" s="1" t="s">
        <v>12</v>
      </c>
      <c r="S188" s="1" t="s">
        <v>14</v>
      </c>
      <c r="T188" s="1"/>
    </row>
    <row r="189" spans="1:20" ht="16.5" x14ac:dyDescent="0.3">
      <c r="A189" s="1">
        <v>12037</v>
      </c>
      <c r="B189" s="1" t="s">
        <v>841</v>
      </c>
      <c r="C189" s="1" t="s">
        <v>841</v>
      </c>
      <c r="D189" s="1" t="s">
        <v>841</v>
      </c>
      <c r="E189" s="1" t="s">
        <v>25</v>
      </c>
      <c r="F189" s="1" t="s">
        <v>321</v>
      </c>
      <c r="G189" s="1" t="s">
        <v>30</v>
      </c>
      <c r="H189" s="1" t="s">
        <v>26</v>
      </c>
      <c r="I189" s="1" t="s">
        <v>313</v>
      </c>
      <c r="J189" s="1" t="s">
        <v>12</v>
      </c>
      <c r="K189" s="1" t="s">
        <v>14</v>
      </c>
      <c r="L189" s="1" t="s">
        <v>31</v>
      </c>
      <c r="M189" s="1" t="s">
        <v>70</v>
      </c>
      <c r="N189" s="1" t="s">
        <v>31</v>
      </c>
      <c r="O189" s="1" t="s">
        <v>288</v>
      </c>
      <c r="P189" s="1" t="s">
        <v>12</v>
      </c>
      <c r="Q189" s="1" t="s">
        <v>14</v>
      </c>
      <c r="R189" s="1" t="s">
        <v>12</v>
      </c>
      <c r="S189" s="1" t="s">
        <v>14</v>
      </c>
      <c r="T189" s="1"/>
    </row>
    <row r="190" spans="1:20" ht="16.5" x14ac:dyDescent="0.3">
      <c r="A190" s="1">
        <v>12038</v>
      </c>
      <c r="B190" s="1" t="s">
        <v>842</v>
      </c>
      <c r="C190" s="1" t="s">
        <v>842</v>
      </c>
      <c r="D190" s="1" t="s">
        <v>842</v>
      </c>
      <c r="E190" s="1" t="s">
        <v>25</v>
      </c>
      <c r="F190" s="1" t="s">
        <v>321</v>
      </c>
      <c r="G190" s="1" t="s">
        <v>30</v>
      </c>
      <c r="H190" s="1" t="s">
        <v>26</v>
      </c>
      <c r="I190" s="1" t="s">
        <v>313</v>
      </c>
      <c r="J190" s="1" t="s">
        <v>12</v>
      </c>
      <c r="K190" s="1" t="s">
        <v>14</v>
      </c>
      <c r="L190" s="1" t="s">
        <v>31</v>
      </c>
      <c r="M190" s="1" t="s">
        <v>70</v>
      </c>
      <c r="N190" s="1" t="s">
        <v>31</v>
      </c>
      <c r="O190" s="1" t="s">
        <v>288</v>
      </c>
      <c r="P190" s="1" t="s">
        <v>12</v>
      </c>
      <c r="Q190" s="1" t="s">
        <v>14</v>
      </c>
      <c r="R190" s="1" t="s">
        <v>12</v>
      </c>
      <c r="S190" s="1" t="s">
        <v>14</v>
      </c>
      <c r="T190" s="1"/>
    </row>
    <row r="191" spans="1:20" ht="16.5" x14ac:dyDescent="0.3">
      <c r="A191" s="1">
        <v>12039</v>
      </c>
      <c r="B191" s="1" t="s">
        <v>843</v>
      </c>
      <c r="C191" s="1" t="s">
        <v>843</v>
      </c>
      <c r="D191" s="1" t="s">
        <v>843</v>
      </c>
      <c r="E191" s="1" t="s">
        <v>25</v>
      </c>
      <c r="F191" s="1" t="s">
        <v>321</v>
      </c>
      <c r="G191" s="1" t="s">
        <v>30</v>
      </c>
      <c r="H191" s="1" t="s">
        <v>26</v>
      </c>
      <c r="I191" s="1" t="s">
        <v>313</v>
      </c>
      <c r="J191" s="1" t="s">
        <v>12</v>
      </c>
      <c r="K191" s="1" t="s">
        <v>14</v>
      </c>
      <c r="L191" s="1" t="s">
        <v>31</v>
      </c>
      <c r="M191" s="1" t="s">
        <v>70</v>
      </c>
      <c r="N191" s="1" t="s">
        <v>31</v>
      </c>
      <c r="O191" s="1" t="s">
        <v>288</v>
      </c>
      <c r="P191" s="1" t="s">
        <v>12</v>
      </c>
      <c r="Q191" s="1" t="s">
        <v>14</v>
      </c>
      <c r="R191" s="1" t="s">
        <v>12</v>
      </c>
      <c r="S191" s="1" t="s">
        <v>14</v>
      </c>
      <c r="T191" s="1"/>
    </row>
    <row r="192" spans="1:20" ht="16.5" x14ac:dyDescent="0.3">
      <c r="A192" s="1">
        <v>12040</v>
      </c>
      <c r="B192" s="1" t="s">
        <v>844</v>
      </c>
      <c r="C192" s="1" t="s">
        <v>844</v>
      </c>
      <c r="D192" s="1" t="s">
        <v>844</v>
      </c>
      <c r="E192" s="1" t="s">
        <v>25</v>
      </c>
      <c r="F192" s="1" t="s">
        <v>321</v>
      </c>
      <c r="G192" s="1" t="s">
        <v>30</v>
      </c>
      <c r="H192" s="1" t="s">
        <v>26</v>
      </c>
      <c r="I192" s="1" t="s">
        <v>313</v>
      </c>
      <c r="J192" s="1" t="s">
        <v>12</v>
      </c>
      <c r="K192" s="1" t="s">
        <v>14</v>
      </c>
      <c r="L192" s="1" t="s">
        <v>31</v>
      </c>
      <c r="M192" s="1" t="s">
        <v>70</v>
      </c>
      <c r="N192" s="1" t="s">
        <v>31</v>
      </c>
      <c r="O192" s="1" t="s">
        <v>288</v>
      </c>
      <c r="P192" s="1" t="s">
        <v>12</v>
      </c>
      <c r="Q192" s="1" t="s">
        <v>14</v>
      </c>
      <c r="R192" s="1" t="s">
        <v>12</v>
      </c>
      <c r="S192" s="1" t="s">
        <v>14</v>
      </c>
      <c r="T192" s="1"/>
    </row>
    <row r="193" spans="1:20" ht="16.5" x14ac:dyDescent="0.3">
      <c r="A193" s="1">
        <v>12041</v>
      </c>
      <c r="B193" s="1" t="s">
        <v>845</v>
      </c>
      <c r="C193" s="1" t="s">
        <v>845</v>
      </c>
      <c r="D193" s="1" t="s">
        <v>845</v>
      </c>
      <c r="E193" s="1" t="s">
        <v>25</v>
      </c>
      <c r="F193" s="1" t="s">
        <v>321</v>
      </c>
      <c r="G193" s="1" t="s">
        <v>30</v>
      </c>
      <c r="H193" s="1" t="s">
        <v>26</v>
      </c>
      <c r="I193" s="1" t="s">
        <v>313</v>
      </c>
      <c r="J193" s="1" t="s">
        <v>12</v>
      </c>
      <c r="K193" s="1" t="s">
        <v>14</v>
      </c>
      <c r="L193" s="1" t="s">
        <v>31</v>
      </c>
      <c r="M193" s="1" t="s">
        <v>70</v>
      </c>
      <c r="N193" s="1" t="s">
        <v>31</v>
      </c>
      <c r="O193" s="1" t="s">
        <v>288</v>
      </c>
      <c r="P193" s="1" t="s">
        <v>12</v>
      </c>
      <c r="Q193" s="1" t="s">
        <v>14</v>
      </c>
      <c r="R193" s="1" t="s">
        <v>12</v>
      </c>
      <c r="S193" s="1" t="s">
        <v>14</v>
      </c>
      <c r="T193" s="1"/>
    </row>
    <row r="194" spans="1:20" ht="16.5" x14ac:dyDescent="0.3">
      <c r="A194" s="1">
        <v>12042</v>
      </c>
      <c r="B194" s="1" t="s">
        <v>846</v>
      </c>
      <c r="C194" s="1" t="s">
        <v>846</v>
      </c>
      <c r="D194" s="1" t="s">
        <v>846</v>
      </c>
      <c r="E194" s="1" t="s">
        <v>25</v>
      </c>
      <c r="F194" s="1" t="s">
        <v>321</v>
      </c>
      <c r="G194" s="1" t="s">
        <v>30</v>
      </c>
      <c r="H194" s="1" t="s">
        <v>26</v>
      </c>
      <c r="I194" s="1" t="s">
        <v>314</v>
      </c>
      <c r="J194" s="1" t="s">
        <v>12</v>
      </c>
      <c r="K194" s="1" t="s">
        <v>14</v>
      </c>
      <c r="L194" s="1" t="s">
        <v>31</v>
      </c>
      <c r="M194" s="1" t="s">
        <v>70</v>
      </c>
      <c r="N194" s="1" t="s">
        <v>31</v>
      </c>
      <c r="O194" s="1" t="s">
        <v>289</v>
      </c>
      <c r="P194" s="1" t="s">
        <v>12</v>
      </c>
      <c r="Q194" s="1" t="s">
        <v>14</v>
      </c>
      <c r="R194" s="1" t="s">
        <v>12</v>
      </c>
      <c r="S194" s="1" t="s">
        <v>14</v>
      </c>
      <c r="T194" s="1"/>
    </row>
    <row r="195" spans="1:20" ht="16.5" x14ac:dyDescent="0.3">
      <c r="A195" s="1">
        <v>12043</v>
      </c>
      <c r="B195" s="1" t="s">
        <v>847</v>
      </c>
      <c r="C195" s="1" t="s">
        <v>847</v>
      </c>
      <c r="D195" s="1" t="s">
        <v>847</v>
      </c>
      <c r="E195" s="1" t="s">
        <v>25</v>
      </c>
      <c r="F195" s="1" t="s">
        <v>321</v>
      </c>
      <c r="G195" s="1" t="s">
        <v>30</v>
      </c>
      <c r="H195" s="1" t="s">
        <v>26</v>
      </c>
      <c r="I195" s="1" t="s">
        <v>314</v>
      </c>
      <c r="J195" s="1" t="s">
        <v>12</v>
      </c>
      <c r="K195" s="1" t="s">
        <v>14</v>
      </c>
      <c r="L195" s="1" t="s">
        <v>31</v>
      </c>
      <c r="M195" s="1" t="s">
        <v>70</v>
      </c>
      <c r="N195" s="1" t="s">
        <v>31</v>
      </c>
      <c r="O195" s="1" t="s">
        <v>289</v>
      </c>
      <c r="P195" s="1" t="s">
        <v>12</v>
      </c>
      <c r="Q195" s="1" t="s">
        <v>14</v>
      </c>
      <c r="R195" s="1" t="s">
        <v>12</v>
      </c>
      <c r="S195" s="1" t="s">
        <v>14</v>
      </c>
      <c r="T195" s="1"/>
    </row>
    <row r="196" spans="1:20" ht="16.5" x14ac:dyDescent="0.3">
      <c r="A196" s="1">
        <v>12044</v>
      </c>
      <c r="B196" s="1" t="s">
        <v>848</v>
      </c>
      <c r="C196" s="1" t="s">
        <v>848</v>
      </c>
      <c r="D196" s="1" t="s">
        <v>848</v>
      </c>
      <c r="E196" s="1" t="s">
        <v>25</v>
      </c>
      <c r="F196" s="1" t="s">
        <v>321</v>
      </c>
      <c r="G196" s="1" t="s">
        <v>30</v>
      </c>
      <c r="H196" s="1" t="s">
        <v>26</v>
      </c>
      <c r="I196" s="1" t="s">
        <v>314</v>
      </c>
      <c r="J196" s="1" t="s">
        <v>12</v>
      </c>
      <c r="K196" s="1" t="s">
        <v>14</v>
      </c>
      <c r="L196" s="1" t="s">
        <v>31</v>
      </c>
      <c r="M196" s="1" t="s">
        <v>70</v>
      </c>
      <c r="N196" s="1" t="s">
        <v>31</v>
      </c>
      <c r="O196" s="1" t="s">
        <v>289</v>
      </c>
      <c r="P196" s="1" t="s">
        <v>12</v>
      </c>
      <c r="Q196" s="1" t="s">
        <v>14</v>
      </c>
      <c r="R196" s="1" t="s">
        <v>12</v>
      </c>
      <c r="S196" s="1" t="s">
        <v>14</v>
      </c>
      <c r="T196" s="1"/>
    </row>
    <row r="197" spans="1:20" ht="16.5" x14ac:dyDescent="0.3">
      <c r="A197" s="1">
        <v>12045</v>
      </c>
      <c r="B197" s="1" t="s">
        <v>849</v>
      </c>
      <c r="C197" s="1" t="s">
        <v>849</v>
      </c>
      <c r="D197" s="1" t="s">
        <v>849</v>
      </c>
      <c r="E197" s="1" t="s">
        <v>25</v>
      </c>
      <c r="F197" s="1" t="s">
        <v>321</v>
      </c>
      <c r="G197" s="1" t="s">
        <v>30</v>
      </c>
      <c r="H197" s="1" t="s">
        <v>26</v>
      </c>
      <c r="I197" s="1" t="s">
        <v>314</v>
      </c>
      <c r="J197" s="1" t="s">
        <v>12</v>
      </c>
      <c r="K197" s="1" t="s">
        <v>14</v>
      </c>
      <c r="L197" s="1" t="s">
        <v>31</v>
      </c>
      <c r="M197" s="1" t="s">
        <v>70</v>
      </c>
      <c r="N197" s="1" t="s">
        <v>31</v>
      </c>
      <c r="O197" s="1" t="s">
        <v>289</v>
      </c>
      <c r="P197" s="1" t="s">
        <v>12</v>
      </c>
      <c r="Q197" s="1" t="s">
        <v>14</v>
      </c>
      <c r="R197" s="1" t="s">
        <v>12</v>
      </c>
      <c r="S197" s="1" t="s">
        <v>14</v>
      </c>
      <c r="T197" s="1"/>
    </row>
    <row r="198" spans="1:20" ht="16.5" x14ac:dyDescent="0.3">
      <c r="A198" s="1">
        <v>12046</v>
      </c>
      <c r="B198" s="1" t="s">
        <v>850</v>
      </c>
      <c r="C198" s="1" t="s">
        <v>850</v>
      </c>
      <c r="D198" s="1" t="s">
        <v>850</v>
      </c>
      <c r="E198" s="1" t="s">
        <v>25</v>
      </c>
      <c r="F198" s="1" t="s">
        <v>321</v>
      </c>
      <c r="G198" s="1" t="s">
        <v>30</v>
      </c>
      <c r="H198" s="1" t="s">
        <v>26</v>
      </c>
      <c r="I198" s="1" t="s">
        <v>314</v>
      </c>
      <c r="J198" s="1" t="s">
        <v>12</v>
      </c>
      <c r="K198" s="1" t="s">
        <v>14</v>
      </c>
      <c r="L198" s="1" t="s">
        <v>31</v>
      </c>
      <c r="M198" s="1" t="s">
        <v>70</v>
      </c>
      <c r="N198" s="1" t="s">
        <v>31</v>
      </c>
      <c r="O198" s="1" t="s">
        <v>289</v>
      </c>
      <c r="P198" s="1" t="s">
        <v>12</v>
      </c>
      <c r="Q198" s="1" t="s">
        <v>14</v>
      </c>
      <c r="R198" s="1" t="s">
        <v>12</v>
      </c>
      <c r="S198" s="1" t="s">
        <v>14</v>
      </c>
      <c r="T198" s="1"/>
    </row>
    <row r="199" spans="1:20" ht="16.5" x14ac:dyDescent="0.3">
      <c r="A199" s="1">
        <v>12047</v>
      </c>
      <c r="B199" s="1" t="s">
        <v>851</v>
      </c>
      <c r="C199" s="1" t="s">
        <v>851</v>
      </c>
      <c r="D199" s="1" t="s">
        <v>851</v>
      </c>
      <c r="E199" s="1" t="s">
        <v>37</v>
      </c>
      <c r="F199" s="1" t="s">
        <v>321</v>
      </c>
      <c r="G199" s="1" t="s">
        <v>35</v>
      </c>
      <c r="H199" s="1" t="s">
        <v>38</v>
      </c>
      <c r="I199" s="1" t="s">
        <v>315</v>
      </c>
      <c r="J199" s="1" t="s">
        <v>12</v>
      </c>
      <c r="K199" s="1" t="s">
        <v>14</v>
      </c>
      <c r="L199" s="1" t="s">
        <v>40</v>
      </c>
      <c r="M199" s="1" t="s">
        <v>153</v>
      </c>
      <c r="N199" s="1" t="s">
        <v>40</v>
      </c>
      <c r="O199" s="1" t="s">
        <v>735</v>
      </c>
      <c r="P199" s="1" t="s">
        <v>12</v>
      </c>
      <c r="Q199" s="1" t="s">
        <v>14</v>
      </c>
      <c r="R199" s="1" t="s">
        <v>12</v>
      </c>
      <c r="S199" s="1" t="s">
        <v>14</v>
      </c>
      <c r="T199" s="1"/>
    </row>
    <row r="200" spans="1:20" ht="16.5" x14ac:dyDescent="0.3">
      <c r="A200" s="1">
        <v>12048</v>
      </c>
      <c r="B200" s="1" t="s">
        <v>852</v>
      </c>
      <c r="C200" s="1" t="s">
        <v>852</v>
      </c>
      <c r="D200" s="1" t="s">
        <v>852</v>
      </c>
      <c r="E200" s="1" t="s">
        <v>37</v>
      </c>
      <c r="F200" s="1" t="s">
        <v>321</v>
      </c>
      <c r="G200" s="1" t="s">
        <v>35</v>
      </c>
      <c r="H200" s="1" t="s">
        <v>38</v>
      </c>
      <c r="I200" s="1" t="s">
        <v>315</v>
      </c>
      <c r="J200" s="1" t="s">
        <v>12</v>
      </c>
      <c r="K200" s="1" t="s">
        <v>14</v>
      </c>
      <c r="L200" s="1" t="s">
        <v>40</v>
      </c>
      <c r="M200" s="1" t="s">
        <v>153</v>
      </c>
      <c r="N200" s="1" t="s">
        <v>40</v>
      </c>
      <c r="O200" s="1" t="s">
        <v>735</v>
      </c>
      <c r="P200" s="1" t="s">
        <v>12</v>
      </c>
      <c r="Q200" s="1" t="s">
        <v>14</v>
      </c>
      <c r="R200" s="1" t="s">
        <v>12</v>
      </c>
      <c r="S200" s="1" t="s">
        <v>14</v>
      </c>
      <c r="T200" s="1"/>
    </row>
    <row r="201" spans="1:20" ht="16.5" x14ac:dyDescent="0.3">
      <c r="A201" s="1">
        <v>12049</v>
      </c>
      <c r="B201" s="1" t="s">
        <v>853</v>
      </c>
      <c r="C201" s="1" t="s">
        <v>853</v>
      </c>
      <c r="D201" s="1" t="s">
        <v>853</v>
      </c>
      <c r="E201" s="1" t="s">
        <v>37</v>
      </c>
      <c r="F201" s="1" t="s">
        <v>321</v>
      </c>
      <c r="G201" s="1" t="s">
        <v>35</v>
      </c>
      <c r="H201" s="1" t="s">
        <v>38</v>
      </c>
      <c r="I201" s="1" t="s">
        <v>315</v>
      </c>
      <c r="J201" s="1" t="s">
        <v>12</v>
      </c>
      <c r="K201" s="1" t="s">
        <v>14</v>
      </c>
      <c r="L201" s="1" t="s">
        <v>40</v>
      </c>
      <c r="M201" s="1" t="s">
        <v>153</v>
      </c>
      <c r="N201" s="1" t="s">
        <v>40</v>
      </c>
      <c r="O201" s="1" t="s">
        <v>735</v>
      </c>
      <c r="P201" s="1" t="s">
        <v>12</v>
      </c>
      <c r="Q201" s="1" t="s">
        <v>14</v>
      </c>
      <c r="R201" s="1" t="s">
        <v>12</v>
      </c>
      <c r="S201" s="1" t="s">
        <v>14</v>
      </c>
      <c r="T201" s="1"/>
    </row>
    <row r="202" spans="1:20" ht="16.5" x14ac:dyDescent="0.3">
      <c r="A202" s="1">
        <v>12050</v>
      </c>
      <c r="B202" s="1" t="s">
        <v>854</v>
      </c>
      <c r="C202" s="1" t="s">
        <v>854</v>
      </c>
      <c r="D202" s="1" t="s">
        <v>854</v>
      </c>
      <c r="E202" s="1" t="s">
        <v>37</v>
      </c>
      <c r="F202" s="1" t="s">
        <v>321</v>
      </c>
      <c r="G202" s="1" t="s">
        <v>35</v>
      </c>
      <c r="H202" s="1" t="s">
        <v>38</v>
      </c>
      <c r="I202" s="1" t="s">
        <v>315</v>
      </c>
      <c r="J202" s="1" t="s">
        <v>12</v>
      </c>
      <c r="K202" s="1" t="s">
        <v>14</v>
      </c>
      <c r="L202" s="1" t="s">
        <v>40</v>
      </c>
      <c r="M202" s="1" t="s">
        <v>153</v>
      </c>
      <c r="N202" s="1" t="s">
        <v>40</v>
      </c>
      <c r="O202" s="1" t="s">
        <v>735</v>
      </c>
      <c r="P202" s="1" t="s">
        <v>12</v>
      </c>
      <c r="Q202" s="1" t="s">
        <v>14</v>
      </c>
      <c r="R202" s="1" t="s">
        <v>12</v>
      </c>
      <c r="S202" s="1" t="s">
        <v>14</v>
      </c>
      <c r="T202" s="1"/>
    </row>
    <row r="203" spans="1:20" ht="16.5" x14ac:dyDescent="0.3">
      <c r="A203" s="1">
        <v>12051</v>
      </c>
      <c r="B203" s="1" t="s">
        <v>855</v>
      </c>
      <c r="C203" s="1" t="s">
        <v>855</v>
      </c>
      <c r="D203" s="1" t="s">
        <v>855</v>
      </c>
      <c r="E203" s="1" t="s">
        <v>37</v>
      </c>
      <c r="F203" s="1" t="s">
        <v>321</v>
      </c>
      <c r="G203" s="1" t="s">
        <v>35</v>
      </c>
      <c r="H203" s="1" t="s">
        <v>38</v>
      </c>
      <c r="I203" s="1" t="s">
        <v>315</v>
      </c>
      <c r="J203" s="1" t="s">
        <v>12</v>
      </c>
      <c r="K203" s="1" t="s">
        <v>14</v>
      </c>
      <c r="L203" s="1" t="s">
        <v>40</v>
      </c>
      <c r="M203" s="1" t="s">
        <v>153</v>
      </c>
      <c r="N203" s="1" t="s">
        <v>40</v>
      </c>
      <c r="O203" s="1" t="s">
        <v>735</v>
      </c>
      <c r="P203" s="1" t="s">
        <v>12</v>
      </c>
      <c r="Q203" s="1" t="s">
        <v>14</v>
      </c>
      <c r="R203" s="1" t="s">
        <v>12</v>
      </c>
      <c r="S203" s="1" t="s">
        <v>14</v>
      </c>
      <c r="T203" s="1"/>
    </row>
    <row r="204" spans="1:20" ht="16.5" x14ac:dyDescent="0.3">
      <c r="A204" s="1">
        <v>12052</v>
      </c>
      <c r="B204" s="1" t="s">
        <v>856</v>
      </c>
      <c r="C204" s="1" t="s">
        <v>856</v>
      </c>
      <c r="D204" s="1" t="s">
        <v>856</v>
      </c>
      <c r="E204" s="1" t="s">
        <v>37</v>
      </c>
      <c r="F204" s="1" t="s">
        <v>321</v>
      </c>
      <c r="G204" s="1" t="s">
        <v>35</v>
      </c>
      <c r="H204" s="1" t="s">
        <v>38</v>
      </c>
      <c r="I204" s="1" t="s">
        <v>316</v>
      </c>
      <c r="J204" s="1" t="s">
        <v>12</v>
      </c>
      <c r="K204" s="1" t="s">
        <v>14</v>
      </c>
      <c r="L204" s="1" t="s">
        <v>40</v>
      </c>
      <c r="M204" s="1" t="s">
        <v>153</v>
      </c>
      <c r="N204" s="1" t="s">
        <v>40</v>
      </c>
      <c r="O204" s="1" t="s">
        <v>736</v>
      </c>
      <c r="P204" s="1" t="s">
        <v>12</v>
      </c>
      <c r="Q204" s="1" t="s">
        <v>14</v>
      </c>
      <c r="R204" s="1" t="s">
        <v>12</v>
      </c>
      <c r="S204" s="1" t="s">
        <v>14</v>
      </c>
      <c r="T204" s="1"/>
    </row>
    <row r="205" spans="1:20" ht="16.5" x14ac:dyDescent="0.3">
      <c r="A205" s="1">
        <v>12053</v>
      </c>
      <c r="B205" s="1" t="s">
        <v>857</v>
      </c>
      <c r="C205" s="1" t="s">
        <v>857</v>
      </c>
      <c r="D205" s="1" t="s">
        <v>857</v>
      </c>
      <c r="E205" s="1" t="s">
        <v>37</v>
      </c>
      <c r="F205" s="1" t="s">
        <v>321</v>
      </c>
      <c r="G205" s="1" t="s">
        <v>35</v>
      </c>
      <c r="H205" s="1" t="s">
        <v>38</v>
      </c>
      <c r="I205" s="1" t="s">
        <v>316</v>
      </c>
      <c r="J205" s="1" t="s">
        <v>12</v>
      </c>
      <c r="K205" s="1" t="s">
        <v>14</v>
      </c>
      <c r="L205" s="1" t="s">
        <v>40</v>
      </c>
      <c r="M205" s="1" t="s">
        <v>153</v>
      </c>
      <c r="N205" s="1" t="s">
        <v>40</v>
      </c>
      <c r="O205" s="1" t="s">
        <v>736</v>
      </c>
      <c r="P205" s="1" t="s">
        <v>12</v>
      </c>
      <c r="Q205" s="1" t="s">
        <v>14</v>
      </c>
      <c r="R205" s="1" t="s">
        <v>12</v>
      </c>
      <c r="S205" s="1" t="s">
        <v>14</v>
      </c>
      <c r="T205" s="1"/>
    </row>
    <row r="206" spans="1:20" ht="16.5" x14ac:dyDescent="0.3">
      <c r="A206" s="1">
        <v>12054</v>
      </c>
      <c r="B206" s="1" t="s">
        <v>858</v>
      </c>
      <c r="C206" s="1" t="s">
        <v>858</v>
      </c>
      <c r="D206" s="1" t="s">
        <v>858</v>
      </c>
      <c r="E206" s="1" t="s">
        <v>37</v>
      </c>
      <c r="F206" s="1" t="s">
        <v>321</v>
      </c>
      <c r="G206" s="1" t="s">
        <v>35</v>
      </c>
      <c r="H206" s="1" t="s">
        <v>38</v>
      </c>
      <c r="I206" s="1" t="s">
        <v>316</v>
      </c>
      <c r="J206" s="1" t="s">
        <v>12</v>
      </c>
      <c r="K206" s="1" t="s">
        <v>14</v>
      </c>
      <c r="L206" s="1" t="s">
        <v>40</v>
      </c>
      <c r="M206" s="1" t="s">
        <v>153</v>
      </c>
      <c r="N206" s="1" t="s">
        <v>40</v>
      </c>
      <c r="O206" s="1" t="s">
        <v>736</v>
      </c>
      <c r="P206" s="1" t="s">
        <v>12</v>
      </c>
      <c r="Q206" s="1" t="s">
        <v>14</v>
      </c>
      <c r="R206" s="1" t="s">
        <v>12</v>
      </c>
      <c r="S206" s="1" t="s">
        <v>14</v>
      </c>
      <c r="T206" s="1"/>
    </row>
    <row r="207" spans="1:20" ht="16.5" x14ac:dyDescent="0.3">
      <c r="A207" s="1">
        <v>12055</v>
      </c>
      <c r="B207" s="1" t="s">
        <v>859</v>
      </c>
      <c r="C207" s="1" t="s">
        <v>859</v>
      </c>
      <c r="D207" s="1" t="s">
        <v>859</v>
      </c>
      <c r="E207" s="1" t="s">
        <v>37</v>
      </c>
      <c r="F207" s="1" t="s">
        <v>321</v>
      </c>
      <c r="G207" s="1" t="s">
        <v>35</v>
      </c>
      <c r="H207" s="1" t="s">
        <v>38</v>
      </c>
      <c r="I207" s="1" t="s">
        <v>316</v>
      </c>
      <c r="J207" s="1" t="s">
        <v>12</v>
      </c>
      <c r="K207" s="1" t="s">
        <v>14</v>
      </c>
      <c r="L207" s="1" t="s">
        <v>40</v>
      </c>
      <c r="M207" s="1" t="s">
        <v>153</v>
      </c>
      <c r="N207" s="1" t="s">
        <v>40</v>
      </c>
      <c r="O207" s="1" t="s">
        <v>736</v>
      </c>
      <c r="P207" s="1" t="s">
        <v>12</v>
      </c>
      <c r="Q207" s="1" t="s">
        <v>14</v>
      </c>
      <c r="R207" s="1" t="s">
        <v>12</v>
      </c>
      <c r="S207" s="1" t="s">
        <v>14</v>
      </c>
      <c r="T207" s="1"/>
    </row>
    <row r="208" spans="1:20" ht="16.5" x14ac:dyDescent="0.3">
      <c r="A208" s="1">
        <v>12056</v>
      </c>
      <c r="B208" s="1" t="s">
        <v>860</v>
      </c>
      <c r="C208" s="1" t="s">
        <v>860</v>
      </c>
      <c r="D208" s="1" t="s">
        <v>860</v>
      </c>
      <c r="E208" s="1" t="s">
        <v>37</v>
      </c>
      <c r="F208" s="1" t="s">
        <v>321</v>
      </c>
      <c r="G208" s="1" t="s">
        <v>35</v>
      </c>
      <c r="H208" s="1" t="s">
        <v>38</v>
      </c>
      <c r="I208" s="1" t="s">
        <v>316</v>
      </c>
      <c r="J208" s="1" t="s">
        <v>12</v>
      </c>
      <c r="K208" s="1" t="s">
        <v>14</v>
      </c>
      <c r="L208" s="1" t="s">
        <v>40</v>
      </c>
      <c r="M208" s="1" t="s">
        <v>153</v>
      </c>
      <c r="N208" s="1" t="s">
        <v>40</v>
      </c>
      <c r="O208" s="1" t="s">
        <v>736</v>
      </c>
      <c r="P208" s="1" t="s">
        <v>12</v>
      </c>
      <c r="Q208" s="1" t="s">
        <v>14</v>
      </c>
      <c r="R208" s="1" t="s">
        <v>12</v>
      </c>
      <c r="S208" s="1" t="s">
        <v>14</v>
      </c>
      <c r="T208" s="1"/>
    </row>
    <row r="209" spans="1:20" ht="16.5" x14ac:dyDescent="0.3">
      <c r="A209" s="1">
        <v>12057</v>
      </c>
      <c r="B209" s="1" t="s">
        <v>703</v>
      </c>
      <c r="C209" s="1" t="s">
        <v>290</v>
      </c>
      <c r="D209" s="1" t="s">
        <v>326</v>
      </c>
      <c r="E209" s="1" t="s">
        <v>25</v>
      </c>
      <c r="F209" s="1" t="s">
        <v>321</v>
      </c>
      <c r="G209" s="1" t="s">
        <v>35</v>
      </c>
      <c r="H209" s="1" t="s">
        <v>26</v>
      </c>
      <c r="I209" s="1" t="s">
        <v>317</v>
      </c>
      <c r="J209" s="1" t="s">
        <v>12</v>
      </c>
      <c r="K209" s="1" t="s">
        <v>14</v>
      </c>
      <c r="L209" s="1" t="s">
        <v>40</v>
      </c>
      <c r="M209" s="1" t="s">
        <v>70</v>
      </c>
      <c r="N209" s="1" t="s">
        <v>40</v>
      </c>
      <c r="O209" s="1" t="s">
        <v>750</v>
      </c>
      <c r="P209" s="1" t="s">
        <v>12</v>
      </c>
      <c r="Q209" s="1" t="s">
        <v>14</v>
      </c>
      <c r="R209" s="1" t="s">
        <v>12</v>
      </c>
      <c r="S209" s="1" t="s">
        <v>14</v>
      </c>
      <c r="T209" s="1"/>
    </row>
    <row r="210" spans="1:20" ht="16.5" x14ac:dyDescent="0.3">
      <c r="A210" s="1">
        <v>12058</v>
      </c>
      <c r="B210" s="1" t="s">
        <v>707</v>
      </c>
      <c r="C210" s="1" t="s">
        <v>291</v>
      </c>
      <c r="D210" s="1" t="s">
        <v>327</v>
      </c>
      <c r="E210" s="1" t="s">
        <v>25</v>
      </c>
      <c r="F210" s="1" t="s">
        <v>321</v>
      </c>
      <c r="G210" s="1" t="s">
        <v>35</v>
      </c>
      <c r="H210" s="1" t="s">
        <v>26</v>
      </c>
      <c r="I210" s="1" t="s">
        <v>317</v>
      </c>
      <c r="J210" s="1" t="s">
        <v>12</v>
      </c>
      <c r="K210" s="1" t="s">
        <v>14</v>
      </c>
      <c r="L210" s="1" t="s">
        <v>40</v>
      </c>
      <c r="M210" s="1" t="s">
        <v>70</v>
      </c>
      <c r="N210" s="1" t="s">
        <v>40</v>
      </c>
      <c r="O210" s="1" t="s">
        <v>750</v>
      </c>
      <c r="P210" s="1" t="s">
        <v>12</v>
      </c>
      <c r="Q210" s="1" t="s">
        <v>14</v>
      </c>
      <c r="R210" s="1" t="s">
        <v>12</v>
      </c>
      <c r="S210" s="1" t="s">
        <v>14</v>
      </c>
      <c r="T210" s="1"/>
    </row>
    <row r="211" spans="1:20" ht="16.5" x14ac:dyDescent="0.3">
      <c r="A211" s="1">
        <v>12059</v>
      </c>
      <c r="B211" s="1" t="s">
        <v>712</v>
      </c>
      <c r="C211" s="1" t="s">
        <v>292</v>
      </c>
      <c r="D211" s="1" t="s">
        <v>328</v>
      </c>
      <c r="E211" s="1" t="s">
        <v>25</v>
      </c>
      <c r="F211" s="1" t="s">
        <v>321</v>
      </c>
      <c r="G211" s="1" t="s">
        <v>35</v>
      </c>
      <c r="H211" s="1" t="s">
        <v>26</v>
      </c>
      <c r="I211" s="1" t="s">
        <v>317</v>
      </c>
      <c r="J211" s="1" t="s">
        <v>12</v>
      </c>
      <c r="K211" s="1" t="s">
        <v>14</v>
      </c>
      <c r="L211" s="1" t="s">
        <v>40</v>
      </c>
      <c r="M211" s="1" t="s">
        <v>70</v>
      </c>
      <c r="N211" s="1" t="s">
        <v>40</v>
      </c>
      <c r="O211" s="1" t="s">
        <v>750</v>
      </c>
      <c r="P211" s="1" t="s">
        <v>12</v>
      </c>
      <c r="Q211" s="1" t="s">
        <v>14</v>
      </c>
      <c r="R211" s="1" t="s">
        <v>12</v>
      </c>
      <c r="S211" s="1" t="s">
        <v>14</v>
      </c>
      <c r="T211" s="1"/>
    </row>
    <row r="212" spans="1:20" ht="16.5" x14ac:dyDescent="0.3">
      <c r="A212" s="1">
        <v>12060</v>
      </c>
      <c r="B212" s="1" t="s">
        <v>717</v>
      </c>
      <c r="C212" s="1" t="s">
        <v>293</v>
      </c>
      <c r="D212" s="1" t="s">
        <v>329</v>
      </c>
      <c r="E212" s="1" t="s">
        <v>25</v>
      </c>
      <c r="F212" s="1" t="s">
        <v>321</v>
      </c>
      <c r="G212" s="1" t="s">
        <v>35</v>
      </c>
      <c r="H212" s="1" t="s">
        <v>26</v>
      </c>
      <c r="I212" s="1" t="s">
        <v>317</v>
      </c>
      <c r="J212" s="1" t="s">
        <v>12</v>
      </c>
      <c r="K212" s="1" t="s">
        <v>14</v>
      </c>
      <c r="L212" s="1" t="s">
        <v>40</v>
      </c>
      <c r="M212" s="1" t="s">
        <v>70</v>
      </c>
      <c r="N212" s="1" t="s">
        <v>40</v>
      </c>
      <c r="O212" s="1" t="s">
        <v>750</v>
      </c>
      <c r="P212" s="1" t="s">
        <v>12</v>
      </c>
      <c r="Q212" s="1" t="s">
        <v>14</v>
      </c>
      <c r="R212" s="1" t="s">
        <v>12</v>
      </c>
      <c r="S212" s="1" t="s">
        <v>14</v>
      </c>
      <c r="T212" s="1"/>
    </row>
    <row r="213" spans="1:20" ht="16.5" x14ac:dyDescent="0.3">
      <c r="A213" s="1">
        <v>12061</v>
      </c>
      <c r="B213" s="1" t="s">
        <v>720</v>
      </c>
      <c r="C213" s="1" t="s">
        <v>294</v>
      </c>
      <c r="D213" s="1" t="s">
        <v>330</v>
      </c>
      <c r="E213" s="1" t="s">
        <v>25</v>
      </c>
      <c r="F213" s="1" t="s">
        <v>321</v>
      </c>
      <c r="G213" s="1" t="s">
        <v>35</v>
      </c>
      <c r="H213" s="1" t="s">
        <v>26</v>
      </c>
      <c r="I213" s="1" t="s">
        <v>317</v>
      </c>
      <c r="J213" s="1" t="s">
        <v>12</v>
      </c>
      <c r="K213" s="1" t="s">
        <v>14</v>
      </c>
      <c r="L213" s="1" t="s">
        <v>40</v>
      </c>
      <c r="M213" s="1" t="s">
        <v>70</v>
      </c>
      <c r="N213" s="1" t="s">
        <v>40</v>
      </c>
      <c r="O213" s="1" t="s">
        <v>750</v>
      </c>
      <c r="P213" s="1" t="s">
        <v>12</v>
      </c>
      <c r="Q213" s="1" t="s">
        <v>14</v>
      </c>
      <c r="R213" s="1" t="s">
        <v>12</v>
      </c>
      <c r="S213" s="1" t="s">
        <v>14</v>
      </c>
      <c r="T213" s="1"/>
    </row>
    <row r="214" spans="1:20" ht="16.5" x14ac:dyDescent="0.3">
      <c r="A214" s="1">
        <v>12062</v>
      </c>
      <c r="B214" s="1" t="s">
        <v>704</v>
      </c>
      <c r="C214" s="1" t="s">
        <v>295</v>
      </c>
      <c r="D214" s="1" t="s">
        <v>326</v>
      </c>
      <c r="E214" s="1" t="s">
        <v>25</v>
      </c>
      <c r="F214" s="1" t="s">
        <v>321</v>
      </c>
      <c r="G214" s="1" t="s">
        <v>35</v>
      </c>
      <c r="H214" s="1" t="s">
        <v>26</v>
      </c>
      <c r="I214" s="1" t="s">
        <v>318</v>
      </c>
      <c r="J214" s="1" t="s">
        <v>12</v>
      </c>
      <c r="K214" s="1" t="s">
        <v>14</v>
      </c>
      <c r="L214" s="1" t="s">
        <v>40</v>
      </c>
      <c r="M214" s="1" t="s">
        <v>70</v>
      </c>
      <c r="N214" s="1" t="s">
        <v>40</v>
      </c>
      <c r="O214" s="1" t="s">
        <v>751</v>
      </c>
      <c r="P214" s="1" t="s">
        <v>12</v>
      </c>
      <c r="Q214" s="1" t="s">
        <v>14</v>
      </c>
      <c r="R214" s="1" t="s">
        <v>12</v>
      </c>
      <c r="S214" s="1" t="s">
        <v>14</v>
      </c>
      <c r="T214" s="1"/>
    </row>
    <row r="215" spans="1:20" ht="16.5" x14ac:dyDescent="0.3">
      <c r="A215" s="1">
        <v>12063</v>
      </c>
      <c r="B215" s="1" t="s">
        <v>708</v>
      </c>
      <c r="C215" s="1" t="s">
        <v>296</v>
      </c>
      <c r="D215" s="1" t="s">
        <v>327</v>
      </c>
      <c r="E215" s="1" t="s">
        <v>25</v>
      </c>
      <c r="F215" s="1" t="s">
        <v>321</v>
      </c>
      <c r="G215" s="1" t="s">
        <v>35</v>
      </c>
      <c r="H215" s="1" t="s">
        <v>26</v>
      </c>
      <c r="I215" s="1" t="s">
        <v>318</v>
      </c>
      <c r="J215" s="1" t="s">
        <v>12</v>
      </c>
      <c r="K215" s="1" t="s">
        <v>14</v>
      </c>
      <c r="L215" s="1" t="s">
        <v>40</v>
      </c>
      <c r="M215" s="1" t="s">
        <v>70</v>
      </c>
      <c r="N215" s="1" t="s">
        <v>40</v>
      </c>
      <c r="O215" s="1" t="s">
        <v>751</v>
      </c>
      <c r="P215" s="1" t="s">
        <v>12</v>
      </c>
      <c r="Q215" s="1" t="s">
        <v>14</v>
      </c>
      <c r="R215" s="1" t="s">
        <v>12</v>
      </c>
      <c r="S215" s="1" t="s">
        <v>14</v>
      </c>
      <c r="T215" s="1"/>
    </row>
    <row r="216" spans="1:20" ht="16.5" x14ac:dyDescent="0.3">
      <c r="A216" s="1">
        <v>12064</v>
      </c>
      <c r="B216" s="1" t="s">
        <v>713</v>
      </c>
      <c r="C216" s="1" t="s">
        <v>297</v>
      </c>
      <c r="D216" s="1" t="s">
        <v>328</v>
      </c>
      <c r="E216" s="1" t="s">
        <v>25</v>
      </c>
      <c r="F216" s="1" t="s">
        <v>321</v>
      </c>
      <c r="G216" s="1" t="s">
        <v>35</v>
      </c>
      <c r="H216" s="1" t="s">
        <v>26</v>
      </c>
      <c r="I216" s="1" t="s">
        <v>318</v>
      </c>
      <c r="J216" s="1" t="s">
        <v>12</v>
      </c>
      <c r="K216" s="1" t="s">
        <v>14</v>
      </c>
      <c r="L216" s="1" t="s">
        <v>40</v>
      </c>
      <c r="M216" s="1" t="s">
        <v>70</v>
      </c>
      <c r="N216" s="1" t="s">
        <v>40</v>
      </c>
      <c r="O216" s="1" t="s">
        <v>751</v>
      </c>
      <c r="P216" s="1" t="s">
        <v>12</v>
      </c>
      <c r="Q216" s="1" t="s">
        <v>14</v>
      </c>
      <c r="R216" s="1" t="s">
        <v>12</v>
      </c>
      <c r="S216" s="1" t="s">
        <v>14</v>
      </c>
      <c r="T216" s="1"/>
    </row>
    <row r="217" spans="1:20" ht="16.5" x14ac:dyDescent="0.3">
      <c r="A217" s="1">
        <v>12065</v>
      </c>
      <c r="B217" s="1" t="s">
        <v>718</v>
      </c>
      <c r="C217" s="1" t="s">
        <v>298</v>
      </c>
      <c r="D217" s="1" t="s">
        <v>329</v>
      </c>
      <c r="E217" s="1" t="s">
        <v>25</v>
      </c>
      <c r="F217" s="1" t="s">
        <v>321</v>
      </c>
      <c r="G217" s="1" t="s">
        <v>35</v>
      </c>
      <c r="H217" s="1" t="s">
        <v>26</v>
      </c>
      <c r="I217" s="1" t="s">
        <v>318</v>
      </c>
      <c r="J217" s="1" t="s">
        <v>12</v>
      </c>
      <c r="K217" s="1" t="s">
        <v>14</v>
      </c>
      <c r="L217" s="1" t="s">
        <v>40</v>
      </c>
      <c r="M217" s="1" t="s">
        <v>70</v>
      </c>
      <c r="N217" s="1" t="s">
        <v>40</v>
      </c>
      <c r="O217" s="1" t="s">
        <v>751</v>
      </c>
      <c r="P217" s="1" t="s">
        <v>12</v>
      </c>
      <c r="Q217" s="1" t="s">
        <v>14</v>
      </c>
      <c r="R217" s="1" t="s">
        <v>12</v>
      </c>
      <c r="S217" s="1" t="s">
        <v>14</v>
      </c>
      <c r="T217" s="1"/>
    </row>
    <row r="218" spans="1:20" ht="16.5" x14ac:dyDescent="0.3">
      <c r="A218" s="1">
        <v>12066</v>
      </c>
      <c r="B218" s="1" t="s">
        <v>721</v>
      </c>
      <c r="C218" s="1" t="s">
        <v>299</v>
      </c>
      <c r="D218" s="1" t="s">
        <v>330</v>
      </c>
      <c r="E218" s="1" t="s">
        <v>25</v>
      </c>
      <c r="F218" s="1" t="s">
        <v>321</v>
      </c>
      <c r="G218" s="1" t="s">
        <v>35</v>
      </c>
      <c r="H218" s="1" t="s">
        <v>26</v>
      </c>
      <c r="I218" s="1" t="s">
        <v>318</v>
      </c>
      <c r="J218" s="1" t="s">
        <v>12</v>
      </c>
      <c r="K218" s="1" t="s">
        <v>14</v>
      </c>
      <c r="L218" s="1" t="s">
        <v>40</v>
      </c>
      <c r="M218" s="1" t="s">
        <v>70</v>
      </c>
      <c r="N218" s="1" t="s">
        <v>40</v>
      </c>
      <c r="O218" s="1" t="s">
        <v>751</v>
      </c>
      <c r="P218" s="1" t="s">
        <v>12</v>
      </c>
      <c r="Q218" s="1" t="s">
        <v>14</v>
      </c>
      <c r="R218" s="1" t="s">
        <v>12</v>
      </c>
      <c r="S218" s="1" t="s">
        <v>14</v>
      </c>
      <c r="T218" s="1"/>
    </row>
    <row r="219" spans="1:20" ht="16.5" x14ac:dyDescent="0.3">
      <c r="A219" s="1">
        <v>12067</v>
      </c>
      <c r="B219" s="1" t="s">
        <v>737</v>
      </c>
      <c r="C219" s="1" t="s">
        <v>967</v>
      </c>
      <c r="D219" s="1" t="s">
        <v>967</v>
      </c>
      <c r="E219" s="1" t="s">
        <v>25</v>
      </c>
      <c r="F219" s="1" t="s">
        <v>321</v>
      </c>
      <c r="G219" s="1" t="s">
        <v>30</v>
      </c>
      <c r="H219" s="1" t="s">
        <v>36</v>
      </c>
      <c r="I219" s="1" t="s">
        <v>418</v>
      </c>
      <c r="J219" s="1" t="s">
        <v>12</v>
      </c>
      <c r="K219" s="1" t="s">
        <v>14</v>
      </c>
      <c r="L219" s="1" t="s">
        <v>31</v>
      </c>
      <c r="M219" s="1" t="s">
        <v>70</v>
      </c>
      <c r="N219" s="1" t="s">
        <v>31</v>
      </c>
      <c r="O219" s="1" t="s">
        <v>301</v>
      </c>
      <c r="P219" s="1" t="s">
        <v>12</v>
      </c>
      <c r="Q219" s="1" t="s">
        <v>14</v>
      </c>
      <c r="R219" s="1" t="s">
        <v>12</v>
      </c>
      <c r="S219" s="1" t="s">
        <v>14</v>
      </c>
      <c r="T219" s="1"/>
    </row>
    <row r="220" spans="1:20" ht="16.5" x14ac:dyDescent="0.3">
      <c r="A220" s="1">
        <v>12068</v>
      </c>
      <c r="B220" s="1" t="s">
        <v>738</v>
      </c>
      <c r="C220" s="1" t="s">
        <v>967</v>
      </c>
      <c r="D220" s="1" t="s">
        <v>967</v>
      </c>
      <c r="E220" s="1" t="s">
        <v>25</v>
      </c>
      <c r="F220" s="1" t="s">
        <v>321</v>
      </c>
      <c r="G220" s="1" t="s">
        <v>30</v>
      </c>
      <c r="H220" s="1" t="s">
        <v>36</v>
      </c>
      <c r="I220" s="1" t="s">
        <v>418</v>
      </c>
      <c r="J220" s="1" t="s">
        <v>12</v>
      </c>
      <c r="K220" s="1" t="s">
        <v>14</v>
      </c>
      <c r="L220" s="1" t="s">
        <v>31</v>
      </c>
      <c r="M220" s="1" t="s">
        <v>70</v>
      </c>
      <c r="N220" s="1" t="s">
        <v>31</v>
      </c>
      <c r="O220" s="1" t="s">
        <v>301</v>
      </c>
      <c r="P220" s="1" t="s">
        <v>12</v>
      </c>
      <c r="Q220" s="1" t="s">
        <v>14</v>
      </c>
      <c r="R220" s="1" t="s">
        <v>12</v>
      </c>
      <c r="S220" s="1" t="s">
        <v>14</v>
      </c>
      <c r="T220" s="1"/>
    </row>
    <row r="221" spans="1:20" ht="16.5" x14ac:dyDescent="0.3">
      <c r="A221" s="1">
        <v>12069</v>
      </c>
      <c r="B221" s="1" t="s">
        <v>739</v>
      </c>
      <c r="C221" s="1" t="s">
        <v>967</v>
      </c>
      <c r="D221" s="1" t="s">
        <v>967</v>
      </c>
      <c r="E221" s="1" t="s">
        <v>25</v>
      </c>
      <c r="F221" s="1" t="s">
        <v>321</v>
      </c>
      <c r="G221" s="1" t="s">
        <v>30</v>
      </c>
      <c r="H221" s="1" t="s">
        <v>36</v>
      </c>
      <c r="I221" s="1" t="s">
        <v>418</v>
      </c>
      <c r="J221" s="1" t="s">
        <v>12</v>
      </c>
      <c r="K221" s="1" t="s">
        <v>14</v>
      </c>
      <c r="L221" s="1" t="s">
        <v>31</v>
      </c>
      <c r="M221" s="1" t="s">
        <v>70</v>
      </c>
      <c r="N221" s="1" t="s">
        <v>31</v>
      </c>
      <c r="O221" s="1" t="s">
        <v>301</v>
      </c>
      <c r="P221" s="1" t="s">
        <v>12</v>
      </c>
      <c r="Q221" s="1" t="s">
        <v>14</v>
      </c>
      <c r="R221" s="1" t="s">
        <v>12</v>
      </c>
      <c r="S221" s="1" t="s">
        <v>14</v>
      </c>
      <c r="T221" s="1"/>
    </row>
    <row r="222" spans="1:20" ht="16.5" x14ac:dyDescent="0.3">
      <c r="A222" s="1">
        <v>12070</v>
      </c>
      <c r="B222" s="1" t="s">
        <v>740</v>
      </c>
      <c r="C222" s="1" t="s">
        <v>968</v>
      </c>
      <c r="D222" s="1" t="s">
        <v>968</v>
      </c>
      <c r="E222" s="1" t="s">
        <v>25</v>
      </c>
      <c r="F222" s="1" t="s">
        <v>321</v>
      </c>
      <c r="G222" s="1" t="s">
        <v>30</v>
      </c>
      <c r="H222" s="1" t="s">
        <v>173</v>
      </c>
      <c r="I222" s="1" t="s">
        <v>417</v>
      </c>
      <c r="J222" s="1" t="s">
        <v>12</v>
      </c>
      <c r="K222" s="1" t="s">
        <v>14</v>
      </c>
      <c r="L222" s="1" t="s">
        <v>31</v>
      </c>
      <c r="M222" s="1" t="s">
        <v>70</v>
      </c>
      <c r="N222" s="1" t="s">
        <v>31</v>
      </c>
      <c r="O222" s="1" t="s">
        <v>300</v>
      </c>
      <c r="P222" s="1" t="s">
        <v>12</v>
      </c>
      <c r="Q222" s="1" t="s">
        <v>14</v>
      </c>
      <c r="R222" s="1" t="s">
        <v>12</v>
      </c>
      <c r="S222" s="1" t="s">
        <v>14</v>
      </c>
      <c r="T222" s="1"/>
    </row>
    <row r="223" spans="1:20" ht="16.5" x14ac:dyDescent="0.3">
      <c r="A223" s="1">
        <v>12071</v>
      </c>
      <c r="B223" s="1" t="s">
        <v>741</v>
      </c>
      <c r="C223" s="1" t="s">
        <v>968</v>
      </c>
      <c r="D223" s="1" t="s">
        <v>968</v>
      </c>
      <c r="E223" s="1" t="s">
        <v>25</v>
      </c>
      <c r="F223" s="1" t="s">
        <v>321</v>
      </c>
      <c r="G223" s="1" t="s">
        <v>30</v>
      </c>
      <c r="H223" s="1" t="s">
        <v>173</v>
      </c>
      <c r="I223" s="1" t="s">
        <v>417</v>
      </c>
      <c r="J223" s="1" t="s">
        <v>12</v>
      </c>
      <c r="K223" s="1" t="s">
        <v>14</v>
      </c>
      <c r="L223" s="1" t="s">
        <v>31</v>
      </c>
      <c r="M223" s="1" t="s">
        <v>70</v>
      </c>
      <c r="N223" s="1" t="s">
        <v>31</v>
      </c>
      <c r="O223" s="1" t="s">
        <v>300</v>
      </c>
      <c r="P223" s="1" t="s">
        <v>12</v>
      </c>
      <c r="Q223" s="1" t="s">
        <v>14</v>
      </c>
      <c r="R223" s="1" t="s">
        <v>12</v>
      </c>
      <c r="S223" s="1" t="s">
        <v>14</v>
      </c>
      <c r="T223" s="1"/>
    </row>
    <row r="224" spans="1:20" ht="16.5" x14ac:dyDescent="0.3">
      <c r="A224" s="1">
        <v>12072</v>
      </c>
      <c r="B224" s="1" t="s">
        <v>742</v>
      </c>
      <c r="C224" s="1" t="s">
        <v>968</v>
      </c>
      <c r="D224" s="1" t="s">
        <v>968</v>
      </c>
      <c r="E224" s="1" t="s">
        <v>25</v>
      </c>
      <c r="F224" s="1" t="s">
        <v>321</v>
      </c>
      <c r="G224" s="1" t="s">
        <v>30</v>
      </c>
      <c r="H224" s="1" t="s">
        <v>173</v>
      </c>
      <c r="I224" s="1" t="s">
        <v>417</v>
      </c>
      <c r="J224" s="1" t="s">
        <v>12</v>
      </c>
      <c r="K224" s="1" t="s">
        <v>14</v>
      </c>
      <c r="L224" s="1" t="s">
        <v>31</v>
      </c>
      <c r="M224" s="1" t="s">
        <v>70</v>
      </c>
      <c r="N224" s="1" t="s">
        <v>31</v>
      </c>
      <c r="O224" s="1" t="s">
        <v>300</v>
      </c>
      <c r="P224" s="1" t="s">
        <v>12</v>
      </c>
      <c r="Q224" s="1" t="s">
        <v>14</v>
      </c>
      <c r="R224" s="1" t="s">
        <v>12</v>
      </c>
      <c r="S224" s="1" t="s">
        <v>14</v>
      </c>
      <c r="T224" s="1"/>
    </row>
    <row r="225" spans="1:20" ht="16.5" x14ac:dyDescent="0.3">
      <c r="A225" s="1">
        <v>12073</v>
      </c>
      <c r="B225" s="1" t="s">
        <v>743</v>
      </c>
      <c r="C225" s="1" t="s">
        <v>968</v>
      </c>
      <c r="D225" s="1" t="s">
        <v>968</v>
      </c>
      <c r="E225" s="1" t="s">
        <v>25</v>
      </c>
      <c r="F225" s="1" t="s">
        <v>321</v>
      </c>
      <c r="G225" s="1" t="s">
        <v>30</v>
      </c>
      <c r="H225" s="1" t="s">
        <v>173</v>
      </c>
      <c r="I225" s="1" t="s">
        <v>417</v>
      </c>
      <c r="J225" s="1" t="s">
        <v>12</v>
      </c>
      <c r="K225" s="1" t="s">
        <v>14</v>
      </c>
      <c r="L225" s="1" t="s">
        <v>31</v>
      </c>
      <c r="M225" s="1" t="s">
        <v>70</v>
      </c>
      <c r="N225" s="1" t="s">
        <v>31</v>
      </c>
      <c r="O225" s="1" t="s">
        <v>300</v>
      </c>
      <c r="P225" s="1" t="s">
        <v>12</v>
      </c>
      <c r="Q225" s="1" t="s">
        <v>14</v>
      </c>
      <c r="R225" s="1" t="s">
        <v>12</v>
      </c>
      <c r="S225" s="1" t="s">
        <v>14</v>
      </c>
      <c r="T225" s="1"/>
    </row>
    <row r="226" spans="1:20" ht="16.5" x14ac:dyDescent="0.3">
      <c r="A226" s="1">
        <v>12074</v>
      </c>
      <c r="B226" s="1" t="s">
        <v>744</v>
      </c>
      <c r="C226" s="1" t="s">
        <v>969</v>
      </c>
      <c r="D226" s="1" t="s">
        <v>969</v>
      </c>
      <c r="E226" s="1" t="s">
        <v>25</v>
      </c>
      <c r="F226" s="1" t="s">
        <v>321</v>
      </c>
      <c r="G226" s="1" t="s">
        <v>30</v>
      </c>
      <c r="H226" s="1" t="s">
        <v>172</v>
      </c>
      <c r="I226" s="1" t="s">
        <v>416</v>
      </c>
      <c r="J226" s="1" t="s">
        <v>12</v>
      </c>
      <c r="K226" s="1" t="s">
        <v>14</v>
      </c>
      <c r="L226" s="1" t="s">
        <v>31</v>
      </c>
      <c r="M226" s="1" t="s">
        <v>70</v>
      </c>
      <c r="N226" s="1" t="s">
        <v>31</v>
      </c>
      <c r="O226" s="1" t="s">
        <v>302</v>
      </c>
      <c r="P226" s="1" t="s">
        <v>12</v>
      </c>
      <c r="Q226" s="1" t="s">
        <v>14</v>
      </c>
      <c r="R226" s="1" t="s">
        <v>12</v>
      </c>
      <c r="S226" s="1" t="s">
        <v>14</v>
      </c>
      <c r="T226" s="1"/>
    </row>
    <row r="227" spans="1:20" ht="16.5" x14ac:dyDescent="0.3">
      <c r="A227" s="1">
        <v>12075</v>
      </c>
      <c r="B227" s="1" t="s">
        <v>745</v>
      </c>
      <c r="C227" s="1" t="s">
        <v>969</v>
      </c>
      <c r="D227" s="1" t="s">
        <v>969</v>
      </c>
      <c r="E227" s="1" t="s">
        <v>25</v>
      </c>
      <c r="F227" s="1" t="s">
        <v>321</v>
      </c>
      <c r="G227" s="1" t="s">
        <v>30</v>
      </c>
      <c r="H227" s="1" t="s">
        <v>172</v>
      </c>
      <c r="I227" s="1" t="s">
        <v>416</v>
      </c>
      <c r="J227" s="1" t="s">
        <v>12</v>
      </c>
      <c r="K227" s="1" t="s">
        <v>14</v>
      </c>
      <c r="L227" s="1" t="s">
        <v>31</v>
      </c>
      <c r="M227" s="1" t="s">
        <v>70</v>
      </c>
      <c r="N227" s="1" t="s">
        <v>31</v>
      </c>
      <c r="O227" s="1" t="s">
        <v>302</v>
      </c>
      <c r="P227" s="1" t="s">
        <v>12</v>
      </c>
      <c r="Q227" s="1" t="s">
        <v>14</v>
      </c>
      <c r="R227" s="1" t="s">
        <v>12</v>
      </c>
      <c r="S227" s="1" t="s">
        <v>14</v>
      </c>
      <c r="T227" s="1"/>
    </row>
    <row r="228" spans="1:20" ht="16.5" x14ac:dyDescent="0.3">
      <c r="A228" s="1">
        <v>12076</v>
      </c>
      <c r="B228" s="1" t="s">
        <v>746</v>
      </c>
      <c r="C228" s="1" t="s">
        <v>969</v>
      </c>
      <c r="D228" s="1" t="s">
        <v>969</v>
      </c>
      <c r="E228" s="1" t="s">
        <v>25</v>
      </c>
      <c r="F228" s="1" t="s">
        <v>321</v>
      </c>
      <c r="G228" s="1" t="s">
        <v>30</v>
      </c>
      <c r="H228" s="1" t="s">
        <v>172</v>
      </c>
      <c r="I228" s="1" t="s">
        <v>416</v>
      </c>
      <c r="J228" s="1" t="s">
        <v>12</v>
      </c>
      <c r="K228" s="1" t="s">
        <v>14</v>
      </c>
      <c r="L228" s="1" t="s">
        <v>31</v>
      </c>
      <c r="M228" s="1" t="s">
        <v>70</v>
      </c>
      <c r="N228" s="1" t="s">
        <v>31</v>
      </c>
      <c r="O228" s="1" t="s">
        <v>302</v>
      </c>
      <c r="P228" s="1" t="s">
        <v>12</v>
      </c>
      <c r="Q228" s="1" t="s">
        <v>14</v>
      </c>
      <c r="R228" s="1" t="s">
        <v>12</v>
      </c>
      <c r="S228" s="1" t="s">
        <v>14</v>
      </c>
      <c r="T228" s="1"/>
    </row>
    <row r="229" spans="1:20" ht="16.5" x14ac:dyDescent="0.3">
      <c r="A229" s="1">
        <v>12077</v>
      </c>
      <c r="B229" s="1" t="s">
        <v>748</v>
      </c>
      <c r="C229" s="1" t="s">
        <v>969</v>
      </c>
      <c r="D229" s="1" t="s">
        <v>969</v>
      </c>
      <c r="E229" s="1" t="s">
        <v>25</v>
      </c>
      <c r="F229" s="1" t="s">
        <v>321</v>
      </c>
      <c r="G229" s="1" t="s">
        <v>30</v>
      </c>
      <c r="H229" s="1" t="s">
        <v>172</v>
      </c>
      <c r="I229" s="1" t="s">
        <v>416</v>
      </c>
      <c r="J229" s="1" t="s">
        <v>12</v>
      </c>
      <c r="K229" s="1" t="s">
        <v>14</v>
      </c>
      <c r="L229" s="1" t="s">
        <v>31</v>
      </c>
      <c r="M229" s="1" t="s">
        <v>70</v>
      </c>
      <c r="N229" s="1" t="s">
        <v>31</v>
      </c>
      <c r="O229" s="1" t="s">
        <v>302</v>
      </c>
      <c r="P229" s="1" t="s">
        <v>12</v>
      </c>
      <c r="Q229" s="1" t="s">
        <v>14</v>
      </c>
      <c r="R229" s="1" t="s">
        <v>12</v>
      </c>
      <c r="S229" s="1" t="s">
        <v>14</v>
      </c>
      <c r="T229" s="1"/>
    </row>
    <row r="230" spans="1:20" ht="16.5" x14ac:dyDescent="0.3">
      <c r="A230" s="1">
        <v>12078</v>
      </c>
      <c r="B230" s="1" t="s">
        <v>747</v>
      </c>
      <c r="C230" s="1" t="s">
        <v>969</v>
      </c>
      <c r="D230" s="1" t="s">
        <v>969</v>
      </c>
      <c r="E230" s="1" t="s">
        <v>25</v>
      </c>
      <c r="F230" s="1" t="s">
        <v>321</v>
      </c>
      <c r="G230" s="1" t="s">
        <v>30</v>
      </c>
      <c r="H230" s="1" t="s">
        <v>172</v>
      </c>
      <c r="I230" s="1" t="s">
        <v>416</v>
      </c>
      <c r="J230" s="1" t="s">
        <v>12</v>
      </c>
      <c r="K230" s="1" t="s">
        <v>14</v>
      </c>
      <c r="L230" s="1" t="s">
        <v>31</v>
      </c>
      <c r="M230" s="1" t="s">
        <v>70</v>
      </c>
      <c r="N230" s="1" t="s">
        <v>31</v>
      </c>
      <c r="O230" s="1" t="s">
        <v>302</v>
      </c>
      <c r="P230" s="1" t="s">
        <v>12</v>
      </c>
      <c r="Q230" s="1" t="s">
        <v>14</v>
      </c>
      <c r="R230" s="1" t="s">
        <v>12</v>
      </c>
      <c r="S230" s="1" t="s">
        <v>14</v>
      </c>
      <c r="T230" s="1"/>
    </row>
    <row r="231" spans="1:20" ht="16.5" x14ac:dyDescent="0.3">
      <c r="A231" s="1">
        <v>12079</v>
      </c>
      <c r="B231" s="1" t="s">
        <v>749</v>
      </c>
      <c r="C231" s="1" t="s">
        <v>970</v>
      </c>
      <c r="D231" s="1" t="s">
        <v>970</v>
      </c>
      <c r="E231" s="1" t="s">
        <v>37</v>
      </c>
      <c r="F231" s="1" t="s">
        <v>321</v>
      </c>
      <c r="G231" s="1" t="s">
        <v>35</v>
      </c>
      <c r="H231" s="1" t="s">
        <v>360</v>
      </c>
      <c r="I231" s="1" t="s">
        <v>416</v>
      </c>
      <c r="J231" s="1" t="s">
        <v>12</v>
      </c>
      <c r="K231" s="1" t="s">
        <v>40</v>
      </c>
      <c r="L231" s="1" t="s">
        <v>40</v>
      </c>
      <c r="M231" s="1" t="s">
        <v>153</v>
      </c>
      <c r="N231" s="1" t="s">
        <v>40</v>
      </c>
      <c r="O231" s="1" t="s">
        <v>469</v>
      </c>
      <c r="P231" s="1" t="s">
        <v>153</v>
      </c>
      <c r="Q231" s="1" t="s">
        <v>40</v>
      </c>
      <c r="R231" s="1" t="s">
        <v>153</v>
      </c>
      <c r="S231" s="1" t="s">
        <v>40</v>
      </c>
      <c r="T231" s="1"/>
    </row>
    <row r="232" spans="1:20" ht="16.5" x14ac:dyDescent="0.3">
      <c r="A232" s="1">
        <v>12080</v>
      </c>
      <c r="B232" s="1" t="s">
        <v>709</v>
      </c>
      <c r="C232" s="1" t="s">
        <v>970</v>
      </c>
      <c r="D232" s="1" t="s">
        <v>970</v>
      </c>
      <c r="E232" s="1" t="s">
        <v>25</v>
      </c>
      <c r="F232" s="1" t="s">
        <v>321</v>
      </c>
      <c r="G232" s="1" t="s">
        <v>30</v>
      </c>
      <c r="H232" s="1" t="s">
        <v>360</v>
      </c>
      <c r="I232" s="1" t="s">
        <v>416</v>
      </c>
      <c r="J232" s="1" t="s">
        <v>12</v>
      </c>
      <c r="K232" s="1" t="s">
        <v>40</v>
      </c>
      <c r="L232" s="1" t="s">
        <v>40</v>
      </c>
      <c r="M232" s="1" t="s">
        <v>153</v>
      </c>
      <c r="N232" s="1" t="s">
        <v>40</v>
      </c>
      <c r="O232" s="1" t="s">
        <v>469</v>
      </c>
      <c r="P232" s="1" t="s">
        <v>153</v>
      </c>
      <c r="Q232" s="1" t="s">
        <v>40</v>
      </c>
      <c r="R232" s="1" t="s">
        <v>153</v>
      </c>
      <c r="S232" s="1" t="s">
        <v>40</v>
      </c>
      <c r="T232" s="1"/>
    </row>
    <row r="233" spans="1:20" ht="16.5" x14ac:dyDescent="0.3">
      <c r="A233" s="1">
        <v>12081</v>
      </c>
      <c r="B233" s="1" t="s">
        <v>714</v>
      </c>
      <c r="C233" s="1" t="s">
        <v>970</v>
      </c>
      <c r="D233" s="1" t="s">
        <v>970</v>
      </c>
      <c r="E233" s="1" t="s">
        <v>25</v>
      </c>
      <c r="F233" s="1" t="s">
        <v>321</v>
      </c>
      <c r="G233" s="1" t="s">
        <v>30</v>
      </c>
      <c r="H233" s="1" t="s">
        <v>360</v>
      </c>
      <c r="I233" s="1" t="s">
        <v>416</v>
      </c>
      <c r="J233" s="1" t="s">
        <v>12</v>
      </c>
      <c r="K233" s="1" t="s">
        <v>40</v>
      </c>
      <c r="L233" s="1" t="s">
        <v>40</v>
      </c>
      <c r="M233" s="1" t="s">
        <v>153</v>
      </c>
      <c r="N233" s="1" t="s">
        <v>40</v>
      </c>
      <c r="O233" s="1" t="s">
        <v>469</v>
      </c>
      <c r="P233" s="1" t="s">
        <v>153</v>
      </c>
      <c r="Q233" s="1" t="s">
        <v>40</v>
      </c>
      <c r="R233" s="1" t="s">
        <v>153</v>
      </c>
      <c r="S233" s="1" t="s">
        <v>40</v>
      </c>
      <c r="T233" s="1"/>
    </row>
    <row r="234" spans="1:20" ht="16.5" x14ac:dyDescent="0.3">
      <c r="A234" s="1">
        <v>12082</v>
      </c>
      <c r="B234" s="1" t="s">
        <v>719</v>
      </c>
      <c r="C234" s="1" t="s">
        <v>970</v>
      </c>
      <c r="D234" s="1" t="s">
        <v>970</v>
      </c>
      <c r="E234" s="1" t="s">
        <v>25</v>
      </c>
      <c r="F234" s="1" t="s">
        <v>321</v>
      </c>
      <c r="G234" s="1" t="s">
        <v>30</v>
      </c>
      <c r="H234" s="1" t="s">
        <v>360</v>
      </c>
      <c r="I234" s="1" t="s">
        <v>416</v>
      </c>
      <c r="J234" s="1" t="s">
        <v>12</v>
      </c>
      <c r="K234" s="1" t="s">
        <v>40</v>
      </c>
      <c r="L234" s="1" t="s">
        <v>40</v>
      </c>
      <c r="M234" s="1" t="s">
        <v>153</v>
      </c>
      <c r="N234" s="1" t="s">
        <v>40</v>
      </c>
      <c r="O234" s="1" t="s">
        <v>469</v>
      </c>
      <c r="P234" s="1" t="s">
        <v>153</v>
      </c>
      <c r="Q234" s="1" t="s">
        <v>40</v>
      </c>
      <c r="R234" s="1" t="s">
        <v>153</v>
      </c>
      <c r="S234" s="1" t="s">
        <v>40</v>
      </c>
      <c r="T234" s="1"/>
    </row>
    <row r="235" spans="1:20" ht="16.5" x14ac:dyDescent="0.3">
      <c r="A235" s="1">
        <v>12083</v>
      </c>
      <c r="B235" s="1" t="s">
        <v>722</v>
      </c>
      <c r="C235" s="1" t="s">
        <v>970</v>
      </c>
      <c r="D235" s="1" t="s">
        <v>970</v>
      </c>
      <c r="E235" s="1" t="s">
        <v>37</v>
      </c>
      <c r="F235" s="1" t="s">
        <v>321</v>
      </c>
      <c r="G235" s="1" t="s">
        <v>30</v>
      </c>
      <c r="H235" s="1" t="s">
        <v>360</v>
      </c>
      <c r="I235" s="1" t="s">
        <v>416</v>
      </c>
      <c r="J235" s="1" t="s">
        <v>12</v>
      </c>
      <c r="K235" s="1" t="s">
        <v>40</v>
      </c>
      <c r="L235" s="1" t="s">
        <v>40</v>
      </c>
      <c r="M235" s="1" t="s">
        <v>153</v>
      </c>
      <c r="N235" s="1" t="s">
        <v>40</v>
      </c>
      <c r="O235" s="1" t="s">
        <v>469</v>
      </c>
      <c r="P235" s="1" t="s">
        <v>153</v>
      </c>
      <c r="Q235" s="1" t="s">
        <v>40</v>
      </c>
      <c r="R235" s="1" t="s">
        <v>153</v>
      </c>
      <c r="S235" s="1" t="s">
        <v>40</v>
      </c>
      <c r="T235" s="1"/>
    </row>
    <row r="236" spans="1:20" ht="16.5" x14ac:dyDescent="0.3">
      <c r="A236" s="1">
        <v>12084</v>
      </c>
      <c r="B236" s="1" t="s">
        <v>723</v>
      </c>
      <c r="C236" s="1" t="s">
        <v>970</v>
      </c>
      <c r="D236" s="1" t="s">
        <v>970</v>
      </c>
      <c r="E236" s="1" t="s">
        <v>25</v>
      </c>
      <c r="F236" s="1" t="s">
        <v>321</v>
      </c>
      <c r="G236" s="1" t="s">
        <v>30</v>
      </c>
      <c r="H236" s="1" t="s">
        <v>360</v>
      </c>
      <c r="I236" s="1" t="s">
        <v>416</v>
      </c>
      <c r="J236" s="1" t="s">
        <v>12</v>
      </c>
      <c r="K236" s="1" t="s">
        <v>40</v>
      </c>
      <c r="L236" s="1" t="s">
        <v>40</v>
      </c>
      <c r="M236" s="1" t="s">
        <v>153</v>
      </c>
      <c r="N236" s="1" t="s">
        <v>40</v>
      </c>
      <c r="O236" s="1" t="s">
        <v>469</v>
      </c>
      <c r="P236" s="1" t="s">
        <v>153</v>
      </c>
      <c r="Q236" s="1" t="s">
        <v>40</v>
      </c>
      <c r="R236" s="1" t="s">
        <v>153</v>
      </c>
      <c r="S236" s="1" t="s">
        <v>40</v>
      </c>
      <c r="T236" s="1"/>
    </row>
    <row r="237" spans="1:20" ht="16.5" x14ac:dyDescent="0.3">
      <c r="A237" s="1">
        <v>13001</v>
      </c>
      <c r="B237" s="1" t="s">
        <v>158</v>
      </c>
      <c r="C237" s="1" t="s">
        <v>157</v>
      </c>
      <c r="D237" s="1" t="s">
        <v>157</v>
      </c>
      <c r="E237" s="1">
        <v>10</v>
      </c>
      <c r="F237" s="1">
        <v>1</v>
      </c>
      <c r="G237" s="1">
        <v>1</v>
      </c>
      <c r="H237" s="1">
        <v>2</v>
      </c>
      <c r="I237" s="1" t="s">
        <v>166</v>
      </c>
      <c r="J237" s="1" t="s">
        <v>12</v>
      </c>
      <c r="K237" s="1">
        <v>10000</v>
      </c>
      <c r="L237" s="1">
        <v>0</v>
      </c>
      <c r="M237" s="1" t="s">
        <v>153</v>
      </c>
      <c r="N237" s="1" t="s">
        <v>14</v>
      </c>
      <c r="O237" s="1" t="s">
        <v>153</v>
      </c>
      <c r="P237" s="1" t="s">
        <v>381</v>
      </c>
      <c r="Q237" s="1" t="s">
        <v>14</v>
      </c>
      <c r="R237" s="1" t="s">
        <v>159</v>
      </c>
      <c r="S237" s="1" t="s">
        <v>14</v>
      </c>
      <c r="T237" s="1"/>
    </row>
    <row r="238" spans="1:20" ht="16.5" x14ac:dyDescent="0.3">
      <c r="A238" s="1">
        <v>13002</v>
      </c>
      <c r="B238" s="1" t="s">
        <v>160</v>
      </c>
      <c r="C238" s="1" t="s">
        <v>157</v>
      </c>
      <c r="D238" s="1" t="s">
        <v>157</v>
      </c>
      <c r="E238" s="1">
        <v>10</v>
      </c>
      <c r="F238" s="1">
        <v>1</v>
      </c>
      <c r="G238" s="1">
        <v>1</v>
      </c>
      <c r="H238" s="1">
        <v>2</v>
      </c>
      <c r="I238" s="1" t="s">
        <v>167</v>
      </c>
      <c r="J238" s="1" t="s">
        <v>12</v>
      </c>
      <c r="K238" s="1">
        <v>10000</v>
      </c>
      <c r="L238" s="1">
        <v>0</v>
      </c>
      <c r="M238" s="1" t="s">
        <v>153</v>
      </c>
      <c r="N238" s="1" t="s">
        <v>14</v>
      </c>
      <c r="O238" s="1" t="s">
        <v>153</v>
      </c>
      <c r="P238" s="1" t="s">
        <v>382</v>
      </c>
      <c r="Q238" s="1" t="s">
        <v>14</v>
      </c>
      <c r="R238" s="1" t="s">
        <v>159</v>
      </c>
      <c r="S238" s="1" t="s">
        <v>14</v>
      </c>
      <c r="T238" s="1"/>
    </row>
    <row r="239" spans="1:20" ht="16.5" x14ac:dyDescent="0.3">
      <c r="A239" s="1">
        <v>13003</v>
      </c>
      <c r="B239" s="1" t="s">
        <v>161</v>
      </c>
      <c r="C239" s="1" t="s">
        <v>157</v>
      </c>
      <c r="D239" s="1" t="s">
        <v>157</v>
      </c>
      <c r="E239" s="1">
        <v>10</v>
      </c>
      <c r="F239" s="1">
        <v>1</v>
      </c>
      <c r="G239" s="1">
        <v>1</v>
      </c>
      <c r="H239" s="1">
        <v>2</v>
      </c>
      <c r="I239" s="1" t="s">
        <v>168</v>
      </c>
      <c r="J239" s="1" t="s">
        <v>12</v>
      </c>
      <c r="K239" s="1">
        <v>10000</v>
      </c>
      <c r="L239" s="1">
        <v>0</v>
      </c>
      <c r="M239" s="1" t="s">
        <v>12</v>
      </c>
      <c r="N239" s="1" t="s">
        <v>14</v>
      </c>
      <c r="O239" s="1" t="s">
        <v>153</v>
      </c>
      <c r="P239" s="1" t="s">
        <v>383</v>
      </c>
      <c r="Q239" s="1" t="s">
        <v>14</v>
      </c>
      <c r="R239" s="1" t="s">
        <v>162</v>
      </c>
      <c r="S239" s="1" t="s">
        <v>14</v>
      </c>
      <c r="T239" s="1"/>
    </row>
    <row r="240" spans="1:20" ht="16.5" x14ac:dyDescent="0.3">
      <c r="A240" s="1">
        <v>13004</v>
      </c>
      <c r="B240" s="1" t="s">
        <v>364</v>
      </c>
      <c r="C240" s="1" t="s">
        <v>157</v>
      </c>
      <c r="D240" s="1" t="s">
        <v>157</v>
      </c>
      <c r="E240" s="1">
        <v>10</v>
      </c>
      <c r="F240" s="1">
        <v>1</v>
      </c>
      <c r="G240" s="1">
        <v>1</v>
      </c>
      <c r="H240" s="1">
        <v>2</v>
      </c>
      <c r="I240" s="1" t="s">
        <v>169</v>
      </c>
      <c r="J240" s="1" t="s">
        <v>380</v>
      </c>
      <c r="K240" s="1">
        <v>30000</v>
      </c>
      <c r="L240" s="1">
        <v>0</v>
      </c>
      <c r="M240" s="1" t="s">
        <v>153</v>
      </c>
      <c r="N240" s="1" t="s">
        <v>14</v>
      </c>
      <c r="O240" s="1" t="s">
        <v>153</v>
      </c>
      <c r="P240" s="1" t="s">
        <v>384</v>
      </c>
      <c r="Q240" s="1" t="s">
        <v>14</v>
      </c>
      <c r="R240" s="1" t="s">
        <v>162</v>
      </c>
      <c r="S240" s="1" t="s">
        <v>14</v>
      </c>
      <c r="T240" s="1"/>
    </row>
    <row r="241" spans="1:20" ht="16.5" x14ac:dyDescent="0.3">
      <c r="A241" s="1">
        <v>13005</v>
      </c>
      <c r="B241" s="1" t="s">
        <v>365</v>
      </c>
      <c r="C241" s="1" t="s">
        <v>157</v>
      </c>
      <c r="D241" s="1" t="s">
        <v>157</v>
      </c>
      <c r="E241" s="1">
        <v>10</v>
      </c>
      <c r="F241" s="1">
        <v>1</v>
      </c>
      <c r="G241" s="1">
        <v>1</v>
      </c>
      <c r="H241" s="1">
        <v>2</v>
      </c>
      <c r="I241" s="1" t="s">
        <v>170</v>
      </c>
      <c r="J241" s="1" t="s">
        <v>372</v>
      </c>
      <c r="K241" s="1">
        <v>30000</v>
      </c>
      <c r="L241" s="1">
        <v>0</v>
      </c>
      <c r="M241" s="1" t="s">
        <v>153</v>
      </c>
      <c r="N241" s="1" t="s">
        <v>14</v>
      </c>
      <c r="O241" s="1" t="s">
        <v>153</v>
      </c>
      <c r="P241" s="1" t="s">
        <v>385</v>
      </c>
      <c r="Q241" s="1" t="s">
        <v>14</v>
      </c>
      <c r="R241" s="1" t="s">
        <v>162</v>
      </c>
      <c r="S241" s="1" t="s">
        <v>14</v>
      </c>
      <c r="T241" s="1"/>
    </row>
    <row r="242" spans="1:20" ht="16.5" x14ac:dyDescent="0.3">
      <c r="A242" s="1">
        <v>13006</v>
      </c>
      <c r="B242" s="1" t="s">
        <v>366</v>
      </c>
      <c r="C242" s="1" t="s">
        <v>157</v>
      </c>
      <c r="D242" s="1" t="s">
        <v>157</v>
      </c>
      <c r="E242" s="1">
        <v>10</v>
      </c>
      <c r="F242" s="1">
        <v>1</v>
      </c>
      <c r="G242" s="1">
        <v>1</v>
      </c>
      <c r="H242" s="1">
        <v>2</v>
      </c>
      <c r="I242" s="1" t="s">
        <v>171</v>
      </c>
      <c r="J242" s="1" t="s">
        <v>373</v>
      </c>
      <c r="K242" s="1">
        <v>30000</v>
      </c>
      <c r="L242" s="1">
        <v>0</v>
      </c>
      <c r="M242" s="1" t="s">
        <v>12</v>
      </c>
      <c r="N242" s="1" t="s">
        <v>14</v>
      </c>
      <c r="O242" s="1" t="s">
        <v>153</v>
      </c>
      <c r="P242" s="1" t="s">
        <v>386</v>
      </c>
      <c r="Q242" s="1" t="s">
        <v>14</v>
      </c>
      <c r="R242" s="1" t="s">
        <v>162</v>
      </c>
      <c r="S242" s="1" t="s">
        <v>14</v>
      </c>
      <c r="T242" s="1"/>
    </row>
    <row r="243" spans="1:20" ht="16.5" x14ac:dyDescent="0.3">
      <c r="A243" s="1">
        <v>13007</v>
      </c>
      <c r="B243" s="1" t="s">
        <v>363</v>
      </c>
      <c r="C243" s="1" t="s">
        <v>157</v>
      </c>
      <c r="D243" s="1" t="s">
        <v>157</v>
      </c>
      <c r="E243" s="1">
        <v>10</v>
      </c>
      <c r="F243" s="1">
        <v>1</v>
      </c>
      <c r="G243" s="1">
        <v>1</v>
      </c>
      <c r="H243" s="1">
        <v>2</v>
      </c>
      <c r="I243" s="1" t="s">
        <v>166</v>
      </c>
      <c r="J243" s="1" t="s">
        <v>374</v>
      </c>
      <c r="K243" s="1">
        <v>50000</v>
      </c>
      <c r="L243" s="1">
        <v>0</v>
      </c>
      <c r="M243" s="1" t="s">
        <v>153</v>
      </c>
      <c r="N243" s="1" t="s">
        <v>14</v>
      </c>
      <c r="O243" s="1" t="s">
        <v>153</v>
      </c>
      <c r="P243" s="1" t="s">
        <v>387</v>
      </c>
      <c r="Q243" s="1" t="s">
        <v>14</v>
      </c>
      <c r="R243" s="1" t="s">
        <v>159</v>
      </c>
      <c r="S243" s="1" t="s">
        <v>14</v>
      </c>
      <c r="T243" s="1"/>
    </row>
    <row r="244" spans="1:20" ht="16.5" x14ac:dyDescent="0.3">
      <c r="A244" s="1">
        <v>13008</v>
      </c>
      <c r="B244" s="1" t="s">
        <v>367</v>
      </c>
      <c r="C244" s="1" t="s">
        <v>157</v>
      </c>
      <c r="D244" s="1" t="s">
        <v>157</v>
      </c>
      <c r="E244" s="1">
        <v>10</v>
      </c>
      <c r="F244" s="1">
        <v>1</v>
      </c>
      <c r="G244" s="1">
        <v>1</v>
      </c>
      <c r="H244" s="1">
        <v>2</v>
      </c>
      <c r="I244" s="1" t="s">
        <v>167</v>
      </c>
      <c r="J244" s="1" t="s">
        <v>375</v>
      </c>
      <c r="K244" s="1">
        <v>50000</v>
      </c>
      <c r="L244" s="1">
        <v>0</v>
      </c>
      <c r="M244" s="1" t="s">
        <v>153</v>
      </c>
      <c r="N244" s="1" t="s">
        <v>14</v>
      </c>
      <c r="O244" s="1" t="s">
        <v>153</v>
      </c>
      <c r="P244" s="1" t="s">
        <v>388</v>
      </c>
      <c r="Q244" s="1" t="s">
        <v>14</v>
      </c>
      <c r="R244" s="1" t="s">
        <v>159</v>
      </c>
      <c r="S244" s="1" t="s">
        <v>14</v>
      </c>
      <c r="T244" s="1"/>
    </row>
    <row r="245" spans="1:20" ht="16.5" x14ac:dyDescent="0.3">
      <c r="A245" s="1">
        <v>13009</v>
      </c>
      <c r="B245" s="1" t="s">
        <v>368</v>
      </c>
      <c r="C245" s="1" t="s">
        <v>157</v>
      </c>
      <c r="D245" s="1" t="s">
        <v>157</v>
      </c>
      <c r="E245" s="1">
        <v>10</v>
      </c>
      <c r="F245" s="1">
        <v>1</v>
      </c>
      <c r="G245" s="1">
        <v>1</v>
      </c>
      <c r="H245" s="1">
        <v>2</v>
      </c>
      <c r="I245" s="1" t="s">
        <v>168</v>
      </c>
      <c r="J245" s="1" t="s">
        <v>376</v>
      </c>
      <c r="K245" s="1">
        <v>50000</v>
      </c>
      <c r="L245" s="1">
        <v>0</v>
      </c>
      <c r="M245" s="1" t="s">
        <v>12</v>
      </c>
      <c r="N245" s="1" t="s">
        <v>14</v>
      </c>
      <c r="O245" s="1" t="s">
        <v>153</v>
      </c>
      <c r="P245" s="1" t="s">
        <v>389</v>
      </c>
      <c r="Q245" s="1" t="s">
        <v>14</v>
      </c>
      <c r="R245" s="1" t="s">
        <v>162</v>
      </c>
      <c r="S245" s="1" t="s">
        <v>14</v>
      </c>
      <c r="T245" s="1"/>
    </row>
    <row r="246" spans="1:20" ht="16.5" x14ac:dyDescent="0.3">
      <c r="A246" s="1">
        <v>13010</v>
      </c>
      <c r="B246" s="1" t="s">
        <v>369</v>
      </c>
      <c r="C246" s="1" t="s">
        <v>157</v>
      </c>
      <c r="D246" s="1" t="s">
        <v>157</v>
      </c>
      <c r="E246" s="1">
        <v>10</v>
      </c>
      <c r="F246" s="1">
        <v>1</v>
      </c>
      <c r="G246" s="1">
        <v>1</v>
      </c>
      <c r="H246" s="1">
        <v>2</v>
      </c>
      <c r="I246" s="1" t="s">
        <v>169</v>
      </c>
      <c r="J246" s="1" t="s">
        <v>377</v>
      </c>
      <c r="K246" s="1">
        <v>80000</v>
      </c>
      <c r="L246" s="1">
        <v>0</v>
      </c>
      <c r="M246" s="1" t="s">
        <v>153</v>
      </c>
      <c r="N246" s="1" t="s">
        <v>14</v>
      </c>
      <c r="O246" s="1" t="s">
        <v>153</v>
      </c>
      <c r="P246" s="1" t="s">
        <v>390</v>
      </c>
      <c r="Q246" s="1" t="s">
        <v>14</v>
      </c>
      <c r="R246" s="1" t="s">
        <v>162</v>
      </c>
      <c r="S246" s="1" t="s">
        <v>14</v>
      </c>
      <c r="T246" s="1"/>
    </row>
    <row r="247" spans="1:20" ht="16.5" x14ac:dyDescent="0.3">
      <c r="A247" s="1">
        <v>13011</v>
      </c>
      <c r="B247" s="1" t="s">
        <v>370</v>
      </c>
      <c r="C247" s="1" t="s">
        <v>157</v>
      </c>
      <c r="D247" s="1" t="s">
        <v>157</v>
      </c>
      <c r="E247" s="1">
        <v>10</v>
      </c>
      <c r="F247" s="1">
        <v>1</v>
      </c>
      <c r="G247" s="1">
        <v>1</v>
      </c>
      <c r="H247" s="1">
        <v>2</v>
      </c>
      <c r="I247" s="1" t="s">
        <v>170</v>
      </c>
      <c r="J247" s="1" t="s">
        <v>378</v>
      </c>
      <c r="K247" s="1">
        <v>80000</v>
      </c>
      <c r="L247" s="1">
        <v>0</v>
      </c>
      <c r="M247" s="1" t="s">
        <v>153</v>
      </c>
      <c r="N247" s="1" t="s">
        <v>14</v>
      </c>
      <c r="O247" s="1" t="s">
        <v>153</v>
      </c>
      <c r="P247" s="1" t="s">
        <v>391</v>
      </c>
      <c r="Q247" s="1" t="s">
        <v>14</v>
      </c>
      <c r="R247" s="1" t="s">
        <v>162</v>
      </c>
      <c r="S247" s="1" t="s">
        <v>14</v>
      </c>
      <c r="T247" s="1"/>
    </row>
    <row r="248" spans="1:20" ht="16.5" x14ac:dyDescent="0.3">
      <c r="A248" s="1">
        <v>13012</v>
      </c>
      <c r="B248" s="1" t="s">
        <v>371</v>
      </c>
      <c r="C248" s="1" t="s">
        <v>157</v>
      </c>
      <c r="D248" s="1" t="s">
        <v>157</v>
      </c>
      <c r="E248" s="1">
        <v>10</v>
      </c>
      <c r="F248" s="1">
        <v>1</v>
      </c>
      <c r="G248" s="1">
        <v>1</v>
      </c>
      <c r="H248" s="1">
        <v>2</v>
      </c>
      <c r="I248" s="1" t="s">
        <v>171</v>
      </c>
      <c r="J248" s="1" t="s">
        <v>379</v>
      </c>
      <c r="K248" s="1">
        <v>80000</v>
      </c>
      <c r="L248" s="1">
        <v>0</v>
      </c>
      <c r="M248" s="1" t="s">
        <v>12</v>
      </c>
      <c r="N248" s="1" t="s">
        <v>14</v>
      </c>
      <c r="O248" s="1" t="s">
        <v>153</v>
      </c>
      <c r="P248" s="1" t="s">
        <v>392</v>
      </c>
      <c r="Q248" s="1" t="s">
        <v>14</v>
      </c>
      <c r="R248" s="1" t="s">
        <v>162</v>
      </c>
      <c r="S248" s="1" t="s">
        <v>14</v>
      </c>
      <c r="T248" s="1"/>
    </row>
    <row r="249" spans="1:20" ht="16.5" x14ac:dyDescent="0.3">
      <c r="A249" s="1">
        <v>14001</v>
      </c>
      <c r="B249" s="1" t="s">
        <v>963</v>
      </c>
      <c r="C249" s="1" t="s">
        <v>936</v>
      </c>
      <c r="D249" s="1" t="s">
        <v>936</v>
      </c>
      <c r="E249" s="1" t="s">
        <v>52</v>
      </c>
      <c r="F249" s="1" t="s">
        <v>153</v>
      </c>
      <c r="G249" s="1" t="s">
        <v>13</v>
      </c>
      <c r="H249" s="1" t="s">
        <v>13</v>
      </c>
      <c r="I249" s="1" t="s">
        <v>23</v>
      </c>
      <c r="J249" s="1" t="s">
        <v>12</v>
      </c>
      <c r="K249" s="1" t="s">
        <v>40</v>
      </c>
      <c r="L249" s="1" t="s">
        <v>14</v>
      </c>
      <c r="M249" s="1" t="s">
        <v>70</v>
      </c>
      <c r="N249" s="1" t="s">
        <v>31</v>
      </c>
      <c r="O249" s="1" t="s">
        <v>12</v>
      </c>
      <c r="P249" s="1" t="s">
        <v>939</v>
      </c>
      <c r="Q249" s="1" t="s">
        <v>14</v>
      </c>
      <c r="R249" s="1" t="s">
        <v>12</v>
      </c>
      <c r="S249" s="1" t="s">
        <v>942</v>
      </c>
      <c r="T249" s="1"/>
    </row>
    <row r="250" spans="1:20" ht="16.5" x14ac:dyDescent="0.3">
      <c r="A250" s="1">
        <v>14002</v>
      </c>
      <c r="B250" s="1" t="s">
        <v>964</v>
      </c>
      <c r="C250" s="1" t="s">
        <v>937</v>
      </c>
      <c r="D250" s="1" t="s">
        <v>937</v>
      </c>
      <c r="E250" s="1" t="s">
        <v>53</v>
      </c>
      <c r="F250" s="1" t="s">
        <v>38</v>
      </c>
      <c r="G250" s="1" t="s">
        <v>13</v>
      </c>
      <c r="H250" s="1" t="s">
        <v>24</v>
      </c>
      <c r="I250" s="1" t="s">
        <v>27</v>
      </c>
      <c r="J250" s="1" t="s">
        <v>12</v>
      </c>
      <c r="K250" s="1" t="s">
        <v>40</v>
      </c>
      <c r="L250" s="1" t="s">
        <v>14</v>
      </c>
      <c r="M250" s="1" t="s">
        <v>70</v>
      </c>
      <c r="N250" s="1" t="s">
        <v>40</v>
      </c>
      <c r="O250" s="1" t="s">
        <v>12</v>
      </c>
      <c r="P250" s="1" t="s">
        <v>940</v>
      </c>
      <c r="Q250" s="1" t="s">
        <v>14</v>
      </c>
      <c r="R250" s="1" t="s">
        <v>12</v>
      </c>
      <c r="S250" s="1" t="s">
        <v>943</v>
      </c>
      <c r="T250" s="1"/>
    </row>
    <row r="251" spans="1:20" ht="16.5" x14ac:dyDescent="0.3">
      <c r="A251" s="1">
        <v>14003</v>
      </c>
      <c r="B251" s="1" t="s">
        <v>965</v>
      </c>
      <c r="C251" s="1" t="s">
        <v>865</v>
      </c>
      <c r="D251" s="1" t="s">
        <v>865</v>
      </c>
      <c r="E251" s="1" t="s">
        <v>52</v>
      </c>
      <c r="F251" s="1" t="s">
        <v>38</v>
      </c>
      <c r="G251" s="1" t="s">
        <v>13</v>
      </c>
      <c r="H251" s="1" t="s">
        <v>25</v>
      </c>
      <c r="I251" s="1" t="s">
        <v>28</v>
      </c>
      <c r="J251" s="1" t="s">
        <v>12</v>
      </c>
      <c r="K251" s="1" t="s">
        <v>14</v>
      </c>
      <c r="L251" s="1" t="s">
        <v>14</v>
      </c>
      <c r="M251" s="1" t="s">
        <v>70</v>
      </c>
      <c r="N251" s="1" t="s">
        <v>31</v>
      </c>
      <c r="O251" s="1" t="s">
        <v>12</v>
      </c>
      <c r="P251" s="1" t="s">
        <v>692</v>
      </c>
      <c r="Q251" s="1" t="s">
        <v>14</v>
      </c>
      <c r="R251" s="1" t="s">
        <v>12</v>
      </c>
      <c r="S251" s="1" t="s">
        <v>944</v>
      </c>
      <c r="T251" s="1"/>
    </row>
    <row r="252" spans="1:20" ht="16.5" x14ac:dyDescent="0.3">
      <c r="A252" s="1">
        <v>14004</v>
      </c>
      <c r="B252" s="1" t="s">
        <v>966</v>
      </c>
      <c r="C252" s="1" t="s">
        <v>938</v>
      </c>
      <c r="D252" s="1" t="s">
        <v>938</v>
      </c>
      <c r="E252" s="1" t="s">
        <v>54</v>
      </c>
      <c r="F252" s="1" t="s">
        <v>765</v>
      </c>
      <c r="G252" s="1" t="s">
        <v>13</v>
      </c>
      <c r="H252" s="1" t="s">
        <v>26</v>
      </c>
      <c r="I252" s="1" t="s">
        <v>29</v>
      </c>
      <c r="J252" s="1" t="s">
        <v>12</v>
      </c>
      <c r="K252" s="1" t="s">
        <v>14</v>
      </c>
      <c r="L252" s="1" t="s">
        <v>40</v>
      </c>
      <c r="M252" s="1" t="s">
        <v>70</v>
      </c>
      <c r="N252" s="1" t="s">
        <v>31</v>
      </c>
      <c r="O252" s="1" t="s">
        <v>12</v>
      </c>
      <c r="P252" s="1" t="s">
        <v>941</v>
      </c>
      <c r="Q252" s="1" t="s">
        <v>14</v>
      </c>
      <c r="R252" s="1" t="s">
        <v>12</v>
      </c>
      <c r="S252" s="1" t="s">
        <v>945</v>
      </c>
      <c r="T252" s="1"/>
    </row>
    <row r="253" spans="1:20" ht="16.5" x14ac:dyDescent="0.3">
      <c r="A253" s="1">
        <v>14005</v>
      </c>
      <c r="B253" s="1" t="s">
        <v>346</v>
      </c>
      <c r="C253" s="1" t="s">
        <v>347</v>
      </c>
      <c r="D253" s="1" t="s">
        <v>88</v>
      </c>
      <c r="E253" s="1" t="s">
        <v>73</v>
      </c>
      <c r="F253" s="1" t="s">
        <v>12</v>
      </c>
      <c r="G253" s="1" t="s">
        <v>30</v>
      </c>
      <c r="H253" s="1" t="s">
        <v>24</v>
      </c>
      <c r="I253" s="1" t="s">
        <v>323</v>
      </c>
      <c r="J253" s="1" t="s">
        <v>12</v>
      </c>
      <c r="K253" s="1" t="s">
        <v>14</v>
      </c>
      <c r="L253" s="1" t="s">
        <v>40</v>
      </c>
      <c r="M253" s="1" t="s">
        <v>70</v>
      </c>
      <c r="N253" s="1" t="s">
        <v>31</v>
      </c>
      <c r="O253" s="1" t="s">
        <v>12</v>
      </c>
      <c r="P253" s="1" t="s">
        <v>70</v>
      </c>
      <c r="Q253" s="1" t="s">
        <v>14</v>
      </c>
      <c r="R253" s="1" t="s">
        <v>12</v>
      </c>
      <c r="S253" s="1" t="s">
        <v>14</v>
      </c>
      <c r="T253" s="1"/>
    </row>
    <row r="254" spans="1:20" ht="16.5" x14ac:dyDescent="0.3">
      <c r="A254" s="1">
        <v>14006</v>
      </c>
      <c r="B254" s="1" t="s">
        <v>348</v>
      </c>
      <c r="C254" s="1" t="s">
        <v>349</v>
      </c>
      <c r="D254" s="1" t="s">
        <v>89</v>
      </c>
      <c r="E254" s="1" t="s">
        <v>79</v>
      </c>
      <c r="F254" s="1" t="s">
        <v>12</v>
      </c>
      <c r="G254" s="1" t="s">
        <v>35</v>
      </c>
      <c r="H254" s="1" t="s">
        <v>25</v>
      </c>
      <c r="I254" s="1" t="s">
        <v>324</v>
      </c>
      <c r="J254" s="1" t="s">
        <v>12</v>
      </c>
      <c r="K254" s="1" t="s">
        <v>14</v>
      </c>
      <c r="L254" s="1" t="s">
        <v>31</v>
      </c>
      <c r="M254" s="1" t="s">
        <v>70</v>
      </c>
      <c r="N254" s="1" t="s">
        <v>31</v>
      </c>
      <c r="O254" s="1" t="s">
        <v>12</v>
      </c>
      <c r="P254" s="1" t="s">
        <v>70</v>
      </c>
      <c r="Q254" s="1" t="s">
        <v>14</v>
      </c>
      <c r="R254" s="1" t="s">
        <v>12</v>
      </c>
      <c r="S254" s="1" t="s">
        <v>14</v>
      </c>
      <c r="T254" s="1"/>
    </row>
    <row r="255" spans="1:20" ht="16.5" x14ac:dyDescent="0.3">
      <c r="A255" s="1">
        <v>14007</v>
      </c>
      <c r="B255" s="1" t="s">
        <v>948</v>
      </c>
      <c r="C255" s="1" t="s">
        <v>971</v>
      </c>
      <c r="D255" s="1" t="s">
        <v>971</v>
      </c>
      <c r="E255" s="1" t="s">
        <v>52</v>
      </c>
      <c r="F255" s="1" t="s">
        <v>36</v>
      </c>
      <c r="G255" s="1" t="s">
        <v>13</v>
      </c>
      <c r="H255" s="1" t="s">
        <v>36</v>
      </c>
      <c r="I255" s="1" t="s">
        <v>418</v>
      </c>
      <c r="J255" s="1" t="s">
        <v>12</v>
      </c>
      <c r="K255" s="1" t="s">
        <v>40</v>
      </c>
      <c r="L255" s="1" t="s">
        <v>14</v>
      </c>
      <c r="M255" s="1" t="s">
        <v>70</v>
      </c>
      <c r="N255" s="1" t="s">
        <v>31</v>
      </c>
      <c r="O255" s="1" t="s">
        <v>12</v>
      </c>
      <c r="P255" s="1" t="s">
        <v>70</v>
      </c>
      <c r="Q255" s="1" t="s">
        <v>14</v>
      </c>
      <c r="R255" s="1" t="s">
        <v>12</v>
      </c>
      <c r="S255" s="1" t="s">
        <v>31</v>
      </c>
      <c r="T255" s="1"/>
    </row>
    <row r="256" spans="1:20" ht="16.5" x14ac:dyDescent="0.3">
      <c r="A256" s="1">
        <v>14008</v>
      </c>
      <c r="B256" s="1" t="s">
        <v>949</v>
      </c>
      <c r="C256" s="1" t="s">
        <v>972</v>
      </c>
      <c r="D256" s="1" t="s">
        <v>972</v>
      </c>
      <c r="E256" s="1" t="s">
        <v>52</v>
      </c>
      <c r="F256" s="1" t="s">
        <v>36</v>
      </c>
      <c r="G256" s="1" t="s">
        <v>13</v>
      </c>
      <c r="H256" s="1" t="s">
        <v>37</v>
      </c>
      <c r="I256" s="1" t="s">
        <v>417</v>
      </c>
      <c r="J256" s="1" t="s">
        <v>12</v>
      </c>
      <c r="K256" s="1" t="s">
        <v>40</v>
      </c>
      <c r="L256" s="1" t="s">
        <v>14</v>
      </c>
      <c r="M256" s="1" t="s">
        <v>70</v>
      </c>
      <c r="N256" s="1" t="s">
        <v>31</v>
      </c>
      <c r="O256" s="1" t="s">
        <v>12</v>
      </c>
      <c r="P256" s="1" t="s">
        <v>70</v>
      </c>
      <c r="Q256" s="1" t="s">
        <v>14</v>
      </c>
      <c r="R256" s="1" t="s">
        <v>12</v>
      </c>
      <c r="S256" s="1" t="s">
        <v>31</v>
      </c>
      <c r="T256" s="1"/>
    </row>
    <row r="257" spans="1:20" ht="16.5" x14ac:dyDescent="0.3">
      <c r="A257" s="1">
        <v>14009</v>
      </c>
      <c r="B257" s="1" t="s">
        <v>950</v>
      </c>
      <c r="C257" s="1" t="s">
        <v>973</v>
      </c>
      <c r="D257" s="1" t="s">
        <v>973</v>
      </c>
      <c r="E257" s="1" t="s">
        <v>52</v>
      </c>
      <c r="F257" s="1" t="s">
        <v>36</v>
      </c>
      <c r="G257" s="1" t="s">
        <v>13</v>
      </c>
      <c r="H257" s="1" t="s">
        <v>38</v>
      </c>
      <c r="I257" s="1" t="s">
        <v>416</v>
      </c>
      <c r="J257" s="1" t="s">
        <v>12</v>
      </c>
      <c r="K257" s="1" t="s">
        <v>40</v>
      </c>
      <c r="L257" s="1" t="s">
        <v>14</v>
      </c>
      <c r="M257" s="1" t="s">
        <v>70</v>
      </c>
      <c r="N257" s="1" t="s">
        <v>31</v>
      </c>
      <c r="O257" s="1" t="s">
        <v>12</v>
      </c>
      <c r="P257" s="1" t="s">
        <v>70</v>
      </c>
      <c r="Q257" s="1" t="s">
        <v>14</v>
      </c>
      <c r="R257" s="1" t="s">
        <v>12</v>
      </c>
      <c r="S257" s="1" t="s">
        <v>31</v>
      </c>
      <c r="T257" s="1"/>
    </row>
    <row r="258" spans="1:20" ht="16.5" x14ac:dyDescent="0.3">
      <c r="A258" s="1">
        <v>14101</v>
      </c>
      <c r="B258" s="1" t="s">
        <v>87</v>
      </c>
      <c r="C258" s="1" t="s">
        <v>866</v>
      </c>
      <c r="D258" s="1" t="s">
        <v>866</v>
      </c>
      <c r="E258" s="1" t="s">
        <v>38</v>
      </c>
      <c r="F258" s="1" t="s">
        <v>173</v>
      </c>
      <c r="G258" s="1" t="s">
        <v>30</v>
      </c>
      <c r="H258" s="1" t="s">
        <v>24</v>
      </c>
      <c r="I258" s="1" t="s">
        <v>34</v>
      </c>
      <c r="J258" s="1" t="s">
        <v>12</v>
      </c>
      <c r="K258" s="1" t="s">
        <v>14</v>
      </c>
      <c r="L258" s="1" t="s">
        <v>14</v>
      </c>
      <c r="M258" s="1" t="s">
        <v>70</v>
      </c>
      <c r="N258" s="1" t="s">
        <v>31</v>
      </c>
      <c r="O258" s="1" t="s">
        <v>12</v>
      </c>
      <c r="P258" s="1" t="s">
        <v>71</v>
      </c>
      <c r="Q258" s="1" t="s">
        <v>14</v>
      </c>
      <c r="R258" s="1" t="s">
        <v>12</v>
      </c>
      <c r="S258" s="1" t="s">
        <v>14</v>
      </c>
      <c r="T258" s="1"/>
    </row>
    <row r="259" spans="1:20" ht="16.5" x14ac:dyDescent="0.3">
      <c r="A259" s="1">
        <v>14102</v>
      </c>
      <c r="B259" s="1" t="s">
        <v>935</v>
      </c>
      <c r="C259" s="1" t="s">
        <v>867</v>
      </c>
      <c r="D259" s="1" t="s">
        <v>867</v>
      </c>
      <c r="E259" s="1" t="s">
        <v>73</v>
      </c>
      <c r="F259" s="1" t="s">
        <v>12</v>
      </c>
      <c r="G259" s="1" t="s">
        <v>30</v>
      </c>
      <c r="H259" s="1" t="s">
        <v>36</v>
      </c>
      <c r="I259" s="1" t="s">
        <v>45</v>
      </c>
      <c r="J259" s="1" t="s">
        <v>12</v>
      </c>
      <c r="K259" s="1" t="s">
        <v>14</v>
      </c>
      <c r="L259" s="1" t="s">
        <v>14</v>
      </c>
      <c r="M259" s="1" t="s">
        <v>70</v>
      </c>
      <c r="N259" s="1" t="s">
        <v>31</v>
      </c>
      <c r="O259" s="1" t="s">
        <v>12</v>
      </c>
      <c r="P259" s="1" t="s">
        <v>70</v>
      </c>
      <c r="Q259" s="1" t="s">
        <v>14</v>
      </c>
      <c r="R259" s="1" t="s">
        <v>12</v>
      </c>
      <c r="S259" s="1" t="s">
        <v>14</v>
      </c>
      <c r="T259" s="1"/>
    </row>
    <row r="260" spans="1:20" ht="16.5" x14ac:dyDescent="0.3">
      <c r="A260" s="1">
        <v>14103</v>
      </c>
      <c r="B260" s="1" t="s">
        <v>394</v>
      </c>
      <c r="C260" s="1" t="s">
        <v>974</v>
      </c>
      <c r="D260" s="1" t="s">
        <v>974</v>
      </c>
      <c r="E260" s="1" t="s">
        <v>74</v>
      </c>
      <c r="F260" s="1" t="s">
        <v>12</v>
      </c>
      <c r="G260" s="1" t="s">
        <v>35</v>
      </c>
      <c r="H260" s="1" t="s">
        <v>24</v>
      </c>
      <c r="I260" s="1" t="s">
        <v>45</v>
      </c>
      <c r="J260" s="1" t="s">
        <v>12</v>
      </c>
      <c r="K260" s="1" t="s">
        <v>14</v>
      </c>
      <c r="L260" s="1" t="s">
        <v>14</v>
      </c>
      <c r="M260" s="1" t="s">
        <v>70</v>
      </c>
      <c r="N260" s="1" t="s">
        <v>40</v>
      </c>
      <c r="O260" s="1" t="s">
        <v>12</v>
      </c>
      <c r="P260" s="1" t="s">
        <v>70</v>
      </c>
      <c r="Q260" s="1" t="s">
        <v>14</v>
      </c>
      <c r="R260" s="1" t="s">
        <v>12</v>
      </c>
      <c r="S260" s="1" t="s">
        <v>14</v>
      </c>
      <c r="T260" s="1"/>
    </row>
    <row r="261" spans="1:20" ht="16.5" x14ac:dyDescent="0.3">
      <c r="A261" s="1">
        <v>14104</v>
      </c>
      <c r="B261" s="1" t="s">
        <v>21</v>
      </c>
      <c r="C261" s="1" t="s">
        <v>868</v>
      </c>
      <c r="D261" s="1" t="s">
        <v>868</v>
      </c>
      <c r="E261" s="1" t="s">
        <v>52</v>
      </c>
      <c r="F261" s="1" t="s">
        <v>322</v>
      </c>
      <c r="G261" s="1" t="s">
        <v>13</v>
      </c>
      <c r="H261" s="1" t="s">
        <v>24</v>
      </c>
      <c r="I261" s="1" t="s">
        <v>46</v>
      </c>
      <c r="J261" s="1" t="s">
        <v>12</v>
      </c>
      <c r="K261" s="1" t="s">
        <v>14</v>
      </c>
      <c r="L261" s="1" t="s">
        <v>14</v>
      </c>
      <c r="M261" s="1" t="s">
        <v>70</v>
      </c>
      <c r="N261" s="1" t="s">
        <v>31</v>
      </c>
      <c r="O261" s="1" t="s">
        <v>12</v>
      </c>
      <c r="P261" s="1" t="s">
        <v>70</v>
      </c>
      <c r="Q261" s="1" t="s">
        <v>14</v>
      </c>
      <c r="R261" s="1" t="s">
        <v>12</v>
      </c>
      <c r="S261" s="1" t="s">
        <v>14</v>
      </c>
      <c r="T261" s="1"/>
    </row>
    <row r="262" spans="1:20" ht="16.5" x14ac:dyDescent="0.3">
      <c r="A262" s="1">
        <v>14106</v>
      </c>
      <c r="B262" s="1" t="s">
        <v>22</v>
      </c>
      <c r="C262" s="1" t="s">
        <v>869</v>
      </c>
      <c r="D262" s="1" t="s">
        <v>869</v>
      </c>
      <c r="E262" s="1" t="s">
        <v>52</v>
      </c>
      <c r="F262" s="1" t="s">
        <v>173</v>
      </c>
      <c r="G262" s="1" t="s">
        <v>13</v>
      </c>
      <c r="H262" s="1" t="s">
        <v>24</v>
      </c>
      <c r="I262" s="1" t="s">
        <v>49</v>
      </c>
      <c r="J262" s="1" t="s">
        <v>12</v>
      </c>
      <c r="K262" s="1" t="s">
        <v>14</v>
      </c>
      <c r="L262" s="1" t="s">
        <v>14</v>
      </c>
      <c r="M262" s="1" t="s">
        <v>70</v>
      </c>
      <c r="N262" s="1" t="s">
        <v>31</v>
      </c>
      <c r="O262" s="1" t="s">
        <v>12</v>
      </c>
      <c r="P262" s="1" t="s">
        <v>153</v>
      </c>
      <c r="Q262" s="1" t="s">
        <v>14</v>
      </c>
      <c r="R262" s="1" t="s">
        <v>12</v>
      </c>
      <c r="S262" s="1" t="s">
        <v>14</v>
      </c>
      <c r="T262" s="1"/>
    </row>
    <row r="263" spans="1:20" ht="16.5" x14ac:dyDescent="0.3">
      <c r="A263" s="1">
        <v>14107</v>
      </c>
      <c r="B263" s="1" t="s">
        <v>946</v>
      </c>
      <c r="C263" s="1" t="s">
        <v>636</v>
      </c>
      <c r="D263" s="1" t="s">
        <v>636</v>
      </c>
      <c r="E263" s="1" t="s">
        <v>52</v>
      </c>
      <c r="F263" s="1" t="s">
        <v>173</v>
      </c>
      <c r="G263" s="1" t="s">
        <v>13</v>
      </c>
      <c r="H263" s="1" t="s">
        <v>37</v>
      </c>
      <c r="I263" s="1" t="s">
        <v>325</v>
      </c>
      <c r="J263" s="1" t="s">
        <v>12</v>
      </c>
      <c r="K263" s="1" t="s">
        <v>14</v>
      </c>
      <c r="L263" s="1" t="s">
        <v>14</v>
      </c>
      <c r="M263" s="1" t="s">
        <v>70</v>
      </c>
      <c r="N263" s="1" t="s">
        <v>40</v>
      </c>
      <c r="O263" s="1" t="s">
        <v>12</v>
      </c>
      <c r="P263" s="1" t="s">
        <v>70</v>
      </c>
      <c r="Q263" s="1" t="s">
        <v>14</v>
      </c>
      <c r="R263" s="1" t="s">
        <v>12</v>
      </c>
      <c r="S263" s="1" t="s">
        <v>14</v>
      </c>
      <c r="T263" s="1"/>
    </row>
    <row r="264" spans="1:20" ht="16.5" x14ac:dyDescent="0.3">
      <c r="A264" s="1">
        <v>14108</v>
      </c>
      <c r="B264" s="1" t="s">
        <v>86</v>
      </c>
      <c r="C264" s="1" t="s">
        <v>870</v>
      </c>
      <c r="D264" s="1" t="s">
        <v>870</v>
      </c>
      <c r="E264" s="1" t="s">
        <v>26</v>
      </c>
      <c r="F264" s="1" t="s">
        <v>173</v>
      </c>
      <c r="G264" s="1" t="s">
        <v>13</v>
      </c>
      <c r="H264" s="1" t="s">
        <v>36</v>
      </c>
      <c r="I264" s="1" t="s">
        <v>134</v>
      </c>
      <c r="J264" s="1" t="s">
        <v>12</v>
      </c>
      <c r="K264" s="1" t="s">
        <v>14</v>
      </c>
      <c r="L264" s="1" t="s">
        <v>14</v>
      </c>
      <c r="M264" s="1" t="s">
        <v>70</v>
      </c>
      <c r="N264" s="1" t="s">
        <v>31</v>
      </c>
      <c r="O264" s="1" t="s">
        <v>12</v>
      </c>
      <c r="P264" s="1" t="s">
        <v>72</v>
      </c>
      <c r="Q264" s="1" t="s">
        <v>14</v>
      </c>
      <c r="R264" s="1" t="s">
        <v>12</v>
      </c>
      <c r="S264" s="1" t="s">
        <v>14</v>
      </c>
      <c r="T264" s="1"/>
    </row>
    <row r="265" spans="1:20" ht="16.5" x14ac:dyDescent="0.3">
      <c r="A265" s="1">
        <v>14109</v>
      </c>
      <c r="B265" s="1" t="s">
        <v>472</v>
      </c>
      <c r="C265" s="1" t="s">
        <v>871</v>
      </c>
      <c r="D265" s="1" t="s">
        <v>871</v>
      </c>
      <c r="E265" s="1" t="s">
        <v>26</v>
      </c>
      <c r="F265" s="1" t="s">
        <v>12</v>
      </c>
      <c r="G265" s="1" t="s">
        <v>13</v>
      </c>
      <c r="H265" s="1" t="s">
        <v>36</v>
      </c>
      <c r="I265" s="1" t="s">
        <v>48</v>
      </c>
      <c r="J265" s="1" t="s">
        <v>12</v>
      </c>
      <c r="K265" s="1" t="s">
        <v>14</v>
      </c>
      <c r="L265" s="1" t="s">
        <v>14</v>
      </c>
      <c r="M265" s="1" t="s">
        <v>70</v>
      </c>
      <c r="N265" s="1" t="s">
        <v>31</v>
      </c>
      <c r="O265" s="1" t="s">
        <v>12</v>
      </c>
      <c r="P265" s="1" t="s">
        <v>72</v>
      </c>
      <c r="Q265" s="1" t="s">
        <v>14</v>
      </c>
      <c r="R265" s="1" t="s">
        <v>12</v>
      </c>
      <c r="S265" s="1" t="s">
        <v>14</v>
      </c>
      <c r="T265" s="1"/>
    </row>
    <row r="266" spans="1:20" ht="16.5" x14ac:dyDescent="0.3">
      <c r="A266" s="1">
        <v>14110</v>
      </c>
      <c r="B266" s="1" t="s">
        <v>470</v>
      </c>
      <c r="C266" s="1" t="s">
        <v>471</v>
      </c>
      <c r="D266" s="1" t="s">
        <v>471</v>
      </c>
      <c r="E266" s="1" t="s">
        <v>26</v>
      </c>
      <c r="F266" s="1" t="s">
        <v>153</v>
      </c>
      <c r="G266" s="1" t="s">
        <v>30</v>
      </c>
      <c r="H266" s="1" t="s">
        <v>38</v>
      </c>
      <c r="I266" s="1" t="s">
        <v>48</v>
      </c>
      <c r="J266" s="1" t="s">
        <v>12</v>
      </c>
      <c r="K266" s="1" t="s">
        <v>14</v>
      </c>
      <c r="L266" s="1" t="s">
        <v>14</v>
      </c>
      <c r="M266" s="1" t="s">
        <v>70</v>
      </c>
      <c r="N266" s="1" t="s">
        <v>31</v>
      </c>
      <c r="O266" s="1" t="s">
        <v>12</v>
      </c>
      <c r="P266" s="1" t="s">
        <v>473</v>
      </c>
      <c r="Q266" s="1" t="s">
        <v>40</v>
      </c>
      <c r="R266" s="1" t="s">
        <v>12</v>
      </c>
      <c r="S266" s="1" t="s">
        <v>31</v>
      </c>
      <c r="T266" s="1"/>
    </row>
    <row r="267" spans="1:20" ht="16.5" x14ac:dyDescent="0.3">
      <c r="A267" s="1">
        <v>14201</v>
      </c>
      <c r="B267" s="1" t="s">
        <v>951</v>
      </c>
      <c r="C267" s="1" t="s">
        <v>975</v>
      </c>
      <c r="D267" s="1" t="s">
        <v>975</v>
      </c>
      <c r="E267" s="1" t="s">
        <v>75</v>
      </c>
      <c r="F267" s="1" t="s">
        <v>173</v>
      </c>
      <c r="G267" s="1" t="s">
        <v>13</v>
      </c>
      <c r="H267" s="1" t="s">
        <v>26</v>
      </c>
      <c r="I267" s="1" t="s">
        <v>47</v>
      </c>
      <c r="J267" s="1" t="s">
        <v>12</v>
      </c>
      <c r="K267" s="1" t="s">
        <v>14</v>
      </c>
      <c r="L267" s="1" t="s">
        <v>14</v>
      </c>
      <c r="M267" s="1" t="s">
        <v>70</v>
      </c>
      <c r="N267" s="1" t="s">
        <v>31</v>
      </c>
      <c r="O267" s="1" t="s">
        <v>12</v>
      </c>
      <c r="P267" s="1" t="s">
        <v>70</v>
      </c>
      <c r="Q267" s="1" t="s">
        <v>14</v>
      </c>
      <c r="R267" s="1" t="s">
        <v>12</v>
      </c>
      <c r="S267" s="1" t="s">
        <v>14</v>
      </c>
      <c r="T267" s="1"/>
    </row>
    <row r="268" spans="1:20" ht="16.5" x14ac:dyDescent="0.3">
      <c r="A268" s="1">
        <v>14202</v>
      </c>
      <c r="B268" s="1" t="s">
        <v>16</v>
      </c>
      <c r="C268" s="1" t="s">
        <v>872</v>
      </c>
      <c r="D268" s="1" t="s">
        <v>872</v>
      </c>
      <c r="E268" s="1" t="s">
        <v>69</v>
      </c>
      <c r="F268" s="1" t="s">
        <v>173</v>
      </c>
      <c r="G268" s="1" t="s">
        <v>13</v>
      </c>
      <c r="H268" s="1" t="s">
        <v>35</v>
      </c>
      <c r="I268" s="1" t="s">
        <v>42</v>
      </c>
      <c r="J268" s="1" t="s">
        <v>12</v>
      </c>
      <c r="K268" s="1" t="s">
        <v>14</v>
      </c>
      <c r="L268" s="1" t="s">
        <v>14</v>
      </c>
      <c r="M268" s="1" t="s">
        <v>70</v>
      </c>
      <c r="N268" s="1" t="s">
        <v>40</v>
      </c>
      <c r="O268" s="1" t="s">
        <v>12</v>
      </c>
      <c r="P268" s="1" t="s">
        <v>57</v>
      </c>
      <c r="Q268" s="1" t="s">
        <v>14</v>
      </c>
      <c r="R268" s="1" t="s">
        <v>12</v>
      </c>
      <c r="S268" s="1" t="s">
        <v>14</v>
      </c>
      <c r="T268" s="1"/>
    </row>
    <row r="269" spans="1:20" ht="16.5" x14ac:dyDescent="0.3">
      <c r="A269" s="1">
        <v>14203</v>
      </c>
      <c r="B269" s="1" t="s">
        <v>17</v>
      </c>
      <c r="C269" s="1" t="s">
        <v>873</v>
      </c>
      <c r="D269" s="1" t="s">
        <v>873</v>
      </c>
      <c r="E269" s="1" t="s">
        <v>69</v>
      </c>
      <c r="F269" s="1" t="s">
        <v>173</v>
      </c>
      <c r="G269" s="1" t="s">
        <v>13</v>
      </c>
      <c r="H269" s="1" t="s">
        <v>24</v>
      </c>
      <c r="I269" s="1" t="s">
        <v>43</v>
      </c>
      <c r="J269" s="1" t="s">
        <v>12</v>
      </c>
      <c r="K269" s="1" t="s">
        <v>14</v>
      </c>
      <c r="L269" s="1" t="s">
        <v>14</v>
      </c>
      <c r="M269" s="1" t="s">
        <v>70</v>
      </c>
      <c r="N269" s="1" t="s">
        <v>31</v>
      </c>
      <c r="O269" s="1" t="s">
        <v>12</v>
      </c>
      <c r="P269" s="1" t="s">
        <v>58</v>
      </c>
      <c r="Q269" s="1" t="s">
        <v>14</v>
      </c>
      <c r="R269" s="1" t="s">
        <v>153</v>
      </c>
      <c r="S269" s="1" t="s">
        <v>14</v>
      </c>
      <c r="T269" s="1"/>
    </row>
    <row r="270" spans="1:20" ht="16.5" x14ac:dyDescent="0.3">
      <c r="A270" s="1">
        <v>14204</v>
      </c>
      <c r="B270" s="1" t="s">
        <v>18</v>
      </c>
      <c r="C270" s="1" t="s">
        <v>874</v>
      </c>
      <c r="D270" s="1" t="s">
        <v>874</v>
      </c>
      <c r="E270" s="1" t="s">
        <v>69</v>
      </c>
      <c r="F270" s="1" t="s">
        <v>173</v>
      </c>
      <c r="G270" s="1" t="s">
        <v>13</v>
      </c>
      <c r="H270" s="1" t="s">
        <v>25</v>
      </c>
      <c r="I270" s="1" t="s">
        <v>44</v>
      </c>
      <c r="J270" s="1" t="s">
        <v>12</v>
      </c>
      <c r="K270" s="1" t="s">
        <v>14</v>
      </c>
      <c r="L270" s="1" t="s">
        <v>14</v>
      </c>
      <c r="M270" s="1" t="s">
        <v>70</v>
      </c>
      <c r="N270" s="1" t="s">
        <v>40</v>
      </c>
      <c r="O270" s="1" t="s">
        <v>12</v>
      </c>
      <c r="P270" s="1" t="s">
        <v>59</v>
      </c>
      <c r="Q270" s="1" t="s">
        <v>14</v>
      </c>
      <c r="R270" s="1" t="s">
        <v>12</v>
      </c>
      <c r="S270" s="1" t="s">
        <v>40</v>
      </c>
      <c r="T270" s="1"/>
    </row>
    <row r="271" spans="1:20" ht="16.5" x14ac:dyDescent="0.3">
      <c r="A271" s="1">
        <v>14205</v>
      </c>
      <c r="B271" s="1" t="s">
        <v>19</v>
      </c>
      <c r="C271" s="1" t="s">
        <v>875</v>
      </c>
      <c r="D271" s="1" t="s">
        <v>875</v>
      </c>
      <c r="E271" s="1" t="s">
        <v>69</v>
      </c>
      <c r="F271" s="1" t="s">
        <v>173</v>
      </c>
      <c r="G271" s="1" t="s">
        <v>13</v>
      </c>
      <c r="H271" s="1" t="s">
        <v>26</v>
      </c>
      <c r="I271" s="1" t="s">
        <v>41</v>
      </c>
      <c r="J271" s="1" t="s">
        <v>12</v>
      </c>
      <c r="K271" s="1" t="s">
        <v>14</v>
      </c>
      <c r="L271" s="1" t="s">
        <v>14</v>
      </c>
      <c r="M271" s="1" t="s">
        <v>153</v>
      </c>
      <c r="N271" s="1" t="s">
        <v>31</v>
      </c>
      <c r="O271" s="1" t="s">
        <v>153</v>
      </c>
      <c r="P271" s="1" t="s">
        <v>60</v>
      </c>
      <c r="Q271" s="1" t="s">
        <v>40</v>
      </c>
      <c r="R271" s="1" t="s">
        <v>12</v>
      </c>
      <c r="S271" s="1" t="s">
        <v>14</v>
      </c>
      <c r="T271" s="1"/>
    </row>
    <row r="272" spans="1:20" ht="16.5" x14ac:dyDescent="0.3">
      <c r="A272" s="1">
        <v>14206</v>
      </c>
      <c r="B272" s="1" t="s">
        <v>149</v>
      </c>
      <c r="C272" s="1" t="s">
        <v>150</v>
      </c>
      <c r="D272" s="1" t="s">
        <v>150</v>
      </c>
      <c r="E272" s="1" t="s">
        <v>152</v>
      </c>
      <c r="F272" s="1" t="s">
        <v>12</v>
      </c>
      <c r="G272" s="1" t="s">
        <v>35</v>
      </c>
      <c r="H272" s="1" t="s">
        <v>37</v>
      </c>
      <c r="I272" s="1" t="s">
        <v>135</v>
      </c>
      <c r="J272" s="1" t="s">
        <v>12</v>
      </c>
      <c r="K272" s="1" t="s">
        <v>40</v>
      </c>
      <c r="L272" s="1" t="s">
        <v>40</v>
      </c>
      <c r="M272" s="1" t="s">
        <v>153</v>
      </c>
      <c r="N272" s="1" t="s">
        <v>40</v>
      </c>
      <c r="O272" s="1" t="s">
        <v>153</v>
      </c>
      <c r="P272" s="1" t="s">
        <v>153</v>
      </c>
      <c r="Q272" s="1" t="s">
        <v>40</v>
      </c>
      <c r="R272" s="1" t="s">
        <v>153</v>
      </c>
      <c r="S272" s="1" t="s">
        <v>40</v>
      </c>
      <c r="T272" s="1"/>
    </row>
    <row r="273" spans="1:20" ht="16.5" x14ac:dyDescent="0.3">
      <c r="A273" s="1">
        <v>14207</v>
      </c>
      <c r="B273" s="1" t="s">
        <v>163</v>
      </c>
      <c r="C273" s="1" t="s">
        <v>164</v>
      </c>
      <c r="D273" s="1" t="s">
        <v>164</v>
      </c>
      <c r="E273" s="1" t="s">
        <v>165</v>
      </c>
      <c r="F273" s="1" t="s">
        <v>194</v>
      </c>
      <c r="G273" s="1" t="s">
        <v>35</v>
      </c>
      <c r="H273" s="1" t="s">
        <v>36</v>
      </c>
      <c r="I273" s="1" t="s">
        <v>135</v>
      </c>
      <c r="J273" s="1" t="s">
        <v>12</v>
      </c>
      <c r="K273" s="1" t="s">
        <v>40</v>
      </c>
      <c r="L273" s="1" t="s">
        <v>40</v>
      </c>
      <c r="M273" s="1" t="s">
        <v>153</v>
      </c>
      <c r="N273" s="1" t="s">
        <v>40</v>
      </c>
      <c r="O273" s="1" t="s">
        <v>153</v>
      </c>
      <c r="P273" s="1" t="s">
        <v>153</v>
      </c>
      <c r="Q273" s="1" t="s">
        <v>40</v>
      </c>
      <c r="R273" s="1" t="s">
        <v>153</v>
      </c>
      <c r="S273" s="1" t="s">
        <v>40</v>
      </c>
      <c r="T273" s="1"/>
    </row>
    <row r="274" spans="1:20" ht="16.5" x14ac:dyDescent="0.3">
      <c r="A274" s="1">
        <v>14208</v>
      </c>
      <c r="B274" s="1" t="s">
        <v>356</v>
      </c>
      <c r="C274" s="1" t="s">
        <v>356</v>
      </c>
      <c r="D274" s="1" t="s">
        <v>356</v>
      </c>
      <c r="E274" s="1" t="s">
        <v>52</v>
      </c>
      <c r="F274" s="1" t="s">
        <v>153</v>
      </c>
      <c r="G274" s="1" t="s">
        <v>35</v>
      </c>
      <c r="H274" s="1" t="s">
        <v>24</v>
      </c>
      <c r="I274" s="1" t="s">
        <v>357</v>
      </c>
      <c r="J274" s="1" t="s">
        <v>12</v>
      </c>
      <c r="K274" s="1" t="s">
        <v>40</v>
      </c>
      <c r="L274" s="1" t="s">
        <v>40</v>
      </c>
      <c r="M274" s="1" t="s">
        <v>153</v>
      </c>
      <c r="N274" s="1" t="s">
        <v>40</v>
      </c>
      <c r="O274" s="1" t="s">
        <v>153</v>
      </c>
      <c r="P274" s="1" t="s">
        <v>153</v>
      </c>
      <c r="Q274" s="1" t="s">
        <v>31</v>
      </c>
      <c r="R274" s="1" t="s">
        <v>153</v>
      </c>
      <c r="S274" s="1" t="s">
        <v>31</v>
      </c>
      <c r="T274" s="1"/>
    </row>
    <row r="275" spans="1:20" ht="16.5" x14ac:dyDescent="0.3">
      <c r="A275" s="1">
        <v>14209</v>
      </c>
      <c r="B275" s="1" t="s">
        <v>624</v>
      </c>
      <c r="C275" s="1" t="s">
        <v>624</v>
      </c>
      <c r="D275" s="1" t="s">
        <v>624</v>
      </c>
      <c r="E275" s="1" t="s">
        <v>52</v>
      </c>
      <c r="F275" s="1" t="s">
        <v>153</v>
      </c>
      <c r="G275" s="1" t="s">
        <v>35</v>
      </c>
      <c r="H275" s="1" t="s">
        <v>24</v>
      </c>
      <c r="I275" s="1" t="s">
        <v>625</v>
      </c>
      <c r="J275" s="1" t="s">
        <v>12</v>
      </c>
      <c r="K275" s="1" t="s">
        <v>40</v>
      </c>
      <c r="L275" s="1" t="s">
        <v>40</v>
      </c>
      <c r="M275" s="1" t="s">
        <v>153</v>
      </c>
      <c r="N275" s="1" t="s">
        <v>40</v>
      </c>
      <c r="O275" s="1" t="s">
        <v>153</v>
      </c>
      <c r="P275" s="1" t="s">
        <v>153</v>
      </c>
      <c r="Q275" s="1" t="s">
        <v>31</v>
      </c>
      <c r="R275" s="1" t="s">
        <v>153</v>
      </c>
      <c r="S275" s="1" t="s">
        <v>31</v>
      </c>
      <c r="T275" s="1"/>
    </row>
    <row r="276" spans="1:20" ht="16.5" x14ac:dyDescent="0.3">
      <c r="A276" s="1">
        <v>14210</v>
      </c>
      <c r="B276" s="1" t="s">
        <v>763</v>
      </c>
      <c r="C276" s="1" t="s">
        <v>876</v>
      </c>
      <c r="D276" s="1" t="s">
        <v>876</v>
      </c>
      <c r="E276" s="1" t="s">
        <v>52</v>
      </c>
      <c r="F276" s="1" t="s">
        <v>153</v>
      </c>
      <c r="G276" s="1" t="s">
        <v>35</v>
      </c>
      <c r="H276" s="1" t="s">
        <v>24</v>
      </c>
      <c r="I276" s="1" t="s">
        <v>764</v>
      </c>
      <c r="J276" s="1" t="s">
        <v>12</v>
      </c>
      <c r="K276" s="1" t="s">
        <v>31</v>
      </c>
      <c r="L276" s="1" t="s">
        <v>31</v>
      </c>
      <c r="M276" s="1" t="s">
        <v>153</v>
      </c>
      <c r="N276" s="1" t="s">
        <v>31</v>
      </c>
      <c r="O276" s="1" t="s">
        <v>153</v>
      </c>
      <c r="P276" s="1" t="s">
        <v>153</v>
      </c>
      <c r="Q276" s="1" t="s">
        <v>31</v>
      </c>
      <c r="R276" s="1" t="s">
        <v>153</v>
      </c>
      <c r="S276" s="1" t="s">
        <v>31</v>
      </c>
      <c r="T276" s="1"/>
    </row>
    <row r="277" spans="1:20" ht="16.5" x14ac:dyDescent="0.3">
      <c r="A277" s="1">
        <v>14211</v>
      </c>
      <c r="B277" s="1" t="s">
        <v>927</v>
      </c>
      <c r="C277" s="1" t="s">
        <v>928</v>
      </c>
      <c r="D277" s="1" t="s">
        <v>471</v>
      </c>
      <c r="E277" s="1" t="s">
        <v>26</v>
      </c>
      <c r="F277" s="1" t="s">
        <v>153</v>
      </c>
      <c r="G277" s="1" t="s">
        <v>30</v>
      </c>
      <c r="H277" s="1" t="s">
        <v>38</v>
      </c>
      <c r="I277" s="1" t="s">
        <v>48</v>
      </c>
      <c r="J277" s="1" t="s">
        <v>12</v>
      </c>
      <c r="K277" s="1" t="s">
        <v>14</v>
      </c>
      <c r="L277" s="1" t="s">
        <v>14</v>
      </c>
      <c r="M277" s="1" t="s">
        <v>929</v>
      </c>
      <c r="N277" s="1" t="s">
        <v>31</v>
      </c>
      <c r="O277" s="1" t="s">
        <v>12</v>
      </c>
      <c r="P277" s="1" t="s">
        <v>153</v>
      </c>
      <c r="Q277" s="1" t="s">
        <v>31</v>
      </c>
      <c r="R277" s="1" t="s">
        <v>12</v>
      </c>
      <c r="S277" s="1" t="s">
        <v>31</v>
      </c>
      <c r="T277" s="1"/>
    </row>
    <row r="278" spans="1:20" ht="16.5" x14ac:dyDescent="0.3">
      <c r="A278" s="1">
        <v>14301</v>
      </c>
      <c r="B278" s="1" t="s">
        <v>15</v>
      </c>
      <c r="C278" s="1" t="s">
        <v>877</v>
      </c>
      <c r="D278" s="1" t="s">
        <v>877</v>
      </c>
      <c r="E278" s="1" t="s">
        <v>32</v>
      </c>
      <c r="F278" s="1" t="s">
        <v>199</v>
      </c>
      <c r="G278" s="1" t="s">
        <v>13</v>
      </c>
      <c r="H278" s="1" t="s">
        <v>36</v>
      </c>
      <c r="I278" s="1" t="s">
        <v>200</v>
      </c>
      <c r="J278" s="1" t="s">
        <v>12</v>
      </c>
      <c r="K278" s="1" t="s">
        <v>14</v>
      </c>
      <c r="L278" s="1" t="s">
        <v>14</v>
      </c>
      <c r="M278" s="1">
        <v>50001</v>
      </c>
      <c r="N278" s="1" t="s">
        <v>31</v>
      </c>
      <c r="O278" s="1" t="s">
        <v>12</v>
      </c>
      <c r="P278" s="1" t="s">
        <v>12</v>
      </c>
      <c r="Q278" s="1" t="s">
        <v>14</v>
      </c>
      <c r="R278" s="1" t="s">
        <v>12</v>
      </c>
      <c r="S278" s="1" t="s">
        <v>14</v>
      </c>
      <c r="T278" s="1"/>
    </row>
    <row r="279" spans="1:20" ht="16.5" x14ac:dyDescent="0.3">
      <c r="A279" s="1">
        <v>14302</v>
      </c>
      <c r="B279" s="1" t="s">
        <v>630</v>
      </c>
      <c r="C279" s="1" t="s">
        <v>878</v>
      </c>
      <c r="D279" s="1" t="s">
        <v>878</v>
      </c>
      <c r="E279" s="1" t="s">
        <v>32</v>
      </c>
      <c r="F279" s="1" t="s">
        <v>199</v>
      </c>
      <c r="G279" s="1" t="s">
        <v>13</v>
      </c>
      <c r="H279" s="1" t="s">
        <v>37</v>
      </c>
      <c r="I279" s="1" t="s">
        <v>63</v>
      </c>
      <c r="J279" s="1" t="s">
        <v>12</v>
      </c>
      <c r="K279" s="1" t="s">
        <v>14</v>
      </c>
      <c r="L279" s="1" t="s">
        <v>14</v>
      </c>
      <c r="M279" s="1">
        <v>50002</v>
      </c>
      <c r="N279" s="1" t="s">
        <v>31</v>
      </c>
      <c r="O279" s="1" t="s">
        <v>12</v>
      </c>
      <c r="P279" s="1" t="s">
        <v>12</v>
      </c>
      <c r="Q279" s="1" t="s">
        <v>14</v>
      </c>
      <c r="R279" s="1" t="s">
        <v>12</v>
      </c>
      <c r="S279" s="1" t="s">
        <v>14</v>
      </c>
      <c r="T279" s="1"/>
    </row>
    <row r="280" spans="1:20" ht="16.5" x14ac:dyDescent="0.3">
      <c r="A280" s="1">
        <v>14303</v>
      </c>
      <c r="B280" s="1" t="s">
        <v>631</v>
      </c>
      <c r="C280" s="1" t="s">
        <v>879</v>
      </c>
      <c r="D280" s="1" t="s">
        <v>879</v>
      </c>
      <c r="E280" s="1" t="s">
        <v>32</v>
      </c>
      <c r="F280" s="1" t="s">
        <v>199</v>
      </c>
      <c r="G280" s="1" t="s">
        <v>13</v>
      </c>
      <c r="H280" s="1" t="s">
        <v>38</v>
      </c>
      <c r="I280" s="1" t="s">
        <v>64</v>
      </c>
      <c r="J280" s="1" t="s">
        <v>12</v>
      </c>
      <c r="K280" s="1" t="s">
        <v>14</v>
      </c>
      <c r="L280" s="1" t="s">
        <v>14</v>
      </c>
      <c r="M280" s="1">
        <v>50003</v>
      </c>
      <c r="N280" s="1" t="s">
        <v>31</v>
      </c>
      <c r="O280" s="1" t="s">
        <v>12</v>
      </c>
      <c r="P280" s="1" t="s">
        <v>12</v>
      </c>
      <c r="Q280" s="1" t="s">
        <v>14</v>
      </c>
      <c r="R280" s="1" t="s">
        <v>12</v>
      </c>
      <c r="S280" s="1" t="s">
        <v>14</v>
      </c>
      <c r="T280" s="1"/>
    </row>
    <row r="281" spans="1:20" ht="16.5" x14ac:dyDescent="0.3">
      <c r="A281" s="1">
        <v>14304</v>
      </c>
      <c r="B281" s="1" t="s">
        <v>632</v>
      </c>
      <c r="C281" s="1" t="s">
        <v>633</v>
      </c>
      <c r="D281" s="1" t="s">
        <v>633</v>
      </c>
      <c r="E281" s="1" t="s">
        <v>360</v>
      </c>
      <c r="F281" s="1" t="s">
        <v>199</v>
      </c>
      <c r="G281" s="1" t="s">
        <v>13</v>
      </c>
      <c r="H281" s="1" t="s">
        <v>38</v>
      </c>
      <c r="I281" s="1" t="s">
        <v>634</v>
      </c>
      <c r="J281" s="1" t="s">
        <v>12</v>
      </c>
      <c r="K281" s="1" t="s">
        <v>14</v>
      </c>
      <c r="L281" s="1" t="s">
        <v>14</v>
      </c>
      <c r="M281" s="1" t="s">
        <v>635</v>
      </c>
      <c r="N281" s="1" t="s">
        <v>40</v>
      </c>
      <c r="O281" s="1" t="s">
        <v>12</v>
      </c>
      <c r="P281" s="1" t="s">
        <v>12</v>
      </c>
      <c r="Q281" s="1" t="s">
        <v>14</v>
      </c>
      <c r="R281" s="1" t="s">
        <v>12</v>
      </c>
      <c r="S281" s="1" t="s">
        <v>14</v>
      </c>
      <c r="T281" s="1"/>
    </row>
    <row r="282" spans="1:20" ht="16.5" x14ac:dyDescent="0.3">
      <c r="A282" s="1">
        <v>14305</v>
      </c>
      <c r="B282" s="1" t="s">
        <v>952</v>
      </c>
      <c r="C282" s="1" t="s">
        <v>976</v>
      </c>
      <c r="D282" s="1" t="s">
        <v>976</v>
      </c>
      <c r="E282" s="1" t="s">
        <v>32</v>
      </c>
      <c r="F282" s="1" t="s">
        <v>199</v>
      </c>
      <c r="G282" s="1" t="s">
        <v>13</v>
      </c>
      <c r="H282" s="1" t="s">
        <v>25</v>
      </c>
      <c r="I282" s="1" t="s">
        <v>65</v>
      </c>
      <c r="J282" s="1" t="s">
        <v>12</v>
      </c>
      <c r="K282" s="1" t="s">
        <v>14</v>
      </c>
      <c r="L282" s="1" t="s">
        <v>14</v>
      </c>
      <c r="M282" s="1">
        <v>50004</v>
      </c>
      <c r="N282" s="1" t="s">
        <v>31</v>
      </c>
      <c r="O282" s="1" t="s">
        <v>12</v>
      </c>
      <c r="P282" s="1" t="s">
        <v>12</v>
      </c>
      <c r="Q282" s="1" t="s">
        <v>14</v>
      </c>
      <c r="R282" s="1" t="s">
        <v>12</v>
      </c>
      <c r="S282" s="1" t="s">
        <v>14</v>
      </c>
      <c r="T282" s="1"/>
    </row>
    <row r="283" spans="1:20" ht="16.5" x14ac:dyDescent="0.3">
      <c r="A283" s="1">
        <v>14306</v>
      </c>
      <c r="B283" s="1" t="s">
        <v>953</v>
      </c>
      <c r="C283" s="1" t="s">
        <v>977</v>
      </c>
      <c r="D283" s="1" t="s">
        <v>977</v>
      </c>
      <c r="E283" s="1" t="s">
        <v>55</v>
      </c>
      <c r="F283" s="1" t="s">
        <v>199</v>
      </c>
      <c r="G283" s="1" t="s">
        <v>35</v>
      </c>
      <c r="H283" s="1" t="s">
        <v>38</v>
      </c>
      <c r="I283" s="1" t="s">
        <v>201</v>
      </c>
      <c r="J283" s="1" t="s">
        <v>12</v>
      </c>
      <c r="K283" s="1" t="s">
        <v>14</v>
      </c>
      <c r="L283" s="1" t="s">
        <v>14</v>
      </c>
      <c r="M283" s="1">
        <v>50005</v>
      </c>
      <c r="N283" s="1" t="s">
        <v>31</v>
      </c>
      <c r="O283" s="1" t="s">
        <v>12</v>
      </c>
      <c r="P283" s="1" t="s">
        <v>12</v>
      </c>
      <c r="Q283" s="1" t="s">
        <v>14</v>
      </c>
      <c r="R283" s="1" t="s">
        <v>12</v>
      </c>
      <c r="S283" s="1" t="s">
        <v>14</v>
      </c>
      <c r="T283" s="1"/>
    </row>
    <row r="284" spans="1:20" ht="16.5" x14ac:dyDescent="0.3">
      <c r="A284" s="1">
        <v>14307</v>
      </c>
      <c r="B284" s="1" t="s">
        <v>638</v>
      </c>
      <c r="C284" s="1" t="s">
        <v>880</v>
      </c>
      <c r="D284" s="1" t="s">
        <v>880</v>
      </c>
      <c r="E284" s="1" t="s">
        <v>32</v>
      </c>
      <c r="F284" s="1" t="s">
        <v>199</v>
      </c>
      <c r="G284" s="1" t="s">
        <v>13</v>
      </c>
      <c r="H284" s="1" t="s">
        <v>36</v>
      </c>
      <c r="I284" s="1" t="s">
        <v>768</v>
      </c>
      <c r="J284" s="1" t="s">
        <v>12</v>
      </c>
      <c r="K284" s="1" t="s">
        <v>14</v>
      </c>
      <c r="L284" s="1" t="s">
        <v>14</v>
      </c>
      <c r="M284" s="1">
        <v>50006</v>
      </c>
      <c r="N284" s="1" t="s">
        <v>31</v>
      </c>
      <c r="O284" s="1" t="s">
        <v>12</v>
      </c>
      <c r="P284" s="1" t="s">
        <v>12</v>
      </c>
      <c r="Q284" s="1" t="s">
        <v>14</v>
      </c>
      <c r="R284" s="1" t="s">
        <v>12</v>
      </c>
      <c r="S284" s="1" t="s">
        <v>14</v>
      </c>
      <c r="T284" s="1"/>
    </row>
    <row r="285" spans="1:20" ht="16.5" x14ac:dyDescent="0.3">
      <c r="A285" s="1">
        <v>14308</v>
      </c>
      <c r="B285" s="1" t="s">
        <v>637</v>
      </c>
      <c r="C285" s="1" t="s">
        <v>881</v>
      </c>
      <c r="D285" s="1" t="s">
        <v>881</v>
      </c>
      <c r="E285" s="1" t="s">
        <v>32</v>
      </c>
      <c r="F285" s="1" t="s">
        <v>199</v>
      </c>
      <c r="G285" s="1" t="s">
        <v>13</v>
      </c>
      <c r="H285" s="1" t="s">
        <v>37</v>
      </c>
      <c r="I285" s="1" t="s">
        <v>66</v>
      </c>
      <c r="J285" s="1" t="s">
        <v>12</v>
      </c>
      <c r="K285" s="1" t="s">
        <v>14</v>
      </c>
      <c r="L285" s="1" t="s">
        <v>14</v>
      </c>
      <c r="M285" s="1">
        <v>50007</v>
      </c>
      <c r="N285" s="1" t="s">
        <v>31</v>
      </c>
      <c r="O285" s="1" t="s">
        <v>12</v>
      </c>
      <c r="P285" s="1" t="s">
        <v>12</v>
      </c>
      <c r="Q285" s="1" t="s">
        <v>14</v>
      </c>
      <c r="R285" s="1" t="s">
        <v>12</v>
      </c>
      <c r="S285" s="1" t="s">
        <v>14</v>
      </c>
      <c r="T285" s="1"/>
    </row>
    <row r="286" spans="1:20" ht="16.5" x14ac:dyDescent="0.3">
      <c r="A286" s="1">
        <v>14309</v>
      </c>
      <c r="B286" s="1" t="s">
        <v>639</v>
      </c>
      <c r="C286" s="1" t="s">
        <v>882</v>
      </c>
      <c r="D286" s="1" t="s">
        <v>882</v>
      </c>
      <c r="E286" s="1" t="s">
        <v>55</v>
      </c>
      <c r="F286" s="1" t="s">
        <v>199</v>
      </c>
      <c r="G286" s="1" t="s">
        <v>13</v>
      </c>
      <c r="H286" s="1" t="s">
        <v>38</v>
      </c>
      <c r="I286" s="1" t="s">
        <v>67</v>
      </c>
      <c r="J286" s="1" t="s">
        <v>12</v>
      </c>
      <c r="K286" s="1" t="s">
        <v>14</v>
      </c>
      <c r="L286" s="1" t="s">
        <v>14</v>
      </c>
      <c r="M286" s="1">
        <v>50008</v>
      </c>
      <c r="N286" s="1" t="s">
        <v>40</v>
      </c>
      <c r="O286" s="1" t="s">
        <v>12</v>
      </c>
      <c r="P286" s="1" t="s">
        <v>12</v>
      </c>
      <c r="Q286" s="1" t="s">
        <v>14</v>
      </c>
      <c r="R286" s="1" t="s">
        <v>12</v>
      </c>
      <c r="S286" s="1" t="s">
        <v>14</v>
      </c>
      <c r="T286" s="1"/>
    </row>
    <row r="287" spans="1:20" ht="16.5" x14ac:dyDescent="0.3">
      <c r="A287" s="1">
        <v>14310</v>
      </c>
      <c r="B287" s="1" t="s">
        <v>640</v>
      </c>
      <c r="C287" s="1" t="s">
        <v>883</v>
      </c>
      <c r="D287" s="1" t="s">
        <v>883</v>
      </c>
      <c r="E287" s="1" t="s">
        <v>55</v>
      </c>
      <c r="F287" s="1" t="s">
        <v>199</v>
      </c>
      <c r="G287" s="1" t="s">
        <v>13</v>
      </c>
      <c r="H287" s="1" t="s">
        <v>26</v>
      </c>
      <c r="I287" s="1" t="s">
        <v>67</v>
      </c>
      <c r="J287" s="1" t="s">
        <v>12</v>
      </c>
      <c r="K287" s="1" t="s">
        <v>14</v>
      </c>
      <c r="L287" s="1" t="s">
        <v>14</v>
      </c>
      <c r="M287" s="1" t="s">
        <v>354</v>
      </c>
      <c r="N287" s="1" t="s">
        <v>40</v>
      </c>
      <c r="O287" s="1" t="s">
        <v>12</v>
      </c>
      <c r="P287" s="1" t="s">
        <v>12</v>
      </c>
      <c r="Q287" s="1" t="s">
        <v>14</v>
      </c>
      <c r="R287" s="1" t="s">
        <v>12</v>
      </c>
      <c r="S287" s="1" t="s">
        <v>14</v>
      </c>
      <c r="T287" s="1"/>
    </row>
    <row r="288" spans="1:20" ht="16.5" x14ac:dyDescent="0.3">
      <c r="A288" s="1">
        <v>14311</v>
      </c>
      <c r="B288" s="1" t="s">
        <v>639</v>
      </c>
      <c r="C288" s="1" t="s">
        <v>882</v>
      </c>
      <c r="D288" s="1" t="s">
        <v>882</v>
      </c>
      <c r="E288" s="1" t="s">
        <v>55</v>
      </c>
      <c r="F288" s="1" t="s">
        <v>199</v>
      </c>
      <c r="G288" s="1" t="s">
        <v>13</v>
      </c>
      <c r="H288" s="1" t="s">
        <v>26</v>
      </c>
      <c r="I288" s="1" t="s">
        <v>67</v>
      </c>
      <c r="J288" s="1" t="s">
        <v>12</v>
      </c>
      <c r="K288" s="1" t="s">
        <v>14</v>
      </c>
      <c r="L288" s="1" t="s">
        <v>14</v>
      </c>
      <c r="M288" s="1" t="s">
        <v>355</v>
      </c>
      <c r="N288" s="1" t="s">
        <v>40</v>
      </c>
      <c r="O288" s="1" t="s">
        <v>12</v>
      </c>
      <c r="P288" s="1" t="s">
        <v>12</v>
      </c>
      <c r="Q288" s="1" t="s">
        <v>14</v>
      </c>
      <c r="R288" s="1" t="s">
        <v>12</v>
      </c>
      <c r="S288" s="1" t="s">
        <v>14</v>
      </c>
      <c r="T288" s="1"/>
    </row>
    <row r="289" spans="1:20" ht="16.5" x14ac:dyDescent="0.3">
      <c r="A289" s="1">
        <v>14312</v>
      </c>
      <c r="B289" s="1" t="s">
        <v>954</v>
      </c>
      <c r="C289" s="1" t="s">
        <v>978</v>
      </c>
      <c r="D289" s="1" t="s">
        <v>978</v>
      </c>
      <c r="E289" s="1" t="s">
        <v>360</v>
      </c>
      <c r="F289" s="1" t="s">
        <v>199</v>
      </c>
      <c r="G289" s="1" t="s">
        <v>35</v>
      </c>
      <c r="H289" s="1" t="s">
        <v>38</v>
      </c>
      <c r="I289" s="1" t="s">
        <v>201</v>
      </c>
      <c r="J289" s="1" t="s">
        <v>12</v>
      </c>
      <c r="K289" s="1" t="s">
        <v>14</v>
      </c>
      <c r="L289" s="1" t="s">
        <v>14</v>
      </c>
      <c r="M289" s="1" t="s">
        <v>362</v>
      </c>
      <c r="N289" s="1" t="s">
        <v>31</v>
      </c>
      <c r="O289" s="1" t="s">
        <v>12</v>
      </c>
      <c r="P289" s="1" t="s">
        <v>12</v>
      </c>
      <c r="Q289" s="1" t="s">
        <v>14</v>
      </c>
      <c r="R289" s="1" t="s">
        <v>12</v>
      </c>
      <c r="S289" s="1" t="s">
        <v>14</v>
      </c>
      <c r="T289" s="1"/>
    </row>
    <row r="290" spans="1:20" ht="16.5" x14ac:dyDescent="0.3">
      <c r="A290" s="1">
        <v>14313</v>
      </c>
      <c r="B290" s="1" t="s">
        <v>955</v>
      </c>
      <c r="C290" s="1" t="s">
        <v>979</v>
      </c>
      <c r="D290" s="1" t="s">
        <v>979</v>
      </c>
      <c r="E290" s="1" t="s">
        <v>33</v>
      </c>
      <c r="F290" s="1" t="s">
        <v>199</v>
      </c>
      <c r="G290" s="1" t="s">
        <v>35</v>
      </c>
      <c r="H290" s="1" t="s">
        <v>38</v>
      </c>
      <c r="I290" s="1" t="s">
        <v>201</v>
      </c>
      <c r="J290" s="1" t="s">
        <v>12</v>
      </c>
      <c r="K290" s="1" t="s">
        <v>14</v>
      </c>
      <c r="L290" s="1" t="s">
        <v>14</v>
      </c>
      <c r="M290" s="1" t="s">
        <v>361</v>
      </c>
      <c r="N290" s="1" t="s">
        <v>31</v>
      </c>
      <c r="O290" s="1" t="s">
        <v>12</v>
      </c>
      <c r="P290" s="1" t="s">
        <v>12</v>
      </c>
      <c r="Q290" s="1" t="s">
        <v>14</v>
      </c>
      <c r="R290" s="1" t="s">
        <v>12</v>
      </c>
      <c r="S290" s="1" t="s">
        <v>14</v>
      </c>
      <c r="T290" s="1"/>
    </row>
    <row r="291" spans="1:20" ht="16.5" x14ac:dyDescent="0.3">
      <c r="A291" s="1">
        <v>14314</v>
      </c>
      <c r="B291" s="1" t="s">
        <v>699</v>
      </c>
      <c r="C291" s="1" t="s">
        <v>884</v>
      </c>
      <c r="D291" s="1" t="s">
        <v>884</v>
      </c>
      <c r="E291" s="1" t="s">
        <v>32</v>
      </c>
      <c r="F291" s="1" t="s">
        <v>199</v>
      </c>
      <c r="G291" s="1" t="s">
        <v>13</v>
      </c>
      <c r="H291" s="1" t="s">
        <v>37</v>
      </c>
      <c r="I291" s="1" t="s">
        <v>63</v>
      </c>
      <c r="J291" s="1" t="s">
        <v>12</v>
      </c>
      <c r="K291" s="1" t="s">
        <v>14</v>
      </c>
      <c r="L291" s="1" t="s">
        <v>14</v>
      </c>
      <c r="M291" s="1">
        <v>50016</v>
      </c>
      <c r="N291" s="1" t="s">
        <v>31</v>
      </c>
      <c r="O291" s="1" t="s">
        <v>12</v>
      </c>
      <c r="P291" s="1" t="s">
        <v>12</v>
      </c>
      <c r="Q291" s="1" t="s">
        <v>14</v>
      </c>
      <c r="R291" s="1" t="s">
        <v>12</v>
      </c>
      <c r="S291" s="1" t="s">
        <v>14</v>
      </c>
      <c r="T291" s="1"/>
    </row>
    <row r="292" spans="1:20" ht="16.5" x14ac:dyDescent="0.3">
      <c r="A292" s="1">
        <v>14315</v>
      </c>
      <c r="B292" s="1" t="s">
        <v>700</v>
      </c>
      <c r="C292" s="1" t="s">
        <v>885</v>
      </c>
      <c r="D292" s="1" t="s">
        <v>885</v>
      </c>
      <c r="E292" s="1" t="s">
        <v>32</v>
      </c>
      <c r="F292" s="1" t="s">
        <v>199</v>
      </c>
      <c r="G292" s="1" t="s">
        <v>13</v>
      </c>
      <c r="H292" s="1" t="s">
        <v>38</v>
      </c>
      <c r="I292" s="1" t="s">
        <v>64</v>
      </c>
      <c r="J292" s="1" t="s">
        <v>12</v>
      </c>
      <c r="K292" s="1" t="s">
        <v>14</v>
      </c>
      <c r="L292" s="1" t="s">
        <v>14</v>
      </c>
      <c r="M292" s="1">
        <v>50017</v>
      </c>
      <c r="N292" s="1" t="s">
        <v>31</v>
      </c>
      <c r="O292" s="1" t="s">
        <v>12</v>
      </c>
      <c r="P292" s="1" t="s">
        <v>12</v>
      </c>
      <c r="Q292" s="1" t="s">
        <v>14</v>
      </c>
      <c r="R292" s="1" t="s">
        <v>12</v>
      </c>
      <c r="S292" s="1" t="s">
        <v>14</v>
      </c>
      <c r="T292" s="1"/>
    </row>
    <row r="293" spans="1:20" ht="16.5" x14ac:dyDescent="0.3">
      <c r="A293" s="1">
        <v>14316</v>
      </c>
      <c r="B293" s="1" t="s">
        <v>956</v>
      </c>
      <c r="C293" s="1" t="s">
        <v>980</v>
      </c>
      <c r="D293" s="1" t="s">
        <v>980</v>
      </c>
      <c r="E293" s="1" t="s">
        <v>32</v>
      </c>
      <c r="F293" s="1" t="s">
        <v>199</v>
      </c>
      <c r="G293" s="1" t="s">
        <v>13</v>
      </c>
      <c r="H293" s="1" t="s">
        <v>25</v>
      </c>
      <c r="I293" s="1" t="s">
        <v>65</v>
      </c>
      <c r="J293" s="1" t="s">
        <v>12</v>
      </c>
      <c r="K293" s="1" t="s">
        <v>14</v>
      </c>
      <c r="L293" s="1" t="s">
        <v>14</v>
      </c>
      <c r="M293" s="1">
        <v>50018</v>
      </c>
      <c r="N293" s="1" t="s">
        <v>31</v>
      </c>
      <c r="O293" s="1" t="s">
        <v>12</v>
      </c>
      <c r="P293" s="1" t="s">
        <v>12</v>
      </c>
      <c r="Q293" s="1" t="s">
        <v>14</v>
      </c>
      <c r="R293" s="1" t="s">
        <v>12</v>
      </c>
      <c r="S293" s="1" t="s">
        <v>14</v>
      </c>
      <c r="T293" s="1"/>
    </row>
    <row r="294" spans="1:20" ht="16.5" x14ac:dyDescent="0.3">
      <c r="A294" s="1">
        <v>14317</v>
      </c>
      <c r="B294" s="1" t="s">
        <v>957</v>
      </c>
      <c r="C294" s="1" t="s">
        <v>981</v>
      </c>
      <c r="D294" s="1" t="s">
        <v>981</v>
      </c>
      <c r="E294" s="1" t="s">
        <v>32</v>
      </c>
      <c r="F294" s="1" t="s">
        <v>199</v>
      </c>
      <c r="G294" s="1" t="s">
        <v>13</v>
      </c>
      <c r="H294" s="1" t="s">
        <v>25</v>
      </c>
      <c r="I294" s="1" t="s">
        <v>65</v>
      </c>
      <c r="J294" s="1" t="s">
        <v>12</v>
      </c>
      <c r="K294" s="1" t="s">
        <v>14</v>
      </c>
      <c r="L294" s="1" t="s">
        <v>14</v>
      </c>
      <c r="M294" s="1">
        <v>50019</v>
      </c>
      <c r="N294" s="1" t="s">
        <v>31</v>
      </c>
      <c r="O294" s="1" t="s">
        <v>12</v>
      </c>
      <c r="P294" s="1" t="s">
        <v>12</v>
      </c>
      <c r="Q294" s="1" t="s">
        <v>14</v>
      </c>
      <c r="R294" s="1" t="s">
        <v>12</v>
      </c>
      <c r="S294" s="1" t="s">
        <v>14</v>
      </c>
      <c r="T294" s="1"/>
    </row>
    <row r="295" spans="1:20" ht="16.5" x14ac:dyDescent="0.3">
      <c r="A295" s="1">
        <v>14318</v>
      </c>
      <c r="B295" s="1" t="s">
        <v>958</v>
      </c>
      <c r="C295" s="1" t="s">
        <v>982</v>
      </c>
      <c r="D295" s="1" t="s">
        <v>982</v>
      </c>
      <c r="E295" s="1" t="s">
        <v>32</v>
      </c>
      <c r="F295" s="1" t="s">
        <v>199</v>
      </c>
      <c r="G295" s="1" t="s">
        <v>35</v>
      </c>
      <c r="H295" s="1" t="s">
        <v>38</v>
      </c>
      <c r="I295" s="1" t="s">
        <v>201</v>
      </c>
      <c r="J295" s="1" t="s">
        <v>12</v>
      </c>
      <c r="K295" s="1" t="s">
        <v>14</v>
      </c>
      <c r="L295" s="1" t="s">
        <v>14</v>
      </c>
      <c r="M295" s="1">
        <v>50020</v>
      </c>
      <c r="N295" s="1" t="s">
        <v>31</v>
      </c>
      <c r="O295" s="1" t="s">
        <v>12</v>
      </c>
      <c r="P295" s="1" t="s">
        <v>12</v>
      </c>
      <c r="Q295" s="1" t="s">
        <v>14</v>
      </c>
      <c r="R295" s="1" t="s">
        <v>12</v>
      </c>
      <c r="S295" s="1" t="s">
        <v>14</v>
      </c>
      <c r="T295" s="1"/>
    </row>
    <row r="296" spans="1:20" ht="16.5" x14ac:dyDescent="0.3">
      <c r="A296" s="1">
        <v>14319</v>
      </c>
      <c r="B296" s="1" t="s">
        <v>959</v>
      </c>
      <c r="C296" s="1" t="s">
        <v>983</v>
      </c>
      <c r="D296" s="1" t="s">
        <v>983</v>
      </c>
      <c r="E296" s="1" t="s">
        <v>32</v>
      </c>
      <c r="F296" s="1" t="s">
        <v>199</v>
      </c>
      <c r="G296" s="1" t="s">
        <v>13</v>
      </c>
      <c r="H296" s="1" t="s">
        <v>25</v>
      </c>
      <c r="I296" s="1" t="s">
        <v>65</v>
      </c>
      <c r="J296" s="1" t="s">
        <v>12</v>
      </c>
      <c r="K296" s="1" t="s">
        <v>14</v>
      </c>
      <c r="L296" s="1" t="s">
        <v>14</v>
      </c>
      <c r="M296" s="1">
        <v>50021</v>
      </c>
      <c r="N296" s="1" t="s">
        <v>31</v>
      </c>
      <c r="O296" s="1" t="s">
        <v>12</v>
      </c>
      <c r="P296" s="1" t="s">
        <v>12</v>
      </c>
      <c r="Q296" s="1" t="s">
        <v>14</v>
      </c>
      <c r="R296" s="1" t="s">
        <v>12</v>
      </c>
      <c r="S296" s="1" t="s">
        <v>14</v>
      </c>
      <c r="T296" s="1"/>
    </row>
    <row r="297" spans="1:20" ht="16.5" x14ac:dyDescent="0.3">
      <c r="A297" s="1">
        <v>14320</v>
      </c>
      <c r="B297" s="1" t="s">
        <v>960</v>
      </c>
      <c r="C297" s="1" t="s">
        <v>984</v>
      </c>
      <c r="D297" s="1" t="s">
        <v>984</v>
      </c>
      <c r="E297" s="1" t="s">
        <v>32</v>
      </c>
      <c r="F297" s="1" t="s">
        <v>199</v>
      </c>
      <c r="G297" s="1" t="s">
        <v>13</v>
      </c>
      <c r="H297" s="1" t="s">
        <v>25</v>
      </c>
      <c r="I297" s="1" t="s">
        <v>65</v>
      </c>
      <c r="J297" s="1" t="s">
        <v>12</v>
      </c>
      <c r="K297" s="1" t="s">
        <v>14</v>
      </c>
      <c r="L297" s="1" t="s">
        <v>14</v>
      </c>
      <c r="M297" s="1">
        <v>50022</v>
      </c>
      <c r="N297" s="1" t="s">
        <v>31</v>
      </c>
      <c r="O297" s="1" t="s">
        <v>12</v>
      </c>
      <c r="P297" s="1" t="s">
        <v>12</v>
      </c>
      <c r="Q297" s="1" t="s">
        <v>14</v>
      </c>
      <c r="R297" s="1" t="s">
        <v>12</v>
      </c>
      <c r="S297" s="1" t="s">
        <v>14</v>
      </c>
      <c r="T297" s="1"/>
    </row>
    <row r="298" spans="1:20" ht="16.5" x14ac:dyDescent="0.3">
      <c r="A298" s="1">
        <v>14321</v>
      </c>
      <c r="B298" s="1" t="s">
        <v>961</v>
      </c>
      <c r="C298" s="1" t="s">
        <v>985</v>
      </c>
      <c r="D298" s="1" t="s">
        <v>985</v>
      </c>
      <c r="E298" s="1" t="s">
        <v>32</v>
      </c>
      <c r="F298" s="1" t="s">
        <v>199</v>
      </c>
      <c r="G298" s="1" t="s">
        <v>35</v>
      </c>
      <c r="H298" s="1" t="s">
        <v>38</v>
      </c>
      <c r="I298" s="1" t="s">
        <v>201</v>
      </c>
      <c r="J298" s="1" t="s">
        <v>12</v>
      </c>
      <c r="K298" s="1" t="s">
        <v>14</v>
      </c>
      <c r="L298" s="1" t="s">
        <v>14</v>
      </c>
      <c r="M298" s="1">
        <v>50023</v>
      </c>
      <c r="N298" s="1" t="s">
        <v>31</v>
      </c>
      <c r="O298" s="1" t="s">
        <v>12</v>
      </c>
      <c r="P298" s="1" t="s">
        <v>12</v>
      </c>
      <c r="Q298" s="1" t="s">
        <v>14</v>
      </c>
      <c r="R298" s="1" t="s">
        <v>12</v>
      </c>
      <c r="S298" s="1" t="s">
        <v>14</v>
      </c>
      <c r="T298" s="1"/>
    </row>
    <row r="299" spans="1:20" ht="16.5" x14ac:dyDescent="0.3">
      <c r="A299" s="1">
        <v>14400</v>
      </c>
      <c r="B299" s="1" t="s">
        <v>766</v>
      </c>
      <c r="C299" s="1" t="s">
        <v>886</v>
      </c>
      <c r="D299" s="1" t="s">
        <v>886</v>
      </c>
      <c r="E299" s="1" t="s">
        <v>32</v>
      </c>
      <c r="F299" s="1" t="s">
        <v>199</v>
      </c>
      <c r="G299" s="1" t="s">
        <v>13</v>
      </c>
      <c r="H299" s="1" t="s">
        <v>24</v>
      </c>
      <c r="I299" s="1" t="s">
        <v>767</v>
      </c>
      <c r="J299" s="1" t="s">
        <v>12</v>
      </c>
      <c r="K299" s="1" t="s">
        <v>14</v>
      </c>
      <c r="L299" s="1" t="s">
        <v>31</v>
      </c>
      <c r="M299" s="1" t="s">
        <v>769</v>
      </c>
      <c r="N299" s="1" t="s">
        <v>31</v>
      </c>
      <c r="O299" s="1" t="s">
        <v>12</v>
      </c>
      <c r="P299" s="1" t="s">
        <v>12</v>
      </c>
      <c r="Q299" s="1" t="s">
        <v>14</v>
      </c>
      <c r="R299" s="1" t="s">
        <v>12</v>
      </c>
      <c r="S299" s="1" t="s">
        <v>14</v>
      </c>
      <c r="T299" s="1"/>
    </row>
    <row r="300" spans="1:20" ht="16.5" x14ac:dyDescent="0.3">
      <c r="A300" s="1">
        <v>14401</v>
      </c>
      <c r="B300" s="1" t="s">
        <v>20</v>
      </c>
      <c r="C300" s="1" t="s">
        <v>887</v>
      </c>
      <c r="D300" s="1" t="s">
        <v>887</v>
      </c>
      <c r="E300" s="1" t="s">
        <v>33</v>
      </c>
      <c r="F300" s="1" t="s">
        <v>199</v>
      </c>
      <c r="G300" s="1" t="s">
        <v>13</v>
      </c>
      <c r="H300" s="1" t="s">
        <v>24</v>
      </c>
      <c r="I300" s="1" t="s">
        <v>68</v>
      </c>
      <c r="J300" s="1" t="s">
        <v>12</v>
      </c>
      <c r="K300" s="1" t="s">
        <v>14</v>
      </c>
      <c r="L300" s="1" t="s">
        <v>40</v>
      </c>
      <c r="M300" s="1">
        <v>25007</v>
      </c>
      <c r="N300" s="1" t="s">
        <v>31</v>
      </c>
      <c r="O300" s="1" t="s">
        <v>12</v>
      </c>
      <c r="P300" s="1" t="s">
        <v>12</v>
      </c>
      <c r="Q300" s="1" t="s">
        <v>14</v>
      </c>
      <c r="R300" s="1" t="s">
        <v>12</v>
      </c>
      <c r="S300" s="1" t="s">
        <v>14</v>
      </c>
      <c r="T300" s="1"/>
    </row>
    <row r="301" spans="1:20" ht="16.5" x14ac:dyDescent="0.3">
      <c r="A301" s="1">
        <v>14402</v>
      </c>
      <c r="B301" s="1" t="s">
        <v>90</v>
      </c>
      <c r="C301" s="1" t="s">
        <v>81</v>
      </c>
      <c r="D301" s="1" t="s">
        <v>81</v>
      </c>
      <c r="E301" s="1" t="s">
        <v>32</v>
      </c>
      <c r="F301" s="1" t="s">
        <v>199</v>
      </c>
      <c r="G301" s="1" t="s">
        <v>13</v>
      </c>
      <c r="H301" s="1" t="s">
        <v>24</v>
      </c>
      <c r="I301" s="1" t="s">
        <v>68</v>
      </c>
      <c r="J301" s="1" t="s">
        <v>12</v>
      </c>
      <c r="K301" s="1" t="s">
        <v>14</v>
      </c>
      <c r="L301" s="1" t="s">
        <v>31</v>
      </c>
      <c r="M301" s="1">
        <v>25008</v>
      </c>
      <c r="N301" s="1" t="s">
        <v>31</v>
      </c>
      <c r="O301" s="1" t="s">
        <v>12</v>
      </c>
      <c r="P301" s="1" t="s">
        <v>12</v>
      </c>
      <c r="Q301" s="1" t="s">
        <v>14</v>
      </c>
      <c r="R301" s="1" t="s">
        <v>12</v>
      </c>
      <c r="S301" s="1" t="s">
        <v>14</v>
      </c>
      <c r="T301" s="1"/>
    </row>
    <row r="302" spans="1:20" ht="16.5" x14ac:dyDescent="0.3">
      <c r="A302" s="1">
        <v>14403</v>
      </c>
      <c r="B302" s="1" t="s">
        <v>962</v>
      </c>
      <c r="C302" s="1" t="s">
        <v>81</v>
      </c>
      <c r="D302" s="1" t="s">
        <v>81</v>
      </c>
      <c r="E302" s="1" t="s">
        <v>32</v>
      </c>
      <c r="F302" s="1" t="s">
        <v>199</v>
      </c>
      <c r="G302" s="1" t="s">
        <v>13</v>
      </c>
      <c r="H302" s="1" t="s">
        <v>24</v>
      </c>
      <c r="I302" s="1" t="s">
        <v>68</v>
      </c>
      <c r="J302" s="1" t="s">
        <v>12</v>
      </c>
      <c r="K302" s="1" t="s">
        <v>14</v>
      </c>
      <c r="L302" s="1" t="s">
        <v>31</v>
      </c>
      <c r="M302" s="1">
        <v>25010</v>
      </c>
      <c r="N302" s="1" t="s">
        <v>31</v>
      </c>
      <c r="O302" s="1" t="s">
        <v>12</v>
      </c>
      <c r="P302" s="1" t="s">
        <v>12</v>
      </c>
      <c r="Q302" s="1" t="s">
        <v>14</v>
      </c>
      <c r="R302" s="1" t="s">
        <v>12</v>
      </c>
      <c r="S302" s="1" t="s">
        <v>14</v>
      </c>
      <c r="T302" s="1"/>
    </row>
    <row r="303" spans="1:20" ht="16.5" x14ac:dyDescent="0.3">
      <c r="A303" s="1">
        <v>14404</v>
      </c>
      <c r="B303" s="1" t="s">
        <v>91</v>
      </c>
      <c r="C303" s="1" t="s">
        <v>81</v>
      </c>
      <c r="D303" s="1" t="s">
        <v>81</v>
      </c>
      <c r="E303" s="1" t="s">
        <v>32</v>
      </c>
      <c r="F303" s="1" t="s">
        <v>199</v>
      </c>
      <c r="G303" s="1" t="s">
        <v>13</v>
      </c>
      <c r="H303" s="1" t="s">
        <v>24</v>
      </c>
      <c r="I303" s="1" t="s">
        <v>68</v>
      </c>
      <c r="J303" s="1" t="s">
        <v>12</v>
      </c>
      <c r="K303" s="1" t="s">
        <v>14</v>
      </c>
      <c r="L303" s="1" t="s">
        <v>31</v>
      </c>
      <c r="M303" s="1">
        <v>25011</v>
      </c>
      <c r="N303" s="1" t="s">
        <v>31</v>
      </c>
      <c r="O303" s="1" t="s">
        <v>12</v>
      </c>
      <c r="P303" s="1" t="s">
        <v>12</v>
      </c>
      <c r="Q303" s="1" t="s">
        <v>14</v>
      </c>
      <c r="R303" s="1" t="s">
        <v>12</v>
      </c>
      <c r="S303" s="1" t="s">
        <v>14</v>
      </c>
      <c r="T303" s="1"/>
    </row>
    <row r="304" spans="1:20" ht="16.5" x14ac:dyDescent="0.3">
      <c r="A304" s="1">
        <v>14405</v>
      </c>
      <c r="B304" s="1" t="s">
        <v>358</v>
      </c>
      <c r="C304" s="1" t="s">
        <v>888</v>
      </c>
      <c r="D304" s="1" t="s">
        <v>888</v>
      </c>
      <c r="E304" s="1" t="s">
        <v>38</v>
      </c>
      <c r="F304" s="1" t="s">
        <v>70</v>
      </c>
      <c r="G304" s="1" t="s">
        <v>30</v>
      </c>
      <c r="H304" s="1" t="s">
        <v>37</v>
      </c>
      <c r="I304" s="1" t="s">
        <v>352</v>
      </c>
      <c r="J304" s="1" t="s">
        <v>12</v>
      </c>
      <c r="K304" s="1" t="s">
        <v>31</v>
      </c>
      <c r="L304" s="1" t="s">
        <v>40</v>
      </c>
      <c r="M304" s="1" t="s">
        <v>153</v>
      </c>
      <c r="N304" s="1" t="s">
        <v>31</v>
      </c>
      <c r="O304" s="1" t="s">
        <v>153</v>
      </c>
      <c r="P304" s="1" t="s">
        <v>350</v>
      </c>
      <c r="Q304" s="1" t="s">
        <v>31</v>
      </c>
      <c r="R304" s="1" t="s">
        <v>70</v>
      </c>
      <c r="S304" s="1" t="s">
        <v>31</v>
      </c>
      <c r="T304" s="1"/>
    </row>
    <row r="305" spans="1:20" ht="16.5" x14ac:dyDescent="0.3">
      <c r="A305" s="1">
        <v>14406</v>
      </c>
      <c r="B305" s="1" t="s">
        <v>359</v>
      </c>
      <c r="C305" s="1" t="s">
        <v>889</v>
      </c>
      <c r="D305" s="1" t="s">
        <v>889</v>
      </c>
      <c r="E305" s="1" t="s">
        <v>38</v>
      </c>
      <c r="F305" s="1" t="s">
        <v>70</v>
      </c>
      <c r="G305" s="1" t="s">
        <v>30</v>
      </c>
      <c r="H305" s="1" t="s">
        <v>37</v>
      </c>
      <c r="I305" s="1" t="s">
        <v>353</v>
      </c>
      <c r="J305" s="1" t="s">
        <v>12</v>
      </c>
      <c r="K305" s="1" t="s">
        <v>31</v>
      </c>
      <c r="L305" s="1" t="s">
        <v>40</v>
      </c>
      <c r="M305" s="1" t="s">
        <v>70</v>
      </c>
      <c r="N305" s="1" t="s">
        <v>31</v>
      </c>
      <c r="O305" s="1" t="s">
        <v>70</v>
      </c>
      <c r="P305" s="1" t="s">
        <v>351</v>
      </c>
      <c r="Q305" s="1" t="s">
        <v>31</v>
      </c>
      <c r="R305" s="1" t="s">
        <v>70</v>
      </c>
      <c r="S305" s="1" t="s">
        <v>31</v>
      </c>
      <c r="T305" s="1"/>
    </row>
    <row r="306" spans="1:20" ht="16.5" x14ac:dyDescent="0.3">
      <c r="A306" s="1">
        <v>14410</v>
      </c>
      <c r="B306" s="1" t="s">
        <v>771</v>
      </c>
      <c r="C306" s="1" t="s">
        <v>863</v>
      </c>
      <c r="D306" s="1" t="s">
        <v>863</v>
      </c>
      <c r="E306" s="1" t="s">
        <v>32</v>
      </c>
      <c r="F306" s="1" t="s">
        <v>199</v>
      </c>
      <c r="G306" s="1" t="s">
        <v>13</v>
      </c>
      <c r="H306" s="1" t="s">
        <v>24</v>
      </c>
      <c r="I306" s="1" t="s">
        <v>68</v>
      </c>
      <c r="J306" s="1" t="s">
        <v>12</v>
      </c>
      <c r="K306" s="1" t="s">
        <v>14</v>
      </c>
      <c r="L306" s="1" t="s">
        <v>31</v>
      </c>
      <c r="M306" s="1" t="s">
        <v>331</v>
      </c>
      <c r="N306" s="1" t="s">
        <v>31</v>
      </c>
      <c r="O306" s="1" t="s">
        <v>12</v>
      </c>
      <c r="P306" s="1" t="s">
        <v>12</v>
      </c>
      <c r="Q306" s="1" t="s">
        <v>14</v>
      </c>
      <c r="R306" s="1" t="s">
        <v>12</v>
      </c>
      <c r="S306" s="1" t="s">
        <v>14</v>
      </c>
      <c r="T306" s="1"/>
    </row>
    <row r="307" spans="1:20" ht="16.5" x14ac:dyDescent="0.3">
      <c r="A307" s="1">
        <v>14411</v>
      </c>
      <c r="B307" s="1" t="s">
        <v>772</v>
      </c>
      <c r="C307" s="1" t="s">
        <v>770</v>
      </c>
      <c r="D307" s="1" t="s">
        <v>770</v>
      </c>
      <c r="E307" s="1" t="s">
        <v>32</v>
      </c>
      <c r="F307" s="1" t="s">
        <v>199</v>
      </c>
      <c r="G307" s="1" t="s">
        <v>13</v>
      </c>
      <c r="H307" s="1" t="s">
        <v>24</v>
      </c>
      <c r="I307" s="1" t="s">
        <v>68</v>
      </c>
      <c r="J307" s="1" t="s">
        <v>12</v>
      </c>
      <c r="K307" s="1" t="s">
        <v>14</v>
      </c>
      <c r="L307" s="1" t="s">
        <v>31</v>
      </c>
      <c r="M307" s="1" t="s">
        <v>332</v>
      </c>
      <c r="N307" s="1" t="s">
        <v>31</v>
      </c>
      <c r="O307" s="1" t="s">
        <v>12</v>
      </c>
      <c r="P307" s="1" t="s">
        <v>12</v>
      </c>
      <c r="Q307" s="1" t="s">
        <v>14</v>
      </c>
      <c r="R307" s="1" t="s">
        <v>12</v>
      </c>
      <c r="S307" s="1" t="s">
        <v>14</v>
      </c>
      <c r="T307" s="1"/>
    </row>
    <row r="308" spans="1:20" ht="16.5" x14ac:dyDescent="0.3">
      <c r="A308" s="1">
        <v>14501</v>
      </c>
      <c r="B308" s="1" t="s">
        <v>696</v>
      </c>
      <c r="C308" s="1" t="s">
        <v>890</v>
      </c>
      <c r="D308" s="1" t="s">
        <v>890</v>
      </c>
      <c r="E308" s="1" t="s">
        <v>32</v>
      </c>
      <c r="F308" s="1" t="s">
        <v>153</v>
      </c>
      <c r="G308" s="1" t="s">
        <v>13</v>
      </c>
      <c r="H308" s="1" t="s">
        <v>37</v>
      </c>
      <c r="I308" s="1" t="s">
        <v>66</v>
      </c>
      <c r="J308" s="1" t="s">
        <v>12</v>
      </c>
      <c r="K308" s="1" t="s">
        <v>14</v>
      </c>
      <c r="L308" s="1" t="s">
        <v>14</v>
      </c>
      <c r="M308" s="1">
        <v>50013</v>
      </c>
      <c r="N308" s="1" t="s">
        <v>31</v>
      </c>
      <c r="O308" s="1" t="s">
        <v>12</v>
      </c>
      <c r="P308" s="1" t="s">
        <v>12</v>
      </c>
      <c r="Q308" s="1" t="s">
        <v>14</v>
      </c>
      <c r="R308" s="1" t="s">
        <v>12</v>
      </c>
      <c r="S308" s="1" t="s">
        <v>14</v>
      </c>
      <c r="T308" s="1"/>
    </row>
    <row r="309" spans="1:20" ht="16.5" x14ac:dyDescent="0.3">
      <c r="A309" s="1">
        <v>14502</v>
      </c>
      <c r="B309" s="1" t="s">
        <v>697</v>
      </c>
      <c r="C309" s="1" t="s">
        <v>891</v>
      </c>
      <c r="D309" s="1" t="s">
        <v>891</v>
      </c>
      <c r="E309" s="1" t="s">
        <v>55</v>
      </c>
      <c r="F309" s="1" t="s">
        <v>153</v>
      </c>
      <c r="G309" s="1" t="s">
        <v>13</v>
      </c>
      <c r="H309" s="1" t="s">
        <v>38</v>
      </c>
      <c r="I309" s="1" t="s">
        <v>67</v>
      </c>
      <c r="J309" s="1" t="s">
        <v>12</v>
      </c>
      <c r="K309" s="1" t="s">
        <v>14</v>
      </c>
      <c r="L309" s="1" t="s">
        <v>14</v>
      </c>
      <c r="M309" s="1">
        <v>50014</v>
      </c>
      <c r="N309" s="1" t="s">
        <v>40</v>
      </c>
      <c r="O309" s="1" t="s">
        <v>12</v>
      </c>
      <c r="P309" s="1" t="s">
        <v>12</v>
      </c>
      <c r="Q309" s="1" t="s">
        <v>14</v>
      </c>
      <c r="R309" s="1" t="s">
        <v>12</v>
      </c>
      <c r="S309" s="1" t="s">
        <v>14</v>
      </c>
      <c r="T309" s="1"/>
    </row>
    <row r="310" spans="1:20" ht="16.5" x14ac:dyDescent="0.3">
      <c r="A310" s="1">
        <v>14503</v>
      </c>
      <c r="B310" s="1" t="s">
        <v>698</v>
      </c>
      <c r="C310" s="1" t="s">
        <v>892</v>
      </c>
      <c r="D310" s="1" t="s">
        <v>892</v>
      </c>
      <c r="E310" s="1" t="s">
        <v>55</v>
      </c>
      <c r="F310" s="1" t="s">
        <v>153</v>
      </c>
      <c r="G310" s="1" t="s">
        <v>13</v>
      </c>
      <c r="H310" s="1" t="s">
        <v>26</v>
      </c>
      <c r="I310" s="1" t="s">
        <v>67</v>
      </c>
      <c r="J310" s="1" t="s">
        <v>12</v>
      </c>
      <c r="K310" s="1" t="s">
        <v>14</v>
      </c>
      <c r="L310" s="1" t="s">
        <v>14</v>
      </c>
      <c r="M310" s="1">
        <v>50015</v>
      </c>
      <c r="N310" s="1" t="s">
        <v>40</v>
      </c>
      <c r="O310" s="1" t="s">
        <v>12</v>
      </c>
      <c r="P310" s="1" t="s">
        <v>12</v>
      </c>
      <c r="Q310" s="1" t="s">
        <v>14</v>
      </c>
      <c r="R310" s="1" t="s">
        <v>12</v>
      </c>
      <c r="S310" s="1" t="s">
        <v>14</v>
      </c>
      <c r="T310" s="1"/>
    </row>
    <row r="311" spans="1:20" ht="16.5" x14ac:dyDescent="0.3">
      <c r="A311" s="1">
        <v>15001</v>
      </c>
      <c r="B311" s="1" t="s">
        <v>334</v>
      </c>
      <c r="C311" s="1" t="s">
        <v>337</v>
      </c>
      <c r="D311" s="1" t="s">
        <v>337</v>
      </c>
      <c r="E311" s="1">
        <v>13</v>
      </c>
      <c r="F311" s="1" t="s">
        <v>153</v>
      </c>
      <c r="G311" s="1">
        <v>1</v>
      </c>
      <c r="H311" s="1">
        <v>1</v>
      </c>
      <c r="I311" s="1" t="s">
        <v>340</v>
      </c>
      <c r="J311" s="1" t="s">
        <v>12</v>
      </c>
      <c r="K311" s="1">
        <v>0</v>
      </c>
      <c r="L311" s="1">
        <v>0</v>
      </c>
      <c r="M311" s="1" t="s">
        <v>153</v>
      </c>
      <c r="N311" s="1">
        <v>0</v>
      </c>
      <c r="O311" s="1" t="s">
        <v>153</v>
      </c>
      <c r="P311" s="1" t="s">
        <v>153</v>
      </c>
      <c r="Q311" s="1">
        <v>0</v>
      </c>
      <c r="R311" s="1" t="s">
        <v>153</v>
      </c>
      <c r="S311" s="1">
        <v>0</v>
      </c>
      <c r="T311" s="1"/>
    </row>
    <row r="312" spans="1:20" ht="16.5" x14ac:dyDescent="0.3">
      <c r="A312" s="1">
        <v>15002</v>
      </c>
      <c r="B312" s="1" t="s">
        <v>335</v>
      </c>
      <c r="C312" s="1" t="s">
        <v>338</v>
      </c>
      <c r="D312" s="1" t="s">
        <v>338</v>
      </c>
      <c r="E312" s="1">
        <v>13</v>
      </c>
      <c r="F312" s="1" t="s">
        <v>153</v>
      </c>
      <c r="G312" s="1">
        <v>1</v>
      </c>
      <c r="H312" s="1">
        <v>2</v>
      </c>
      <c r="I312" s="1" t="s">
        <v>344</v>
      </c>
      <c r="J312" s="1" t="s">
        <v>12</v>
      </c>
      <c r="K312" s="1">
        <v>0</v>
      </c>
      <c r="L312" s="1">
        <v>0</v>
      </c>
      <c r="M312" s="1" t="s">
        <v>153</v>
      </c>
      <c r="N312" s="1">
        <v>0</v>
      </c>
      <c r="O312" s="1" t="s">
        <v>153</v>
      </c>
      <c r="P312" s="1" t="s">
        <v>153</v>
      </c>
      <c r="Q312" s="1">
        <v>0</v>
      </c>
      <c r="R312" s="1" t="s">
        <v>153</v>
      </c>
      <c r="S312" s="1">
        <v>0</v>
      </c>
      <c r="T312" s="1"/>
    </row>
    <row r="313" spans="1:20" ht="16.5" x14ac:dyDescent="0.3">
      <c r="A313" s="1">
        <v>15003</v>
      </c>
      <c r="B313" s="1" t="s">
        <v>336</v>
      </c>
      <c r="C313" s="1" t="s">
        <v>339</v>
      </c>
      <c r="D313" s="1" t="s">
        <v>339</v>
      </c>
      <c r="E313" s="1">
        <v>13</v>
      </c>
      <c r="F313" s="1" t="s">
        <v>153</v>
      </c>
      <c r="G313" s="1">
        <v>1</v>
      </c>
      <c r="H313" s="1">
        <v>3</v>
      </c>
      <c r="I313" s="1" t="s">
        <v>341</v>
      </c>
      <c r="J313" s="1" t="s">
        <v>12</v>
      </c>
      <c r="K313" s="1">
        <v>0</v>
      </c>
      <c r="L313" s="1">
        <v>0</v>
      </c>
      <c r="M313" s="1" t="s">
        <v>153</v>
      </c>
      <c r="N313" s="1">
        <v>0</v>
      </c>
      <c r="O313" s="1" t="s">
        <v>153</v>
      </c>
      <c r="P313" s="1" t="s">
        <v>153</v>
      </c>
      <c r="Q313" s="1">
        <v>0</v>
      </c>
      <c r="R313" s="1" t="s">
        <v>153</v>
      </c>
      <c r="S313" s="1">
        <v>0</v>
      </c>
      <c r="T313" s="1"/>
    </row>
    <row r="314" spans="1:20" ht="16.5" x14ac:dyDescent="0.3">
      <c r="A314" s="1">
        <v>15004</v>
      </c>
      <c r="B314" s="1" t="s">
        <v>342</v>
      </c>
      <c r="C314" s="1" t="s">
        <v>343</v>
      </c>
      <c r="D314" s="1" t="s">
        <v>343</v>
      </c>
      <c r="E314" s="1">
        <v>13</v>
      </c>
      <c r="F314" s="1" t="s">
        <v>153</v>
      </c>
      <c r="G314" s="1">
        <v>1</v>
      </c>
      <c r="H314" s="1">
        <v>4</v>
      </c>
      <c r="I314" s="1" t="s">
        <v>345</v>
      </c>
      <c r="J314" s="1" t="s">
        <v>12</v>
      </c>
      <c r="K314" s="1">
        <v>0</v>
      </c>
      <c r="L314" s="1">
        <v>0</v>
      </c>
      <c r="M314" s="1" t="s">
        <v>153</v>
      </c>
      <c r="N314" s="1">
        <v>0</v>
      </c>
      <c r="O314" s="1" t="s">
        <v>153</v>
      </c>
      <c r="P314" s="1" t="s">
        <v>153</v>
      </c>
      <c r="Q314" s="1">
        <v>0</v>
      </c>
      <c r="R314" s="1" t="s">
        <v>153</v>
      </c>
      <c r="S314" s="1">
        <v>0</v>
      </c>
      <c r="T314" s="1"/>
    </row>
    <row r="315" spans="1:20" ht="16.5" x14ac:dyDescent="0.3">
      <c r="A315" s="1">
        <v>16001</v>
      </c>
      <c r="B315" s="1" t="s">
        <v>683</v>
      </c>
      <c r="C315" s="1" t="s">
        <v>611</v>
      </c>
      <c r="D315" s="1" t="s">
        <v>688</v>
      </c>
      <c r="E315" s="1" t="s">
        <v>52</v>
      </c>
      <c r="F315" s="1" t="s">
        <v>173</v>
      </c>
      <c r="G315" s="1" t="s">
        <v>13</v>
      </c>
      <c r="H315" s="1" t="s">
        <v>25</v>
      </c>
      <c r="I315" s="1" t="s">
        <v>673</v>
      </c>
      <c r="J315" s="1" t="s">
        <v>12</v>
      </c>
      <c r="K315" s="1" t="s">
        <v>14</v>
      </c>
      <c r="L315" s="1" t="s">
        <v>14</v>
      </c>
      <c r="M315" s="1" t="s">
        <v>70</v>
      </c>
      <c r="N315" s="1" t="s">
        <v>40</v>
      </c>
      <c r="O315" s="1" t="s">
        <v>12</v>
      </c>
      <c r="P315" s="1" t="s">
        <v>70</v>
      </c>
      <c r="Q315" s="1" t="s">
        <v>14</v>
      </c>
      <c r="R315" s="1" t="s">
        <v>12</v>
      </c>
      <c r="S315" s="1" t="s">
        <v>14</v>
      </c>
      <c r="T315" s="1"/>
    </row>
    <row r="316" spans="1:20" ht="16.5" x14ac:dyDescent="0.3">
      <c r="A316" s="1">
        <v>16002</v>
      </c>
      <c r="B316" s="1" t="s">
        <v>684</v>
      </c>
      <c r="C316" s="1" t="s">
        <v>612</v>
      </c>
      <c r="D316" s="1" t="s">
        <v>691</v>
      </c>
      <c r="E316" s="1" t="s">
        <v>52</v>
      </c>
      <c r="F316" s="1" t="s">
        <v>173</v>
      </c>
      <c r="G316" s="1" t="s">
        <v>13</v>
      </c>
      <c r="H316" s="1" t="s">
        <v>37</v>
      </c>
      <c r="I316" s="1" t="s">
        <v>675</v>
      </c>
      <c r="J316" s="1" t="s">
        <v>12</v>
      </c>
      <c r="K316" s="1" t="s">
        <v>14</v>
      </c>
      <c r="L316" s="1" t="s">
        <v>14</v>
      </c>
      <c r="M316" s="1" t="s">
        <v>70</v>
      </c>
      <c r="N316" s="1" t="s">
        <v>40</v>
      </c>
      <c r="O316" s="1" t="s">
        <v>12</v>
      </c>
      <c r="P316" s="1" t="s">
        <v>70</v>
      </c>
      <c r="Q316" s="1" t="s">
        <v>14</v>
      </c>
      <c r="R316" s="1" t="s">
        <v>12</v>
      </c>
      <c r="S316" s="1" t="s">
        <v>14</v>
      </c>
      <c r="T316" s="1"/>
    </row>
    <row r="317" spans="1:20" ht="16.5" x14ac:dyDescent="0.3">
      <c r="A317" s="1">
        <v>16003</v>
      </c>
      <c r="B317" s="1" t="s">
        <v>682</v>
      </c>
      <c r="C317" s="1" t="s">
        <v>613</v>
      </c>
      <c r="D317" s="1" t="s">
        <v>690</v>
      </c>
      <c r="E317" s="1" t="s">
        <v>52</v>
      </c>
      <c r="F317" s="1" t="s">
        <v>173</v>
      </c>
      <c r="G317" s="1" t="s">
        <v>13</v>
      </c>
      <c r="H317" s="1" t="s">
        <v>37</v>
      </c>
      <c r="I317" s="1" t="s">
        <v>671</v>
      </c>
      <c r="J317" s="1" t="s">
        <v>12</v>
      </c>
      <c r="K317" s="1" t="s">
        <v>14</v>
      </c>
      <c r="L317" s="1" t="s">
        <v>14</v>
      </c>
      <c r="M317" s="1" t="s">
        <v>70</v>
      </c>
      <c r="N317" s="1" t="s">
        <v>40</v>
      </c>
      <c r="O317" s="1" t="s">
        <v>12</v>
      </c>
      <c r="P317" s="1" t="s">
        <v>70</v>
      </c>
      <c r="Q317" s="1" t="s">
        <v>14</v>
      </c>
      <c r="R317" s="1" t="s">
        <v>12</v>
      </c>
      <c r="S317" s="1" t="s">
        <v>14</v>
      </c>
      <c r="T317" s="1"/>
    </row>
    <row r="318" spans="1:20" ht="16.5" x14ac:dyDescent="0.3">
      <c r="A318" s="1">
        <v>16004</v>
      </c>
      <c r="B318" s="1" t="s">
        <v>685</v>
      </c>
      <c r="C318" s="1" t="s">
        <v>614</v>
      </c>
      <c r="D318" s="1" t="s">
        <v>689</v>
      </c>
      <c r="E318" s="1" t="s">
        <v>52</v>
      </c>
      <c r="F318" s="1" t="s">
        <v>173</v>
      </c>
      <c r="G318" s="1" t="s">
        <v>13</v>
      </c>
      <c r="H318" s="1" t="s">
        <v>37</v>
      </c>
      <c r="I318" s="1" t="s">
        <v>674</v>
      </c>
      <c r="J318" s="1" t="s">
        <v>12</v>
      </c>
      <c r="K318" s="1" t="s">
        <v>14</v>
      </c>
      <c r="L318" s="1" t="s">
        <v>14</v>
      </c>
      <c r="M318" s="1" t="s">
        <v>70</v>
      </c>
      <c r="N318" s="1" t="s">
        <v>40</v>
      </c>
      <c r="O318" s="1" t="s">
        <v>12</v>
      </c>
      <c r="P318" s="1" t="s">
        <v>70</v>
      </c>
      <c r="Q318" s="1" t="s">
        <v>14</v>
      </c>
      <c r="R318" s="1" t="s">
        <v>12</v>
      </c>
      <c r="S318" s="1" t="s">
        <v>14</v>
      </c>
      <c r="T318" s="1"/>
    </row>
    <row r="319" spans="1:20" ht="16.5" x14ac:dyDescent="0.3">
      <c r="A319" s="1">
        <v>16005</v>
      </c>
      <c r="B319" s="1" t="s">
        <v>932</v>
      </c>
      <c r="C319" s="1" t="s">
        <v>932</v>
      </c>
      <c r="D319" s="1" t="s">
        <v>932</v>
      </c>
      <c r="E319" s="1" t="s">
        <v>52</v>
      </c>
      <c r="F319" s="1" t="s">
        <v>173</v>
      </c>
      <c r="G319" s="1" t="s">
        <v>13</v>
      </c>
      <c r="H319" s="1" t="s">
        <v>25</v>
      </c>
      <c r="I319" s="1" t="s">
        <v>864</v>
      </c>
      <c r="J319" s="1" t="s">
        <v>12</v>
      </c>
      <c r="K319" s="1" t="s">
        <v>14</v>
      </c>
      <c r="L319" s="1" t="s">
        <v>14</v>
      </c>
      <c r="M319" s="1" t="s">
        <v>70</v>
      </c>
      <c r="N319" s="1" t="s">
        <v>40</v>
      </c>
      <c r="O319" s="1" t="s">
        <v>12</v>
      </c>
      <c r="P319" s="1" t="s">
        <v>70</v>
      </c>
      <c r="Q319" s="1" t="s">
        <v>14</v>
      </c>
      <c r="R319" s="1" t="s">
        <v>12</v>
      </c>
      <c r="S319" s="1" t="s">
        <v>14</v>
      </c>
      <c r="T319" s="1"/>
    </row>
    <row r="320" spans="1:20" ht="16.5" x14ac:dyDescent="0.3">
      <c r="A320" s="1">
        <v>16006</v>
      </c>
      <c r="B320" s="1" t="s">
        <v>947</v>
      </c>
      <c r="C320" s="1" t="s">
        <v>933</v>
      </c>
      <c r="D320" s="1" t="s">
        <v>933</v>
      </c>
      <c r="E320" s="1" t="s">
        <v>52</v>
      </c>
      <c r="F320" s="1" t="s">
        <v>173</v>
      </c>
      <c r="G320" s="1" t="s">
        <v>13</v>
      </c>
      <c r="H320" s="1" t="s">
        <v>38</v>
      </c>
      <c r="I320" s="1" t="s">
        <v>672</v>
      </c>
      <c r="J320" s="1" t="s">
        <v>12</v>
      </c>
      <c r="K320" s="1" t="s">
        <v>14</v>
      </c>
      <c r="L320" s="1" t="s">
        <v>14</v>
      </c>
      <c r="M320" s="1" t="s">
        <v>70</v>
      </c>
      <c r="N320" s="1" t="s">
        <v>40</v>
      </c>
      <c r="O320" s="1" t="s">
        <v>12</v>
      </c>
      <c r="P320" s="1" t="s">
        <v>70</v>
      </c>
      <c r="Q320" s="1" t="s">
        <v>14</v>
      </c>
      <c r="R320" s="1" t="s">
        <v>12</v>
      </c>
      <c r="S320" s="1" t="s">
        <v>14</v>
      </c>
      <c r="T320" s="1"/>
    </row>
    <row r="321" spans="1:20" ht="16.5" x14ac:dyDescent="0.3">
      <c r="A321" s="1">
        <v>16007</v>
      </c>
      <c r="B321" s="1" t="s">
        <v>642</v>
      </c>
      <c r="C321" s="1" t="s">
        <v>670</v>
      </c>
      <c r="D321" s="1" t="s">
        <v>670</v>
      </c>
      <c r="E321" s="1" t="s">
        <v>616</v>
      </c>
      <c r="F321" s="1" t="s">
        <v>153</v>
      </c>
      <c r="G321" s="1" t="s">
        <v>13</v>
      </c>
      <c r="H321" s="1" t="s">
        <v>25</v>
      </c>
      <c r="I321" s="1" t="s">
        <v>617</v>
      </c>
      <c r="J321" s="1" t="s">
        <v>12</v>
      </c>
      <c r="K321" s="1" t="s">
        <v>14</v>
      </c>
      <c r="L321" s="1" t="s">
        <v>14</v>
      </c>
      <c r="M321" s="1" t="s">
        <v>619</v>
      </c>
      <c r="N321" s="1" t="s">
        <v>14</v>
      </c>
      <c r="O321" s="1" t="s">
        <v>12</v>
      </c>
      <c r="P321" s="1" t="s">
        <v>12</v>
      </c>
      <c r="Q321" s="1" t="s">
        <v>14</v>
      </c>
      <c r="R321" s="1" t="s">
        <v>12</v>
      </c>
      <c r="S321" s="1" t="s">
        <v>14</v>
      </c>
      <c r="T321" s="1"/>
    </row>
    <row r="322" spans="1:20" ht="16.5" x14ac:dyDescent="0.3">
      <c r="A322" s="1">
        <v>16008</v>
      </c>
      <c r="B322" s="1" t="s">
        <v>622</v>
      </c>
      <c r="C322" s="1" t="s">
        <v>618</v>
      </c>
      <c r="D322" s="1" t="s">
        <v>618</v>
      </c>
      <c r="E322" s="1" t="s">
        <v>616</v>
      </c>
      <c r="F322" s="1" t="s">
        <v>153</v>
      </c>
      <c r="G322" s="1" t="s">
        <v>13</v>
      </c>
      <c r="H322" s="1" t="s">
        <v>25</v>
      </c>
      <c r="I322" s="1" t="s">
        <v>617</v>
      </c>
      <c r="J322" s="1" t="s">
        <v>12</v>
      </c>
      <c r="K322" s="1" t="s">
        <v>14</v>
      </c>
      <c r="L322" s="1" t="s">
        <v>14</v>
      </c>
      <c r="M322" s="1" t="s">
        <v>620</v>
      </c>
      <c r="N322" s="1" t="s">
        <v>14</v>
      </c>
      <c r="O322" s="1" t="s">
        <v>12</v>
      </c>
      <c r="P322" s="1" t="s">
        <v>12</v>
      </c>
      <c r="Q322" s="1" t="s">
        <v>14</v>
      </c>
      <c r="R322" s="1" t="s">
        <v>12</v>
      </c>
      <c r="S322" s="1" t="s">
        <v>14</v>
      </c>
      <c r="T322" s="1"/>
    </row>
    <row r="323" spans="1:20" ht="16.5" x14ac:dyDescent="0.3">
      <c r="A323" s="1">
        <v>16009</v>
      </c>
      <c r="B323" s="1" t="s">
        <v>623</v>
      </c>
      <c r="C323" s="1" t="s">
        <v>618</v>
      </c>
      <c r="D323" s="1" t="s">
        <v>618</v>
      </c>
      <c r="E323" s="1" t="s">
        <v>616</v>
      </c>
      <c r="F323" s="1" t="s">
        <v>153</v>
      </c>
      <c r="G323" s="1" t="s">
        <v>13</v>
      </c>
      <c r="H323" s="1" t="s">
        <v>25</v>
      </c>
      <c r="I323" s="1" t="s">
        <v>617</v>
      </c>
      <c r="J323" s="1" t="s">
        <v>12</v>
      </c>
      <c r="K323" s="1" t="s">
        <v>14</v>
      </c>
      <c r="L323" s="1" t="s">
        <v>14</v>
      </c>
      <c r="M323" s="1" t="s">
        <v>621</v>
      </c>
      <c r="N323" s="1" t="s">
        <v>14</v>
      </c>
      <c r="O323" s="1" t="s">
        <v>12</v>
      </c>
      <c r="P323" s="1" t="s">
        <v>12</v>
      </c>
      <c r="Q323" s="1" t="s">
        <v>14</v>
      </c>
      <c r="R323" s="1" t="s">
        <v>12</v>
      </c>
      <c r="S323" s="1" t="s">
        <v>14</v>
      </c>
      <c r="T323" s="1"/>
    </row>
    <row r="324" spans="1:20" ht="16.5" x14ac:dyDescent="0.3">
      <c r="A324" s="1">
        <v>16010</v>
      </c>
      <c r="B324" s="1" t="s">
        <v>930</v>
      </c>
      <c r="C324" s="1" t="s">
        <v>931</v>
      </c>
      <c r="D324" s="1" t="s">
        <v>931</v>
      </c>
      <c r="E324" s="1" t="s">
        <v>52</v>
      </c>
      <c r="F324" s="1" t="s">
        <v>173</v>
      </c>
      <c r="G324" s="1" t="s">
        <v>13</v>
      </c>
      <c r="H324" s="1" t="s">
        <v>38</v>
      </c>
      <c r="I324" s="1" t="s">
        <v>672</v>
      </c>
      <c r="J324" s="1" t="s">
        <v>12</v>
      </c>
      <c r="K324" s="1" t="s">
        <v>14</v>
      </c>
      <c r="L324" s="1" t="s">
        <v>14</v>
      </c>
      <c r="M324" s="1" t="s">
        <v>70</v>
      </c>
      <c r="N324" s="1" t="s">
        <v>40</v>
      </c>
      <c r="O324" s="1" t="s">
        <v>12</v>
      </c>
      <c r="P324" s="1" t="s">
        <v>70</v>
      </c>
      <c r="Q324" s="1" t="s">
        <v>14</v>
      </c>
      <c r="R324" s="1" t="s">
        <v>12</v>
      </c>
      <c r="S324" s="1" t="s">
        <v>14</v>
      </c>
      <c r="T324" s="1"/>
    </row>
    <row r="325" spans="1:20" ht="16.5" x14ac:dyDescent="0.3">
      <c r="A325" s="1">
        <v>16011</v>
      </c>
      <c r="B325" s="1" t="s">
        <v>474</v>
      </c>
      <c r="C325" s="1" t="s">
        <v>528</v>
      </c>
      <c r="D325" s="1" t="s">
        <v>528</v>
      </c>
      <c r="E325" s="1" t="s">
        <v>52</v>
      </c>
      <c r="F325" s="1" t="s">
        <v>173</v>
      </c>
      <c r="G325" s="1" t="s">
        <v>13</v>
      </c>
      <c r="H325" s="1" t="s">
        <v>35</v>
      </c>
      <c r="I325" s="1" t="s">
        <v>143</v>
      </c>
      <c r="J325" s="1" t="s">
        <v>12</v>
      </c>
      <c r="K325" s="1" t="s">
        <v>14</v>
      </c>
      <c r="L325" s="1" t="s">
        <v>14</v>
      </c>
      <c r="M325" s="1" t="s">
        <v>70</v>
      </c>
      <c r="N325" s="1" t="s">
        <v>40</v>
      </c>
      <c r="O325" s="1" t="s">
        <v>12</v>
      </c>
      <c r="P325" s="1" t="s">
        <v>70</v>
      </c>
      <c r="Q325" s="1" t="s">
        <v>14</v>
      </c>
      <c r="R325" s="1" t="s">
        <v>12</v>
      </c>
      <c r="S325" s="1" t="s">
        <v>14</v>
      </c>
      <c r="T325" s="1"/>
    </row>
    <row r="326" spans="1:20" ht="16.5" x14ac:dyDescent="0.3">
      <c r="A326" s="1">
        <v>16012</v>
      </c>
      <c r="B326" s="1" t="s">
        <v>475</v>
      </c>
      <c r="C326" s="1" t="s">
        <v>529</v>
      </c>
      <c r="D326" s="1" t="s">
        <v>529</v>
      </c>
      <c r="E326" s="1" t="s">
        <v>52</v>
      </c>
      <c r="F326" s="1" t="s">
        <v>173</v>
      </c>
      <c r="G326" s="1" t="s">
        <v>13</v>
      </c>
      <c r="H326" s="1" t="s">
        <v>35</v>
      </c>
      <c r="I326" s="1" t="s">
        <v>128</v>
      </c>
      <c r="J326" s="1" t="s">
        <v>12</v>
      </c>
      <c r="K326" s="1" t="s">
        <v>14</v>
      </c>
      <c r="L326" s="1" t="s">
        <v>14</v>
      </c>
      <c r="M326" s="1" t="s">
        <v>70</v>
      </c>
      <c r="N326" s="1" t="s">
        <v>40</v>
      </c>
      <c r="O326" s="1" t="s">
        <v>12</v>
      </c>
      <c r="P326" s="1" t="s">
        <v>70</v>
      </c>
      <c r="Q326" s="1" t="s">
        <v>14</v>
      </c>
      <c r="R326" s="1" t="s">
        <v>12</v>
      </c>
      <c r="S326" s="1" t="s">
        <v>14</v>
      </c>
      <c r="T326" s="1"/>
    </row>
    <row r="327" spans="1:20" ht="16.5" x14ac:dyDescent="0.3">
      <c r="A327" s="1">
        <v>16013</v>
      </c>
      <c r="B327" s="1" t="s">
        <v>476</v>
      </c>
      <c r="C327" s="1" t="s">
        <v>530</v>
      </c>
      <c r="D327" s="1" t="s">
        <v>530</v>
      </c>
      <c r="E327" s="1" t="s">
        <v>52</v>
      </c>
      <c r="F327" s="1" t="s">
        <v>173</v>
      </c>
      <c r="G327" s="1" t="s">
        <v>13</v>
      </c>
      <c r="H327" s="1" t="s">
        <v>35</v>
      </c>
      <c r="I327" s="1" t="s">
        <v>195</v>
      </c>
      <c r="J327" s="1" t="s">
        <v>12</v>
      </c>
      <c r="K327" s="1" t="s">
        <v>14</v>
      </c>
      <c r="L327" s="1" t="s">
        <v>14</v>
      </c>
      <c r="M327" s="1" t="s">
        <v>70</v>
      </c>
      <c r="N327" s="1" t="s">
        <v>40</v>
      </c>
      <c r="O327" s="1" t="s">
        <v>12</v>
      </c>
      <c r="P327" s="1" t="s">
        <v>70</v>
      </c>
      <c r="Q327" s="1" t="s">
        <v>14</v>
      </c>
      <c r="R327" s="1" t="s">
        <v>12</v>
      </c>
      <c r="S327" s="1" t="s">
        <v>14</v>
      </c>
      <c r="T327" s="1"/>
    </row>
    <row r="328" spans="1:20" ht="16.5" x14ac:dyDescent="0.3">
      <c r="A328" s="1">
        <v>16014</v>
      </c>
      <c r="B328" s="1" t="s">
        <v>477</v>
      </c>
      <c r="C328" s="1" t="s">
        <v>531</v>
      </c>
      <c r="D328" s="1" t="s">
        <v>531</v>
      </c>
      <c r="E328" s="1" t="s">
        <v>52</v>
      </c>
      <c r="F328" s="1" t="s">
        <v>173</v>
      </c>
      <c r="G328" s="1" t="s">
        <v>13</v>
      </c>
      <c r="H328" s="1" t="s">
        <v>35</v>
      </c>
      <c r="I328" s="1" t="s">
        <v>196</v>
      </c>
      <c r="J328" s="1" t="s">
        <v>12</v>
      </c>
      <c r="K328" s="1" t="s">
        <v>14</v>
      </c>
      <c r="L328" s="1" t="s">
        <v>14</v>
      </c>
      <c r="M328" s="1" t="s">
        <v>70</v>
      </c>
      <c r="N328" s="1" t="s">
        <v>40</v>
      </c>
      <c r="O328" s="1" t="s">
        <v>12</v>
      </c>
      <c r="P328" s="1" t="s">
        <v>70</v>
      </c>
      <c r="Q328" s="1" t="s">
        <v>14</v>
      </c>
      <c r="R328" s="1" t="s">
        <v>12</v>
      </c>
      <c r="S328" s="1" t="s">
        <v>14</v>
      </c>
      <c r="T328" s="1"/>
    </row>
    <row r="329" spans="1:20" ht="16.5" x14ac:dyDescent="0.3">
      <c r="A329" s="1">
        <v>16015</v>
      </c>
      <c r="B329" s="1" t="s">
        <v>478</v>
      </c>
      <c r="C329" s="1" t="s">
        <v>532</v>
      </c>
      <c r="D329" s="1" t="s">
        <v>532</v>
      </c>
      <c r="E329" s="1" t="s">
        <v>52</v>
      </c>
      <c r="F329" s="1" t="s">
        <v>173</v>
      </c>
      <c r="G329" s="1" t="s">
        <v>13</v>
      </c>
      <c r="H329" s="1" t="s">
        <v>35</v>
      </c>
      <c r="I329" s="1" t="s">
        <v>197</v>
      </c>
      <c r="J329" s="1" t="s">
        <v>12</v>
      </c>
      <c r="K329" s="1" t="s">
        <v>14</v>
      </c>
      <c r="L329" s="1" t="s">
        <v>14</v>
      </c>
      <c r="M329" s="1" t="s">
        <v>70</v>
      </c>
      <c r="N329" s="1" t="s">
        <v>40</v>
      </c>
      <c r="O329" s="1" t="s">
        <v>12</v>
      </c>
      <c r="P329" s="1" t="s">
        <v>70</v>
      </c>
      <c r="Q329" s="1" t="s">
        <v>14</v>
      </c>
      <c r="R329" s="1" t="s">
        <v>12</v>
      </c>
      <c r="S329" s="1" t="s">
        <v>14</v>
      </c>
      <c r="T329" s="1"/>
    </row>
    <row r="330" spans="1:20" ht="16.5" x14ac:dyDescent="0.3">
      <c r="A330" s="1">
        <v>16016</v>
      </c>
      <c r="B330" s="1" t="s">
        <v>479</v>
      </c>
      <c r="C330" s="1" t="s">
        <v>533</v>
      </c>
      <c r="D330" s="1" t="s">
        <v>533</v>
      </c>
      <c r="E330" s="1" t="s">
        <v>52</v>
      </c>
      <c r="F330" s="1" t="s">
        <v>173</v>
      </c>
      <c r="G330" s="1" t="s">
        <v>13</v>
      </c>
      <c r="H330" s="1" t="s">
        <v>35</v>
      </c>
      <c r="I330" s="1" t="s">
        <v>198</v>
      </c>
      <c r="J330" s="1" t="s">
        <v>12</v>
      </c>
      <c r="K330" s="1" t="s">
        <v>14</v>
      </c>
      <c r="L330" s="1" t="s">
        <v>14</v>
      </c>
      <c r="M330" s="1" t="s">
        <v>70</v>
      </c>
      <c r="N330" s="1" t="s">
        <v>40</v>
      </c>
      <c r="O330" s="1" t="s">
        <v>12</v>
      </c>
      <c r="P330" s="1" t="s">
        <v>70</v>
      </c>
      <c r="Q330" s="1" t="s">
        <v>14</v>
      </c>
      <c r="R330" s="1" t="s">
        <v>12</v>
      </c>
      <c r="S330" s="1" t="s">
        <v>14</v>
      </c>
      <c r="T330" s="1"/>
    </row>
    <row r="331" spans="1:20" ht="16.5" x14ac:dyDescent="0.3">
      <c r="A331" s="1">
        <v>16021</v>
      </c>
      <c r="B331" s="1" t="s">
        <v>480</v>
      </c>
      <c r="C331" s="1" t="s">
        <v>534</v>
      </c>
      <c r="D331" s="1" t="s">
        <v>534</v>
      </c>
      <c r="E331" s="1" t="s">
        <v>52</v>
      </c>
      <c r="F331" s="1" t="s">
        <v>173</v>
      </c>
      <c r="G331" s="1" t="s">
        <v>13</v>
      </c>
      <c r="H331" s="1" t="s">
        <v>36</v>
      </c>
      <c r="I331" s="1" t="s">
        <v>174</v>
      </c>
      <c r="J331" s="1" t="s">
        <v>12</v>
      </c>
      <c r="K331" s="1" t="s">
        <v>14</v>
      </c>
      <c r="L331" s="1" t="s">
        <v>14</v>
      </c>
      <c r="M331" s="1" t="s">
        <v>70</v>
      </c>
      <c r="N331" s="1" t="s">
        <v>40</v>
      </c>
      <c r="O331" s="1" t="s">
        <v>12</v>
      </c>
      <c r="P331" s="1" t="s">
        <v>70</v>
      </c>
      <c r="Q331" s="1" t="s">
        <v>14</v>
      </c>
      <c r="R331" s="1" t="s">
        <v>12</v>
      </c>
      <c r="S331" s="1" t="s">
        <v>14</v>
      </c>
      <c r="T331" s="1"/>
    </row>
    <row r="332" spans="1:20" ht="16.5" x14ac:dyDescent="0.3">
      <c r="A332" s="1">
        <v>16022</v>
      </c>
      <c r="B332" s="1" t="s">
        <v>481</v>
      </c>
      <c r="C332" s="1" t="s">
        <v>535</v>
      </c>
      <c r="D332" s="1" t="s">
        <v>535</v>
      </c>
      <c r="E332" s="1" t="s">
        <v>52</v>
      </c>
      <c r="F332" s="1" t="s">
        <v>173</v>
      </c>
      <c r="G332" s="1" t="s">
        <v>13</v>
      </c>
      <c r="H332" s="1" t="s">
        <v>36</v>
      </c>
      <c r="I332" s="1" t="s">
        <v>176</v>
      </c>
      <c r="J332" s="1" t="s">
        <v>12</v>
      </c>
      <c r="K332" s="1" t="s">
        <v>14</v>
      </c>
      <c r="L332" s="1" t="s">
        <v>14</v>
      </c>
      <c r="M332" s="1" t="s">
        <v>70</v>
      </c>
      <c r="N332" s="1" t="s">
        <v>40</v>
      </c>
      <c r="O332" s="1" t="s">
        <v>12</v>
      </c>
      <c r="P332" s="1" t="s">
        <v>70</v>
      </c>
      <c r="Q332" s="1" t="s">
        <v>14</v>
      </c>
      <c r="R332" s="1" t="s">
        <v>12</v>
      </c>
      <c r="S332" s="1" t="s">
        <v>14</v>
      </c>
      <c r="T332" s="1"/>
    </row>
    <row r="333" spans="1:20" ht="16.5" x14ac:dyDescent="0.3">
      <c r="A333" s="1">
        <v>16023</v>
      </c>
      <c r="B333" s="1" t="s">
        <v>482</v>
      </c>
      <c r="C333" s="1" t="s">
        <v>536</v>
      </c>
      <c r="D333" s="1" t="s">
        <v>536</v>
      </c>
      <c r="E333" s="1" t="s">
        <v>52</v>
      </c>
      <c r="F333" s="1" t="s">
        <v>173</v>
      </c>
      <c r="G333" s="1" t="s">
        <v>13</v>
      </c>
      <c r="H333" s="1" t="s">
        <v>36</v>
      </c>
      <c r="I333" s="1" t="s">
        <v>82</v>
      </c>
      <c r="J333" s="1" t="s">
        <v>12</v>
      </c>
      <c r="K333" s="1" t="s">
        <v>14</v>
      </c>
      <c r="L333" s="1" t="s">
        <v>14</v>
      </c>
      <c r="M333" s="1" t="s">
        <v>70</v>
      </c>
      <c r="N333" s="1" t="s">
        <v>40</v>
      </c>
      <c r="O333" s="1" t="s">
        <v>12</v>
      </c>
      <c r="P333" s="1" t="s">
        <v>70</v>
      </c>
      <c r="Q333" s="1" t="s">
        <v>14</v>
      </c>
      <c r="R333" s="1" t="s">
        <v>12</v>
      </c>
      <c r="S333" s="1" t="s">
        <v>14</v>
      </c>
      <c r="T333" s="1"/>
    </row>
    <row r="334" spans="1:20" ht="16.5" x14ac:dyDescent="0.3">
      <c r="A334" s="1">
        <v>16024</v>
      </c>
      <c r="B334" s="1" t="s">
        <v>483</v>
      </c>
      <c r="C334" s="1" t="s">
        <v>537</v>
      </c>
      <c r="D334" s="1" t="s">
        <v>537</v>
      </c>
      <c r="E334" s="1" t="s">
        <v>52</v>
      </c>
      <c r="F334" s="1" t="s">
        <v>173</v>
      </c>
      <c r="G334" s="1" t="s">
        <v>13</v>
      </c>
      <c r="H334" s="1" t="s">
        <v>36</v>
      </c>
      <c r="I334" s="1" t="s">
        <v>83</v>
      </c>
      <c r="J334" s="1" t="s">
        <v>12</v>
      </c>
      <c r="K334" s="1" t="s">
        <v>14</v>
      </c>
      <c r="L334" s="1" t="s">
        <v>14</v>
      </c>
      <c r="M334" s="1" t="s">
        <v>70</v>
      </c>
      <c r="N334" s="1" t="s">
        <v>40</v>
      </c>
      <c r="O334" s="1" t="s">
        <v>12</v>
      </c>
      <c r="P334" s="1" t="s">
        <v>70</v>
      </c>
      <c r="Q334" s="1" t="s">
        <v>14</v>
      </c>
      <c r="R334" s="1" t="s">
        <v>12</v>
      </c>
      <c r="S334" s="1" t="s">
        <v>14</v>
      </c>
      <c r="T334" s="1"/>
    </row>
    <row r="335" spans="1:20" ht="16.5" x14ac:dyDescent="0.3">
      <c r="A335" s="1">
        <v>16025</v>
      </c>
      <c r="B335" s="1" t="s">
        <v>484</v>
      </c>
      <c r="C335" s="1" t="s">
        <v>538</v>
      </c>
      <c r="D335" s="1" t="s">
        <v>538</v>
      </c>
      <c r="E335" s="1" t="s">
        <v>52</v>
      </c>
      <c r="F335" s="1" t="s">
        <v>173</v>
      </c>
      <c r="G335" s="1" t="s">
        <v>13</v>
      </c>
      <c r="H335" s="1" t="s">
        <v>36</v>
      </c>
      <c r="I335" s="1" t="s">
        <v>84</v>
      </c>
      <c r="J335" s="1" t="s">
        <v>12</v>
      </c>
      <c r="K335" s="1" t="s">
        <v>14</v>
      </c>
      <c r="L335" s="1" t="s">
        <v>14</v>
      </c>
      <c r="M335" s="1" t="s">
        <v>70</v>
      </c>
      <c r="N335" s="1" t="s">
        <v>40</v>
      </c>
      <c r="O335" s="1" t="s">
        <v>12</v>
      </c>
      <c r="P335" s="1" t="s">
        <v>70</v>
      </c>
      <c r="Q335" s="1" t="s">
        <v>14</v>
      </c>
      <c r="R335" s="1" t="s">
        <v>12</v>
      </c>
      <c r="S335" s="1" t="s">
        <v>14</v>
      </c>
      <c r="T335" s="1"/>
    </row>
    <row r="336" spans="1:20" ht="16.5" x14ac:dyDescent="0.3">
      <c r="A336" s="1">
        <v>16026</v>
      </c>
      <c r="B336" s="1" t="s">
        <v>485</v>
      </c>
      <c r="C336" s="1" t="s">
        <v>539</v>
      </c>
      <c r="D336" s="1" t="s">
        <v>539</v>
      </c>
      <c r="E336" s="1" t="s">
        <v>52</v>
      </c>
      <c r="F336" s="1" t="s">
        <v>173</v>
      </c>
      <c r="G336" s="1" t="s">
        <v>13</v>
      </c>
      <c r="H336" s="1" t="s">
        <v>36</v>
      </c>
      <c r="I336" s="1" t="s">
        <v>85</v>
      </c>
      <c r="J336" s="1" t="s">
        <v>12</v>
      </c>
      <c r="K336" s="1" t="s">
        <v>14</v>
      </c>
      <c r="L336" s="1" t="s">
        <v>14</v>
      </c>
      <c r="M336" s="1" t="s">
        <v>70</v>
      </c>
      <c r="N336" s="1" t="s">
        <v>40</v>
      </c>
      <c r="O336" s="1" t="s">
        <v>12</v>
      </c>
      <c r="P336" s="1" t="s">
        <v>70</v>
      </c>
      <c r="Q336" s="1" t="s">
        <v>14</v>
      </c>
      <c r="R336" s="1" t="s">
        <v>12</v>
      </c>
      <c r="S336" s="1" t="s">
        <v>14</v>
      </c>
      <c r="T336" s="1"/>
    </row>
    <row r="337" spans="1:20" ht="16.5" x14ac:dyDescent="0.3">
      <c r="A337" s="1">
        <v>16031</v>
      </c>
      <c r="B337" s="1" t="s">
        <v>486</v>
      </c>
      <c r="C337" s="1" t="s">
        <v>540</v>
      </c>
      <c r="D337" s="1" t="s">
        <v>540</v>
      </c>
      <c r="E337" s="1" t="s">
        <v>52</v>
      </c>
      <c r="F337" s="1" t="s">
        <v>173</v>
      </c>
      <c r="G337" s="1" t="s">
        <v>13</v>
      </c>
      <c r="H337" s="1" t="s">
        <v>36</v>
      </c>
      <c r="I337" s="1" t="s">
        <v>178</v>
      </c>
      <c r="J337" s="1" t="s">
        <v>12</v>
      </c>
      <c r="K337" s="1" t="s">
        <v>14</v>
      </c>
      <c r="L337" s="1" t="s">
        <v>14</v>
      </c>
      <c r="M337" s="1" t="s">
        <v>70</v>
      </c>
      <c r="N337" s="1" t="s">
        <v>40</v>
      </c>
      <c r="O337" s="1" t="s">
        <v>12</v>
      </c>
      <c r="P337" s="1" t="s">
        <v>70</v>
      </c>
      <c r="Q337" s="1" t="s">
        <v>14</v>
      </c>
      <c r="R337" s="1" t="s">
        <v>12</v>
      </c>
      <c r="S337" s="1" t="s">
        <v>14</v>
      </c>
      <c r="T337" s="1"/>
    </row>
    <row r="338" spans="1:20" ht="16.5" x14ac:dyDescent="0.3">
      <c r="A338" s="1">
        <v>16032</v>
      </c>
      <c r="B338" s="1" t="s">
        <v>487</v>
      </c>
      <c r="C338" s="1" t="s">
        <v>541</v>
      </c>
      <c r="D338" s="1" t="s">
        <v>541</v>
      </c>
      <c r="E338" s="1" t="s">
        <v>52</v>
      </c>
      <c r="F338" s="1" t="s">
        <v>173</v>
      </c>
      <c r="G338" s="1" t="s">
        <v>13</v>
      </c>
      <c r="H338" s="1" t="s">
        <v>36</v>
      </c>
      <c r="I338" s="1" t="s">
        <v>179</v>
      </c>
      <c r="J338" s="1" t="s">
        <v>12</v>
      </c>
      <c r="K338" s="1" t="s">
        <v>14</v>
      </c>
      <c r="L338" s="1" t="s">
        <v>14</v>
      </c>
      <c r="M338" s="1" t="s">
        <v>70</v>
      </c>
      <c r="N338" s="1" t="s">
        <v>40</v>
      </c>
      <c r="O338" s="1" t="s">
        <v>12</v>
      </c>
      <c r="P338" s="1" t="s">
        <v>70</v>
      </c>
      <c r="Q338" s="1" t="s">
        <v>14</v>
      </c>
      <c r="R338" s="1" t="s">
        <v>12</v>
      </c>
      <c r="S338" s="1" t="s">
        <v>14</v>
      </c>
      <c r="T338" s="1"/>
    </row>
    <row r="339" spans="1:20" ht="16.5" x14ac:dyDescent="0.3">
      <c r="A339" s="1">
        <v>16033</v>
      </c>
      <c r="B339" s="1" t="s">
        <v>488</v>
      </c>
      <c r="C339" s="1" t="s">
        <v>542</v>
      </c>
      <c r="D339" s="1" t="s">
        <v>542</v>
      </c>
      <c r="E339" s="1" t="s">
        <v>52</v>
      </c>
      <c r="F339" s="1" t="s">
        <v>173</v>
      </c>
      <c r="G339" s="1" t="s">
        <v>13</v>
      </c>
      <c r="H339" s="1" t="s">
        <v>36</v>
      </c>
      <c r="I339" s="1" t="s">
        <v>395</v>
      </c>
      <c r="J339" s="1" t="s">
        <v>12</v>
      </c>
      <c r="K339" s="1" t="s">
        <v>14</v>
      </c>
      <c r="L339" s="1" t="s">
        <v>14</v>
      </c>
      <c r="M339" s="1" t="s">
        <v>70</v>
      </c>
      <c r="N339" s="1" t="s">
        <v>40</v>
      </c>
      <c r="O339" s="1" t="s">
        <v>12</v>
      </c>
      <c r="P339" s="1" t="s">
        <v>70</v>
      </c>
      <c r="Q339" s="1" t="s">
        <v>14</v>
      </c>
      <c r="R339" s="1" t="s">
        <v>12</v>
      </c>
      <c r="S339" s="1" t="s">
        <v>14</v>
      </c>
      <c r="T339" s="1"/>
    </row>
    <row r="340" spans="1:20" ht="16.5" x14ac:dyDescent="0.3">
      <c r="A340" s="1">
        <v>16034</v>
      </c>
      <c r="B340" s="1" t="s">
        <v>489</v>
      </c>
      <c r="C340" s="1" t="s">
        <v>543</v>
      </c>
      <c r="D340" s="1" t="s">
        <v>543</v>
      </c>
      <c r="E340" s="1" t="s">
        <v>52</v>
      </c>
      <c r="F340" s="1" t="s">
        <v>173</v>
      </c>
      <c r="G340" s="1" t="s">
        <v>13</v>
      </c>
      <c r="H340" s="1" t="s">
        <v>36</v>
      </c>
      <c r="I340" s="1" t="s">
        <v>396</v>
      </c>
      <c r="J340" s="1" t="s">
        <v>12</v>
      </c>
      <c r="K340" s="1" t="s">
        <v>14</v>
      </c>
      <c r="L340" s="1" t="s">
        <v>14</v>
      </c>
      <c r="M340" s="1" t="s">
        <v>70</v>
      </c>
      <c r="N340" s="1" t="s">
        <v>40</v>
      </c>
      <c r="O340" s="1" t="s">
        <v>12</v>
      </c>
      <c r="P340" s="1" t="s">
        <v>70</v>
      </c>
      <c r="Q340" s="1" t="s">
        <v>14</v>
      </c>
      <c r="R340" s="1" t="s">
        <v>12</v>
      </c>
      <c r="S340" s="1" t="s">
        <v>14</v>
      </c>
      <c r="T340" s="1"/>
    </row>
    <row r="341" spans="1:20" ht="16.5" x14ac:dyDescent="0.3">
      <c r="A341" s="1">
        <v>16035</v>
      </c>
      <c r="B341" s="1" t="s">
        <v>490</v>
      </c>
      <c r="C341" s="1" t="s">
        <v>544</v>
      </c>
      <c r="D341" s="1" t="s">
        <v>544</v>
      </c>
      <c r="E341" s="1" t="s">
        <v>52</v>
      </c>
      <c r="F341" s="1" t="s">
        <v>173</v>
      </c>
      <c r="G341" s="1" t="s">
        <v>13</v>
      </c>
      <c r="H341" s="1" t="s">
        <v>36</v>
      </c>
      <c r="I341" s="1" t="s">
        <v>397</v>
      </c>
      <c r="J341" s="1" t="s">
        <v>12</v>
      </c>
      <c r="K341" s="1" t="s">
        <v>14</v>
      </c>
      <c r="L341" s="1" t="s">
        <v>14</v>
      </c>
      <c r="M341" s="1" t="s">
        <v>70</v>
      </c>
      <c r="N341" s="1" t="s">
        <v>40</v>
      </c>
      <c r="O341" s="1" t="s">
        <v>12</v>
      </c>
      <c r="P341" s="1" t="s">
        <v>70</v>
      </c>
      <c r="Q341" s="1" t="s">
        <v>14</v>
      </c>
      <c r="R341" s="1" t="s">
        <v>12</v>
      </c>
      <c r="S341" s="1" t="s">
        <v>14</v>
      </c>
      <c r="T341" s="1"/>
    </row>
    <row r="342" spans="1:20" ht="16.5" x14ac:dyDescent="0.3">
      <c r="A342" s="1">
        <v>16036</v>
      </c>
      <c r="B342" s="1" t="s">
        <v>491</v>
      </c>
      <c r="C342" s="1" t="s">
        <v>545</v>
      </c>
      <c r="D342" s="1" t="s">
        <v>545</v>
      </c>
      <c r="E342" s="1" t="s">
        <v>52</v>
      </c>
      <c r="F342" s="1" t="s">
        <v>173</v>
      </c>
      <c r="G342" s="1" t="s">
        <v>13</v>
      </c>
      <c r="H342" s="1" t="s">
        <v>36</v>
      </c>
      <c r="I342" s="1" t="s">
        <v>398</v>
      </c>
      <c r="J342" s="1" t="s">
        <v>12</v>
      </c>
      <c r="K342" s="1" t="s">
        <v>14</v>
      </c>
      <c r="L342" s="1" t="s">
        <v>14</v>
      </c>
      <c r="M342" s="1" t="s">
        <v>70</v>
      </c>
      <c r="N342" s="1" t="s">
        <v>40</v>
      </c>
      <c r="O342" s="1" t="s">
        <v>12</v>
      </c>
      <c r="P342" s="1" t="s">
        <v>70</v>
      </c>
      <c r="Q342" s="1" t="s">
        <v>14</v>
      </c>
      <c r="R342" s="1" t="s">
        <v>12</v>
      </c>
      <c r="S342" s="1" t="s">
        <v>14</v>
      </c>
      <c r="T342" s="1"/>
    </row>
    <row r="343" spans="1:20" ht="16.5" x14ac:dyDescent="0.3">
      <c r="A343" s="1">
        <v>16041</v>
      </c>
      <c r="B343" s="1" t="s">
        <v>492</v>
      </c>
      <c r="C343" s="1" t="s">
        <v>546</v>
      </c>
      <c r="D343" s="1" t="s">
        <v>546</v>
      </c>
      <c r="E343" s="1" t="s">
        <v>52</v>
      </c>
      <c r="F343" s="1" t="s">
        <v>173</v>
      </c>
      <c r="G343" s="1" t="s">
        <v>13</v>
      </c>
      <c r="H343" s="1" t="s">
        <v>25</v>
      </c>
      <c r="I343" s="1" t="s">
        <v>181</v>
      </c>
      <c r="J343" s="1" t="s">
        <v>12</v>
      </c>
      <c r="K343" s="1" t="s">
        <v>14</v>
      </c>
      <c r="L343" s="1" t="s">
        <v>14</v>
      </c>
      <c r="M343" s="1" t="s">
        <v>70</v>
      </c>
      <c r="N343" s="1" t="s">
        <v>40</v>
      </c>
      <c r="O343" s="1" t="s">
        <v>12</v>
      </c>
      <c r="P343" s="1" t="s">
        <v>70</v>
      </c>
      <c r="Q343" s="1" t="s">
        <v>14</v>
      </c>
      <c r="R343" s="1" t="s">
        <v>12</v>
      </c>
      <c r="S343" s="1" t="s">
        <v>14</v>
      </c>
      <c r="T343" s="1"/>
    </row>
    <row r="344" spans="1:20" ht="16.5" x14ac:dyDescent="0.3">
      <c r="A344" s="1">
        <v>16042</v>
      </c>
      <c r="B344" s="1" t="s">
        <v>493</v>
      </c>
      <c r="C344" s="1" t="s">
        <v>547</v>
      </c>
      <c r="D344" s="1" t="s">
        <v>547</v>
      </c>
      <c r="E344" s="1" t="s">
        <v>52</v>
      </c>
      <c r="F344" s="1" t="s">
        <v>173</v>
      </c>
      <c r="G344" s="1" t="s">
        <v>13</v>
      </c>
      <c r="H344" s="1" t="s">
        <v>25</v>
      </c>
      <c r="I344" s="1" t="s">
        <v>123</v>
      </c>
      <c r="J344" s="1" t="s">
        <v>12</v>
      </c>
      <c r="K344" s="1" t="s">
        <v>14</v>
      </c>
      <c r="L344" s="1" t="s">
        <v>14</v>
      </c>
      <c r="M344" s="1" t="s">
        <v>70</v>
      </c>
      <c r="N344" s="1" t="s">
        <v>40</v>
      </c>
      <c r="O344" s="1" t="s">
        <v>12</v>
      </c>
      <c r="P344" s="1" t="s">
        <v>70</v>
      </c>
      <c r="Q344" s="1" t="s">
        <v>14</v>
      </c>
      <c r="R344" s="1" t="s">
        <v>12</v>
      </c>
      <c r="S344" s="1" t="s">
        <v>14</v>
      </c>
      <c r="T344" s="1"/>
    </row>
    <row r="345" spans="1:20" ht="16.5" x14ac:dyDescent="0.3">
      <c r="A345" s="1">
        <v>16043</v>
      </c>
      <c r="B345" s="1" t="s">
        <v>494</v>
      </c>
      <c r="C345" s="1" t="s">
        <v>548</v>
      </c>
      <c r="D345" s="1" t="s">
        <v>548</v>
      </c>
      <c r="E345" s="1" t="s">
        <v>52</v>
      </c>
      <c r="F345" s="1" t="s">
        <v>173</v>
      </c>
      <c r="G345" s="1" t="s">
        <v>13</v>
      </c>
      <c r="H345" s="1" t="s">
        <v>25</v>
      </c>
      <c r="I345" s="1" t="s">
        <v>399</v>
      </c>
      <c r="J345" s="1" t="s">
        <v>12</v>
      </c>
      <c r="K345" s="1" t="s">
        <v>14</v>
      </c>
      <c r="L345" s="1" t="s">
        <v>14</v>
      </c>
      <c r="M345" s="1" t="s">
        <v>70</v>
      </c>
      <c r="N345" s="1" t="s">
        <v>40</v>
      </c>
      <c r="O345" s="1" t="s">
        <v>12</v>
      </c>
      <c r="P345" s="1" t="s">
        <v>70</v>
      </c>
      <c r="Q345" s="1" t="s">
        <v>14</v>
      </c>
      <c r="R345" s="1" t="s">
        <v>12</v>
      </c>
      <c r="S345" s="1" t="s">
        <v>14</v>
      </c>
      <c r="T345" s="1"/>
    </row>
    <row r="346" spans="1:20" ht="16.5" x14ac:dyDescent="0.3">
      <c r="A346" s="1">
        <v>16044</v>
      </c>
      <c r="B346" s="1" t="s">
        <v>495</v>
      </c>
      <c r="C346" s="1" t="s">
        <v>549</v>
      </c>
      <c r="D346" s="1" t="s">
        <v>549</v>
      </c>
      <c r="E346" s="1" t="s">
        <v>52</v>
      </c>
      <c r="F346" s="1" t="s">
        <v>173</v>
      </c>
      <c r="G346" s="1" t="s">
        <v>13</v>
      </c>
      <c r="H346" s="1" t="s">
        <v>25</v>
      </c>
      <c r="I346" s="1" t="s">
        <v>400</v>
      </c>
      <c r="J346" s="1" t="s">
        <v>12</v>
      </c>
      <c r="K346" s="1" t="s">
        <v>14</v>
      </c>
      <c r="L346" s="1" t="s">
        <v>14</v>
      </c>
      <c r="M346" s="1" t="s">
        <v>70</v>
      </c>
      <c r="N346" s="1" t="s">
        <v>40</v>
      </c>
      <c r="O346" s="1" t="s">
        <v>12</v>
      </c>
      <c r="P346" s="1" t="s">
        <v>70</v>
      </c>
      <c r="Q346" s="1" t="s">
        <v>14</v>
      </c>
      <c r="R346" s="1" t="s">
        <v>12</v>
      </c>
      <c r="S346" s="1" t="s">
        <v>14</v>
      </c>
      <c r="T346" s="1"/>
    </row>
    <row r="347" spans="1:20" ht="16.5" x14ac:dyDescent="0.3">
      <c r="A347" s="1">
        <v>16045</v>
      </c>
      <c r="B347" s="1" t="s">
        <v>496</v>
      </c>
      <c r="C347" s="1" t="s">
        <v>550</v>
      </c>
      <c r="D347" s="1" t="s">
        <v>550</v>
      </c>
      <c r="E347" s="1" t="s">
        <v>52</v>
      </c>
      <c r="F347" s="1" t="s">
        <v>173</v>
      </c>
      <c r="G347" s="1" t="s">
        <v>13</v>
      </c>
      <c r="H347" s="1" t="s">
        <v>25</v>
      </c>
      <c r="I347" s="1" t="s">
        <v>401</v>
      </c>
      <c r="J347" s="1" t="s">
        <v>12</v>
      </c>
      <c r="K347" s="1" t="s">
        <v>14</v>
      </c>
      <c r="L347" s="1" t="s">
        <v>14</v>
      </c>
      <c r="M347" s="1" t="s">
        <v>70</v>
      </c>
      <c r="N347" s="1" t="s">
        <v>40</v>
      </c>
      <c r="O347" s="1" t="s">
        <v>12</v>
      </c>
      <c r="P347" s="1" t="s">
        <v>70</v>
      </c>
      <c r="Q347" s="1" t="s">
        <v>14</v>
      </c>
      <c r="R347" s="1" t="s">
        <v>12</v>
      </c>
      <c r="S347" s="1" t="s">
        <v>14</v>
      </c>
      <c r="T347" s="1"/>
    </row>
    <row r="348" spans="1:20" ht="16.5" x14ac:dyDescent="0.3">
      <c r="A348" s="1">
        <v>16046</v>
      </c>
      <c r="B348" s="1" t="s">
        <v>497</v>
      </c>
      <c r="C348" s="1" t="s">
        <v>551</v>
      </c>
      <c r="D348" s="1" t="s">
        <v>551</v>
      </c>
      <c r="E348" s="1" t="s">
        <v>52</v>
      </c>
      <c r="F348" s="1" t="s">
        <v>173</v>
      </c>
      <c r="G348" s="1" t="s">
        <v>13</v>
      </c>
      <c r="H348" s="1" t="s">
        <v>25</v>
      </c>
      <c r="I348" s="1" t="s">
        <v>402</v>
      </c>
      <c r="J348" s="1" t="s">
        <v>12</v>
      </c>
      <c r="K348" s="1" t="s">
        <v>14</v>
      </c>
      <c r="L348" s="1" t="s">
        <v>14</v>
      </c>
      <c r="M348" s="1" t="s">
        <v>70</v>
      </c>
      <c r="N348" s="1" t="s">
        <v>40</v>
      </c>
      <c r="O348" s="1" t="s">
        <v>12</v>
      </c>
      <c r="P348" s="1" t="s">
        <v>70</v>
      </c>
      <c r="Q348" s="1" t="s">
        <v>14</v>
      </c>
      <c r="R348" s="1" t="s">
        <v>12</v>
      </c>
      <c r="S348" s="1" t="s">
        <v>14</v>
      </c>
      <c r="T348" s="1"/>
    </row>
    <row r="349" spans="1:20" ht="16.5" x14ac:dyDescent="0.3">
      <c r="A349" s="1">
        <v>16051</v>
      </c>
      <c r="B349" s="1" t="s">
        <v>498</v>
      </c>
      <c r="C349" s="1" t="s">
        <v>552</v>
      </c>
      <c r="D349" s="1" t="s">
        <v>552</v>
      </c>
      <c r="E349" s="1" t="s">
        <v>52</v>
      </c>
      <c r="F349" s="1" t="s">
        <v>173</v>
      </c>
      <c r="G349" s="1" t="s">
        <v>13</v>
      </c>
      <c r="H349" s="1" t="s">
        <v>25</v>
      </c>
      <c r="I349" s="1" t="s">
        <v>122</v>
      </c>
      <c r="J349" s="1" t="s">
        <v>12</v>
      </c>
      <c r="K349" s="1" t="s">
        <v>14</v>
      </c>
      <c r="L349" s="1" t="s">
        <v>14</v>
      </c>
      <c r="M349" s="1" t="s">
        <v>70</v>
      </c>
      <c r="N349" s="1" t="s">
        <v>40</v>
      </c>
      <c r="O349" s="1" t="s">
        <v>12</v>
      </c>
      <c r="P349" s="1" t="s">
        <v>70</v>
      </c>
      <c r="Q349" s="1" t="s">
        <v>14</v>
      </c>
      <c r="R349" s="1" t="s">
        <v>12</v>
      </c>
      <c r="S349" s="1" t="s">
        <v>14</v>
      </c>
      <c r="T349" s="1"/>
    </row>
    <row r="350" spans="1:20" ht="16.5" x14ac:dyDescent="0.3">
      <c r="A350" s="1">
        <v>16052</v>
      </c>
      <c r="B350" s="1" t="s">
        <v>499</v>
      </c>
      <c r="C350" s="1" t="s">
        <v>553</v>
      </c>
      <c r="D350" s="1" t="s">
        <v>553</v>
      </c>
      <c r="E350" s="1" t="s">
        <v>52</v>
      </c>
      <c r="F350" s="1" t="s">
        <v>173</v>
      </c>
      <c r="G350" s="1" t="s">
        <v>13</v>
      </c>
      <c r="H350" s="1" t="s">
        <v>25</v>
      </c>
      <c r="I350" s="1" t="s">
        <v>124</v>
      </c>
      <c r="J350" s="1" t="s">
        <v>12</v>
      </c>
      <c r="K350" s="1" t="s">
        <v>14</v>
      </c>
      <c r="L350" s="1" t="s">
        <v>14</v>
      </c>
      <c r="M350" s="1" t="s">
        <v>70</v>
      </c>
      <c r="N350" s="1" t="s">
        <v>40</v>
      </c>
      <c r="O350" s="1" t="s">
        <v>12</v>
      </c>
      <c r="P350" s="1" t="s">
        <v>70</v>
      </c>
      <c r="Q350" s="1" t="s">
        <v>14</v>
      </c>
      <c r="R350" s="1" t="s">
        <v>12</v>
      </c>
      <c r="S350" s="1" t="s">
        <v>14</v>
      </c>
      <c r="T350" s="1"/>
    </row>
    <row r="351" spans="1:20" ht="16.5" x14ac:dyDescent="0.3">
      <c r="A351" s="1">
        <v>16053</v>
      </c>
      <c r="B351" s="1" t="s">
        <v>500</v>
      </c>
      <c r="C351" s="1" t="s">
        <v>554</v>
      </c>
      <c r="D351" s="1" t="s">
        <v>554</v>
      </c>
      <c r="E351" s="1" t="s">
        <v>52</v>
      </c>
      <c r="F351" s="1" t="s">
        <v>173</v>
      </c>
      <c r="G351" s="1" t="s">
        <v>13</v>
      </c>
      <c r="H351" s="1" t="s">
        <v>25</v>
      </c>
      <c r="I351" s="1" t="s">
        <v>403</v>
      </c>
      <c r="J351" s="1" t="s">
        <v>12</v>
      </c>
      <c r="K351" s="1" t="s">
        <v>14</v>
      </c>
      <c r="L351" s="1" t="s">
        <v>14</v>
      </c>
      <c r="M351" s="1" t="s">
        <v>70</v>
      </c>
      <c r="N351" s="1" t="s">
        <v>40</v>
      </c>
      <c r="O351" s="1" t="s">
        <v>12</v>
      </c>
      <c r="P351" s="1" t="s">
        <v>70</v>
      </c>
      <c r="Q351" s="1" t="s">
        <v>14</v>
      </c>
      <c r="R351" s="1" t="s">
        <v>12</v>
      </c>
      <c r="S351" s="1" t="s">
        <v>14</v>
      </c>
      <c r="T351" s="1"/>
    </row>
    <row r="352" spans="1:20" ht="16.5" x14ac:dyDescent="0.3">
      <c r="A352" s="1">
        <v>16054</v>
      </c>
      <c r="B352" s="1" t="s">
        <v>501</v>
      </c>
      <c r="C352" s="1" t="s">
        <v>555</v>
      </c>
      <c r="D352" s="1" t="s">
        <v>555</v>
      </c>
      <c r="E352" s="1" t="s">
        <v>52</v>
      </c>
      <c r="F352" s="1" t="s">
        <v>173</v>
      </c>
      <c r="G352" s="1" t="s">
        <v>13</v>
      </c>
      <c r="H352" s="1" t="s">
        <v>25</v>
      </c>
      <c r="I352" s="1" t="s">
        <v>404</v>
      </c>
      <c r="J352" s="1" t="s">
        <v>12</v>
      </c>
      <c r="K352" s="1" t="s">
        <v>14</v>
      </c>
      <c r="L352" s="1" t="s">
        <v>14</v>
      </c>
      <c r="M352" s="1" t="s">
        <v>70</v>
      </c>
      <c r="N352" s="1" t="s">
        <v>40</v>
      </c>
      <c r="O352" s="1" t="s">
        <v>12</v>
      </c>
      <c r="P352" s="1" t="s">
        <v>70</v>
      </c>
      <c r="Q352" s="1" t="s">
        <v>14</v>
      </c>
      <c r="R352" s="1" t="s">
        <v>12</v>
      </c>
      <c r="S352" s="1" t="s">
        <v>14</v>
      </c>
      <c r="T352" s="1"/>
    </row>
    <row r="353" spans="1:20" ht="16.5" x14ac:dyDescent="0.3">
      <c r="A353" s="1">
        <v>16055</v>
      </c>
      <c r="B353" s="1" t="s">
        <v>502</v>
      </c>
      <c r="C353" s="1" t="s">
        <v>556</v>
      </c>
      <c r="D353" s="1" t="s">
        <v>556</v>
      </c>
      <c r="E353" s="1" t="s">
        <v>52</v>
      </c>
      <c r="F353" s="1" t="s">
        <v>173</v>
      </c>
      <c r="G353" s="1" t="s">
        <v>13</v>
      </c>
      <c r="H353" s="1" t="s">
        <v>25</v>
      </c>
      <c r="I353" s="1" t="s">
        <v>405</v>
      </c>
      <c r="J353" s="1" t="s">
        <v>12</v>
      </c>
      <c r="K353" s="1" t="s">
        <v>14</v>
      </c>
      <c r="L353" s="1" t="s">
        <v>14</v>
      </c>
      <c r="M353" s="1" t="s">
        <v>70</v>
      </c>
      <c r="N353" s="1" t="s">
        <v>40</v>
      </c>
      <c r="O353" s="1" t="s">
        <v>12</v>
      </c>
      <c r="P353" s="1" t="s">
        <v>70</v>
      </c>
      <c r="Q353" s="1" t="s">
        <v>14</v>
      </c>
      <c r="R353" s="1" t="s">
        <v>12</v>
      </c>
      <c r="S353" s="1" t="s">
        <v>14</v>
      </c>
      <c r="T353" s="1"/>
    </row>
    <row r="354" spans="1:20" ht="16.5" x14ac:dyDescent="0.3">
      <c r="A354" s="1">
        <v>16056</v>
      </c>
      <c r="B354" s="1" t="s">
        <v>503</v>
      </c>
      <c r="C354" s="1" t="s">
        <v>557</v>
      </c>
      <c r="D354" s="1" t="s">
        <v>557</v>
      </c>
      <c r="E354" s="1" t="s">
        <v>52</v>
      </c>
      <c r="F354" s="1" t="s">
        <v>173</v>
      </c>
      <c r="G354" s="1" t="s">
        <v>13</v>
      </c>
      <c r="H354" s="1" t="s">
        <v>25</v>
      </c>
      <c r="I354" s="1" t="s">
        <v>406</v>
      </c>
      <c r="J354" s="1" t="s">
        <v>12</v>
      </c>
      <c r="K354" s="1" t="s">
        <v>14</v>
      </c>
      <c r="L354" s="1" t="s">
        <v>14</v>
      </c>
      <c r="M354" s="1" t="s">
        <v>70</v>
      </c>
      <c r="N354" s="1" t="s">
        <v>40</v>
      </c>
      <c r="O354" s="1" t="s">
        <v>12</v>
      </c>
      <c r="P354" s="1" t="s">
        <v>70</v>
      </c>
      <c r="Q354" s="1" t="s">
        <v>14</v>
      </c>
      <c r="R354" s="1" t="s">
        <v>12</v>
      </c>
      <c r="S354" s="1" t="s">
        <v>14</v>
      </c>
      <c r="T354" s="1"/>
    </row>
    <row r="355" spans="1:20" ht="16.5" x14ac:dyDescent="0.3">
      <c r="A355" s="1">
        <v>16061</v>
      </c>
      <c r="B355" s="1" t="s">
        <v>504</v>
      </c>
      <c r="C355" s="1" t="s">
        <v>558</v>
      </c>
      <c r="D355" s="1" t="s">
        <v>558</v>
      </c>
      <c r="E355" s="1" t="s">
        <v>52</v>
      </c>
      <c r="F355" s="1" t="s">
        <v>173</v>
      </c>
      <c r="G355" s="1" t="s">
        <v>13</v>
      </c>
      <c r="H355" s="1" t="s">
        <v>26</v>
      </c>
      <c r="I355" s="1" t="s">
        <v>125</v>
      </c>
      <c r="J355" s="1" t="s">
        <v>12</v>
      </c>
      <c r="K355" s="1" t="s">
        <v>14</v>
      </c>
      <c r="L355" s="1" t="s">
        <v>14</v>
      </c>
      <c r="M355" s="1" t="s">
        <v>70</v>
      </c>
      <c r="N355" s="1" t="s">
        <v>40</v>
      </c>
      <c r="O355" s="1" t="s">
        <v>12</v>
      </c>
      <c r="P355" s="1" t="s">
        <v>70</v>
      </c>
      <c r="Q355" s="1" t="s">
        <v>14</v>
      </c>
      <c r="R355" s="1" t="s">
        <v>12</v>
      </c>
      <c r="S355" s="1" t="s">
        <v>14</v>
      </c>
      <c r="T355" s="1"/>
    </row>
    <row r="356" spans="1:20" ht="16.5" x14ac:dyDescent="0.3">
      <c r="A356" s="1">
        <v>16062</v>
      </c>
      <c r="B356" s="1" t="s">
        <v>505</v>
      </c>
      <c r="C356" s="1" t="s">
        <v>559</v>
      </c>
      <c r="D356" s="1" t="s">
        <v>559</v>
      </c>
      <c r="E356" s="1" t="s">
        <v>52</v>
      </c>
      <c r="F356" s="1" t="s">
        <v>173</v>
      </c>
      <c r="G356" s="1" t="s">
        <v>13</v>
      </c>
      <c r="H356" s="1" t="s">
        <v>26</v>
      </c>
      <c r="I356" s="1" t="s">
        <v>139</v>
      </c>
      <c r="J356" s="1" t="s">
        <v>12</v>
      </c>
      <c r="K356" s="1" t="s">
        <v>14</v>
      </c>
      <c r="L356" s="1" t="s">
        <v>14</v>
      </c>
      <c r="M356" s="1" t="s">
        <v>70</v>
      </c>
      <c r="N356" s="1" t="s">
        <v>40</v>
      </c>
      <c r="O356" s="1" t="s">
        <v>12</v>
      </c>
      <c r="P356" s="1" t="s">
        <v>70</v>
      </c>
      <c r="Q356" s="1" t="s">
        <v>14</v>
      </c>
      <c r="R356" s="1" t="s">
        <v>12</v>
      </c>
      <c r="S356" s="1" t="s">
        <v>14</v>
      </c>
      <c r="T356" s="1"/>
    </row>
    <row r="357" spans="1:20" ht="16.5" x14ac:dyDescent="0.3">
      <c r="A357" s="1">
        <v>16063</v>
      </c>
      <c r="B357" s="1" t="s">
        <v>506</v>
      </c>
      <c r="C357" s="1" t="s">
        <v>560</v>
      </c>
      <c r="D357" s="1" t="s">
        <v>560</v>
      </c>
      <c r="E357" s="1" t="s">
        <v>52</v>
      </c>
      <c r="F357" s="1" t="s">
        <v>173</v>
      </c>
      <c r="G357" s="1" t="s">
        <v>13</v>
      </c>
      <c r="H357" s="1" t="s">
        <v>26</v>
      </c>
      <c r="I357" s="1" t="s">
        <v>407</v>
      </c>
      <c r="J357" s="1" t="s">
        <v>12</v>
      </c>
      <c r="K357" s="1" t="s">
        <v>14</v>
      </c>
      <c r="L357" s="1" t="s">
        <v>14</v>
      </c>
      <c r="M357" s="1" t="s">
        <v>70</v>
      </c>
      <c r="N357" s="1" t="s">
        <v>40</v>
      </c>
      <c r="O357" s="1" t="s">
        <v>12</v>
      </c>
      <c r="P357" s="1" t="s">
        <v>70</v>
      </c>
      <c r="Q357" s="1" t="s">
        <v>14</v>
      </c>
      <c r="R357" s="1" t="s">
        <v>12</v>
      </c>
      <c r="S357" s="1" t="s">
        <v>14</v>
      </c>
      <c r="T357" s="1"/>
    </row>
    <row r="358" spans="1:20" ht="16.5" x14ac:dyDescent="0.3">
      <c r="A358" s="1">
        <v>16064</v>
      </c>
      <c r="B358" s="1" t="s">
        <v>507</v>
      </c>
      <c r="C358" s="1" t="s">
        <v>561</v>
      </c>
      <c r="D358" s="1" t="s">
        <v>561</v>
      </c>
      <c r="E358" s="1" t="s">
        <v>52</v>
      </c>
      <c r="F358" s="1" t="s">
        <v>173</v>
      </c>
      <c r="G358" s="1" t="s">
        <v>13</v>
      </c>
      <c r="H358" s="1" t="s">
        <v>26</v>
      </c>
      <c r="I358" s="1" t="s">
        <v>408</v>
      </c>
      <c r="J358" s="1" t="s">
        <v>12</v>
      </c>
      <c r="K358" s="1" t="s">
        <v>14</v>
      </c>
      <c r="L358" s="1" t="s">
        <v>14</v>
      </c>
      <c r="M358" s="1" t="s">
        <v>70</v>
      </c>
      <c r="N358" s="1" t="s">
        <v>40</v>
      </c>
      <c r="O358" s="1" t="s">
        <v>12</v>
      </c>
      <c r="P358" s="1" t="s">
        <v>70</v>
      </c>
      <c r="Q358" s="1" t="s">
        <v>14</v>
      </c>
      <c r="R358" s="1" t="s">
        <v>12</v>
      </c>
      <c r="S358" s="1" t="s">
        <v>14</v>
      </c>
      <c r="T358" s="1"/>
    </row>
    <row r="359" spans="1:20" ht="16.5" x14ac:dyDescent="0.3">
      <c r="A359" s="1">
        <v>16065</v>
      </c>
      <c r="B359" s="1" t="s">
        <v>508</v>
      </c>
      <c r="C359" s="1" t="s">
        <v>562</v>
      </c>
      <c r="D359" s="1" t="s">
        <v>562</v>
      </c>
      <c r="E359" s="1" t="s">
        <v>52</v>
      </c>
      <c r="F359" s="1" t="s">
        <v>173</v>
      </c>
      <c r="G359" s="1" t="s">
        <v>13</v>
      </c>
      <c r="H359" s="1" t="s">
        <v>26</v>
      </c>
      <c r="I359" s="1" t="s">
        <v>409</v>
      </c>
      <c r="J359" s="1" t="s">
        <v>12</v>
      </c>
      <c r="K359" s="1" t="s">
        <v>14</v>
      </c>
      <c r="L359" s="1" t="s">
        <v>14</v>
      </c>
      <c r="M359" s="1" t="s">
        <v>70</v>
      </c>
      <c r="N359" s="1" t="s">
        <v>40</v>
      </c>
      <c r="O359" s="1" t="s">
        <v>12</v>
      </c>
      <c r="P359" s="1" t="s">
        <v>70</v>
      </c>
      <c r="Q359" s="1" t="s">
        <v>14</v>
      </c>
      <c r="R359" s="1" t="s">
        <v>12</v>
      </c>
      <c r="S359" s="1" t="s">
        <v>14</v>
      </c>
      <c r="T359" s="1"/>
    </row>
    <row r="360" spans="1:20" ht="16.5" x14ac:dyDescent="0.3">
      <c r="A360" s="1">
        <v>16066</v>
      </c>
      <c r="B360" s="1" t="s">
        <v>509</v>
      </c>
      <c r="C360" s="1" t="s">
        <v>563</v>
      </c>
      <c r="D360" s="1" t="s">
        <v>563</v>
      </c>
      <c r="E360" s="1" t="s">
        <v>52</v>
      </c>
      <c r="F360" s="1" t="s">
        <v>173</v>
      </c>
      <c r="G360" s="1" t="s">
        <v>13</v>
      </c>
      <c r="H360" s="1" t="s">
        <v>26</v>
      </c>
      <c r="I360" s="1" t="s">
        <v>410</v>
      </c>
      <c r="J360" s="1" t="s">
        <v>12</v>
      </c>
      <c r="K360" s="1" t="s">
        <v>14</v>
      </c>
      <c r="L360" s="1" t="s">
        <v>14</v>
      </c>
      <c r="M360" s="1" t="s">
        <v>70</v>
      </c>
      <c r="N360" s="1" t="s">
        <v>40</v>
      </c>
      <c r="O360" s="1" t="s">
        <v>12</v>
      </c>
      <c r="P360" s="1" t="s">
        <v>70</v>
      </c>
      <c r="Q360" s="1" t="s">
        <v>14</v>
      </c>
      <c r="R360" s="1" t="s">
        <v>12</v>
      </c>
      <c r="S360" s="1" t="s">
        <v>14</v>
      </c>
      <c r="T360" s="1"/>
    </row>
    <row r="361" spans="1:20" ht="16.5" x14ac:dyDescent="0.3">
      <c r="A361" s="1">
        <v>16071</v>
      </c>
      <c r="B361" s="1" t="s">
        <v>510</v>
      </c>
      <c r="C361" s="1" t="s">
        <v>564</v>
      </c>
      <c r="D361" s="1" t="s">
        <v>564</v>
      </c>
      <c r="E361" s="1" t="s">
        <v>52</v>
      </c>
      <c r="F361" s="1" t="s">
        <v>173</v>
      </c>
      <c r="G361" s="1" t="s">
        <v>13</v>
      </c>
      <c r="H361" s="1" t="s">
        <v>26</v>
      </c>
      <c r="I361" s="1" t="s">
        <v>138</v>
      </c>
      <c r="J361" s="1" t="s">
        <v>12</v>
      </c>
      <c r="K361" s="1" t="s">
        <v>14</v>
      </c>
      <c r="L361" s="1" t="s">
        <v>14</v>
      </c>
      <c r="M361" s="1" t="s">
        <v>70</v>
      </c>
      <c r="N361" s="1" t="s">
        <v>40</v>
      </c>
      <c r="O361" s="1" t="s">
        <v>12</v>
      </c>
      <c r="P361" s="1" t="s">
        <v>70</v>
      </c>
      <c r="Q361" s="1" t="s">
        <v>14</v>
      </c>
      <c r="R361" s="1" t="s">
        <v>12</v>
      </c>
      <c r="S361" s="1" t="s">
        <v>14</v>
      </c>
      <c r="T361" s="1"/>
    </row>
    <row r="362" spans="1:20" ht="16.5" x14ac:dyDescent="0.3">
      <c r="A362" s="1">
        <v>16072</v>
      </c>
      <c r="B362" s="1" t="s">
        <v>511</v>
      </c>
      <c r="C362" s="1" t="s">
        <v>565</v>
      </c>
      <c r="D362" s="1" t="s">
        <v>565</v>
      </c>
      <c r="E362" s="1" t="s">
        <v>52</v>
      </c>
      <c r="F362" s="1" t="s">
        <v>173</v>
      </c>
      <c r="G362" s="1" t="s">
        <v>13</v>
      </c>
      <c r="H362" s="1" t="s">
        <v>26</v>
      </c>
      <c r="I362" s="1" t="s">
        <v>140</v>
      </c>
      <c r="J362" s="1" t="s">
        <v>12</v>
      </c>
      <c r="K362" s="1" t="s">
        <v>14</v>
      </c>
      <c r="L362" s="1" t="s">
        <v>14</v>
      </c>
      <c r="M362" s="1" t="s">
        <v>70</v>
      </c>
      <c r="N362" s="1" t="s">
        <v>40</v>
      </c>
      <c r="O362" s="1" t="s">
        <v>12</v>
      </c>
      <c r="P362" s="1" t="s">
        <v>70</v>
      </c>
      <c r="Q362" s="1" t="s">
        <v>14</v>
      </c>
      <c r="R362" s="1" t="s">
        <v>12</v>
      </c>
      <c r="S362" s="1" t="s">
        <v>14</v>
      </c>
      <c r="T362" s="1"/>
    </row>
    <row r="363" spans="1:20" ht="16.5" x14ac:dyDescent="0.3">
      <c r="A363" s="1">
        <v>16073</v>
      </c>
      <c r="B363" s="1" t="s">
        <v>512</v>
      </c>
      <c r="C363" s="1" t="s">
        <v>566</v>
      </c>
      <c r="D363" s="1" t="s">
        <v>566</v>
      </c>
      <c r="E363" s="1" t="s">
        <v>52</v>
      </c>
      <c r="F363" s="1" t="s">
        <v>173</v>
      </c>
      <c r="G363" s="1" t="s">
        <v>13</v>
      </c>
      <c r="H363" s="1" t="s">
        <v>26</v>
      </c>
      <c r="I363" s="1" t="s">
        <v>419</v>
      </c>
      <c r="J363" s="1" t="s">
        <v>12</v>
      </c>
      <c r="K363" s="1" t="s">
        <v>14</v>
      </c>
      <c r="L363" s="1" t="s">
        <v>14</v>
      </c>
      <c r="M363" s="1" t="s">
        <v>70</v>
      </c>
      <c r="N363" s="1" t="s">
        <v>40</v>
      </c>
      <c r="O363" s="1" t="s">
        <v>12</v>
      </c>
      <c r="P363" s="1" t="s">
        <v>70</v>
      </c>
      <c r="Q363" s="1" t="s">
        <v>14</v>
      </c>
      <c r="R363" s="1" t="s">
        <v>12</v>
      </c>
      <c r="S363" s="1" t="s">
        <v>14</v>
      </c>
      <c r="T363" s="1"/>
    </row>
    <row r="364" spans="1:20" ht="16.5" x14ac:dyDescent="0.3">
      <c r="A364" s="1">
        <v>16074</v>
      </c>
      <c r="B364" s="1" t="s">
        <v>513</v>
      </c>
      <c r="C364" s="1" t="s">
        <v>567</v>
      </c>
      <c r="D364" s="1" t="s">
        <v>567</v>
      </c>
      <c r="E364" s="1" t="s">
        <v>52</v>
      </c>
      <c r="F364" s="1" t="s">
        <v>173</v>
      </c>
      <c r="G364" s="1" t="s">
        <v>13</v>
      </c>
      <c r="H364" s="1" t="s">
        <v>26</v>
      </c>
      <c r="I364" s="1" t="s">
        <v>420</v>
      </c>
      <c r="J364" s="1" t="s">
        <v>12</v>
      </c>
      <c r="K364" s="1" t="s">
        <v>14</v>
      </c>
      <c r="L364" s="1" t="s">
        <v>14</v>
      </c>
      <c r="M364" s="1" t="s">
        <v>70</v>
      </c>
      <c r="N364" s="1" t="s">
        <v>40</v>
      </c>
      <c r="O364" s="1" t="s">
        <v>12</v>
      </c>
      <c r="P364" s="1" t="s">
        <v>70</v>
      </c>
      <c r="Q364" s="1" t="s">
        <v>14</v>
      </c>
      <c r="R364" s="1" t="s">
        <v>12</v>
      </c>
      <c r="S364" s="1" t="s">
        <v>14</v>
      </c>
      <c r="T364" s="1"/>
    </row>
    <row r="365" spans="1:20" ht="16.5" x14ac:dyDescent="0.3">
      <c r="A365" s="1">
        <v>16075</v>
      </c>
      <c r="B365" s="1" t="s">
        <v>514</v>
      </c>
      <c r="C365" s="1" t="s">
        <v>568</v>
      </c>
      <c r="D365" s="1" t="s">
        <v>568</v>
      </c>
      <c r="E365" s="1" t="s">
        <v>52</v>
      </c>
      <c r="F365" s="1" t="s">
        <v>173</v>
      </c>
      <c r="G365" s="1" t="s">
        <v>13</v>
      </c>
      <c r="H365" s="1" t="s">
        <v>26</v>
      </c>
      <c r="I365" s="1" t="s">
        <v>421</v>
      </c>
      <c r="J365" s="1" t="s">
        <v>12</v>
      </c>
      <c r="K365" s="1" t="s">
        <v>14</v>
      </c>
      <c r="L365" s="1" t="s">
        <v>14</v>
      </c>
      <c r="M365" s="1" t="s">
        <v>70</v>
      </c>
      <c r="N365" s="1" t="s">
        <v>40</v>
      </c>
      <c r="O365" s="1" t="s">
        <v>12</v>
      </c>
      <c r="P365" s="1" t="s">
        <v>70</v>
      </c>
      <c r="Q365" s="1" t="s">
        <v>14</v>
      </c>
      <c r="R365" s="1" t="s">
        <v>12</v>
      </c>
      <c r="S365" s="1" t="s">
        <v>14</v>
      </c>
      <c r="T365" s="1"/>
    </row>
    <row r="366" spans="1:20" ht="16.5" x14ac:dyDescent="0.3">
      <c r="A366" s="1">
        <v>16076</v>
      </c>
      <c r="B366" s="1" t="s">
        <v>515</v>
      </c>
      <c r="C366" s="1" t="s">
        <v>569</v>
      </c>
      <c r="D366" s="1" t="s">
        <v>569</v>
      </c>
      <c r="E366" s="1" t="s">
        <v>52</v>
      </c>
      <c r="F366" s="1" t="s">
        <v>173</v>
      </c>
      <c r="G366" s="1" t="s">
        <v>13</v>
      </c>
      <c r="H366" s="1" t="s">
        <v>26</v>
      </c>
      <c r="I366" s="1" t="s">
        <v>422</v>
      </c>
      <c r="J366" s="1" t="s">
        <v>12</v>
      </c>
      <c r="K366" s="1" t="s">
        <v>14</v>
      </c>
      <c r="L366" s="1" t="s">
        <v>14</v>
      </c>
      <c r="M366" s="1" t="s">
        <v>70</v>
      </c>
      <c r="N366" s="1" t="s">
        <v>40</v>
      </c>
      <c r="O366" s="1" t="s">
        <v>12</v>
      </c>
      <c r="P366" s="1" t="s">
        <v>70</v>
      </c>
      <c r="Q366" s="1" t="s">
        <v>14</v>
      </c>
      <c r="R366" s="1" t="s">
        <v>12</v>
      </c>
      <c r="S366" s="1" t="s">
        <v>14</v>
      </c>
      <c r="T366" s="1"/>
    </row>
    <row r="367" spans="1:20" ht="16.5" x14ac:dyDescent="0.3">
      <c r="A367" s="1">
        <v>16081</v>
      </c>
      <c r="B367" s="1" t="s">
        <v>516</v>
      </c>
      <c r="C367" s="1" t="s">
        <v>570</v>
      </c>
      <c r="D367" s="1" t="s">
        <v>570</v>
      </c>
      <c r="E367" s="1" t="s">
        <v>52</v>
      </c>
      <c r="F367" s="1" t="s">
        <v>173</v>
      </c>
      <c r="G367" s="1" t="s">
        <v>13</v>
      </c>
      <c r="H367" s="1" t="s">
        <v>26</v>
      </c>
      <c r="I367" s="1" t="s">
        <v>182</v>
      </c>
      <c r="J367" s="1" t="s">
        <v>12</v>
      </c>
      <c r="K367" s="1" t="s">
        <v>14</v>
      </c>
      <c r="L367" s="1" t="s">
        <v>14</v>
      </c>
      <c r="M367" s="1" t="s">
        <v>70</v>
      </c>
      <c r="N367" s="1" t="s">
        <v>40</v>
      </c>
      <c r="O367" s="1" t="s">
        <v>12</v>
      </c>
      <c r="P367" s="1" t="s">
        <v>70</v>
      </c>
      <c r="Q367" s="1" t="s">
        <v>14</v>
      </c>
      <c r="R367" s="1" t="s">
        <v>12</v>
      </c>
      <c r="S367" s="1" t="s">
        <v>14</v>
      </c>
      <c r="T367" s="1"/>
    </row>
    <row r="368" spans="1:20" ht="16.5" x14ac:dyDescent="0.3">
      <c r="A368" s="1">
        <v>16082</v>
      </c>
      <c r="B368" s="1" t="s">
        <v>517</v>
      </c>
      <c r="C368" s="1" t="s">
        <v>571</v>
      </c>
      <c r="D368" s="1" t="s">
        <v>571</v>
      </c>
      <c r="E368" s="1" t="s">
        <v>52</v>
      </c>
      <c r="F368" s="1" t="s">
        <v>173</v>
      </c>
      <c r="G368" s="1" t="s">
        <v>13</v>
      </c>
      <c r="H368" s="1" t="s">
        <v>26</v>
      </c>
      <c r="I368" s="1" t="s">
        <v>141</v>
      </c>
      <c r="J368" s="1" t="s">
        <v>12</v>
      </c>
      <c r="K368" s="1" t="s">
        <v>14</v>
      </c>
      <c r="L368" s="1" t="s">
        <v>14</v>
      </c>
      <c r="M368" s="1" t="s">
        <v>70</v>
      </c>
      <c r="N368" s="1" t="s">
        <v>40</v>
      </c>
      <c r="O368" s="1" t="s">
        <v>12</v>
      </c>
      <c r="P368" s="1" t="s">
        <v>70</v>
      </c>
      <c r="Q368" s="1" t="s">
        <v>14</v>
      </c>
      <c r="R368" s="1" t="s">
        <v>12</v>
      </c>
      <c r="S368" s="1" t="s">
        <v>14</v>
      </c>
      <c r="T368" s="1"/>
    </row>
    <row r="369" spans="1:20" ht="16.5" x14ac:dyDescent="0.3">
      <c r="A369" s="1">
        <v>16083</v>
      </c>
      <c r="B369" s="1" t="s">
        <v>518</v>
      </c>
      <c r="C369" s="1" t="s">
        <v>572</v>
      </c>
      <c r="D369" s="1" t="s">
        <v>572</v>
      </c>
      <c r="E369" s="1" t="s">
        <v>52</v>
      </c>
      <c r="F369" s="1" t="s">
        <v>173</v>
      </c>
      <c r="G369" s="1" t="s">
        <v>13</v>
      </c>
      <c r="H369" s="1" t="s">
        <v>26</v>
      </c>
      <c r="I369" s="1" t="s">
        <v>423</v>
      </c>
      <c r="J369" s="1" t="s">
        <v>12</v>
      </c>
      <c r="K369" s="1" t="s">
        <v>14</v>
      </c>
      <c r="L369" s="1" t="s">
        <v>14</v>
      </c>
      <c r="M369" s="1" t="s">
        <v>70</v>
      </c>
      <c r="N369" s="1" t="s">
        <v>40</v>
      </c>
      <c r="O369" s="1" t="s">
        <v>12</v>
      </c>
      <c r="P369" s="1" t="s">
        <v>70</v>
      </c>
      <c r="Q369" s="1" t="s">
        <v>14</v>
      </c>
      <c r="R369" s="1" t="s">
        <v>12</v>
      </c>
      <c r="S369" s="1" t="s">
        <v>14</v>
      </c>
      <c r="T369" s="1"/>
    </row>
    <row r="370" spans="1:20" ht="16.5" x14ac:dyDescent="0.3">
      <c r="A370" s="1">
        <v>16084</v>
      </c>
      <c r="B370" s="1" t="s">
        <v>519</v>
      </c>
      <c r="C370" s="1" t="s">
        <v>573</v>
      </c>
      <c r="D370" s="1" t="s">
        <v>573</v>
      </c>
      <c r="E370" s="1" t="s">
        <v>52</v>
      </c>
      <c r="F370" s="1" t="s">
        <v>173</v>
      </c>
      <c r="G370" s="1" t="s">
        <v>13</v>
      </c>
      <c r="H370" s="1" t="s">
        <v>26</v>
      </c>
      <c r="I370" s="1" t="s">
        <v>424</v>
      </c>
      <c r="J370" s="1" t="s">
        <v>12</v>
      </c>
      <c r="K370" s="1" t="s">
        <v>14</v>
      </c>
      <c r="L370" s="1" t="s">
        <v>14</v>
      </c>
      <c r="M370" s="1" t="s">
        <v>70</v>
      </c>
      <c r="N370" s="1" t="s">
        <v>40</v>
      </c>
      <c r="O370" s="1" t="s">
        <v>12</v>
      </c>
      <c r="P370" s="1" t="s">
        <v>70</v>
      </c>
      <c r="Q370" s="1" t="s">
        <v>14</v>
      </c>
      <c r="R370" s="1" t="s">
        <v>12</v>
      </c>
      <c r="S370" s="1" t="s">
        <v>14</v>
      </c>
      <c r="T370" s="1"/>
    </row>
    <row r="371" spans="1:20" ht="16.5" x14ac:dyDescent="0.3">
      <c r="A371" s="1">
        <v>16085</v>
      </c>
      <c r="B371" s="1" t="s">
        <v>520</v>
      </c>
      <c r="C371" s="1" t="s">
        <v>574</v>
      </c>
      <c r="D371" s="1" t="s">
        <v>574</v>
      </c>
      <c r="E371" s="1" t="s">
        <v>52</v>
      </c>
      <c r="F371" s="1" t="s">
        <v>173</v>
      </c>
      <c r="G371" s="1" t="s">
        <v>13</v>
      </c>
      <c r="H371" s="1" t="s">
        <v>26</v>
      </c>
      <c r="I371" s="1" t="s">
        <v>425</v>
      </c>
      <c r="J371" s="1" t="s">
        <v>12</v>
      </c>
      <c r="K371" s="1" t="s">
        <v>14</v>
      </c>
      <c r="L371" s="1" t="s">
        <v>14</v>
      </c>
      <c r="M371" s="1" t="s">
        <v>70</v>
      </c>
      <c r="N371" s="1" t="s">
        <v>40</v>
      </c>
      <c r="O371" s="1" t="s">
        <v>12</v>
      </c>
      <c r="P371" s="1" t="s">
        <v>70</v>
      </c>
      <c r="Q371" s="1" t="s">
        <v>14</v>
      </c>
      <c r="R371" s="1" t="s">
        <v>12</v>
      </c>
      <c r="S371" s="1" t="s">
        <v>14</v>
      </c>
      <c r="T371" s="1"/>
    </row>
    <row r="372" spans="1:20" ht="16.5" x14ac:dyDescent="0.3">
      <c r="A372" s="1">
        <v>16086</v>
      </c>
      <c r="B372" s="1" t="s">
        <v>521</v>
      </c>
      <c r="C372" s="1" t="s">
        <v>575</v>
      </c>
      <c r="D372" s="1" t="s">
        <v>575</v>
      </c>
      <c r="E372" s="1" t="s">
        <v>52</v>
      </c>
      <c r="F372" s="1" t="s">
        <v>173</v>
      </c>
      <c r="G372" s="1" t="s">
        <v>13</v>
      </c>
      <c r="H372" s="1" t="s">
        <v>26</v>
      </c>
      <c r="I372" s="1" t="s">
        <v>426</v>
      </c>
      <c r="J372" s="1" t="s">
        <v>12</v>
      </c>
      <c r="K372" s="1" t="s">
        <v>14</v>
      </c>
      <c r="L372" s="1" t="s">
        <v>14</v>
      </c>
      <c r="M372" s="1" t="s">
        <v>70</v>
      </c>
      <c r="N372" s="1" t="s">
        <v>40</v>
      </c>
      <c r="O372" s="1" t="s">
        <v>12</v>
      </c>
      <c r="P372" s="1" t="s">
        <v>70</v>
      </c>
      <c r="Q372" s="1" t="s">
        <v>14</v>
      </c>
      <c r="R372" s="1" t="s">
        <v>12</v>
      </c>
      <c r="S372" s="1" t="s">
        <v>14</v>
      </c>
      <c r="T372" s="1"/>
    </row>
    <row r="373" spans="1:20" ht="16.5" x14ac:dyDescent="0.3">
      <c r="A373" s="1">
        <v>16091</v>
      </c>
      <c r="B373" s="1" t="s">
        <v>522</v>
      </c>
      <c r="C373" s="1" t="s">
        <v>576</v>
      </c>
      <c r="D373" s="1" t="s">
        <v>576</v>
      </c>
      <c r="E373" s="1" t="s">
        <v>52</v>
      </c>
      <c r="F373" s="1" t="s">
        <v>173</v>
      </c>
      <c r="G373" s="1" t="s">
        <v>13</v>
      </c>
      <c r="H373" s="1" t="s">
        <v>26</v>
      </c>
      <c r="I373" s="1" t="s">
        <v>136</v>
      </c>
      <c r="J373" s="1" t="s">
        <v>12</v>
      </c>
      <c r="K373" s="1" t="s">
        <v>14</v>
      </c>
      <c r="L373" s="1" t="s">
        <v>14</v>
      </c>
      <c r="M373" s="1" t="s">
        <v>70</v>
      </c>
      <c r="N373" s="1" t="s">
        <v>40</v>
      </c>
      <c r="O373" s="1" t="s">
        <v>12</v>
      </c>
      <c r="P373" s="1" t="s">
        <v>70</v>
      </c>
      <c r="Q373" s="1" t="s">
        <v>14</v>
      </c>
      <c r="R373" s="1" t="s">
        <v>12</v>
      </c>
      <c r="S373" s="1" t="s">
        <v>14</v>
      </c>
      <c r="T373" s="1"/>
    </row>
    <row r="374" spans="1:20" ht="16.5" x14ac:dyDescent="0.3">
      <c r="A374" s="1">
        <v>16092</v>
      </c>
      <c r="B374" s="1" t="s">
        <v>523</v>
      </c>
      <c r="C374" s="1" t="s">
        <v>577</v>
      </c>
      <c r="D374" s="1" t="s">
        <v>577</v>
      </c>
      <c r="E374" s="1" t="s">
        <v>52</v>
      </c>
      <c r="F374" s="1" t="s">
        <v>173</v>
      </c>
      <c r="G374" s="1" t="s">
        <v>13</v>
      </c>
      <c r="H374" s="1" t="s">
        <v>26</v>
      </c>
      <c r="I374" s="1" t="s">
        <v>183</v>
      </c>
      <c r="J374" s="1" t="s">
        <v>12</v>
      </c>
      <c r="K374" s="1" t="s">
        <v>14</v>
      </c>
      <c r="L374" s="1" t="s">
        <v>14</v>
      </c>
      <c r="M374" s="1" t="s">
        <v>70</v>
      </c>
      <c r="N374" s="1" t="s">
        <v>40</v>
      </c>
      <c r="O374" s="1" t="s">
        <v>12</v>
      </c>
      <c r="P374" s="1" t="s">
        <v>70</v>
      </c>
      <c r="Q374" s="1" t="s">
        <v>14</v>
      </c>
      <c r="R374" s="1" t="s">
        <v>12</v>
      </c>
      <c r="S374" s="1" t="s">
        <v>14</v>
      </c>
      <c r="T374" s="1"/>
    </row>
    <row r="375" spans="1:20" ht="16.5" x14ac:dyDescent="0.3">
      <c r="A375" s="1">
        <v>16093</v>
      </c>
      <c r="B375" s="1" t="s">
        <v>524</v>
      </c>
      <c r="C375" s="1" t="s">
        <v>578</v>
      </c>
      <c r="D375" s="1" t="s">
        <v>578</v>
      </c>
      <c r="E375" s="1" t="s">
        <v>52</v>
      </c>
      <c r="F375" s="1" t="s">
        <v>173</v>
      </c>
      <c r="G375" s="1" t="s">
        <v>13</v>
      </c>
      <c r="H375" s="1" t="s">
        <v>26</v>
      </c>
      <c r="I375" s="1" t="s">
        <v>427</v>
      </c>
      <c r="J375" s="1" t="s">
        <v>12</v>
      </c>
      <c r="K375" s="1" t="s">
        <v>14</v>
      </c>
      <c r="L375" s="1" t="s">
        <v>14</v>
      </c>
      <c r="M375" s="1" t="s">
        <v>70</v>
      </c>
      <c r="N375" s="1" t="s">
        <v>40</v>
      </c>
      <c r="O375" s="1" t="s">
        <v>12</v>
      </c>
      <c r="P375" s="1" t="s">
        <v>70</v>
      </c>
      <c r="Q375" s="1" t="s">
        <v>14</v>
      </c>
      <c r="R375" s="1" t="s">
        <v>12</v>
      </c>
      <c r="S375" s="1" t="s">
        <v>14</v>
      </c>
      <c r="T375" s="1"/>
    </row>
    <row r="376" spans="1:20" ht="16.5" x14ac:dyDescent="0.3">
      <c r="A376" s="1">
        <v>16094</v>
      </c>
      <c r="B376" s="1" t="s">
        <v>525</v>
      </c>
      <c r="C376" s="1" t="s">
        <v>579</v>
      </c>
      <c r="D376" s="1" t="s">
        <v>579</v>
      </c>
      <c r="E376" s="1" t="s">
        <v>52</v>
      </c>
      <c r="F376" s="1" t="s">
        <v>173</v>
      </c>
      <c r="G376" s="1" t="s">
        <v>13</v>
      </c>
      <c r="H376" s="1" t="s">
        <v>26</v>
      </c>
      <c r="I376" s="1" t="s">
        <v>428</v>
      </c>
      <c r="J376" s="1" t="s">
        <v>12</v>
      </c>
      <c r="K376" s="1" t="s">
        <v>14</v>
      </c>
      <c r="L376" s="1" t="s">
        <v>14</v>
      </c>
      <c r="M376" s="1" t="s">
        <v>70</v>
      </c>
      <c r="N376" s="1" t="s">
        <v>40</v>
      </c>
      <c r="O376" s="1" t="s">
        <v>12</v>
      </c>
      <c r="P376" s="1" t="s">
        <v>70</v>
      </c>
      <c r="Q376" s="1" t="s">
        <v>14</v>
      </c>
      <c r="R376" s="1" t="s">
        <v>12</v>
      </c>
      <c r="S376" s="1" t="s">
        <v>14</v>
      </c>
      <c r="T376" s="1"/>
    </row>
    <row r="377" spans="1:20" ht="16.5" x14ac:dyDescent="0.3">
      <c r="A377" s="1">
        <v>16095</v>
      </c>
      <c r="B377" s="1" t="s">
        <v>526</v>
      </c>
      <c r="C377" s="1" t="s">
        <v>580</v>
      </c>
      <c r="D377" s="1" t="s">
        <v>580</v>
      </c>
      <c r="E377" s="1" t="s">
        <v>52</v>
      </c>
      <c r="F377" s="1" t="s">
        <v>173</v>
      </c>
      <c r="G377" s="1" t="s">
        <v>13</v>
      </c>
      <c r="H377" s="1" t="s">
        <v>26</v>
      </c>
      <c r="I377" s="1" t="s">
        <v>429</v>
      </c>
      <c r="J377" s="1" t="s">
        <v>12</v>
      </c>
      <c r="K377" s="1" t="s">
        <v>14</v>
      </c>
      <c r="L377" s="1" t="s">
        <v>14</v>
      </c>
      <c r="M377" s="1" t="s">
        <v>70</v>
      </c>
      <c r="N377" s="1" t="s">
        <v>40</v>
      </c>
      <c r="O377" s="1" t="s">
        <v>12</v>
      </c>
      <c r="P377" s="1" t="s">
        <v>70</v>
      </c>
      <c r="Q377" s="1" t="s">
        <v>14</v>
      </c>
      <c r="R377" s="1" t="s">
        <v>12</v>
      </c>
      <c r="S377" s="1" t="s">
        <v>14</v>
      </c>
      <c r="T377" s="1"/>
    </row>
    <row r="378" spans="1:20" ht="16.5" x14ac:dyDescent="0.3">
      <c r="A378" s="1">
        <v>16096</v>
      </c>
      <c r="B378" s="1" t="s">
        <v>527</v>
      </c>
      <c r="C378" s="1" t="s">
        <v>581</v>
      </c>
      <c r="D378" s="1" t="s">
        <v>581</v>
      </c>
      <c r="E378" s="1" t="s">
        <v>52</v>
      </c>
      <c r="F378" s="1" t="s">
        <v>173</v>
      </c>
      <c r="G378" s="1" t="s">
        <v>13</v>
      </c>
      <c r="H378" s="1" t="s">
        <v>26</v>
      </c>
      <c r="I378" s="1" t="s">
        <v>430</v>
      </c>
      <c r="J378" s="1" t="s">
        <v>12</v>
      </c>
      <c r="K378" s="1" t="s">
        <v>14</v>
      </c>
      <c r="L378" s="1" t="s">
        <v>14</v>
      </c>
      <c r="M378" s="1" t="s">
        <v>70</v>
      </c>
      <c r="N378" s="1" t="s">
        <v>40</v>
      </c>
      <c r="O378" s="1" t="s">
        <v>12</v>
      </c>
      <c r="P378" s="1" t="s">
        <v>70</v>
      </c>
      <c r="Q378" s="1" t="s">
        <v>14</v>
      </c>
      <c r="R378" s="1" t="s">
        <v>12</v>
      </c>
      <c r="S378" s="1" t="s">
        <v>14</v>
      </c>
      <c r="T378" s="1"/>
    </row>
    <row r="379" spans="1:20" ht="16.5" x14ac:dyDescent="0.3">
      <c r="A379" s="1">
        <v>16501</v>
      </c>
      <c r="B379" s="1" t="s">
        <v>680</v>
      </c>
      <c r="C379" s="1" t="s">
        <v>724</v>
      </c>
      <c r="D379" s="1" t="s">
        <v>725</v>
      </c>
      <c r="E379" s="1" t="s">
        <v>165</v>
      </c>
      <c r="F379" s="1" t="s">
        <v>173</v>
      </c>
      <c r="G379" s="1" t="s">
        <v>13</v>
      </c>
      <c r="H379" s="1" t="s">
        <v>37</v>
      </c>
      <c r="I379" s="1" t="s">
        <v>677</v>
      </c>
      <c r="J379" s="1" t="s">
        <v>12</v>
      </c>
      <c r="K379" s="1" t="s">
        <v>14</v>
      </c>
      <c r="L379" s="1" t="s">
        <v>14</v>
      </c>
      <c r="M379" s="1" t="s">
        <v>153</v>
      </c>
      <c r="N379" s="1" t="s">
        <v>40</v>
      </c>
      <c r="O379" s="1" t="s">
        <v>12</v>
      </c>
      <c r="P379" s="1" t="s">
        <v>153</v>
      </c>
      <c r="Q379" s="1" t="s">
        <v>14</v>
      </c>
      <c r="R379" s="1" t="s">
        <v>12</v>
      </c>
      <c r="S379" s="1" t="s">
        <v>14</v>
      </c>
      <c r="T379" s="1"/>
    </row>
    <row r="380" spans="1:20" ht="16.5" x14ac:dyDescent="0.3">
      <c r="A380" s="1">
        <v>16502</v>
      </c>
      <c r="B380" s="1" t="s">
        <v>679</v>
      </c>
      <c r="C380" s="1" t="s">
        <v>726</v>
      </c>
      <c r="D380" s="1" t="s">
        <v>686</v>
      </c>
      <c r="E380" s="1" t="s">
        <v>165</v>
      </c>
      <c r="F380" s="1" t="s">
        <v>173</v>
      </c>
      <c r="G380" s="1" t="s">
        <v>13</v>
      </c>
      <c r="H380" s="1" t="s">
        <v>37</v>
      </c>
      <c r="I380" s="1" t="s">
        <v>678</v>
      </c>
      <c r="J380" s="1" t="s">
        <v>12</v>
      </c>
      <c r="K380" s="1" t="s">
        <v>14</v>
      </c>
      <c r="L380" s="1" t="s">
        <v>14</v>
      </c>
      <c r="M380" s="1" t="s">
        <v>153</v>
      </c>
      <c r="N380" s="1" t="s">
        <v>40</v>
      </c>
      <c r="O380" s="1" t="s">
        <v>12</v>
      </c>
      <c r="P380" s="1" t="s">
        <v>153</v>
      </c>
      <c r="Q380" s="1" t="s">
        <v>14</v>
      </c>
      <c r="R380" s="1" t="s">
        <v>12</v>
      </c>
      <c r="S380" s="1" t="s">
        <v>14</v>
      </c>
      <c r="T380" s="1"/>
    </row>
    <row r="381" spans="1:20" ht="16.5" x14ac:dyDescent="0.3">
      <c r="A381" s="1">
        <v>16503</v>
      </c>
      <c r="B381" s="1" t="s">
        <v>681</v>
      </c>
      <c r="C381" s="1" t="s">
        <v>641</v>
      </c>
      <c r="D381" s="1" t="s">
        <v>687</v>
      </c>
      <c r="E381" s="1" t="s">
        <v>52</v>
      </c>
      <c r="F381" s="1" t="s">
        <v>173</v>
      </c>
      <c r="G381" s="1" t="s">
        <v>13</v>
      </c>
      <c r="H381" s="1" t="s">
        <v>38</v>
      </c>
      <c r="I381" s="1" t="s">
        <v>676</v>
      </c>
      <c r="J381" s="1" t="s">
        <v>12</v>
      </c>
      <c r="K381" s="1" t="s">
        <v>14</v>
      </c>
      <c r="L381" s="1" t="s">
        <v>14</v>
      </c>
      <c r="M381" s="1" t="s">
        <v>70</v>
      </c>
      <c r="N381" s="1" t="s">
        <v>40</v>
      </c>
      <c r="O381" s="1" t="s">
        <v>12</v>
      </c>
      <c r="P381" s="1" t="s">
        <v>70</v>
      </c>
      <c r="Q381" s="1" t="s">
        <v>14</v>
      </c>
      <c r="R381" s="1" t="s">
        <v>12</v>
      </c>
      <c r="S381" s="1" t="s">
        <v>14</v>
      </c>
      <c r="T381" s="1"/>
    </row>
    <row r="382" spans="1:20" ht="16.5" x14ac:dyDescent="0.3">
      <c r="A382" s="1">
        <v>16504</v>
      </c>
      <c r="B382" s="1" t="s">
        <v>615</v>
      </c>
      <c r="C382" s="1" t="s">
        <v>727</v>
      </c>
      <c r="D382" s="1" t="s">
        <v>727</v>
      </c>
      <c r="E382" s="1" t="s">
        <v>165</v>
      </c>
      <c r="F382" s="1" t="s">
        <v>173</v>
      </c>
      <c r="G382" s="1" t="s">
        <v>13</v>
      </c>
      <c r="H382" s="1" t="s">
        <v>36</v>
      </c>
      <c r="I382" s="1" t="s">
        <v>169</v>
      </c>
      <c r="J382" s="1" t="s">
        <v>12</v>
      </c>
      <c r="K382" s="1" t="s">
        <v>14</v>
      </c>
      <c r="L382" s="1" t="s">
        <v>14</v>
      </c>
      <c r="M382" s="1" t="s">
        <v>153</v>
      </c>
      <c r="N382" s="1" t="s">
        <v>40</v>
      </c>
      <c r="O382" s="1" t="s">
        <v>12</v>
      </c>
      <c r="P382" s="1" t="s">
        <v>153</v>
      </c>
      <c r="Q382" s="1" t="s">
        <v>14</v>
      </c>
      <c r="R382" s="1" t="s">
        <v>12</v>
      </c>
      <c r="S382" s="1" t="s">
        <v>14</v>
      </c>
      <c r="T382" s="1"/>
    </row>
    <row r="383" spans="1:20" ht="16.5" x14ac:dyDescent="0.3">
      <c r="A383" s="1">
        <v>16511</v>
      </c>
      <c r="B383" s="1" t="s">
        <v>582</v>
      </c>
      <c r="C383" s="1" t="s">
        <v>582</v>
      </c>
      <c r="D383" s="1" t="s">
        <v>582</v>
      </c>
      <c r="E383" s="1" t="s">
        <v>52</v>
      </c>
      <c r="F383" s="1" t="s">
        <v>173</v>
      </c>
      <c r="G383" s="1" t="s">
        <v>13</v>
      </c>
      <c r="H383" s="1" t="s">
        <v>36</v>
      </c>
      <c r="I383" s="1" t="s">
        <v>170</v>
      </c>
      <c r="J383" s="1" t="s">
        <v>12</v>
      </c>
      <c r="K383" s="1" t="s">
        <v>14</v>
      </c>
      <c r="L383" s="1" t="s">
        <v>14</v>
      </c>
      <c r="M383" s="1" t="s">
        <v>70</v>
      </c>
      <c r="N383" s="1" t="s">
        <v>40</v>
      </c>
      <c r="O383" s="1" t="s">
        <v>12</v>
      </c>
      <c r="P383" s="1" t="s">
        <v>70</v>
      </c>
      <c r="Q383" s="1" t="s">
        <v>14</v>
      </c>
      <c r="R383" s="1" t="s">
        <v>12</v>
      </c>
      <c r="S383" s="1" t="s">
        <v>14</v>
      </c>
      <c r="T383" s="1"/>
    </row>
    <row r="384" spans="1:20" ht="16.5" x14ac:dyDescent="0.3">
      <c r="A384" s="1">
        <v>16512</v>
      </c>
      <c r="B384" s="1" t="s">
        <v>583</v>
      </c>
      <c r="C384" s="1" t="s">
        <v>583</v>
      </c>
      <c r="D384" s="1" t="s">
        <v>583</v>
      </c>
      <c r="E384" s="1" t="s">
        <v>52</v>
      </c>
      <c r="F384" s="1" t="s">
        <v>173</v>
      </c>
      <c r="G384" s="1" t="s">
        <v>13</v>
      </c>
      <c r="H384" s="1" t="s">
        <v>36</v>
      </c>
      <c r="I384" s="1" t="s">
        <v>171</v>
      </c>
      <c r="J384" s="1" t="s">
        <v>12</v>
      </c>
      <c r="K384" s="1" t="s">
        <v>14</v>
      </c>
      <c r="L384" s="1" t="s">
        <v>14</v>
      </c>
      <c r="M384" s="1" t="s">
        <v>70</v>
      </c>
      <c r="N384" s="1" t="s">
        <v>40</v>
      </c>
      <c r="O384" s="1" t="s">
        <v>12</v>
      </c>
      <c r="P384" s="1" t="s">
        <v>70</v>
      </c>
      <c r="Q384" s="1" t="s">
        <v>14</v>
      </c>
      <c r="R384" s="1" t="s">
        <v>12</v>
      </c>
      <c r="S384" s="1" t="s">
        <v>14</v>
      </c>
      <c r="T384" s="1"/>
    </row>
    <row r="385" spans="1:20" ht="16.5" x14ac:dyDescent="0.3">
      <c r="A385" s="1">
        <v>16513</v>
      </c>
      <c r="B385" s="1" t="s">
        <v>584</v>
      </c>
      <c r="C385" s="1" t="s">
        <v>584</v>
      </c>
      <c r="D385" s="1" t="s">
        <v>584</v>
      </c>
      <c r="E385" s="1" t="s">
        <v>52</v>
      </c>
      <c r="F385" s="1" t="s">
        <v>173</v>
      </c>
      <c r="G385" s="1" t="s">
        <v>13</v>
      </c>
      <c r="H385" s="1" t="s">
        <v>36</v>
      </c>
      <c r="I385" s="1" t="s">
        <v>166</v>
      </c>
      <c r="J385" s="1" t="s">
        <v>12</v>
      </c>
      <c r="K385" s="1" t="s">
        <v>14</v>
      </c>
      <c r="L385" s="1" t="s">
        <v>14</v>
      </c>
      <c r="M385" s="1" t="s">
        <v>70</v>
      </c>
      <c r="N385" s="1" t="s">
        <v>40</v>
      </c>
      <c r="O385" s="1" t="s">
        <v>12</v>
      </c>
      <c r="P385" s="1" t="s">
        <v>70</v>
      </c>
      <c r="Q385" s="1" t="s">
        <v>14</v>
      </c>
      <c r="R385" s="1" t="s">
        <v>12</v>
      </c>
      <c r="S385" s="1" t="s">
        <v>14</v>
      </c>
      <c r="T385" s="1"/>
    </row>
    <row r="386" spans="1:20" ht="16.5" x14ac:dyDescent="0.3">
      <c r="A386" s="1">
        <v>16514</v>
      </c>
      <c r="B386" s="1" t="s">
        <v>585</v>
      </c>
      <c r="C386" s="1" t="s">
        <v>585</v>
      </c>
      <c r="D386" s="1" t="s">
        <v>585</v>
      </c>
      <c r="E386" s="1" t="s">
        <v>52</v>
      </c>
      <c r="F386" s="1" t="s">
        <v>173</v>
      </c>
      <c r="G386" s="1" t="s">
        <v>13</v>
      </c>
      <c r="H386" s="1" t="s">
        <v>36</v>
      </c>
      <c r="I386" s="1" t="s">
        <v>167</v>
      </c>
      <c r="J386" s="1" t="s">
        <v>12</v>
      </c>
      <c r="K386" s="1" t="s">
        <v>14</v>
      </c>
      <c r="L386" s="1" t="s">
        <v>14</v>
      </c>
      <c r="M386" s="1" t="s">
        <v>70</v>
      </c>
      <c r="N386" s="1" t="s">
        <v>40</v>
      </c>
      <c r="O386" s="1" t="s">
        <v>12</v>
      </c>
      <c r="P386" s="1" t="s">
        <v>70</v>
      </c>
      <c r="Q386" s="1" t="s">
        <v>14</v>
      </c>
      <c r="R386" s="1" t="s">
        <v>12</v>
      </c>
      <c r="S386" s="1" t="s">
        <v>14</v>
      </c>
      <c r="T386" s="1"/>
    </row>
    <row r="387" spans="1:20" ht="16.5" x14ac:dyDescent="0.3">
      <c r="A387" s="1">
        <v>16521</v>
      </c>
      <c r="B387" s="1" t="s">
        <v>586</v>
      </c>
      <c r="C387" s="1" t="s">
        <v>586</v>
      </c>
      <c r="D387" s="1" t="s">
        <v>586</v>
      </c>
      <c r="E387" s="1" t="s">
        <v>52</v>
      </c>
      <c r="F387" s="1" t="s">
        <v>173</v>
      </c>
      <c r="G387" s="1" t="s">
        <v>13</v>
      </c>
      <c r="H387" s="1" t="s">
        <v>37</v>
      </c>
      <c r="I387" s="1" t="s">
        <v>168</v>
      </c>
      <c r="J387" s="1" t="s">
        <v>12</v>
      </c>
      <c r="K387" s="1" t="s">
        <v>14</v>
      </c>
      <c r="L387" s="1" t="s">
        <v>14</v>
      </c>
      <c r="M387" s="1" t="s">
        <v>70</v>
      </c>
      <c r="N387" s="1" t="s">
        <v>40</v>
      </c>
      <c r="O387" s="1" t="s">
        <v>12</v>
      </c>
      <c r="P387" s="1" t="s">
        <v>70</v>
      </c>
      <c r="Q387" s="1" t="s">
        <v>14</v>
      </c>
      <c r="R387" s="1" t="s">
        <v>12</v>
      </c>
      <c r="S387" s="1" t="s">
        <v>14</v>
      </c>
      <c r="T387" s="1"/>
    </row>
    <row r="388" spans="1:20" ht="16.5" x14ac:dyDescent="0.3">
      <c r="A388" s="1">
        <v>16522</v>
      </c>
      <c r="B388" s="1" t="s">
        <v>587</v>
      </c>
      <c r="C388" s="1" t="s">
        <v>587</v>
      </c>
      <c r="D388" s="1" t="s">
        <v>587</v>
      </c>
      <c r="E388" s="1" t="s">
        <v>52</v>
      </c>
      <c r="F388" s="1" t="s">
        <v>173</v>
      </c>
      <c r="G388" s="1" t="s">
        <v>13</v>
      </c>
      <c r="H388" s="1" t="s">
        <v>37</v>
      </c>
      <c r="I388" s="1" t="s">
        <v>169</v>
      </c>
      <c r="J388" s="1" t="s">
        <v>12</v>
      </c>
      <c r="K388" s="1" t="s">
        <v>14</v>
      </c>
      <c r="L388" s="1" t="s">
        <v>14</v>
      </c>
      <c r="M388" s="1" t="s">
        <v>70</v>
      </c>
      <c r="N388" s="1" t="s">
        <v>40</v>
      </c>
      <c r="O388" s="1" t="s">
        <v>12</v>
      </c>
      <c r="P388" s="1" t="s">
        <v>70</v>
      </c>
      <c r="Q388" s="1" t="s">
        <v>14</v>
      </c>
      <c r="R388" s="1" t="s">
        <v>12</v>
      </c>
      <c r="S388" s="1" t="s">
        <v>14</v>
      </c>
      <c r="T388" s="1"/>
    </row>
    <row r="389" spans="1:20" ht="16.5" x14ac:dyDescent="0.3">
      <c r="A389" s="1">
        <v>16523</v>
      </c>
      <c r="B389" s="1" t="s">
        <v>588</v>
      </c>
      <c r="C389" s="1" t="s">
        <v>588</v>
      </c>
      <c r="D389" s="1" t="s">
        <v>588</v>
      </c>
      <c r="E389" s="1" t="s">
        <v>52</v>
      </c>
      <c r="F389" s="1" t="s">
        <v>173</v>
      </c>
      <c r="G389" s="1" t="s">
        <v>13</v>
      </c>
      <c r="H389" s="1" t="s">
        <v>37</v>
      </c>
      <c r="I389" s="1" t="s">
        <v>170</v>
      </c>
      <c r="J389" s="1" t="s">
        <v>12</v>
      </c>
      <c r="K389" s="1" t="s">
        <v>14</v>
      </c>
      <c r="L389" s="1" t="s">
        <v>14</v>
      </c>
      <c r="M389" s="1" t="s">
        <v>70</v>
      </c>
      <c r="N389" s="1" t="s">
        <v>40</v>
      </c>
      <c r="O389" s="1" t="s">
        <v>12</v>
      </c>
      <c r="P389" s="1" t="s">
        <v>70</v>
      </c>
      <c r="Q389" s="1" t="s">
        <v>14</v>
      </c>
      <c r="R389" s="1" t="s">
        <v>12</v>
      </c>
      <c r="S389" s="1" t="s">
        <v>14</v>
      </c>
      <c r="T389" s="1"/>
    </row>
    <row r="390" spans="1:20" ht="16.5" x14ac:dyDescent="0.3">
      <c r="A390" s="1">
        <v>16524</v>
      </c>
      <c r="B390" s="1" t="s">
        <v>589</v>
      </c>
      <c r="C390" s="1" t="s">
        <v>589</v>
      </c>
      <c r="D390" s="1" t="s">
        <v>589</v>
      </c>
      <c r="E390" s="1" t="s">
        <v>52</v>
      </c>
      <c r="F390" s="1" t="s">
        <v>173</v>
      </c>
      <c r="G390" s="1" t="s">
        <v>13</v>
      </c>
      <c r="H390" s="1" t="s">
        <v>37</v>
      </c>
      <c r="I390" s="1" t="s">
        <v>171</v>
      </c>
      <c r="J390" s="1" t="s">
        <v>12</v>
      </c>
      <c r="K390" s="1" t="s">
        <v>14</v>
      </c>
      <c r="L390" s="1" t="s">
        <v>14</v>
      </c>
      <c r="M390" s="1" t="s">
        <v>70</v>
      </c>
      <c r="N390" s="1" t="s">
        <v>40</v>
      </c>
      <c r="O390" s="1" t="s">
        <v>12</v>
      </c>
      <c r="P390" s="1" t="s">
        <v>70</v>
      </c>
      <c r="Q390" s="1" t="s">
        <v>14</v>
      </c>
      <c r="R390" s="1" t="s">
        <v>12</v>
      </c>
      <c r="S390" s="1" t="s">
        <v>14</v>
      </c>
      <c r="T390" s="1"/>
    </row>
    <row r="391" spans="1:20" ht="16.5" x14ac:dyDescent="0.3">
      <c r="A391" s="1">
        <v>16531</v>
      </c>
      <c r="B391" s="1" t="s">
        <v>590</v>
      </c>
      <c r="C391" s="1" t="s">
        <v>590</v>
      </c>
      <c r="D391" s="1" t="s">
        <v>590</v>
      </c>
      <c r="E391" s="1" t="s">
        <v>52</v>
      </c>
      <c r="F391" s="1" t="s">
        <v>173</v>
      </c>
      <c r="G391" s="1" t="s">
        <v>13</v>
      </c>
      <c r="H391" s="1" t="s">
        <v>37</v>
      </c>
      <c r="I391" s="1" t="s">
        <v>23</v>
      </c>
      <c r="J391" s="1" t="s">
        <v>12</v>
      </c>
      <c r="K391" s="1" t="s">
        <v>14</v>
      </c>
      <c r="L391" s="1" t="s">
        <v>14</v>
      </c>
      <c r="M391" s="1" t="s">
        <v>70</v>
      </c>
      <c r="N391" s="1" t="s">
        <v>40</v>
      </c>
      <c r="O391" s="1" t="s">
        <v>12</v>
      </c>
      <c r="P391" s="1" t="s">
        <v>70</v>
      </c>
      <c r="Q391" s="1" t="s">
        <v>14</v>
      </c>
      <c r="R391" s="1" t="s">
        <v>12</v>
      </c>
      <c r="S391" s="1" t="s">
        <v>14</v>
      </c>
      <c r="T391" s="1"/>
    </row>
    <row r="392" spans="1:20" ht="16.5" x14ac:dyDescent="0.3">
      <c r="A392" s="1">
        <v>16532</v>
      </c>
      <c r="B392" s="1" t="s">
        <v>591</v>
      </c>
      <c r="C392" s="1" t="s">
        <v>591</v>
      </c>
      <c r="D392" s="1" t="s">
        <v>591</v>
      </c>
      <c r="E392" s="1" t="s">
        <v>52</v>
      </c>
      <c r="F392" s="1" t="s">
        <v>173</v>
      </c>
      <c r="G392" s="1" t="s">
        <v>13</v>
      </c>
      <c r="H392" s="1" t="s">
        <v>37</v>
      </c>
      <c r="I392" s="1" t="s">
        <v>27</v>
      </c>
      <c r="J392" s="1" t="s">
        <v>12</v>
      </c>
      <c r="K392" s="1" t="s">
        <v>14</v>
      </c>
      <c r="L392" s="1" t="s">
        <v>14</v>
      </c>
      <c r="M392" s="1" t="s">
        <v>70</v>
      </c>
      <c r="N392" s="1" t="s">
        <v>40</v>
      </c>
      <c r="O392" s="1" t="s">
        <v>12</v>
      </c>
      <c r="P392" s="1" t="s">
        <v>70</v>
      </c>
      <c r="Q392" s="1" t="s">
        <v>14</v>
      </c>
      <c r="R392" s="1" t="s">
        <v>12</v>
      </c>
      <c r="S392" s="1" t="s">
        <v>14</v>
      </c>
      <c r="T392" s="1"/>
    </row>
    <row r="393" spans="1:20" ht="16.5" x14ac:dyDescent="0.3">
      <c r="A393" s="1">
        <v>16533</v>
      </c>
      <c r="B393" s="1" t="s">
        <v>592</v>
      </c>
      <c r="C393" s="1" t="s">
        <v>592</v>
      </c>
      <c r="D393" s="1" t="s">
        <v>592</v>
      </c>
      <c r="E393" s="1" t="s">
        <v>52</v>
      </c>
      <c r="F393" s="1" t="s">
        <v>173</v>
      </c>
      <c r="G393" s="1" t="s">
        <v>13</v>
      </c>
      <c r="H393" s="1" t="s">
        <v>37</v>
      </c>
      <c r="I393" s="1" t="s">
        <v>28</v>
      </c>
      <c r="J393" s="1" t="s">
        <v>12</v>
      </c>
      <c r="K393" s="1" t="s">
        <v>14</v>
      </c>
      <c r="L393" s="1" t="s">
        <v>14</v>
      </c>
      <c r="M393" s="1" t="s">
        <v>70</v>
      </c>
      <c r="N393" s="1" t="s">
        <v>40</v>
      </c>
      <c r="O393" s="1" t="s">
        <v>12</v>
      </c>
      <c r="P393" s="1" t="s">
        <v>70</v>
      </c>
      <c r="Q393" s="1" t="s">
        <v>14</v>
      </c>
      <c r="R393" s="1" t="s">
        <v>12</v>
      </c>
      <c r="S393" s="1" t="s">
        <v>14</v>
      </c>
      <c r="T393" s="1"/>
    </row>
    <row r="394" spans="1:20" ht="16.5" x14ac:dyDescent="0.3">
      <c r="A394" s="1">
        <v>16534</v>
      </c>
      <c r="B394" s="1" t="s">
        <v>593</v>
      </c>
      <c r="C394" s="1" t="s">
        <v>593</v>
      </c>
      <c r="D394" s="1" t="s">
        <v>593</v>
      </c>
      <c r="E394" s="1" t="s">
        <v>52</v>
      </c>
      <c r="F394" s="1" t="s">
        <v>173</v>
      </c>
      <c r="G394" s="1" t="s">
        <v>13</v>
      </c>
      <c r="H394" s="1" t="s">
        <v>37</v>
      </c>
      <c r="I394" s="1" t="s">
        <v>29</v>
      </c>
      <c r="J394" s="1" t="s">
        <v>12</v>
      </c>
      <c r="K394" s="1" t="s">
        <v>14</v>
      </c>
      <c r="L394" s="1" t="s">
        <v>14</v>
      </c>
      <c r="M394" s="1" t="s">
        <v>70</v>
      </c>
      <c r="N394" s="1" t="s">
        <v>40</v>
      </c>
      <c r="O394" s="1" t="s">
        <v>12</v>
      </c>
      <c r="P394" s="1" t="s">
        <v>70</v>
      </c>
      <c r="Q394" s="1" t="s">
        <v>14</v>
      </c>
      <c r="R394" s="1" t="s">
        <v>12</v>
      </c>
      <c r="S394" s="1" t="s">
        <v>14</v>
      </c>
      <c r="T394" s="1"/>
    </row>
    <row r="395" spans="1:20" ht="16.5" x14ac:dyDescent="0.3">
      <c r="A395" s="1">
        <v>16541</v>
      </c>
      <c r="B395" s="1" t="s">
        <v>594</v>
      </c>
      <c r="C395" s="1" t="s">
        <v>594</v>
      </c>
      <c r="D395" s="1" t="s">
        <v>594</v>
      </c>
      <c r="E395" s="1" t="s">
        <v>52</v>
      </c>
      <c r="F395" s="1" t="s">
        <v>173</v>
      </c>
      <c r="G395" s="1" t="s">
        <v>13</v>
      </c>
      <c r="H395" s="1" t="s">
        <v>37</v>
      </c>
      <c r="I395" s="1" t="s">
        <v>323</v>
      </c>
      <c r="J395" s="1" t="s">
        <v>12</v>
      </c>
      <c r="K395" s="1" t="s">
        <v>14</v>
      </c>
      <c r="L395" s="1" t="s">
        <v>14</v>
      </c>
      <c r="M395" s="1" t="s">
        <v>70</v>
      </c>
      <c r="N395" s="1" t="s">
        <v>40</v>
      </c>
      <c r="O395" s="1" t="s">
        <v>12</v>
      </c>
      <c r="P395" s="1" t="s">
        <v>70</v>
      </c>
      <c r="Q395" s="1" t="s">
        <v>14</v>
      </c>
      <c r="R395" s="1" t="s">
        <v>12</v>
      </c>
      <c r="S395" s="1" t="s">
        <v>14</v>
      </c>
      <c r="T395" s="1"/>
    </row>
    <row r="396" spans="1:20" ht="16.5" x14ac:dyDescent="0.3">
      <c r="A396" s="1">
        <v>16542</v>
      </c>
      <c r="B396" s="1" t="s">
        <v>595</v>
      </c>
      <c r="C396" s="1" t="s">
        <v>595</v>
      </c>
      <c r="D396" s="1" t="s">
        <v>595</v>
      </c>
      <c r="E396" s="1" t="s">
        <v>52</v>
      </c>
      <c r="F396" s="1" t="s">
        <v>173</v>
      </c>
      <c r="G396" s="1" t="s">
        <v>13</v>
      </c>
      <c r="H396" s="1" t="s">
        <v>37</v>
      </c>
      <c r="I396" s="1" t="s">
        <v>324</v>
      </c>
      <c r="J396" s="1" t="s">
        <v>12</v>
      </c>
      <c r="K396" s="1" t="s">
        <v>14</v>
      </c>
      <c r="L396" s="1" t="s">
        <v>14</v>
      </c>
      <c r="M396" s="1" t="s">
        <v>70</v>
      </c>
      <c r="N396" s="1" t="s">
        <v>40</v>
      </c>
      <c r="O396" s="1" t="s">
        <v>12</v>
      </c>
      <c r="P396" s="1" t="s">
        <v>70</v>
      </c>
      <c r="Q396" s="1" t="s">
        <v>14</v>
      </c>
      <c r="R396" s="1" t="s">
        <v>12</v>
      </c>
      <c r="S396" s="1" t="s">
        <v>14</v>
      </c>
      <c r="T396" s="1"/>
    </row>
    <row r="397" spans="1:20" ht="16.5" x14ac:dyDescent="0.3">
      <c r="A397" s="1">
        <v>16543</v>
      </c>
      <c r="B397" s="1" t="s">
        <v>596</v>
      </c>
      <c r="C397" s="1" t="s">
        <v>596</v>
      </c>
      <c r="D397" s="1" t="s">
        <v>596</v>
      </c>
      <c r="E397" s="1" t="s">
        <v>52</v>
      </c>
      <c r="F397" s="1" t="s">
        <v>173</v>
      </c>
      <c r="G397" s="1" t="s">
        <v>13</v>
      </c>
      <c r="H397" s="1" t="s">
        <v>37</v>
      </c>
      <c r="I397" s="1" t="s">
        <v>34</v>
      </c>
      <c r="J397" s="1" t="s">
        <v>12</v>
      </c>
      <c r="K397" s="1" t="s">
        <v>14</v>
      </c>
      <c r="L397" s="1" t="s">
        <v>14</v>
      </c>
      <c r="M397" s="1" t="s">
        <v>70</v>
      </c>
      <c r="N397" s="1" t="s">
        <v>40</v>
      </c>
      <c r="O397" s="1" t="s">
        <v>12</v>
      </c>
      <c r="P397" s="1" t="s">
        <v>70</v>
      </c>
      <c r="Q397" s="1" t="s">
        <v>14</v>
      </c>
      <c r="R397" s="1" t="s">
        <v>12</v>
      </c>
      <c r="S397" s="1" t="s">
        <v>14</v>
      </c>
      <c r="T397" s="1"/>
    </row>
    <row r="398" spans="1:20" ht="16.5" x14ac:dyDescent="0.3">
      <c r="A398" s="1">
        <v>16544</v>
      </c>
      <c r="B398" s="1" t="s">
        <v>597</v>
      </c>
      <c r="C398" s="1" t="s">
        <v>597</v>
      </c>
      <c r="D398" s="1" t="s">
        <v>597</v>
      </c>
      <c r="E398" s="1" t="s">
        <v>52</v>
      </c>
      <c r="F398" s="1" t="s">
        <v>173</v>
      </c>
      <c r="G398" s="1" t="s">
        <v>13</v>
      </c>
      <c r="H398" s="1" t="s">
        <v>37</v>
      </c>
      <c r="I398" s="1" t="s">
        <v>45</v>
      </c>
      <c r="J398" s="1" t="s">
        <v>12</v>
      </c>
      <c r="K398" s="1" t="s">
        <v>14</v>
      </c>
      <c r="L398" s="1" t="s">
        <v>14</v>
      </c>
      <c r="M398" s="1" t="s">
        <v>70</v>
      </c>
      <c r="N398" s="1" t="s">
        <v>40</v>
      </c>
      <c r="O398" s="1" t="s">
        <v>12</v>
      </c>
      <c r="P398" s="1" t="s">
        <v>70</v>
      </c>
      <c r="Q398" s="1" t="s">
        <v>14</v>
      </c>
      <c r="R398" s="1" t="s">
        <v>12</v>
      </c>
      <c r="S398" s="1" t="s">
        <v>14</v>
      </c>
      <c r="T398" s="1"/>
    </row>
    <row r="399" spans="1:20" ht="16.5" x14ac:dyDescent="0.3">
      <c r="A399" s="1">
        <v>16551</v>
      </c>
      <c r="B399" s="1" t="s">
        <v>598</v>
      </c>
      <c r="C399" s="1" t="s">
        <v>598</v>
      </c>
      <c r="D399" s="1" t="s">
        <v>598</v>
      </c>
      <c r="E399" s="1" t="s">
        <v>52</v>
      </c>
      <c r="F399" s="1" t="s">
        <v>173</v>
      </c>
      <c r="G399" s="1" t="s">
        <v>13</v>
      </c>
      <c r="H399" s="1" t="s">
        <v>26</v>
      </c>
      <c r="I399" s="1" t="s">
        <v>49</v>
      </c>
      <c r="J399" s="1" t="s">
        <v>12</v>
      </c>
      <c r="K399" s="1" t="s">
        <v>14</v>
      </c>
      <c r="L399" s="1" t="s">
        <v>14</v>
      </c>
      <c r="M399" s="1" t="s">
        <v>70</v>
      </c>
      <c r="N399" s="1" t="s">
        <v>40</v>
      </c>
      <c r="O399" s="1" t="s">
        <v>12</v>
      </c>
      <c r="P399" s="1" t="s">
        <v>70</v>
      </c>
      <c r="Q399" s="1" t="s">
        <v>14</v>
      </c>
      <c r="R399" s="1" t="s">
        <v>12</v>
      </c>
      <c r="S399" s="1" t="s">
        <v>14</v>
      </c>
      <c r="T399" s="1"/>
    </row>
    <row r="400" spans="1:20" ht="16.5" x14ac:dyDescent="0.3">
      <c r="A400" s="1">
        <v>16552</v>
      </c>
      <c r="B400" s="1" t="s">
        <v>599</v>
      </c>
      <c r="C400" s="1" t="s">
        <v>599</v>
      </c>
      <c r="D400" s="1" t="s">
        <v>599</v>
      </c>
      <c r="E400" s="1" t="s">
        <v>52</v>
      </c>
      <c r="F400" s="1" t="s">
        <v>173</v>
      </c>
      <c r="G400" s="1" t="s">
        <v>13</v>
      </c>
      <c r="H400" s="1" t="s">
        <v>26</v>
      </c>
      <c r="I400" s="1" t="s">
        <v>325</v>
      </c>
      <c r="J400" s="1" t="s">
        <v>12</v>
      </c>
      <c r="K400" s="1" t="s">
        <v>14</v>
      </c>
      <c r="L400" s="1" t="s">
        <v>14</v>
      </c>
      <c r="M400" s="1" t="s">
        <v>70</v>
      </c>
      <c r="N400" s="1" t="s">
        <v>40</v>
      </c>
      <c r="O400" s="1" t="s">
        <v>12</v>
      </c>
      <c r="P400" s="1" t="s">
        <v>70</v>
      </c>
      <c r="Q400" s="1" t="s">
        <v>14</v>
      </c>
      <c r="R400" s="1" t="s">
        <v>12</v>
      </c>
      <c r="S400" s="1" t="s">
        <v>14</v>
      </c>
      <c r="T400" s="1"/>
    </row>
    <row r="401" spans="1:20" ht="16.5" x14ac:dyDescent="0.3">
      <c r="A401" s="1">
        <v>16553</v>
      </c>
      <c r="B401" s="1" t="s">
        <v>600</v>
      </c>
      <c r="C401" s="1" t="s">
        <v>600</v>
      </c>
      <c r="D401" s="1" t="s">
        <v>600</v>
      </c>
      <c r="E401" s="1" t="s">
        <v>52</v>
      </c>
      <c r="F401" s="1" t="s">
        <v>173</v>
      </c>
      <c r="G401" s="1" t="s">
        <v>13</v>
      </c>
      <c r="H401" s="1" t="s">
        <v>26</v>
      </c>
      <c r="I401" s="1" t="s">
        <v>134</v>
      </c>
      <c r="J401" s="1" t="s">
        <v>12</v>
      </c>
      <c r="K401" s="1" t="s">
        <v>14</v>
      </c>
      <c r="L401" s="1" t="s">
        <v>14</v>
      </c>
      <c r="M401" s="1" t="s">
        <v>70</v>
      </c>
      <c r="N401" s="1" t="s">
        <v>40</v>
      </c>
      <c r="O401" s="1" t="s">
        <v>12</v>
      </c>
      <c r="P401" s="1" t="s">
        <v>70</v>
      </c>
      <c r="Q401" s="1" t="s">
        <v>14</v>
      </c>
      <c r="R401" s="1" t="s">
        <v>12</v>
      </c>
      <c r="S401" s="1" t="s">
        <v>14</v>
      </c>
      <c r="T401" s="1"/>
    </row>
    <row r="402" spans="1:20" ht="16.5" x14ac:dyDescent="0.3">
      <c r="A402" s="1">
        <v>16554</v>
      </c>
      <c r="B402" s="1" t="s">
        <v>601</v>
      </c>
      <c r="C402" s="1" t="s">
        <v>601</v>
      </c>
      <c r="D402" s="1" t="s">
        <v>601</v>
      </c>
      <c r="E402" s="1" t="s">
        <v>52</v>
      </c>
      <c r="F402" s="1" t="s">
        <v>173</v>
      </c>
      <c r="G402" s="1" t="s">
        <v>13</v>
      </c>
      <c r="H402" s="1" t="s">
        <v>26</v>
      </c>
      <c r="I402" s="1" t="s">
        <v>48</v>
      </c>
      <c r="J402" s="1" t="s">
        <v>12</v>
      </c>
      <c r="K402" s="1" t="s">
        <v>14</v>
      </c>
      <c r="L402" s="1" t="s">
        <v>14</v>
      </c>
      <c r="M402" s="1" t="s">
        <v>70</v>
      </c>
      <c r="N402" s="1" t="s">
        <v>40</v>
      </c>
      <c r="O402" s="1" t="s">
        <v>12</v>
      </c>
      <c r="P402" s="1" t="s">
        <v>70</v>
      </c>
      <c r="Q402" s="1" t="s">
        <v>14</v>
      </c>
      <c r="R402" s="1" t="s">
        <v>12</v>
      </c>
      <c r="S402" s="1" t="s">
        <v>14</v>
      </c>
      <c r="T402" s="1"/>
    </row>
    <row r="403" spans="1:20" ht="16.5" x14ac:dyDescent="0.3">
      <c r="A403" s="1">
        <v>16561</v>
      </c>
      <c r="B403" s="1" t="s">
        <v>602</v>
      </c>
      <c r="C403" s="1" t="s">
        <v>602</v>
      </c>
      <c r="D403" s="1" t="s">
        <v>602</v>
      </c>
      <c r="E403" s="1" t="s">
        <v>52</v>
      </c>
      <c r="F403" s="1" t="s">
        <v>173</v>
      </c>
      <c r="G403" s="1" t="s">
        <v>13</v>
      </c>
      <c r="H403" s="1" t="s">
        <v>26</v>
      </c>
      <c r="I403" s="1" t="s">
        <v>48</v>
      </c>
      <c r="J403" s="1" t="s">
        <v>12</v>
      </c>
      <c r="K403" s="1" t="s">
        <v>14</v>
      </c>
      <c r="L403" s="1" t="s">
        <v>14</v>
      </c>
      <c r="M403" s="1" t="s">
        <v>70</v>
      </c>
      <c r="N403" s="1" t="s">
        <v>40</v>
      </c>
      <c r="O403" s="1" t="s">
        <v>12</v>
      </c>
      <c r="P403" s="1" t="s">
        <v>70</v>
      </c>
      <c r="Q403" s="1" t="s">
        <v>14</v>
      </c>
      <c r="R403" s="1" t="s">
        <v>12</v>
      </c>
      <c r="S403" s="1" t="s">
        <v>14</v>
      </c>
      <c r="T403" s="1"/>
    </row>
    <row r="404" spans="1:20" ht="16.5" x14ac:dyDescent="0.3">
      <c r="A404" s="1">
        <v>16562</v>
      </c>
      <c r="B404" s="1" t="s">
        <v>603</v>
      </c>
      <c r="C404" s="1" t="s">
        <v>603</v>
      </c>
      <c r="D404" s="1" t="s">
        <v>603</v>
      </c>
      <c r="E404" s="1" t="s">
        <v>52</v>
      </c>
      <c r="F404" s="1" t="s">
        <v>173</v>
      </c>
      <c r="G404" s="1" t="s">
        <v>13</v>
      </c>
      <c r="H404" s="1" t="s">
        <v>26</v>
      </c>
      <c r="I404" s="1" t="s">
        <v>47</v>
      </c>
      <c r="J404" s="1" t="s">
        <v>12</v>
      </c>
      <c r="K404" s="1" t="s">
        <v>14</v>
      </c>
      <c r="L404" s="1" t="s">
        <v>14</v>
      </c>
      <c r="M404" s="1" t="s">
        <v>70</v>
      </c>
      <c r="N404" s="1" t="s">
        <v>40</v>
      </c>
      <c r="O404" s="1" t="s">
        <v>12</v>
      </c>
      <c r="P404" s="1" t="s">
        <v>70</v>
      </c>
      <c r="Q404" s="1" t="s">
        <v>14</v>
      </c>
      <c r="R404" s="1" t="s">
        <v>12</v>
      </c>
      <c r="S404" s="1" t="s">
        <v>14</v>
      </c>
      <c r="T404" s="1"/>
    </row>
    <row r="405" spans="1:20" ht="16.5" x14ac:dyDescent="0.3">
      <c r="A405" s="1">
        <v>16563</v>
      </c>
      <c r="B405" s="1" t="s">
        <v>604</v>
      </c>
      <c r="C405" s="1" t="s">
        <v>604</v>
      </c>
      <c r="D405" s="1" t="s">
        <v>604</v>
      </c>
      <c r="E405" s="1" t="s">
        <v>52</v>
      </c>
      <c r="F405" s="1" t="s">
        <v>173</v>
      </c>
      <c r="G405" s="1" t="s">
        <v>13</v>
      </c>
      <c r="H405" s="1" t="s">
        <v>26</v>
      </c>
      <c r="I405" s="1" t="s">
        <v>42</v>
      </c>
      <c r="J405" s="1" t="s">
        <v>12</v>
      </c>
      <c r="K405" s="1" t="s">
        <v>14</v>
      </c>
      <c r="L405" s="1" t="s">
        <v>14</v>
      </c>
      <c r="M405" s="1" t="s">
        <v>70</v>
      </c>
      <c r="N405" s="1" t="s">
        <v>40</v>
      </c>
      <c r="O405" s="1" t="s">
        <v>12</v>
      </c>
      <c r="P405" s="1" t="s">
        <v>70</v>
      </c>
      <c r="Q405" s="1" t="s">
        <v>14</v>
      </c>
      <c r="R405" s="1" t="s">
        <v>12</v>
      </c>
      <c r="S405" s="1" t="s">
        <v>14</v>
      </c>
      <c r="T405" s="1"/>
    </row>
    <row r="406" spans="1:20" ht="16.5" x14ac:dyDescent="0.3">
      <c r="A406" s="1">
        <v>16564</v>
      </c>
      <c r="B406" s="1" t="s">
        <v>605</v>
      </c>
      <c r="C406" s="1" t="s">
        <v>605</v>
      </c>
      <c r="D406" s="1" t="s">
        <v>605</v>
      </c>
      <c r="E406" s="1" t="s">
        <v>52</v>
      </c>
      <c r="F406" s="1" t="s">
        <v>173</v>
      </c>
      <c r="G406" s="1" t="s">
        <v>13</v>
      </c>
      <c r="H406" s="1" t="s">
        <v>26</v>
      </c>
      <c r="I406" s="1" t="s">
        <v>43</v>
      </c>
      <c r="J406" s="1" t="s">
        <v>12</v>
      </c>
      <c r="K406" s="1" t="s">
        <v>14</v>
      </c>
      <c r="L406" s="1" t="s">
        <v>14</v>
      </c>
      <c r="M406" s="1" t="s">
        <v>70</v>
      </c>
      <c r="N406" s="1" t="s">
        <v>40</v>
      </c>
      <c r="O406" s="1" t="s">
        <v>12</v>
      </c>
      <c r="P406" s="1" t="s">
        <v>70</v>
      </c>
      <c r="Q406" s="1" t="s">
        <v>14</v>
      </c>
      <c r="R406" s="1" t="s">
        <v>12</v>
      </c>
      <c r="S406" s="1" t="s">
        <v>14</v>
      </c>
      <c r="T406" s="1"/>
    </row>
    <row r="407" spans="1:20" ht="16.5" x14ac:dyDescent="0.3">
      <c r="A407" s="1">
        <v>16571</v>
      </c>
      <c r="B407" s="1" t="s">
        <v>606</v>
      </c>
      <c r="C407" s="1" t="s">
        <v>606</v>
      </c>
      <c r="D407" s="1" t="s">
        <v>606</v>
      </c>
      <c r="E407" s="1" t="s">
        <v>52</v>
      </c>
      <c r="F407" s="1" t="s">
        <v>173</v>
      </c>
      <c r="G407" s="1" t="s">
        <v>13</v>
      </c>
      <c r="H407" s="1" t="s">
        <v>26</v>
      </c>
      <c r="I407" s="1" t="s">
        <v>44</v>
      </c>
      <c r="J407" s="1" t="s">
        <v>12</v>
      </c>
      <c r="K407" s="1" t="s">
        <v>14</v>
      </c>
      <c r="L407" s="1" t="s">
        <v>14</v>
      </c>
      <c r="M407" s="1" t="s">
        <v>70</v>
      </c>
      <c r="N407" s="1" t="s">
        <v>40</v>
      </c>
      <c r="O407" s="1" t="s">
        <v>12</v>
      </c>
      <c r="P407" s="1" t="s">
        <v>70</v>
      </c>
      <c r="Q407" s="1" t="s">
        <v>14</v>
      </c>
      <c r="R407" s="1" t="s">
        <v>12</v>
      </c>
      <c r="S407" s="1" t="s">
        <v>14</v>
      </c>
      <c r="T407" s="1"/>
    </row>
    <row r="408" spans="1:20" ht="16.5" x14ac:dyDescent="0.3">
      <c r="A408" s="1">
        <v>16572</v>
      </c>
      <c r="B408" s="1" t="s">
        <v>607</v>
      </c>
      <c r="C408" s="1" t="s">
        <v>607</v>
      </c>
      <c r="D408" s="1" t="s">
        <v>607</v>
      </c>
      <c r="E408" s="1" t="s">
        <v>52</v>
      </c>
      <c r="F408" s="1" t="s">
        <v>173</v>
      </c>
      <c r="G408" s="1" t="s">
        <v>13</v>
      </c>
      <c r="H408" s="1" t="s">
        <v>26</v>
      </c>
      <c r="I408" s="1" t="s">
        <v>41</v>
      </c>
      <c r="J408" s="1" t="s">
        <v>12</v>
      </c>
      <c r="K408" s="1" t="s">
        <v>14</v>
      </c>
      <c r="L408" s="1" t="s">
        <v>14</v>
      </c>
      <c r="M408" s="1" t="s">
        <v>70</v>
      </c>
      <c r="N408" s="1" t="s">
        <v>40</v>
      </c>
      <c r="O408" s="1" t="s">
        <v>12</v>
      </c>
      <c r="P408" s="1" t="s">
        <v>70</v>
      </c>
      <c r="Q408" s="1" t="s">
        <v>14</v>
      </c>
      <c r="R408" s="1" t="s">
        <v>12</v>
      </c>
      <c r="S408" s="1" t="s">
        <v>14</v>
      </c>
      <c r="T408" s="1"/>
    </row>
    <row r="409" spans="1:20" ht="16.5" x14ac:dyDescent="0.3">
      <c r="A409" s="1">
        <v>16573</v>
      </c>
      <c r="B409" s="1" t="s">
        <v>608</v>
      </c>
      <c r="C409" s="1" t="s">
        <v>608</v>
      </c>
      <c r="D409" s="1" t="s">
        <v>608</v>
      </c>
      <c r="E409" s="1" t="s">
        <v>52</v>
      </c>
      <c r="F409" s="1" t="s">
        <v>173</v>
      </c>
      <c r="G409" s="1" t="s">
        <v>13</v>
      </c>
      <c r="H409" s="1" t="s">
        <v>26</v>
      </c>
      <c r="I409" s="1" t="s">
        <v>135</v>
      </c>
      <c r="J409" s="1" t="s">
        <v>12</v>
      </c>
      <c r="K409" s="1" t="s">
        <v>14</v>
      </c>
      <c r="L409" s="1" t="s">
        <v>14</v>
      </c>
      <c r="M409" s="1" t="s">
        <v>70</v>
      </c>
      <c r="N409" s="1" t="s">
        <v>40</v>
      </c>
      <c r="O409" s="1" t="s">
        <v>12</v>
      </c>
      <c r="P409" s="1" t="s">
        <v>70</v>
      </c>
      <c r="Q409" s="1" t="s">
        <v>14</v>
      </c>
      <c r="R409" s="1" t="s">
        <v>12</v>
      </c>
      <c r="S409" s="1" t="s">
        <v>14</v>
      </c>
      <c r="T409" s="1"/>
    </row>
    <row r="410" spans="1:20" ht="16.5" x14ac:dyDescent="0.3">
      <c r="A410" s="1">
        <v>16574</v>
      </c>
      <c r="B410" s="1" t="s">
        <v>609</v>
      </c>
      <c r="C410" s="1" t="s">
        <v>609</v>
      </c>
      <c r="D410" s="1" t="s">
        <v>609</v>
      </c>
      <c r="E410" s="1" t="s">
        <v>52</v>
      </c>
      <c r="F410" s="1" t="s">
        <v>173</v>
      </c>
      <c r="G410" s="1" t="s">
        <v>13</v>
      </c>
      <c r="H410" s="1" t="s">
        <v>26</v>
      </c>
      <c r="I410" s="1" t="s">
        <v>135</v>
      </c>
      <c r="J410" s="1" t="s">
        <v>12</v>
      </c>
      <c r="K410" s="1" t="s">
        <v>14</v>
      </c>
      <c r="L410" s="1" t="s">
        <v>14</v>
      </c>
      <c r="M410" s="1" t="s">
        <v>70</v>
      </c>
      <c r="N410" s="1" t="s">
        <v>40</v>
      </c>
      <c r="O410" s="1" t="s">
        <v>12</v>
      </c>
      <c r="P410" s="1" t="s">
        <v>70</v>
      </c>
      <c r="Q410" s="1" t="s">
        <v>14</v>
      </c>
      <c r="R410" s="1" t="s">
        <v>12</v>
      </c>
      <c r="S410" s="1" t="s">
        <v>14</v>
      </c>
      <c r="T410" s="1"/>
    </row>
    <row r="411" spans="1:20" ht="16.5" x14ac:dyDescent="0.3">
      <c r="A411" s="1">
        <v>17000</v>
      </c>
      <c r="B411" s="1" t="s">
        <v>1002</v>
      </c>
      <c r="C411" s="1" t="s">
        <v>1002</v>
      </c>
      <c r="D411" s="1" t="s">
        <v>1002</v>
      </c>
      <c r="E411" s="1" t="s">
        <v>52</v>
      </c>
      <c r="F411" s="1" t="s">
        <v>173</v>
      </c>
      <c r="G411" s="1" t="s">
        <v>13</v>
      </c>
      <c r="H411" s="1" t="s">
        <v>25</v>
      </c>
      <c r="I411" s="1" t="s">
        <v>864</v>
      </c>
      <c r="J411" s="1" t="s">
        <v>12</v>
      </c>
      <c r="K411" s="1" t="s">
        <v>14</v>
      </c>
      <c r="L411" s="1" t="s">
        <v>14</v>
      </c>
      <c r="M411" s="1" t="s">
        <v>70</v>
      </c>
      <c r="N411" s="1" t="s">
        <v>31</v>
      </c>
      <c r="O411" s="1" t="s">
        <v>12</v>
      </c>
      <c r="P411" s="1" t="s">
        <v>70</v>
      </c>
      <c r="Q411" s="1" t="s">
        <v>14</v>
      </c>
      <c r="R411" s="1" t="s">
        <v>12</v>
      </c>
      <c r="S411" s="1" t="s">
        <v>14</v>
      </c>
      <c r="T411" s="1"/>
    </row>
    <row r="412" spans="1:20" ht="16.5" x14ac:dyDescent="0.3">
      <c r="A412" s="1">
        <v>17001</v>
      </c>
      <c r="B412" s="1" t="s">
        <v>1003</v>
      </c>
      <c r="C412" s="1" t="s">
        <v>1003</v>
      </c>
      <c r="D412" s="1" t="s">
        <v>1003</v>
      </c>
      <c r="E412" s="1" t="s">
        <v>52</v>
      </c>
      <c r="F412" s="1" t="s">
        <v>173</v>
      </c>
      <c r="G412" s="1" t="s">
        <v>13</v>
      </c>
      <c r="H412" s="1" t="s">
        <v>38</v>
      </c>
      <c r="I412" s="1" t="s">
        <v>672</v>
      </c>
      <c r="J412" s="1" t="s">
        <v>12</v>
      </c>
      <c r="K412" s="1" t="s">
        <v>14</v>
      </c>
      <c r="L412" s="1" t="s">
        <v>14</v>
      </c>
      <c r="M412" s="1" t="s">
        <v>70</v>
      </c>
      <c r="N412" s="1" t="s">
        <v>31</v>
      </c>
      <c r="O412" s="1" t="s">
        <v>12</v>
      </c>
      <c r="P412" s="1" t="s">
        <v>70</v>
      </c>
      <c r="Q412" s="1" t="s">
        <v>14</v>
      </c>
      <c r="R412" s="1" t="s">
        <v>12</v>
      </c>
      <c r="S412" s="1" t="s">
        <v>14</v>
      </c>
      <c r="T412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449"/>
  <sheetViews>
    <sheetView workbookViewId="0">
      <selection activeCell="E444" sqref="E444"/>
    </sheetView>
  </sheetViews>
  <sheetFormatPr defaultRowHeight="13.5" x14ac:dyDescent="0.15"/>
  <cols>
    <col min="2" max="2" width="13.25" bestFit="1" customWidth="1"/>
    <col min="3" max="3" width="13.25" customWidth="1"/>
    <col min="5" max="5" width="61.375" style="37" bestFit="1" customWidth="1"/>
    <col min="6" max="6" width="2.25" style="40" bestFit="1" customWidth="1"/>
    <col min="7" max="7" width="2.875" style="40" bestFit="1" customWidth="1"/>
    <col min="8" max="9" width="2.375" bestFit="1" customWidth="1"/>
    <col min="10" max="10" width="66" bestFit="1" customWidth="1"/>
    <col min="11" max="11" width="3.75" style="41" customWidth="1"/>
    <col min="12" max="12" width="2.25" bestFit="1" customWidth="1"/>
    <col min="13" max="13" width="6.625" bestFit="1" customWidth="1"/>
    <col min="14" max="15" width="2.375" bestFit="1" customWidth="1"/>
    <col min="16" max="16" width="6.625" bestFit="1" customWidth="1"/>
    <col min="17" max="17" width="73.625" bestFit="1" customWidth="1"/>
    <col min="18" max="19" width="2.375" bestFit="1" customWidth="1"/>
    <col min="31" max="31" width="13.25" bestFit="1" customWidth="1"/>
    <col min="32" max="32" width="6.5" style="40" bestFit="1" customWidth="1"/>
    <col min="33" max="33" width="2.25" style="40" bestFit="1" customWidth="1"/>
    <col min="34" max="34" width="2.875" style="40" bestFit="1" customWidth="1"/>
    <col min="35" max="36" width="2.375" style="40" bestFit="1" customWidth="1"/>
    <col min="37" max="37" width="2.5" style="40" bestFit="1" customWidth="1"/>
    <col min="38" max="39" width="2.375" style="40" bestFit="1" customWidth="1"/>
    <col min="40" max="40" width="10.5" bestFit="1" customWidth="1"/>
  </cols>
  <sheetData>
    <row r="1" spans="1:53" ht="16.5" x14ac:dyDescent="0.15">
      <c r="B1" s="26" t="s">
        <v>1332</v>
      </c>
      <c r="C1" s="35" t="e">
        <f t="shared" ref="C1:C32" si="0">VLOOKUP(B1,AB:AC,2,FALSE)</f>
        <v>#N/A</v>
      </c>
      <c r="D1" s="24">
        <v>10040</v>
      </c>
      <c r="AA1">
        <v>10001</v>
      </c>
      <c r="AB1" t="s">
        <v>1066</v>
      </c>
      <c r="AC1">
        <v>10001</v>
      </c>
      <c r="AE1" t="s">
        <v>1403</v>
      </c>
      <c r="AF1" s="40">
        <f>VLOOKUP(AE1,AB:AC,2,FALSE)</f>
        <v>10008</v>
      </c>
      <c r="AG1" s="39" t="s">
        <v>1401</v>
      </c>
      <c r="AH1" s="39">
        <v>3</v>
      </c>
      <c r="AI1" s="39" t="s">
        <v>1397</v>
      </c>
      <c r="AJ1" s="39" t="s">
        <v>1399</v>
      </c>
      <c r="AK1" s="40">
        <v>3</v>
      </c>
      <c r="AL1" s="39" t="s">
        <v>1397</v>
      </c>
      <c r="AM1" s="39" t="s">
        <v>1399</v>
      </c>
      <c r="AN1" t="str">
        <f>AL1&amp;AL1&amp;AH1&amp;AG1&amp;AI1&amp;AK1&amp;AJ1&amp;AM1&amp;AM1</f>
        <v>[[3,[3]]]</v>
      </c>
      <c r="AO1">
        <f>VLOOKUP(AF1,C:D,2,FALSE)</f>
        <v>0</v>
      </c>
      <c r="AQ1" t="s">
        <v>96</v>
      </c>
      <c r="AR1">
        <v>10008</v>
      </c>
      <c r="AS1" t="s">
        <v>1400</v>
      </c>
      <c r="AT1">
        <v>3</v>
      </c>
      <c r="AU1" t="s">
        <v>1396</v>
      </c>
      <c r="AV1" t="s">
        <v>1398</v>
      </c>
      <c r="AW1">
        <v>3</v>
      </c>
      <c r="AX1" t="s">
        <v>1396</v>
      </c>
      <c r="AY1" t="s">
        <v>1398</v>
      </c>
      <c r="AZ1" t="s">
        <v>1421</v>
      </c>
    </row>
    <row r="2" spans="1:53" ht="16.5" x14ac:dyDescent="0.15">
      <c r="B2" s="25" t="s">
        <v>1329</v>
      </c>
      <c r="C2" s="35" t="e">
        <f t="shared" si="0"/>
        <v>#N/A</v>
      </c>
      <c r="D2" s="24">
        <v>10004</v>
      </c>
      <c r="E2" s="38"/>
      <c r="F2" s="39"/>
      <c r="G2" s="39"/>
      <c r="H2" s="24"/>
      <c r="I2" s="24"/>
      <c r="J2" s="24"/>
      <c r="K2" s="42"/>
      <c r="AA2">
        <v>10002</v>
      </c>
      <c r="AB2" t="s">
        <v>92</v>
      </c>
      <c r="AC2">
        <v>10002</v>
      </c>
      <c r="AE2" t="s">
        <v>1404</v>
      </c>
      <c r="AF2" s="40">
        <f t="shared" ref="AF2:AF18" si="1">VLOOKUP(AE2,AB:AC,2,FALSE)</f>
        <v>10027</v>
      </c>
      <c r="AG2" s="39" t="s">
        <v>1401</v>
      </c>
      <c r="AH2" s="39">
        <v>3</v>
      </c>
      <c r="AI2" s="39" t="s">
        <v>1397</v>
      </c>
      <c r="AJ2" s="39" t="s">
        <v>1399</v>
      </c>
      <c r="AK2" s="40">
        <v>3</v>
      </c>
      <c r="AL2" s="39" t="s">
        <v>1397</v>
      </c>
      <c r="AM2" s="39" t="s">
        <v>1399</v>
      </c>
      <c r="AN2" t="str">
        <f t="shared" ref="AN2:AN18" si="2">AL2&amp;AL2&amp;AH2&amp;AG2&amp;AI2&amp;AK2&amp;AJ2&amp;AM2&amp;AM2</f>
        <v>[[3,[3]]]</v>
      </c>
      <c r="AO2">
        <f t="shared" ref="AO2:AO18" si="3">VLOOKUP(AF2,C:D,2,FALSE)</f>
        <v>10140</v>
      </c>
      <c r="AQ2" t="s">
        <v>94</v>
      </c>
      <c r="AR2">
        <v>10020</v>
      </c>
      <c r="AS2" t="s">
        <v>1400</v>
      </c>
      <c r="AT2">
        <v>3</v>
      </c>
      <c r="AU2" t="s">
        <v>1396</v>
      </c>
      <c r="AV2" t="s">
        <v>1398</v>
      </c>
      <c r="AW2">
        <v>3</v>
      </c>
      <c r="AX2" t="s">
        <v>1396</v>
      </c>
      <c r="AY2" t="s">
        <v>1398</v>
      </c>
      <c r="AZ2" t="s">
        <v>1421</v>
      </c>
      <c r="BA2" t="e">
        <v>#N/A</v>
      </c>
    </row>
    <row r="3" spans="1:53" ht="16.5" x14ac:dyDescent="0.15">
      <c r="B3" s="26" t="s">
        <v>1331</v>
      </c>
      <c r="C3" s="35" t="e">
        <f t="shared" si="0"/>
        <v>#N/A</v>
      </c>
      <c r="D3" s="24">
        <v>10015</v>
      </c>
      <c r="E3" s="38"/>
      <c r="F3" s="39"/>
      <c r="G3" s="39"/>
      <c r="H3" s="24"/>
      <c r="I3" s="24"/>
      <c r="J3" s="24"/>
      <c r="K3" s="42"/>
      <c r="AA3">
        <v>10003</v>
      </c>
      <c r="AB3" t="s">
        <v>108</v>
      </c>
      <c r="AC3">
        <v>10003</v>
      </c>
      <c r="AE3" t="s">
        <v>1405</v>
      </c>
      <c r="AF3" s="40">
        <f t="shared" si="1"/>
        <v>10020</v>
      </c>
      <c r="AG3" s="39" t="s">
        <v>1401</v>
      </c>
      <c r="AH3" s="39">
        <v>3</v>
      </c>
      <c r="AI3" s="39" t="s">
        <v>1397</v>
      </c>
      <c r="AJ3" s="39" t="s">
        <v>1399</v>
      </c>
      <c r="AK3" s="40">
        <v>3</v>
      </c>
      <c r="AL3" s="39" t="s">
        <v>1397</v>
      </c>
      <c r="AM3" s="39" t="s">
        <v>1399</v>
      </c>
      <c r="AN3" t="str">
        <f t="shared" si="2"/>
        <v>[[3,[3]]]</v>
      </c>
      <c r="AO3">
        <f t="shared" si="3"/>
        <v>0</v>
      </c>
      <c r="AQ3" t="s">
        <v>461</v>
      </c>
      <c r="AR3">
        <v>10113</v>
      </c>
      <c r="AS3" t="s">
        <v>1400</v>
      </c>
      <c r="AT3">
        <v>3</v>
      </c>
      <c r="AU3" t="s">
        <v>1396</v>
      </c>
      <c r="AV3" t="s">
        <v>1398</v>
      </c>
      <c r="AW3">
        <v>3</v>
      </c>
      <c r="AX3" t="s">
        <v>1396</v>
      </c>
      <c r="AY3" t="s">
        <v>1398</v>
      </c>
      <c r="AZ3" t="s">
        <v>1421</v>
      </c>
      <c r="BA3" t="e">
        <v>#N/A</v>
      </c>
    </row>
    <row r="4" spans="1:53" ht="16.5" x14ac:dyDescent="0.15">
      <c r="B4" s="26" t="s">
        <v>1329</v>
      </c>
      <c r="C4" s="35" t="e">
        <f t="shared" si="0"/>
        <v>#N/A</v>
      </c>
      <c r="D4" s="24">
        <v>10025</v>
      </c>
      <c r="E4" s="38"/>
      <c r="F4" s="39"/>
      <c r="G4" s="39"/>
      <c r="H4" s="24"/>
      <c r="I4" s="24"/>
      <c r="J4" s="24"/>
      <c r="K4" s="42"/>
      <c r="AA4">
        <v>10004</v>
      </c>
      <c r="AB4" t="s">
        <v>436</v>
      </c>
      <c r="AC4">
        <v>10004</v>
      </c>
      <c r="AE4" t="s">
        <v>1406</v>
      </c>
      <c r="AF4" s="40">
        <f t="shared" si="1"/>
        <v>10003</v>
      </c>
      <c r="AG4" s="39" t="s">
        <v>1401</v>
      </c>
      <c r="AH4" s="39">
        <v>3</v>
      </c>
      <c r="AI4" s="39" t="s">
        <v>1397</v>
      </c>
      <c r="AJ4" s="39" t="s">
        <v>1399</v>
      </c>
      <c r="AK4" s="40">
        <v>3</v>
      </c>
      <c r="AL4" s="39" t="s">
        <v>1397</v>
      </c>
      <c r="AM4" s="39" t="s">
        <v>1399</v>
      </c>
      <c r="AN4" t="str">
        <f t="shared" si="2"/>
        <v>[[3,[3]]]</v>
      </c>
      <c r="AO4">
        <f t="shared" si="3"/>
        <v>10200</v>
      </c>
      <c r="AQ4" t="s">
        <v>1066</v>
      </c>
      <c r="AR4">
        <v>10001</v>
      </c>
      <c r="AS4" t="s">
        <v>1400</v>
      </c>
      <c r="AT4">
        <v>3</v>
      </c>
      <c r="AU4" t="s">
        <v>1396</v>
      </c>
      <c r="AV4" t="s">
        <v>1398</v>
      </c>
      <c r="AW4">
        <v>5</v>
      </c>
      <c r="AX4" t="s">
        <v>1396</v>
      </c>
      <c r="AY4" t="s">
        <v>1398</v>
      </c>
      <c r="AZ4" t="s">
        <v>1422</v>
      </c>
      <c r="BA4" t="e">
        <v>#N/A</v>
      </c>
    </row>
    <row r="5" spans="1:53" ht="16.5" x14ac:dyDescent="0.15">
      <c r="B5" s="25" t="s">
        <v>1330</v>
      </c>
      <c r="C5" s="35" t="e">
        <f t="shared" si="0"/>
        <v>#N/A</v>
      </c>
      <c r="D5" s="24">
        <v>10006</v>
      </c>
      <c r="E5" s="38"/>
      <c r="F5" s="39"/>
      <c r="G5" s="39"/>
      <c r="H5" s="24"/>
      <c r="I5" s="24"/>
      <c r="J5" s="24"/>
      <c r="K5" s="42"/>
      <c r="N5" s="24"/>
      <c r="O5" s="24"/>
      <c r="P5" s="24"/>
      <c r="Q5" s="24"/>
      <c r="R5" s="24"/>
      <c r="S5" s="24"/>
      <c r="T5" s="24"/>
      <c r="U5" s="24"/>
      <c r="V5" s="24"/>
      <c r="W5" s="24"/>
      <c r="AA5">
        <v>10005</v>
      </c>
      <c r="AB5" t="s">
        <v>437</v>
      </c>
      <c r="AC5">
        <v>10005</v>
      </c>
      <c r="AE5" t="s">
        <v>1407</v>
      </c>
      <c r="AF5" s="40">
        <f t="shared" si="1"/>
        <v>10021</v>
      </c>
      <c r="AG5" s="39" t="s">
        <v>1401</v>
      </c>
      <c r="AH5" s="39">
        <v>3</v>
      </c>
      <c r="AI5" s="39" t="s">
        <v>1397</v>
      </c>
      <c r="AJ5" s="39" t="s">
        <v>1399</v>
      </c>
      <c r="AK5" s="40">
        <v>3</v>
      </c>
      <c r="AL5" s="39" t="s">
        <v>1397</v>
      </c>
      <c r="AM5" s="39" t="s">
        <v>1399</v>
      </c>
      <c r="AN5" t="str">
        <f t="shared" si="2"/>
        <v>[[3,[3]]]</v>
      </c>
      <c r="AO5">
        <f t="shared" si="3"/>
        <v>10240</v>
      </c>
      <c r="AQ5" t="s">
        <v>457</v>
      </c>
      <c r="AR5">
        <v>10111</v>
      </c>
      <c r="AS5" t="s">
        <v>1400</v>
      </c>
      <c r="AT5">
        <v>3</v>
      </c>
      <c r="AU5" t="s">
        <v>1396</v>
      </c>
      <c r="AV5" t="s">
        <v>1398</v>
      </c>
      <c r="AW5">
        <v>5</v>
      </c>
      <c r="AX5" t="s">
        <v>1396</v>
      </c>
      <c r="AY5" t="s">
        <v>1398</v>
      </c>
      <c r="AZ5" t="s">
        <v>1422</v>
      </c>
      <c r="BA5" t="e">
        <v>#N/A</v>
      </c>
    </row>
    <row r="6" spans="1:53" ht="16.5" x14ac:dyDescent="0.15">
      <c r="B6" s="26" t="s">
        <v>1332</v>
      </c>
      <c r="C6" s="35" t="e">
        <f t="shared" si="0"/>
        <v>#N/A</v>
      </c>
      <c r="D6" s="24">
        <v>10018</v>
      </c>
      <c r="E6" s="38" t="e">
        <f>IF(C6=C78,D6&amp;#REF!&amp;E78,D6)</f>
        <v>#N/A</v>
      </c>
      <c r="G6" s="39"/>
      <c r="H6" s="24"/>
      <c r="I6" s="24"/>
      <c r="J6" s="24"/>
      <c r="K6" s="42"/>
      <c r="N6" s="24"/>
      <c r="O6" s="24"/>
      <c r="P6" s="24"/>
      <c r="Q6" s="24"/>
      <c r="R6" s="24"/>
      <c r="S6" s="24"/>
      <c r="T6" s="24"/>
      <c r="U6" s="24"/>
      <c r="V6" s="24"/>
      <c r="W6" s="24"/>
      <c r="AA6">
        <v>10006</v>
      </c>
      <c r="AB6" t="s">
        <v>175</v>
      </c>
      <c r="AC6">
        <v>10006</v>
      </c>
      <c r="AE6" t="s">
        <v>1408</v>
      </c>
      <c r="AF6" s="40">
        <f t="shared" si="1"/>
        <v>10016</v>
      </c>
      <c r="AG6" s="39" t="s">
        <v>1401</v>
      </c>
      <c r="AH6" s="39">
        <v>3</v>
      </c>
      <c r="AI6" s="39" t="s">
        <v>1397</v>
      </c>
      <c r="AJ6" s="39" t="s">
        <v>1399</v>
      </c>
      <c r="AK6" s="40">
        <v>3</v>
      </c>
      <c r="AL6" s="39" t="s">
        <v>1397</v>
      </c>
      <c r="AM6" s="39" t="s">
        <v>1399</v>
      </c>
      <c r="AN6" t="str">
        <f t="shared" si="2"/>
        <v>[[3,[3]]]</v>
      </c>
      <c r="AO6">
        <f t="shared" si="3"/>
        <v>10230</v>
      </c>
      <c r="AQ6" t="s">
        <v>95</v>
      </c>
      <c r="AR6">
        <v>10012</v>
      </c>
      <c r="AS6" t="s">
        <v>1400</v>
      </c>
      <c r="AT6">
        <v>3</v>
      </c>
      <c r="AU6" t="s">
        <v>1396</v>
      </c>
      <c r="AV6" t="s">
        <v>1398</v>
      </c>
      <c r="AW6">
        <v>5</v>
      </c>
      <c r="AX6" t="s">
        <v>1396</v>
      </c>
      <c r="AY6" t="s">
        <v>1398</v>
      </c>
      <c r="AZ6" t="s">
        <v>1422</v>
      </c>
      <c r="BA6" t="e">
        <v>#N/A</v>
      </c>
    </row>
    <row r="7" spans="1:53" ht="16.5" x14ac:dyDescent="0.15">
      <c r="B7" s="26" t="s">
        <v>1331</v>
      </c>
      <c r="C7" s="35" t="e">
        <f t="shared" si="0"/>
        <v>#N/A</v>
      </c>
      <c r="D7" s="24">
        <v>10039</v>
      </c>
      <c r="E7" s="38" t="e">
        <f>IF(C7=C6,D7&amp;#REF!&amp;E6,D7)</f>
        <v>#N/A</v>
      </c>
      <c r="G7" s="39"/>
      <c r="H7" s="24"/>
      <c r="I7" s="24"/>
      <c r="J7" s="24"/>
      <c r="K7" s="42"/>
      <c r="N7" s="24"/>
      <c r="O7" s="24"/>
      <c r="P7" s="24"/>
      <c r="Q7" s="24"/>
      <c r="R7" s="24"/>
      <c r="S7" s="24"/>
      <c r="T7" s="24"/>
      <c r="U7" s="24"/>
      <c r="V7" s="24"/>
      <c r="W7" s="24"/>
      <c r="AA7">
        <v>10007</v>
      </c>
      <c r="AB7" t="s">
        <v>177</v>
      </c>
      <c r="AC7">
        <v>10007</v>
      </c>
      <c r="AE7" t="s">
        <v>1409</v>
      </c>
      <c r="AF7" s="40">
        <f t="shared" si="1"/>
        <v>10009</v>
      </c>
      <c r="AG7" s="39" t="s">
        <v>1401</v>
      </c>
      <c r="AH7" s="39">
        <v>3</v>
      </c>
      <c r="AI7" s="39" t="s">
        <v>1397</v>
      </c>
      <c r="AJ7" s="39" t="s">
        <v>1399</v>
      </c>
      <c r="AK7" s="40">
        <v>3</v>
      </c>
      <c r="AL7" s="39" t="s">
        <v>1397</v>
      </c>
      <c r="AM7" s="39" t="s">
        <v>1399</v>
      </c>
      <c r="AN7" t="str">
        <f t="shared" si="2"/>
        <v>[[3,[3]]]</v>
      </c>
      <c r="AO7">
        <f t="shared" si="3"/>
        <v>10210</v>
      </c>
      <c r="AQ7" t="s">
        <v>92</v>
      </c>
      <c r="AR7">
        <v>10002</v>
      </c>
      <c r="AS7" t="s">
        <v>1400</v>
      </c>
      <c r="AT7">
        <v>3</v>
      </c>
      <c r="AU7" t="s">
        <v>1396</v>
      </c>
      <c r="AV7" t="s">
        <v>1398</v>
      </c>
      <c r="AW7">
        <v>7</v>
      </c>
      <c r="AX7" t="s">
        <v>1396</v>
      </c>
      <c r="AY7" t="s">
        <v>1398</v>
      </c>
      <c r="AZ7" t="s">
        <v>1423</v>
      </c>
      <c r="BA7" t="e">
        <v>#N/A</v>
      </c>
    </row>
    <row r="8" spans="1:53" ht="16.5" x14ac:dyDescent="0.15">
      <c r="B8" s="26" t="s">
        <v>1330</v>
      </c>
      <c r="C8" s="35" t="e">
        <f t="shared" si="0"/>
        <v>#N/A</v>
      </c>
      <c r="D8" s="24">
        <v>10028</v>
      </c>
      <c r="E8" s="38" t="e">
        <f>IF(C8=C7,D8&amp;#REF!&amp;E7,D8)</f>
        <v>#N/A</v>
      </c>
      <c r="G8" s="39"/>
      <c r="H8" s="24"/>
      <c r="I8" s="24"/>
      <c r="J8" s="24"/>
      <c r="K8" s="42"/>
      <c r="N8" s="24"/>
      <c r="O8" s="24"/>
      <c r="P8" s="24"/>
      <c r="Q8" s="24"/>
      <c r="R8" s="24"/>
      <c r="S8" s="24"/>
      <c r="T8" s="24"/>
      <c r="U8" s="24"/>
      <c r="AA8">
        <v>10008</v>
      </c>
      <c r="AB8" t="s">
        <v>96</v>
      </c>
      <c r="AC8">
        <v>10008</v>
      </c>
      <c r="AE8" t="s">
        <v>1410</v>
      </c>
      <c r="AF8" s="40">
        <f t="shared" si="1"/>
        <v>10113</v>
      </c>
      <c r="AG8" s="39" t="s">
        <v>1401</v>
      </c>
      <c r="AH8" s="39">
        <v>3</v>
      </c>
      <c r="AI8" s="39" t="s">
        <v>1397</v>
      </c>
      <c r="AJ8" s="39" t="s">
        <v>1399</v>
      </c>
      <c r="AK8" s="40">
        <v>3</v>
      </c>
      <c r="AL8" s="39" t="s">
        <v>1397</v>
      </c>
      <c r="AM8" s="39" t="s">
        <v>1399</v>
      </c>
      <c r="AN8" t="str">
        <f t="shared" si="2"/>
        <v>[[3,[3]]]</v>
      </c>
      <c r="AO8">
        <f t="shared" si="3"/>
        <v>0</v>
      </c>
      <c r="AQ8" t="s">
        <v>463</v>
      </c>
      <c r="AR8">
        <v>10114</v>
      </c>
      <c r="AS8" t="s">
        <v>1400</v>
      </c>
      <c r="AT8">
        <v>3</v>
      </c>
      <c r="AU8" t="s">
        <v>1396</v>
      </c>
      <c r="AV8" t="s">
        <v>1398</v>
      </c>
      <c r="AW8">
        <v>7</v>
      </c>
      <c r="AX8" t="s">
        <v>1396</v>
      </c>
      <c r="AY8" t="s">
        <v>1398</v>
      </c>
      <c r="AZ8" t="s">
        <v>1423</v>
      </c>
      <c r="BA8" t="e">
        <v>#N/A</v>
      </c>
    </row>
    <row r="9" spans="1:53" ht="16.5" x14ac:dyDescent="0.15">
      <c r="A9">
        <f>C9*100+K9</f>
        <v>1103201</v>
      </c>
      <c r="B9" s="31" t="s">
        <v>780</v>
      </c>
      <c r="C9" s="35">
        <f t="shared" si="0"/>
        <v>11032</v>
      </c>
      <c r="D9" s="24">
        <v>10429</v>
      </c>
      <c r="E9" s="38"/>
      <c r="F9" s="39" t="s">
        <v>1401</v>
      </c>
      <c r="G9" s="39">
        <v>2</v>
      </c>
      <c r="H9" s="24" t="s">
        <v>1397</v>
      </c>
      <c r="I9" s="24" t="s">
        <v>1399</v>
      </c>
      <c r="J9" s="24" t="str">
        <f>H9&amp;G9&amp;F9&amp;H9&amp;E9&amp;I9&amp;I9</f>
        <v>[2,[]]</v>
      </c>
      <c r="K9" s="42">
        <f>IF(C9=C10,1,2)</f>
        <v>1</v>
      </c>
      <c r="L9" s="39" t="s">
        <v>1401</v>
      </c>
      <c r="M9" s="39">
        <v>3</v>
      </c>
      <c r="N9" s="24" t="s">
        <v>1397</v>
      </c>
      <c r="O9" s="24" t="s">
        <v>1399</v>
      </c>
      <c r="P9" s="24">
        <v>4</v>
      </c>
      <c r="Q9" s="24" t="str">
        <f>R9&amp;(N9&amp;M9&amp;L9&amp;N9&amp;P9&amp;O9&amp;O9)&amp;L9&amp;(J9)&amp;S9</f>
        <v>[[3,[4]],[2,[]]]</v>
      </c>
      <c r="R9" s="24" t="s">
        <v>1397</v>
      </c>
      <c r="S9" s="24" t="s">
        <v>1399</v>
      </c>
      <c r="T9" s="24"/>
      <c r="U9" s="24"/>
      <c r="AA9">
        <v>10009</v>
      </c>
      <c r="AB9" t="s">
        <v>180</v>
      </c>
      <c r="AC9">
        <v>10009</v>
      </c>
      <c r="AE9" t="s">
        <v>1411</v>
      </c>
      <c r="AF9" s="40">
        <f t="shared" si="1"/>
        <v>10011</v>
      </c>
      <c r="AG9" s="39" t="s">
        <v>1401</v>
      </c>
      <c r="AH9" s="39">
        <v>3</v>
      </c>
      <c r="AI9" s="39" t="s">
        <v>1397</v>
      </c>
      <c r="AJ9" s="39" t="s">
        <v>1399</v>
      </c>
      <c r="AK9" s="40">
        <v>3</v>
      </c>
      <c r="AL9" s="39" t="s">
        <v>1397</v>
      </c>
      <c r="AM9" s="39" t="s">
        <v>1399</v>
      </c>
      <c r="AN9" t="str">
        <f t="shared" si="2"/>
        <v>[[3,[3]]]</v>
      </c>
      <c r="AO9">
        <f t="shared" si="3"/>
        <v>10220</v>
      </c>
      <c r="AQ9" t="s">
        <v>1085</v>
      </c>
      <c r="AR9">
        <v>10019</v>
      </c>
      <c r="AS9" t="s">
        <v>1400</v>
      </c>
      <c r="AT9">
        <v>3</v>
      </c>
      <c r="AU9" t="s">
        <v>1396</v>
      </c>
      <c r="AV9" t="s">
        <v>1398</v>
      </c>
      <c r="AW9">
        <v>7</v>
      </c>
      <c r="AX9" t="s">
        <v>1396</v>
      </c>
      <c r="AY9" t="s">
        <v>1398</v>
      </c>
      <c r="AZ9" t="s">
        <v>1423</v>
      </c>
      <c r="BA9" t="e">
        <v>#N/A</v>
      </c>
    </row>
    <row r="10" spans="1:53" ht="16.5" x14ac:dyDescent="0.15">
      <c r="A10">
        <f t="shared" ref="A10:A73" si="4">C10*100+K10</f>
        <v>1103201</v>
      </c>
      <c r="B10" s="31" t="s">
        <v>780</v>
      </c>
      <c r="C10" s="35">
        <f t="shared" si="0"/>
        <v>11032</v>
      </c>
      <c r="D10" s="24">
        <v>10489</v>
      </c>
      <c r="E10" s="38" t="str">
        <f>D10&amp;F10&amp;D9</f>
        <v>10489,10429</v>
      </c>
      <c r="F10" s="39" t="s">
        <v>1402</v>
      </c>
      <c r="G10" s="39">
        <v>2</v>
      </c>
      <c r="H10" s="24" t="s">
        <v>1397</v>
      </c>
      <c r="I10" s="24" t="s">
        <v>1399</v>
      </c>
      <c r="J10" s="24" t="str">
        <f t="shared" ref="J10:J73" si="5">H10&amp;G10&amp;F10&amp;H10&amp;E10&amp;I10&amp;I10</f>
        <v>[2,[10489,10429]]</v>
      </c>
      <c r="K10" s="42">
        <f t="shared" ref="K10:K73" si="6">IF(C10=C11,1,2)</f>
        <v>1</v>
      </c>
      <c r="L10" s="39" t="s">
        <v>1401</v>
      </c>
      <c r="M10" s="39">
        <v>3</v>
      </c>
      <c r="N10" s="24" t="s">
        <v>1397</v>
      </c>
      <c r="O10" s="24" t="s">
        <v>1399</v>
      </c>
      <c r="P10" s="24">
        <v>4</v>
      </c>
      <c r="Q10" s="24" t="str">
        <f t="shared" ref="Q10:Q73" si="7">R10&amp;(N10&amp;M10&amp;L10&amp;N10&amp;P10&amp;O10&amp;O10)&amp;L10&amp;(J10)&amp;S10</f>
        <v>[[3,[4]],[2,[10489,10429]]]</v>
      </c>
      <c r="R10" s="24" t="s">
        <v>1397</v>
      </c>
      <c r="S10" s="24" t="s">
        <v>1399</v>
      </c>
      <c r="T10" s="24"/>
      <c r="U10" s="24"/>
      <c r="AA10">
        <v>10010</v>
      </c>
      <c r="AB10" t="s">
        <v>93</v>
      </c>
      <c r="AC10">
        <v>10010</v>
      </c>
      <c r="AE10" t="s">
        <v>1412</v>
      </c>
      <c r="AF10" s="40">
        <f t="shared" si="1"/>
        <v>10001</v>
      </c>
      <c r="AG10" s="39" t="s">
        <v>1401</v>
      </c>
      <c r="AH10" s="39">
        <v>3</v>
      </c>
      <c r="AI10" s="39" t="s">
        <v>1397</v>
      </c>
      <c r="AJ10" s="39" t="s">
        <v>1399</v>
      </c>
      <c r="AK10" s="40">
        <v>5</v>
      </c>
      <c r="AL10" s="39" t="s">
        <v>1397</v>
      </c>
      <c r="AM10" s="39" t="s">
        <v>1399</v>
      </c>
      <c r="AN10" t="str">
        <f t="shared" si="2"/>
        <v>[[3,[5]]]</v>
      </c>
      <c r="AO10">
        <f t="shared" si="3"/>
        <v>0</v>
      </c>
    </row>
    <row r="11" spans="1:53" ht="16.5" x14ac:dyDescent="0.15">
      <c r="A11">
        <f t="shared" si="4"/>
        <v>1103201</v>
      </c>
      <c r="B11" s="31" t="s">
        <v>780</v>
      </c>
      <c r="C11" s="35">
        <f t="shared" si="0"/>
        <v>11032</v>
      </c>
      <c r="D11" s="24">
        <v>10549</v>
      </c>
      <c r="E11" s="38" t="str">
        <f>IF(C11=C10,D11&amp;F11&amp;E10,D11)</f>
        <v>10549,10489,10429</v>
      </c>
      <c r="F11" s="39" t="s">
        <v>1401</v>
      </c>
      <c r="G11" s="39">
        <v>2</v>
      </c>
      <c r="H11" s="24" t="s">
        <v>1397</v>
      </c>
      <c r="I11" s="24" t="s">
        <v>1399</v>
      </c>
      <c r="J11" s="24" t="str">
        <f t="shared" si="5"/>
        <v>[2,[10549,10489,10429]]</v>
      </c>
      <c r="K11" s="42">
        <f t="shared" si="6"/>
        <v>1</v>
      </c>
      <c r="L11" s="39" t="s">
        <v>1401</v>
      </c>
      <c r="M11" s="39">
        <v>3</v>
      </c>
      <c r="N11" s="24" t="s">
        <v>1397</v>
      </c>
      <c r="O11" s="24" t="s">
        <v>1399</v>
      </c>
      <c r="P11" s="24">
        <v>4</v>
      </c>
      <c r="Q11" s="24" t="str">
        <f t="shared" si="7"/>
        <v>[[3,[4]],[2,[10549,10489,10429]]]</v>
      </c>
      <c r="R11" s="24" t="s">
        <v>1397</v>
      </c>
      <c r="S11" s="24" t="s">
        <v>1399</v>
      </c>
      <c r="T11" s="24"/>
      <c r="U11" s="24"/>
      <c r="AA11">
        <v>10011</v>
      </c>
      <c r="AB11" t="s">
        <v>107</v>
      </c>
      <c r="AC11">
        <v>10011</v>
      </c>
      <c r="AE11" t="s">
        <v>1413</v>
      </c>
      <c r="AF11" s="40">
        <f t="shared" si="1"/>
        <v>10111</v>
      </c>
      <c r="AG11" s="39" t="s">
        <v>1401</v>
      </c>
      <c r="AH11" s="39">
        <v>3</v>
      </c>
      <c r="AI11" s="39" t="s">
        <v>1397</v>
      </c>
      <c r="AJ11" s="39" t="s">
        <v>1399</v>
      </c>
      <c r="AK11" s="40">
        <v>5</v>
      </c>
      <c r="AL11" s="39" t="s">
        <v>1397</v>
      </c>
      <c r="AM11" s="39" t="s">
        <v>1399</v>
      </c>
      <c r="AN11" t="str">
        <f t="shared" si="2"/>
        <v>[[3,[5]]]</v>
      </c>
      <c r="AO11">
        <f t="shared" si="3"/>
        <v>0</v>
      </c>
    </row>
    <row r="12" spans="1:53" ht="16.5" x14ac:dyDescent="0.15">
      <c r="A12">
        <f t="shared" si="4"/>
        <v>1103201</v>
      </c>
      <c r="B12" s="31" t="s">
        <v>780</v>
      </c>
      <c r="C12" s="35">
        <f t="shared" si="0"/>
        <v>11032</v>
      </c>
      <c r="D12" s="24">
        <v>10609</v>
      </c>
      <c r="E12" s="38" t="str">
        <f t="shared" ref="E12:E75" si="8">IF(C12=C11,D12&amp;F12&amp;E11,D12)</f>
        <v>10609,10549,10489,10429</v>
      </c>
      <c r="F12" s="39" t="s">
        <v>1402</v>
      </c>
      <c r="G12" s="39">
        <v>2</v>
      </c>
      <c r="H12" s="24" t="s">
        <v>1397</v>
      </c>
      <c r="I12" s="24" t="s">
        <v>1399</v>
      </c>
      <c r="J12" s="24" t="str">
        <f t="shared" si="5"/>
        <v>[2,[10609,10549,10489,10429]]</v>
      </c>
      <c r="K12" s="42">
        <f t="shared" si="6"/>
        <v>1</v>
      </c>
      <c r="L12" s="39" t="s">
        <v>1401</v>
      </c>
      <c r="M12" s="39">
        <v>3</v>
      </c>
      <c r="N12" s="24" t="s">
        <v>1397</v>
      </c>
      <c r="O12" s="24" t="s">
        <v>1399</v>
      </c>
      <c r="P12" s="24">
        <v>4</v>
      </c>
      <c r="Q12" s="24" t="str">
        <f t="shared" si="7"/>
        <v>[[3,[4]],[2,[10609,10549,10489,10429]]]</v>
      </c>
      <c r="R12" s="24" t="s">
        <v>1397</v>
      </c>
      <c r="S12" s="24" t="s">
        <v>1399</v>
      </c>
      <c r="T12" s="24"/>
      <c r="U12" s="24"/>
      <c r="AA12">
        <v>10012</v>
      </c>
      <c r="AB12" t="s">
        <v>95</v>
      </c>
      <c r="AC12">
        <v>10012</v>
      </c>
      <c r="AE12" t="s">
        <v>1414</v>
      </c>
      <c r="AF12" s="40">
        <f t="shared" si="1"/>
        <v>10012</v>
      </c>
      <c r="AG12" s="39" t="s">
        <v>1401</v>
      </c>
      <c r="AH12" s="39">
        <v>3</v>
      </c>
      <c r="AI12" s="39" t="s">
        <v>1397</v>
      </c>
      <c r="AJ12" s="39" t="s">
        <v>1399</v>
      </c>
      <c r="AK12" s="40">
        <v>5</v>
      </c>
      <c r="AL12" s="39" t="s">
        <v>1397</v>
      </c>
      <c r="AM12" s="39" t="s">
        <v>1399</v>
      </c>
      <c r="AN12" t="str">
        <f t="shared" si="2"/>
        <v>[[3,[5]]]</v>
      </c>
      <c r="AO12">
        <f t="shared" si="3"/>
        <v>0</v>
      </c>
    </row>
    <row r="13" spans="1:53" ht="16.5" x14ac:dyDescent="0.15">
      <c r="A13">
        <f t="shared" si="4"/>
        <v>1103201</v>
      </c>
      <c r="B13" s="31" t="s">
        <v>780</v>
      </c>
      <c r="C13" s="35">
        <f t="shared" si="0"/>
        <v>11032</v>
      </c>
      <c r="D13" s="24">
        <v>10669</v>
      </c>
      <c r="E13" s="38" t="str">
        <f t="shared" si="8"/>
        <v>10669,10609,10549,10489,10429</v>
      </c>
      <c r="F13" s="39" t="s">
        <v>1401</v>
      </c>
      <c r="G13" s="39">
        <v>2</v>
      </c>
      <c r="H13" s="24" t="s">
        <v>1397</v>
      </c>
      <c r="I13" s="24" t="s">
        <v>1399</v>
      </c>
      <c r="J13" s="24" t="str">
        <f t="shared" si="5"/>
        <v>[2,[10669,10609,10549,10489,10429]]</v>
      </c>
      <c r="K13" s="42">
        <f t="shared" si="6"/>
        <v>1</v>
      </c>
      <c r="L13" s="39" t="s">
        <v>1401</v>
      </c>
      <c r="M13" s="39">
        <v>3</v>
      </c>
      <c r="N13" s="24" t="s">
        <v>1397</v>
      </c>
      <c r="O13" s="24" t="s">
        <v>1399</v>
      </c>
      <c r="P13" s="24">
        <v>4</v>
      </c>
      <c r="Q13" s="24" t="str">
        <f t="shared" si="7"/>
        <v>[[3,[4]],[2,[10669,10609,10549,10489,10429]]]</v>
      </c>
      <c r="R13" s="24" t="s">
        <v>1397</v>
      </c>
      <c r="S13" s="24" t="s">
        <v>1399</v>
      </c>
      <c r="T13" s="24"/>
      <c r="U13" s="24"/>
      <c r="AA13">
        <v>10013</v>
      </c>
      <c r="AB13" t="s">
        <v>105</v>
      </c>
      <c r="AC13">
        <v>10013</v>
      </c>
      <c r="AE13" t="s">
        <v>1415</v>
      </c>
      <c r="AF13" s="40">
        <f t="shared" si="1"/>
        <v>10002</v>
      </c>
      <c r="AG13" s="39" t="s">
        <v>1401</v>
      </c>
      <c r="AH13" s="39">
        <v>3</v>
      </c>
      <c r="AI13" s="39" t="s">
        <v>1397</v>
      </c>
      <c r="AJ13" s="39" t="s">
        <v>1399</v>
      </c>
      <c r="AK13" s="40">
        <v>7</v>
      </c>
      <c r="AL13" s="39" t="s">
        <v>1397</v>
      </c>
      <c r="AM13" s="39" t="s">
        <v>1399</v>
      </c>
      <c r="AN13" t="str">
        <f t="shared" si="2"/>
        <v>[[3,[7]]]</v>
      </c>
      <c r="AO13">
        <f t="shared" si="3"/>
        <v>0</v>
      </c>
    </row>
    <row r="14" spans="1:53" ht="16.5" x14ac:dyDescent="0.15">
      <c r="A14">
        <f t="shared" si="4"/>
        <v>1103201</v>
      </c>
      <c r="B14" s="31" t="s">
        <v>780</v>
      </c>
      <c r="C14" s="35">
        <f t="shared" si="0"/>
        <v>11032</v>
      </c>
      <c r="D14" s="24">
        <v>10729</v>
      </c>
      <c r="E14" s="38" t="str">
        <f t="shared" si="8"/>
        <v>10729,10669,10609,10549,10489,10429</v>
      </c>
      <c r="F14" s="39" t="s">
        <v>1402</v>
      </c>
      <c r="G14" s="39">
        <v>2</v>
      </c>
      <c r="H14" s="24" t="s">
        <v>1397</v>
      </c>
      <c r="I14" s="24" t="s">
        <v>1399</v>
      </c>
      <c r="J14" s="24" t="str">
        <f t="shared" si="5"/>
        <v>[2,[10729,10669,10609,10549,10489,10429]]</v>
      </c>
      <c r="K14" s="42">
        <f t="shared" si="6"/>
        <v>1</v>
      </c>
      <c r="L14" s="39" t="s">
        <v>1401</v>
      </c>
      <c r="M14" s="39">
        <v>3</v>
      </c>
      <c r="N14" s="24" t="s">
        <v>1397</v>
      </c>
      <c r="O14" s="24" t="s">
        <v>1399</v>
      </c>
      <c r="P14" s="24">
        <v>4</v>
      </c>
      <c r="Q14" s="24" t="str">
        <f t="shared" si="7"/>
        <v>[[3,[4]],[2,[10729,10669,10609,10549,10489,10429]]]</v>
      </c>
      <c r="R14" s="24" t="s">
        <v>1397</v>
      </c>
      <c r="S14" s="24" t="s">
        <v>1399</v>
      </c>
      <c r="T14" s="24"/>
      <c r="U14" s="24"/>
      <c r="AA14">
        <v>10014</v>
      </c>
      <c r="AB14" t="s">
        <v>106</v>
      </c>
      <c r="AC14">
        <v>10014</v>
      </c>
      <c r="AE14" t="s">
        <v>1416</v>
      </c>
      <c r="AF14" s="40">
        <f t="shared" si="1"/>
        <v>10114</v>
      </c>
      <c r="AG14" s="39" t="s">
        <v>1401</v>
      </c>
      <c r="AH14" s="39">
        <v>3</v>
      </c>
      <c r="AI14" s="39" t="s">
        <v>1397</v>
      </c>
      <c r="AJ14" s="39" t="s">
        <v>1399</v>
      </c>
      <c r="AK14" s="40">
        <v>7</v>
      </c>
      <c r="AL14" s="39" t="s">
        <v>1397</v>
      </c>
      <c r="AM14" s="39" t="s">
        <v>1399</v>
      </c>
      <c r="AN14" t="str">
        <f t="shared" si="2"/>
        <v>[[3,[7]]]</v>
      </c>
      <c r="AO14">
        <f t="shared" si="3"/>
        <v>0</v>
      </c>
    </row>
    <row r="15" spans="1:53" ht="16.5" x14ac:dyDescent="0.15">
      <c r="A15">
        <f t="shared" si="4"/>
        <v>1103201</v>
      </c>
      <c r="B15" s="31" t="s">
        <v>780</v>
      </c>
      <c r="C15" s="35">
        <f t="shared" si="0"/>
        <v>11032</v>
      </c>
      <c r="D15" s="24">
        <v>10789</v>
      </c>
      <c r="E15" s="38" t="str">
        <f t="shared" si="8"/>
        <v>10789,10729,10669,10609,10549,10489,10429</v>
      </c>
      <c r="F15" s="39" t="s">
        <v>1401</v>
      </c>
      <c r="G15" s="39">
        <v>2</v>
      </c>
      <c r="H15" s="24" t="s">
        <v>1397</v>
      </c>
      <c r="I15" s="24" t="s">
        <v>1399</v>
      </c>
      <c r="J15" s="24" t="str">
        <f t="shared" si="5"/>
        <v>[2,[10789,10729,10669,10609,10549,10489,10429]]</v>
      </c>
      <c r="K15" s="42">
        <f t="shared" si="6"/>
        <v>1</v>
      </c>
      <c r="L15" s="39" t="s">
        <v>1401</v>
      </c>
      <c r="M15" s="39">
        <v>3</v>
      </c>
      <c r="N15" s="24" t="s">
        <v>1397</v>
      </c>
      <c r="O15" s="24" t="s">
        <v>1399</v>
      </c>
      <c r="P15" s="24">
        <v>4</v>
      </c>
      <c r="Q15" s="24" t="str">
        <f t="shared" si="7"/>
        <v>[[3,[4]],[2,[10789,10729,10669,10609,10549,10489,10429]]]</v>
      </c>
      <c r="R15" s="24" t="s">
        <v>1397</v>
      </c>
      <c r="S15" s="24" t="s">
        <v>1399</v>
      </c>
      <c r="T15" s="24"/>
      <c r="U15" s="24"/>
      <c r="AA15">
        <v>10015</v>
      </c>
      <c r="AB15" t="s">
        <v>104</v>
      </c>
      <c r="AC15">
        <v>10015</v>
      </c>
      <c r="AE15" t="s">
        <v>1417</v>
      </c>
      <c r="AF15" s="40">
        <f t="shared" si="1"/>
        <v>10019</v>
      </c>
      <c r="AG15" s="39" t="s">
        <v>1401</v>
      </c>
      <c r="AH15" s="39">
        <v>3</v>
      </c>
      <c r="AI15" s="39" t="s">
        <v>1397</v>
      </c>
      <c r="AJ15" s="39" t="s">
        <v>1399</v>
      </c>
      <c r="AK15" s="40">
        <v>7</v>
      </c>
      <c r="AL15" s="39" t="s">
        <v>1397</v>
      </c>
      <c r="AM15" s="39" t="s">
        <v>1399</v>
      </c>
      <c r="AN15" t="str">
        <f t="shared" si="2"/>
        <v>[[3,[7]]]</v>
      </c>
      <c r="AO15">
        <f t="shared" si="3"/>
        <v>0</v>
      </c>
    </row>
    <row r="16" spans="1:53" ht="16.5" x14ac:dyDescent="0.15">
      <c r="A16">
        <f t="shared" si="4"/>
        <v>1103202</v>
      </c>
      <c r="B16" s="31" t="s">
        <v>780</v>
      </c>
      <c r="C16" s="35">
        <f t="shared" si="0"/>
        <v>11032</v>
      </c>
      <c r="D16" s="24">
        <v>10849</v>
      </c>
      <c r="E16" s="38" t="str">
        <f t="shared" si="8"/>
        <v>10849,10789,10729,10669,10609,10549,10489,10429</v>
      </c>
      <c r="F16" s="39" t="s">
        <v>1402</v>
      </c>
      <c r="G16" s="39">
        <v>2</v>
      </c>
      <c r="H16" s="24" t="s">
        <v>1397</v>
      </c>
      <c r="I16" s="24" t="s">
        <v>1399</v>
      </c>
      <c r="J16" s="24" t="str">
        <f t="shared" si="5"/>
        <v>[2,[10849,10789,10729,10669,10609,10549,10489,10429]]</v>
      </c>
      <c r="K16" s="42">
        <f t="shared" si="6"/>
        <v>2</v>
      </c>
      <c r="L16" s="39" t="s">
        <v>1401</v>
      </c>
      <c r="M16" s="39">
        <v>3</v>
      </c>
      <c r="N16" s="24" t="s">
        <v>1397</v>
      </c>
      <c r="O16" s="24" t="s">
        <v>1399</v>
      </c>
      <c r="P16" s="24">
        <v>4</v>
      </c>
      <c r="Q16" s="24" t="str">
        <f t="shared" si="7"/>
        <v>[[3,[4]],[2,[10849,10789,10729,10669,10609,10549,10489,10429]]]</v>
      </c>
      <c r="R16" s="24" t="s">
        <v>1397</v>
      </c>
      <c r="S16" s="24" t="s">
        <v>1399</v>
      </c>
      <c r="T16" s="24"/>
      <c r="U16" s="24"/>
      <c r="AA16">
        <v>10016</v>
      </c>
      <c r="AB16" t="s">
        <v>101</v>
      </c>
      <c r="AC16">
        <v>10016</v>
      </c>
      <c r="AE16" t="s">
        <v>1418</v>
      </c>
      <c r="AF16" s="40">
        <f t="shared" si="1"/>
        <v>10005</v>
      </c>
      <c r="AG16" s="39" t="s">
        <v>1401</v>
      </c>
      <c r="AH16" s="39">
        <v>3</v>
      </c>
      <c r="AI16" s="39" t="s">
        <v>1397</v>
      </c>
      <c r="AJ16" s="39" t="s">
        <v>1399</v>
      </c>
      <c r="AK16" s="40">
        <v>7</v>
      </c>
      <c r="AL16" s="39" t="s">
        <v>1397</v>
      </c>
      <c r="AM16" s="39" t="s">
        <v>1399</v>
      </c>
      <c r="AN16" t="str">
        <f t="shared" si="2"/>
        <v>[[3,[7]]]</v>
      </c>
      <c r="AO16">
        <f t="shared" si="3"/>
        <v>10160</v>
      </c>
    </row>
    <row r="17" spans="1:41" ht="16.5" x14ac:dyDescent="0.15">
      <c r="A17">
        <f t="shared" si="4"/>
        <v>1102901</v>
      </c>
      <c r="B17" s="31" t="s">
        <v>664</v>
      </c>
      <c r="C17" s="35">
        <f t="shared" si="0"/>
        <v>11029</v>
      </c>
      <c r="D17" s="24">
        <v>10439</v>
      </c>
      <c r="E17" s="38">
        <f t="shared" si="8"/>
        <v>10439</v>
      </c>
      <c r="F17" s="39" t="s">
        <v>1402</v>
      </c>
      <c r="G17" s="39">
        <v>2</v>
      </c>
      <c r="H17" s="24" t="s">
        <v>1397</v>
      </c>
      <c r="I17" s="24" t="s">
        <v>1399</v>
      </c>
      <c r="J17" s="24" t="str">
        <f t="shared" si="5"/>
        <v>[2,[10439]]</v>
      </c>
      <c r="K17" s="42">
        <f t="shared" si="6"/>
        <v>1</v>
      </c>
      <c r="L17" s="39" t="s">
        <v>1401</v>
      </c>
      <c r="M17" s="39">
        <v>3</v>
      </c>
      <c r="N17" s="24" t="s">
        <v>1397</v>
      </c>
      <c r="O17" s="24" t="s">
        <v>1399</v>
      </c>
      <c r="P17" s="24">
        <v>4</v>
      </c>
      <c r="Q17" s="24" t="str">
        <f t="shared" si="7"/>
        <v>[[3,[4]],[2,[10439]]]</v>
      </c>
      <c r="R17" s="24" t="s">
        <v>1397</v>
      </c>
      <c r="S17" s="24" t="s">
        <v>1399</v>
      </c>
      <c r="T17" s="24"/>
      <c r="U17" s="24"/>
      <c r="AA17">
        <v>10017</v>
      </c>
      <c r="AB17" t="s">
        <v>100</v>
      </c>
      <c r="AC17">
        <v>10017</v>
      </c>
      <c r="AE17" t="s">
        <v>1419</v>
      </c>
      <c r="AF17" s="40">
        <f t="shared" si="1"/>
        <v>10026</v>
      </c>
      <c r="AG17" s="39" t="s">
        <v>1401</v>
      </c>
      <c r="AH17" s="39">
        <v>3</v>
      </c>
      <c r="AI17" s="39" t="s">
        <v>1397</v>
      </c>
      <c r="AJ17" s="39" t="s">
        <v>1399</v>
      </c>
      <c r="AK17" s="40">
        <v>7</v>
      </c>
      <c r="AL17" s="39" t="s">
        <v>1397</v>
      </c>
      <c r="AM17" s="39" t="s">
        <v>1399</v>
      </c>
      <c r="AN17" t="str">
        <f t="shared" si="2"/>
        <v>[[3,[7]]]</v>
      </c>
      <c r="AO17">
        <f t="shared" si="3"/>
        <v>10190</v>
      </c>
    </row>
    <row r="18" spans="1:41" ht="16.5" x14ac:dyDescent="0.15">
      <c r="A18">
        <f t="shared" si="4"/>
        <v>1102901</v>
      </c>
      <c r="B18" s="31" t="s">
        <v>664</v>
      </c>
      <c r="C18" s="35">
        <f t="shared" si="0"/>
        <v>11029</v>
      </c>
      <c r="D18" s="24">
        <v>10499</v>
      </c>
      <c r="E18" s="38" t="str">
        <f t="shared" si="8"/>
        <v>10499,10439</v>
      </c>
      <c r="F18" s="39" t="s">
        <v>1401</v>
      </c>
      <c r="G18" s="39">
        <v>2</v>
      </c>
      <c r="H18" s="24" t="s">
        <v>1397</v>
      </c>
      <c r="I18" s="24" t="s">
        <v>1399</v>
      </c>
      <c r="J18" s="24" t="str">
        <f t="shared" si="5"/>
        <v>[2,[10499,10439]]</v>
      </c>
      <c r="K18" s="42">
        <f t="shared" si="6"/>
        <v>1</v>
      </c>
      <c r="L18" s="39" t="s">
        <v>1401</v>
      </c>
      <c r="M18" s="39">
        <v>3</v>
      </c>
      <c r="N18" s="24" t="s">
        <v>1397</v>
      </c>
      <c r="O18" s="24" t="s">
        <v>1399</v>
      </c>
      <c r="P18" s="24">
        <v>4</v>
      </c>
      <c r="Q18" s="24" t="str">
        <f t="shared" si="7"/>
        <v>[[3,[4]],[2,[10499,10439]]]</v>
      </c>
      <c r="R18" s="24" t="s">
        <v>1397</v>
      </c>
      <c r="S18" s="24" t="s">
        <v>1399</v>
      </c>
      <c r="T18" s="24"/>
      <c r="U18" s="24"/>
      <c r="AA18">
        <v>10018</v>
      </c>
      <c r="AB18" t="s">
        <v>102</v>
      </c>
      <c r="AC18">
        <v>10018</v>
      </c>
      <c r="AE18" t="s">
        <v>1420</v>
      </c>
      <c r="AF18" s="40">
        <f t="shared" si="1"/>
        <v>10024</v>
      </c>
      <c r="AG18" s="39" t="s">
        <v>1401</v>
      </c>
      <c r="AH18" s="39">
        <v>3</v>
      </c>
      <c r="AI18" s="39" t="s">
        <v>1397</v>
      </c>
      <c r="AJ18" s="39" t="s">
        <v>1399</v>
      </c>
      <c r="AK18" s="40">
        <v>7</v>
      </c>
      <c r="AL18" s="39" t="s">
        <v>1397</v>
      </c>
      <c r="AM18" s="39" t="s">
        <v>1399</v>
      </c>
      <c r="AN18" t="str">
        <f t="shared" si="2"/>
        <v>[[3,[7]]]</v>
      </c>
      <c r="AO18">
        <f t="shared" si="3"/>
        <v>10180</v>
      </c>
    </row>
    <row r="19" spans="1:41" ht="16.5" x14ac:dyDescent="0.15">
      <c r="A19">
        <f t="shared" si="4"/>
        <v>1102901</v>
      </c>
      <c r="B19" s="31" t="s">
        <v>664</v>
      </c>
      <c r="C19" s="35">
        <f t="shared" si="0"/>
        <v>11029</v>
      </c>
      <c r="D19" s="24">
        <v>10559</v>
      </c>
      <c r="E19" s="38" t="str">
        <f t="shared" si="8"/>
        <v>10559,10499,10439</v>
      </c>
      <c r="F19" s="39" t="s">
        <v>1402</v>
      </c>
      <c r="G19" s="39">
        <v>2</v>
      </c>
      <c r="H19" s="24" t="s">
        <v>1397</v>
      </c>
      <c r="I19" s="24" t="s">
        <v>1399</v>
      </c>
      <c r="J19" s="24" t="str">
        <f t="shared" si="5"/>
        <v>[2,[10559,10499,10439]]</v>
      </c>
      <c r="K19" s="42">
        <f t="shared" si="6"/>
        <v>1</v>
      </c>
      <c r="L19" s="39" t="s">
        <v>1401</v>
      </c>
      <c r="M19" s="39">
        <v>3</v>
      </c>
      <c r="N19" s="24" t="s">
        <v>1397</v>
      </c>
      <c r="O19" s="24" t="s">
        <v>1399</v>
      </c>
      <c r="P19" s="24">
        <v>4</v>
      </c>
      <c r="Q19" s="24" t="str">
        <f t="shared" si="7"/>
        <v>[[3,[4]],[2,[10559,10499,10439]]]</v>
      </c>
      <c r="R19" s="24" t="s">
        <v>1397</v>
      </c>
      <c r="S19" s="24" t="s">
        <v>1399</v>
      </c>
      <c r="T19" s="24"/>
      <c r="U19" s="24"/>
      <c r="AA19">
        <v>10019</v>
      </c>
      <c r="AB19" t="s">
        <v>1085</v>
      </c>
      <c r="AC19">
        <v>10019</v>
      </c>
    </row>
    <row r="20" spans="1:41" ht="16.5" x14ac:dyDescent="0.15">
      <c r="A20">
        <f t="shared" si="4"/>
        <v>1102901</v>
      </c>
      <c r="B20" s="31" t="s">
        <v>664</v>
      </c>
      <c r="C20" s="35">
        <f t="shared" si="0"/>
        <v>11029</v>
      </c>
      <c r="D20" s="24">
        <v>10619</v>
      </c>
      <c r="E20" s="38" t="str">
        <f t="shared" si="8"/>
        <v>10619,10559,10499,10439</v>
      </c>
      <c r="F20" s="39" t="s">
        <v>1401</v>
      </c>
      <c r="G20" s="39">
        <v>2</v>
      </c>
      <c r="H20" s="24" t="s">
        <v>1397</v>
      </c>
      <c r="I20" s="24" t="s">
        <v>1399</v>
      </c>
      <c r="J20" s="24" t="str">
        <f t="shared" si="5"/>
        <v>[2,[10619,10559,10499,10439]]</v>
      </c>
      <c r="K20" s="42">
        <f t="shared" si="6"/>
        <v>1</v>
      </c>
      <c r="L20" s="39" t="s">
        <v>1401</v>
      </c>
      <c r="M20" s="39">
        <v>3</v>
      </c>
      <c r="N20" s="24" t="s">
        <v>1397</v>
      </c>
      <c r="O20" s="24" t="s">
        <v>1399</v>
      </c>
      <c r="P20" s="24">
        <v>4</v>
      </c>
      <c r="Q20" s="24" t="str">
        <f t="shared" si="7"/>
        <v>[[3,[4]],[2,[10619,10559,10499,10439]]]</v>
      </c>
      <c r="R20" s="24" t="s">
        <v>1397</v>
      </c>
      <c r="S20" s="24" t="s">
        <v>1399</v>
      </c>
      <c r="T20" s="24"/>
      <c r="U20" s="24"/>
      <c r="AA20">
        <v>10020</v>
      </c>
      <c r="AB20" t="s">
        <v>94</v>
      </c>
      <c r="AC20">
        <v>10020</v>
      </c>
    </row>
    <row r="21" spans="1:41" ht="16.5" x14ac:dyDescent="0.15">
      <c r="A21">
        <f t="shared" si="4"/>
        <v>1102901</v>
      </c>
      <c r="B21" s="31" t="s">
        <v>664</v>
      </c>
      <c r="C21" s="35">
        <f t="shared" si="0"/>
        <v>11029</v>
      </c>
      <c r="D21" s="24">
        <v>10679</v>
      </c>
      <c r="E21" s="38" t="str">
        <f t="shared" si="8"/>
        <v>10679,10619,10559,10499,10439</v>
      </c>
      <c r="F21" s="39" t="s">
        <v>1402</v>
      </c>
      <c r="G21" s="39">
        <v>2</v>
      </c>
      <c r="H21" s="24" t="s">
        <v>1397</v>
      </c>
      <c r="I21" s="24" t="s">
        <v>1399</v>
      </c>
      <c r="J21" s="24" t="str">
        <f t="shared" si="5"/>
        <v>[2,[10679,10619,10559,10499,10439]]</v>
      </c>
      <c r="K21" s="42">
        <f t="shared" si="6"/>
        <v>1</v>
      </c>
      <c r="L21" s="39" t="s">
        <v>1401</v>
      </c>
      <c r="M21" s="39">
        <v>3</v>
      </c>
      <c r="N21" s="24" t="s">
        <v>1397</v>
      </c>
      <c r="O21" s="24" t="s">
        <v>1399</v>
      </c>
      <c r="P21" s="24">
        <v>4</v>
      </c>
      <c r="Q21" s="24" t="str">
        <f t="shared" si="7"/>
        <v>[[3,[4]],[2,[10679,10619,10559,10499,10439]]]</v>
      </c>
      <c r="R21" s="24" t="s">
        <v>1397</v>
      </c>
      <c r="S21" s="24" t="s">
        <v>1399</v>
      </c>
      <c r="T21" s="24"/>
      <c r="U21" s="24"/>
      <c r="AA21">
        <v>10021</v>
      </c>
      <c r="AB21" t="s">
        <v>97</v>
      </c>
      <c r="AC21">
        <v>10021</v>
      </c>
    </row>
    <row r="22" spans="1:41" ht="16.5" x14ac:dyDescent="0.15">
      <c r="A22">
        <f t="shared" si="4"/>
        <v>1102901</v>
      </c>
      <c r="B22" s="31" t="s">
        <v>664</v>
      </c>
      <c r="C22" s="35">
        <f t="shared" si="0"/>
        <v>11029</v>
      </c>
      <c r="D22" s="24">
        <v>10739</v>
      </c>
      <c r="E22" s="38" t="str">
        <f t="shared" si="8"/>
        <v>10739,10679,10619,10559,10499,10439</v>
      </c>
      <c r="F22" s="39" t="s">
        <v>1401</v>
      </c>
      <c r="G22" s="39">
        <v>2</v>
      </c>
      <c r="H22" s="24" t="s">
        <v>1397</v>
      </c>
      <c r="I22" s="24" t="s">
        <v>1399</v>
      </c>
      <c r="J22" s="24" t="str">
        <f t="shared" si="5"/>
        <v>[2,[10739,10679,10619,10559,10499,10439]]</v>
      </c>
      <c r="K22" s="42">
        <f t="shared" si="6"/>
        <v>1</v>
      </c>
      <c r="L22" s="39" t="s">
        <v>1401</v>
      </c>
      <c r="M22" s="39">
        <v>3</v>
      </c>
      <c r="N22" s="24" t="s">
        <v>1397</v>
      </c>
      <c r="O22" s="24" t="s">
        <v>1399</v>
      </c>
      <c r="P22" s="24">
        <v>4</v>
      </c>
      <c r="Q22" s="24" t="str">
        <f t="shared" si="7"/>
        <v>[[3,[4]],[2,[10739,10679,10619,10559,10499,10439]]]</v>
      </c>
      <c r="R22" s="24" t="s">
        <v>1397</v>
      </c>
      <c r="S22" s="24" t="s">
        <v>1399</v>
      </c>
      <c r="T22" s="24"/>
      <c r="U22" s="24"/>
      <c r="AA22">
        <v>10022</v>
      </c>
      <c r="AB22" t="s">
        <v>98</v>
      </c>
      <c r="AC22">
        <v>10022</v>
      </c>
    </row>
    <row r="23" spans="1:41" ht="16.5" x14ac:dyDescent="0.15">
      <c r="A23">
        <f t="shared" si="4"/>
        <v>1102901</v>
      </c>
      <c r="B23" s="31" t="s">
        <v>664</v>
      </c>
      <c r="C23" s="35">
        <f t="shared" si="0"/>
        <v>11029</v>
      </c>
      <c r="D23" s="24">
        <v>10799</v>
      </c>
      <c r="E23" s="38" t="str">
        <f t="shared" si="8"/>
        <v>10799,10739,10679,10619,10559,10499,10439</v>
      </c>
      <c r="F23" s="39" t="s">
        <v>1402</v>
      </c>
      <c r="G23" s="39">
        <v>2</v>
      </c>
      <c r="H23" s="24" t="s">
        <v>1397</v>
      </c>
      <c r="I23" s="24" t="s">
        <v>1399</v>
      </c>
      <c r="J23" s="24" t="str">
        <f t="shared" si="5"/>
        <v>[2,[10799,10739,10679,10619,10559,10499,10439]]</v>
      </c>
      <c r="K23" s="42">
        <f t="shared" si="6"/>
        <v>1</v>
      </c>
      <c r="L23" s="39" t="s">
        <v>1401</v>
      </c>
      <c r="M23" s="39">
        <v>3</v>
      </c>
      <c r="N23" s="24" t="s">
        <v>1397</v>
      </c>
      <c r="O23" s="24" t="s">
        <v>1399</v>
      </c>
      <c r="P23" s="24">
        <v>4</v>
      </c>
      <c r="Q23" s="24" t="str">
        <f t="shared" si="7"/>
        <v>[[3,[4]],[2,[10799,10739,10679,10619,10559,10499,10439]]]</v>
      </c>
      <c r="R23" s="24" t="s">
        <v>1397</v>
      </c>
      <c r="S23" s="24" t="s">
        <v>1399</v>
      </c>
      <c r="T23" s="24"/>
      <c r="U23" s="24"/>
      <c r="AA23">
        <v>10023</v>
      </c>
      <c r="AB23" t="s">
        <v>103</v>
      </c>
      <c r="AC23">
        <v>10023</v>
      </c>
    </row>
    <row r="24" spans="1:41" ht="16.5" x14ac:dyDescent="0.15">
      <c r="A24">
        <f t="shared" si="4"/>
        <v>1102902</v>
      </c>
      <c r="B24" s="31" t="s">
        <v>664</v>
      </c>
      <c r="C24" s="35">
        <f t="shared" si="0"/>
        <v>11029</v>
      </c>
      <c r="D24" s="24">
        <v>10859</v>
      </c>
      <c r="E24" s="38" t="str">
        <f t="shared" si="8"/>
        <v>10859,10799,10739,10679,10619,10559,10499,10439</v>
      </c>
      <c r="F24" s="39" t="s">
        <v>1401</v>
      </c>
      <c r="G24" s="39">
        <v>2</v>
      </c>
      <c r="H24" s="24" t="s">
        <v>1397</v>
      </c>
      <c r="I24" s="24" t="s">
        <v>1399</v>
      </c>
      <c r="J24" s="24" t="str">
        <f t="shared" si="5"/>
        <v>[2,[10859,10799,10739,10679,10619,10559,10499,10439]]</v>
      </c>
      <c r="K24" s="42">
        <f t="shared" si="6"/>
        <v>2</v>
      </c>
      <c r="L24" s="39" t="s">
        <v>1401</v>
      </c>
      <c r="M24" s="39">
        <v>3</v>
      </c>
      <c r="N24" s="24" t="s">
        <v>1397</v>
      </c>
      <c r="O24" s="24" t="s">
        <v>1399</v>
      </c>
      <c r="P24" s="24">
        <v>4</v>
      </c>
      <c r="Q24" s="24" t="str">
        <f t="shared" si="7"/>
        <v>[[3,[4]],[2,[10859,10799,10739,10679,10619,10559,10499,10439]]]</v>
      </c>
      <c r="R24" s="24" t="s">
        <v>1397</v>
      </c>
      <c r="S24" s="24" t="s">
        <v>1399</v>
      </c>
      <c r="T24" s="24"/>
      <c r="U24" s="24"/>
      <c r="AA24">
        <v>10024</v>
      </c>
      <c r="AB24" t="s">
        <v>99</v>
      </c>
      <c r="AC24">
        <v>10024</v>
      </c>
    </row>
    <row r="25" spans="1:41" ht="16.5" x14ac:dyDescent="0.15">
      <c r="A25">
        <f t="shared" si="4"/>
        <v>1102001</v>
      </c>
      <c r="B25" s="27" t="s">
        <v>777</v>
      </c>
      <c r="C25" s="35">
        <f t="shared" si="0"/>
        <v>11020</v>
      </c>
      <c r="D25" s="24">
        <v>10189</v>
      </c>
      <c r="E25" s="38">
        <f t="shared" si="8"/>
        <v>10189</v>
      </c>
      <c r="F25" s="39" t="s">
        <v>1401</v>
      </c>
      <c r="G25" s="39">
        <v>2</v>
      </c>
      <c r="H25" s="24" t="s">
        <v>1397</v>
      </c>
      <c r="I25" s="24" t="s">
        <v>1399</v>
      </c>
      <c r="J25" s="24" t="str">
        <f t="shared" si="5"/>
        <v>[2,[10189]]</v>
      </c>
      <c r="K25" s="42">
        <f t="shared" si="6"/>
        <v>1</v>
      </c>
      <c r="L25" s="39" t="s">
        <v>1401</v>
      </c>
      <c r="M25" s="39">
        <v>3</v>
      </c>
      <c r="N25" s="24" t="s">
        <v>1397</v>
      </c>
      <c r="O25" s="24" t="s">
        <v>1399</v>
      </c>
      <c r="P25" s="24">
        <v>4</v>
      </c>
      <c r="Q25" s="24" t="str">
        <f t="shared" si="7"/>
        <v>[[3,[4]],[2,[10189]]]</v>
      </c>
      <c r="R25" s="24" t="s">
        <v>1397</v>
      </c>
      <c r="S25" s="24" t="s">
        <v>1399</v>
      </c>
      <c r="T25" s="24"/>
      <c r="U25" s="24"/>
      <c r="AA25">
        <v>10025</v>
      </c>
      <c r="AB25" t="s">
        <v>187</v>
      </c>
      <c r="AC25">
        <v>10025</v>
      </c>
    </row>
    <row r="26" spans="1:41" ht="16.5" x14ac:dyDescent="0.15">
      <c r="A26">
        <f t="shared" si="4"/>
        <v>1102001</v>
      </c>
      <c r="B26" s="27" t="s">
        <v>777</v>
      </c>
      <c r="C26" s="35">
        <f t="shared" si="0"/>
        <v>11020</v>
      </c>
      <c r="D26" s="24">
        <v>10249</v>
      </c>
      <c r="E26" s="38" t="str">
        <f t="shared" si="8"/>
        <v>10249,10189</v>
      </c>
      <c r="F26" s="39" t="s">
        <v>1402</v>
      </c>
      <c r="G26" s="39">
        <v>2</v>
      </c>
      <c r="H26" s="24" t="s">
        <v>1397</v>
      </c>
      <c r="I26" s="24" t="s">
        <v>1399</v>
      </c>
      <c r="J26" s="24" t="str">
        <f t="shared" si="5"/>
        <v>[2,[10249,10189]]</v>
      </c>
      <c r="K26" s="42">
        <f t="shared" si="6"/>
        <v>1</v>
      </c>
      <c r="L26" s="39" t="s">
        <v>1401</v>
      </c>
      <c r="M26" s="39">
        <v>3</v>
      </c>
      <c r="N26" s="24" t="s">
        <v>1397</v>
      </c>
      <c r="O26" s="24" t="s">
        <v>1399</v>
      </c>
      <c r="P26" s="24">
        <v>4</v>
      </c>
      <c r="Q26" s="24" t="str">
        <f t="shared" si="7"/>
        <v>[[3,[4]],[2,[10249,10189]]]</v>
      </c>
      <c r="R26" s="24" t="s">
        <v>1397</v>
      </c>
      <c r="S26" s="24" t="s">
        <v>1399</v>
      </c>
      <c r="T26" s="24"/>
      <c r="U26" s="24"/>
      <c r="AA26">
        <v>10026</v>
      </c>
      <c r="AB26" t="s">
        <v>189</v>
      </c>
      <c r="AC26">
        <v>10026</v>
      </c>
    </row>
    <row r="27" spans="1:41" ht="16.5" x14ac:dyDescent="0.15">
      <c r="A27">
        <f t="shared" si="4"/>
        <v>1102001</v>
      </c>
      <c r="B27" s="27" t="s">
        <v>777</v>
      </c>
      <c r="C27" s="35">
        <f t="shared" si="0"/>
        <v>11020</v>
      </c>
      <c r="D27" s="24">
        <v>10309</v>
      </c>
      <c r="E27" s="38" t="str">
        <f t="shared" si="8"/>
        <v>10309,10249,10189</v>
      </c>
      <c r="F27" s="39" t="s">
        <v>1401</v>
      </c>
      <c r="G27" s="39">
        <v>2</v>
      </c>
      <c r="H27" s="24" t="s">
        <v>1397</v>
      </c>
      <c r="I27" s="24" t="s">
        <v>1399</v>
      </c>
      <c r="J27" s="24" t="str">
        <f t="shared" si="5"/>
        <v>[2,[10309,10249,10189]]</v>
      </c>
      <c r="K27" s="42">
        <f t="shared" si="6"/>
        <v>1</v>
      </c>
      <c r="L27" s="39" t="s">
        <v>1401</v>
      </c>
      <c r="M27" s="39">
        <v>3</v>
      </c>
      <c r="N27" s="24" t="s">
        <v>1397</v>
      </c>
      <c r="O27" s="24" t="s">
        <v>1399</v>
      </c>
      <c r="P27" s="24">
        <v>4</v>
      </c>
      <c r="Q27" s="24" t="str">
        <f t="shared" si="7"/>
        <v>[[3,[4]],[2,[10309,10249,10189]]]</v>
      </c>
      <c r="R27" s="24" t="s">
        <v>1397</v>
      </c>
      <c r="S27" s="24" t="s">
        <v>1399</v>
      </c>
      <c r="T27" s="24"/>
      <c r="U27" s="24"/>
      <c r="AA27">
        <v>10027</v>
      </c>
      <c r="AB27" t="s">
        <v>191</v>
      </c>
      <c r="AC27">
        <v>10027</v>
      </c>
    </row>
    <row r="28" spans="1:41" ht="16.5" x14ac:dyDescent="0.15">
      <c r="A28">
        <f t="shared" si="4"/>
        <v>1102002</v>
      </c>
      <c r="B28" s="27" t="s">
        <v>777</v>
      </c>
      <c r="C28" s="35">
        <f t="shared" si="0"/>
        <v>11020</v>
      </c>
      <c r="D28" s="24">
        <v>10369</v>
      </c>
      <c r="E28" s="38" t="str">
        <f t="shared" si="8"/>
        <v>10369,10309,10249,10189</v>
      </c>
      <c r="F28" s="39" t="s">
        <v>1402</v>
      </c>
      <c r="G28" s="39">
        <v>2</v>
      </c>
      <c r="H28" s="24" t="s">
        <v>1397</v>
      </c>
      <c r="I28" s="24" t="s">
        <v>1399</v>
      </c>
      <c r="J28" s="24" t="str">
        <f t="shared" si="5"/>
        <v>[2,[10369,10309,10249,10189]]</v>
      </c>
      <c r="K28" s="42">
        <f t="shared" si="6"/>
        <v>2</v>
      </c>
      <c r="L28" s="39" t="s">
        <v>1401</v>
      </c>
      <c r="M28" s="39">
        <v>3</v>
      </c>
      <c r="N28" s="24" t="s">
        <v>1397</v>
      </c>
      <c r="O28" s="24" t="s">
        <v>1399</v>
      </c>
      <c r="P28" s="24">
        <v>4</v>
      </c>
      <c r="Q28" s="24" t="str">
        <f t="shared" si="7"/>
        <v>[[3,[4]],[2,[10369,10309,10249,10189]]]</v>
      </c>
      <c r="R28" s="24" t="s">
        <v>1397</v>
      </c>
      <c r="S28" s="24" t="s">
        <v>1399</v>
      </c>
      <c r="T28" s="24"/>
      <c r="U28" s="24"/>
      <c r="AA28">
        <v>10028</v>
      </c>
      <c r="AB28" t="s">
        <v>109</v>
      </c>
      <c r="AC28">
        <v>10028</v>
      </c>
    </row>
    <row r="29" spans="1:41" ht="16.5" x14ac:dyDescent="0.15">
      <c r="A29">
        <f t="shared" si="4"/>
        <v>1101701</v>
      </c>
      <c r="B29" s="27" t="s">
        <v>655</v>
      </c>
      <c r="C29" s="35">
        <f t="shared" si="0"/>
        <v>11017</v>
      </c>
      <c r="D29" s="24">
        <v>10199</v>
      </c>
      <c r="E29" s="38">
        <f t="shared" si="8"/>
        <v>10199</v>
      </c>
      <c r="F29" s="39" t="s">
        <v>1401</v>
      </c>
      <c r="G29" s="39">
        <v>2</v>
      </c>
      <c r="H29" s="24" t="s">
        <v>1397</v>
      </c>
      <c r="I29" s="24" t="s">
        <v>1399</v>
      </c>
      <c r="J29" s="24" t="str">
        <f t="shared" si="5"/>
        <v>[2,[10199]]</v>
      </c>
      <c r="K29" s="42">
        <f t="shared" si="6"/>
        <v>1</v>
      </c>
      <c r="L29" s="39" t="s">
        <v>1401</v>
      </c>
      <c r="M29" s="39">
        <v>3</v>
      </c>
      <c r="N29" s="24" t="s">
        <v>1397</v>
      </c>
      <c r="O29" s="24" t="s">
        <v>1399</v>
      </c>
      <c r="P29" s="24">
        <v>4</v>
      </c>
      <c r="Q29" s="24" t="str">
        <f t="shared" si="7"/>
        <v>[[3,[4]],[2,[10199]]]</v>
      </c>
      <c r="R29" s="24" t="s">
        <v>1397</v>
      </c>
      <c r="S29" s="24" t="s">
        <v>1399</v>
      </c>
      <c r="T29" s="24"/>
      <c r="U29" s="24"/>
      <c r="AA29">
        <v>10030</v>
      </c>
      <c r="AB29" t="s">
        <v>111</v>
      </c>
      <c r="AC29">
        <v>10030</v>
      </c>
    </row>
    <row r="30" spans="1:41" ht="16.5" x14ac:dyDescent="0.15">
      <c r="A30">
        <f t="shared" si="4"/>
        <v>1101701</v>
      </c>
      <c r="B30" s="27" t="s">
        <v>655</v>
      </c>
      <c r="C30" s="35">
        <f t="shared" si="0"/>
        <v>11017</v>
      </c>
      <c r="D30" s="24">
        <v>10259</v>
      </c>
      <c r="E30" s="38" t="str">
        <f t="shared" si="8"/>
        <v>10259,10199</v>
      </c>
      <c r="F30" s="39" t="s">
        <v>1402</v>
      </c>
      <c r="G30" s="39">
        <v>2</v>
      </c>
      <c r="H30" s="24" t="s">
        <v>1397</v>
      </c>
      <c r="I30" s="24" t="s">
        <v>1399</v>
      </c>
      <c r="J30" s="24" t="str">
        <f t="shared" si="5"/>
        <v>[2,[10259,10199]]</v>
      </c>
      <c r="K30" s="42">
        <f t="shared" si="6"/>
        <v>1</v>
      </c>
      <c r="L30" s="39" t="s">
        <v>1401</v>
      </c>
      <c r="M30" s="39">
        <v>3</v>
      </c>
      <c r="N30" s="24" t="s">
        <v>1397</v>
      </c>
      <c r="O30" s="24" t="s">
        <v>1399</v>
      </c>
      <c r="P30" s="24">
        <v>4</v>
      </c>
      <c r="Q30" s="24" t="str">
        <f t="shared" si="7"/>
        <v>[[3,[4]],[2,[10259,10199]]]</v>
      </c>
      <c r="R30" s="24" t="s">
        <v>1397</v>
      </c>
      <c r="S30" s="24" t="s">
        <v>1399</v>
      </c>
      <c r="T30" s="24"/>
      <c r="U30" s="24"/>
      <c r="AA30">
        <v>10031</v>
      </c>
      <c r="AB30" t="s">
        <v>112</v>
      </c>
      <c r="AC30">
        <v>10031</v>
      </c>
    </row>
    <row r="31" spans="1:41" ht="16.5" x14ac:dyDescent="0.15">
      <c r="A31">
        <f t="shared" si="4"/>
        <v>1101701</v>
      </c>
      <c r="B31" s="27" t="s">
        <v>655</v>
      </c>
      <c r="C31" s="35">
        <f t="shared" si="0"/>
        <v>11017</v>
      </c>
      <c r="D31" s="24">
        <v>10319</v>
      </c>
      <c r="E31" s="38" t="str">
        <f t="shared" si="8"/>
        <v>10319,10259,10199</v>
      </c>
      <c r="F31" s="39" t="s">
        <v>1401</v>
      </c>
      <c r="G31" s="39">
        <v>2</v>
      </c>
      <c r="H31" s="24" t="s">
        <v>1397</v>
      </c>
      <c r="I31" s="24" t="s">
        <v>1399</v>
      </c>
      <c r="J31" s="24" t="str">
        <f t="shared" si="5"/>
        <v>[2,[10319,10259,10199]]</v>
      </c>
      <c r="K31" s="42">
        <f t="shared" si="6"/>
        <v>1</v>
      </c>
      <c r="L31" s="39" t="s">
        <v>1401</v>
      </c>
      <c r="M31" s="39">
        <v>3</v>
      </c>
      <c r="N31" s="24" t="s">
        <v>1397</v>
      </c>
      <c r="O31" s="24" t="s">
        <v>1399</v>
      </c>
      <c r="P31" s="24">
        <v>4</v>
      </c>
      <c r="Q31" s="24" t="str">
        <f t="shared" si="7"/>
        <v>[[3,[4]],[2,[10319,10259,10199]]]</v>
      </c>
      <c r="R31" s="24" t="s">
        <v>1397</v>
      </c>
      <c r="S31" s="24" t="s">
        <v>1399</v>
      </c>
      <c r="T31" s="24"/>
      <c r="U31" s="24"/>
      <c r="AA31">
        <v>10032</v>
      </c>
      <c r="AB31" t="s">
        <v>113</v>
      </c>
      <c r="AC31">
        <v>10032</v>
      </c>
    </row>
    <row r="32" spans="1:41" ht="16.5" x14ac:dyDescent="0.15">
      <c r="A32">
        <f t="shared" si="4"/>
        <v>1101702</v>
      </c>
      <c r="B32" s="27" t="s">
        <v>655</v>
      </c>
      <c r="C32" s="35">
        <f t="shared" si="0"/>
        <v>11017</v>
      </c>
      <c r="D32" s="24">
        <v>10379</v>
      </c>
      <c r="E32" s="38" t="str">
        <f t="shared" si="8"/>
        <v>10379,10319,10259,10199</v>
      </c>
      <c r="F32" s="39" t="s">
        <v>1402</v>
      </c>
      <c r="G32" s="39">
        <v>2</v>
      </c>
      <c r="H32" s="24" t="s">
        <v>1397</v>
      </c>
      <c r="I32" s="24" t="s">
        <v>1399</v>
      </c>
      <c r="J32" s="24" t="str">
        <f t="shared" si="5"/>
        <v>[2,[10379,10319,10259,10199]]</v>
      </c>
      <c r="K32" s="42">
        <f t="shared" si="6"/>
        <v>2</v>
      </c>
      <c r="L32" s="39" t="s">
        <v>1401</v>
      </c>
      <c r="M32" s="39">
        <v>3</v>
      </c>
      <c r="N32" s="24" t="s">
        <v>1397</v>
      </c>
      <c r="O32" s="24" t="s">
        <v>1399</v>
      </c>
      <c r="P32" s="24">
        <v>4</v>
      </c>
      <c r="Q32" s="24" t="str">
        <f t="shared" si="7"/>
        <v>[[3,[4]],[2,[10379,10319,10259,10199]]]</v>
      </c>
      <c r="R32" s="24" t="s">
        <v>1397</v>
      </c>
      <c r="S32" s="24" t="s">
        <v>1399</v>
      </c>
      <c r="T32" s="24"/>
      <c r="U32" s="24"/>
      <c r="AA32">
        <v>10033</v>
      </c>
      <c r="AB32" t="s">
        <v>114</v>
      </c>
      <c r="AC32">
        <v>10033</v>
      </c>
    </row>
    <row r="33" spans="1:29" ht="16.5" x14ac:dyDescent="0.15">
      <c r="A33">
        <f t="shared" si="4"/>
        <v>1100401</v>
      </c>
      <c r="B33" s="29" t="s">
        <v>773</v>
      </c>
      <c r="C33" s="35">
        <f t="shared" ref="C33:C64" si="9">VLOOKUP(B33,AB:AC,2,FALSE)</f>
        <v>11004</v>
      </c>
      <c r="D33" s="24">
        <v>10049</v>
      </c>
      <c r="E33" s="38">
        <f t="shared" si="8"/>
        <v>10049</v>
      </c>
      <c r="F33" s="39" t="s">
        <v>1401</v>
      </c>
      <c r="G33" s="39">
        <v>2</v>
      </c>
      <c r="H33" s="24" t="s">
        <v>1397</v>
      </c>
      <c r="I33" s="24" t="s">
        <v>1399</v>
      </c>
      <c r="J33" s="24" t="str">
        <f t="shared" si="5"/>
        <v>[2,[10049]]</v>
      </c>
      <c r="K33" s="42">
        <f t="shared" si="6"/>
        <v>1</v>
      </c>
      <c r="L33" s="39" t="s">
        <v>1401</v>
      </c>
      <c r="M33" s="39">
        <v>3</v>
      </c>
      <c r="N33" s="24" t="s">
        <v>1397</v>
      </c>
      <c r="O33" s="24" t="s">
        <v>1399</v>
      </c>
      <c r="P33" s="24">
        <v>4</v>
      </c>
      <c r="Q33" s="24" t="str">
        <f t="shared" si="7"/>
        <v>[[3,[4]],[2,[10049]]]</v>
      </c>
      <c r="R33" s="24" t="s">
        <v>1397</v>
      </c>
      <c r="S33" s="24" t="s">
        <v>1399</v>
      </c>
      <c r="T33" s="24"/>
      <c r="U33" s="24"/>
      <c r="AA33">
        <v>10034</v>
      </c>
      <c r="AB33" t="s">
        <v>438</v>
      </c>
      <c r="AC33">
        <v>10034</v>
      </c>
    </row>
    <row r="34" spans="1:29" ht="16.5" x14ac:dyDescent="0.15">
      <c r="A34">
        <f t="shared" si="4"/>
        <v>1100402</v>
      </c>
      <c r="B34" s="29" t="s">
        <v>773</v>
      </c>
      <c r="C34" s="35">
        <f t="shared" si="9"/>
        <v>11004</v>
      </c>
      <c r="D34" s="24">
        <v>10109</v>
      </c>
      <c r="E34" s="38" t="str">
        <f t="shared" si="8"/>
        <v>10109,10049</v>
      </c>
      <c r="F34" s="39" t="s">
        <v>1402</v>
      </c>
      <c r="G34" s="39">
        <v>2</v>
      </c>
      <c r="H34" s="24" t="s">
        <v>1397</v>
      </c>
      <c r="I34" s="24" t="s">
        <v>1399</v>
      </c>
      <c r="J34" s="24" t="str">
        <f t="shared" si="5"/>
        <v>[2,[10109,10049]]</v>
      </c>
      <c r="K34" s="42">
        <f t="shared" si="6"/>
        <v>2</v>
      </c>
      <c r="L34" s="39" t="s">
        <v>1401</v>
      </c>
      <c r="M34" s="39">
        <v>3</v>
      </c>
      <c r="N34" s="24" t="s">
        <v>1397</v>
      </c>
      <c r="O34" s="24" t="s">
        <v>1399</v>
      </c>
      <c r="P34" s="24">
        <v>4</v>
      </c>
      <c r="Q34" s="24" t="str">
        <f t="shared" si="7"/>
        <v>[[3,[4]],[2,[10109,10049]]]</v>
      </c>
      <c r="R34" s="24" t="s">
        <v>1397</v>
      </c>
      <c r="S34" s="24" t="s">
        <v>1399</v>
      </c>
      <c r="T34" s="24"/>
      <c r="U34" s="24"/>
      <c r="AA34">
        <v>10035</v>
      </c>
      <c r="AB34" t="s">
        <v>115</v>
      </c>
      <c r="AC34">
        <v>10035</v>
      </c>
    </row>
    <row r="35" spans="1:29" ht="16.5" x14ac:dyDescent="0.15">
      <c r="A35">
        <f t="shared" si="4"/>
        <v>1100101</v>
      </c>
      <c r="B35" s="29" t="s">
        <v>643</v>
      </c>
      <c r="C35" s="35">
        <f t="shared" si="9"/>
        <v>11001</v>
      </c>
      <c r="D35" s="24">
        <v>10059</v>
      </c>
      <c r="E35" s="38">
        <f t="shared" si="8"/>
        <v>10059</v>
      </c>
      <c r="F35" s="39" t="s">
        <v>1401</v>
      </c>
      <c r="G35" s="39">
        <v>2</v>
      </c>
      <c r="H35" s="24" t="s">
        <v>1397</v>
      </c>
      <c r="I35" s="24" t="s">
        <v>1399</v>
      </c>
      <c r="J35" s="24" t="str">
        <f t="shared" si="5"/>
        <v>[2,[10059]]</v>
      </c>
      <c r="K35" s="42">
        <f t="shared" si="6"/>
        <v>1</v>
      </c>
      <c r="L35" s="39" t="s">
        <v>1401</v>
      </c>
      <c r="M35" s="39">
        <v>3</v>
      </c>
      <c r="N35" s="24" t="s">
        <v>1397</v>
      </c>
      <c r="O35" s="24" t="s">
        <v>1399</v>
      </c>
      <c r="P35" s="24">
        <v>4</v>
      </c>
      <c r="Q35" s="24" t="str">
        <f t="shared" si="7"/>
        <v>[[3,[4]],[2,[10059]]]</v>
      </c>
      <c r="R35" s="24" t="s">
        <v>1397</v>
      </c>
      <c r="S35" s="24" t="s">
        <v>1399</v>
      </c>
      <c r="T35" s="24"/>
      <c r="U35" s="24"/>
      <c r="AA35">
        <v>10036</v>
      </c>
      <c r="AB35" t="s">
        <v>116</v>
      </c>
      <c r="AC35">
        <v>10036</v>
      </c>
    </row>
    <row r="36" spans="1:29" ht="16.5" x14ac:dyDescent="0.15">
      <c r="A36">
        <f t="shared" si="4"/>
        <v>1100102</v>
      </c>
      <c r="B36" s="29" t="s">
        <v>643</v>
      </c>
      <c r="C36" s="35">
        <f t="shared" si="9"/>
        <v>11001</v>
      </c>
      <c r="D36" s="24">
        <v>10119</v>
      </c>
      <c r="E36" s="38" t="str">
        <f t="shared" si="8"/>
        <v>10119,10059</v>
      </c>
      <c r="F36" s="39" t="s">
        <v>1402</v>
      </c>
      <c r="G36" s="39">
        <v>2</v>
      </c>
      <c r="H36" s="24" t="s">
        <v>1397</v>
      </c>
      <c r="I36" s="24" t="s">
        <v>1399</v>
      </c>
      <c r="J36" s="24" t="str">
        <f t="shared" si="5"/>
        <v>[2,[10119,10059]]</v>
      </c>
      <c r="K36" s="42">
        <f t="shared" si="6"/>
        <v>2</v>
      </c>
      <c r="L36" s="39" t="s">
        <v>1401</v>
      </c>
      <c r="M36" s="39">
        <v>3</v>
      </c>
      <c r="N36" s="24" t="s">
        <v>1397</v>
      </c>
      <c r="O36" s="24" t="s">
        <v>1399</v>
      </c>
      <c r="P36" s="24">
        <v>4</v>
      </c>
      <c r="Q36" s="24" t="str">
        <f t="shared" si="7"/>
        <v>[[3,[4]],[2,[10119,10059]]]</v>
      </c>
      <c r="R36" s="24" t="s">
        <v>1397</v>
      </c>
      <c r="S36" s="24" t="s">
        <v>1399</v>
      </c>
      <c r="T36" s="24"/>
      <c r="U36" s="24"/>
      <c r="AA36">
        <v>10037</v>
      </c>
      <c r="AB36" t="s">
        <v>193</v>
      </c>
      <c r="AC36">
        <v>10037</v>
      </c>
    </row>
    <row r="37" spans="1:29" ht="16.5" x14ac:dyDescent="0.15">
      <c r="A37">
        <f t="shared" si="4"/>
        <v>1103601</v>
      </c>
      <c r="B37" s="31" t="s">
        <v>1337</v>
      </c>
      <c r="C37" s="35">
        <f t="shared" si="9"/>
        <v>11036</v>
      </c>
      <c r="D37" s="24">
        <v>10449</v>
      </c>
      <c r="E37" s="38">
        <f t="shared" si="8"/>
        <v>10449</v>
      </c>
      <c r="F37" s="39" t="s">
        <v>1401</v>
      </c>
      <c r="G37" s="39">
        <v>2</v>
      </c>
      <c r="H37" s="24" t="s">
        <v>1397</v>
      </c>
      <c r="I37" s="24" t="s">
        <v>1399</v>
      </c>
      <c r="J37" s="24" t="str">
        <f t="shared" si="5"/>
        <v>[2,[10449]]</v>
      </c>
      <c r="K37" s="42">
        <f t="shared" si="6"/>
        <v>1</v>
      </c>
      <c r="L37" s="39" t="s">
        <v>1401</v>
      </c>
      <c r="M37" s="39">
        <v>3</v>
      </c>
      <c r="N37" s="24" t="s">
        <v>1397</v>
      </c>
      <c r="O37" s="24" t="s">
        <v>1399</v>
      </c>
      <c r="P37" s="24">
        <v>4</v>
      </c>
      <c r="Q37" s="24" t="str">
        <f t="shared" si="7"/>
        <v>[[3,[4]],[2,[10449]]]</v>
      </c>
      <c r="R37" s="24" t="s">
        <v>1397</v>
      </c>
      <c r="S37" s="24" t="s">
        <v>1399</v>
      </c>
      <c r="T37" s="24"/>
      <c r="U37" s="24"/>
      <c r="AA37">
        <v>10038</v>
      </c>
      <c r="AB37" t="s">
        <v>117</v>
      </c>
      <c r="AC37">
        <v>10038</v>
      </c>
    </row>
    <row r="38" spans="1:29" ht="16.5" x14ac:dyDescent="0.15">
      <c r="A38">
        <f t="shared" si="4"/>
        <v>1103601</v>
      </c>
      <c r="B38" s="31" t="s">
        <v>1337</v>
      </c>
      <c r="C38" s="35">
        <f t="shared" si="9"/>
        <v>11036</v>
      </c>
      <c r="D38" s="24">
        <v>10509</v>
      </c>
      <c r="E38" s="38" t="str">
        <f t="shared" si="8"/>
        <v>10509,10449</v>
      </c>
      <c r="F38" s="39" t="s">
        <v>1402</v>
      </c>
      <c r="G38" s="39">
        <v>2</v>
      </c>
      <c r="H38" s="24" t="s">
        <v>1397</v>
      </c>
      <c r="I38" s="24" t="s">
        <v>1399</v>
      </c>
      <c r="J38" s="24" t="str">
        <f t="shared" si="5"/>
        <v>[2,[10509,10449]]</v>
      </c>
      <c r="K38" s="42">
        <f t="shared" si="6"/>
        <v>1</v>
      </c>
      <c r="L38" s="39" t="s">
        <v>1401</v>
      </c>
      <c r="M38" s="39">
        <v>3</v>
      </c>
      <c r="N38" s="24" t="s">
        <v>1397</v>
      </c>
      <c r="O38" s="24" t="s">
        <v>1399</v>
      </c>
      <c r="P38" s="24">
        <v>4</v>
      </c>
      <c r="Q38" s="24" t="str">
        <f t="shared" si="7"/>
        <v>[[3,[4]],[2,[10509,10449]]]</v>
      </c>
      <c r="R38" s="24" t="s">
        <v>1397</v>
      </c>
      <c r="S38" s="24" t="s">
        <v>1399</v>
      </c>
      <c r="T38" s="24"/>
      <c r="U38" s="24"/>
      <c r="AA38">
        <v>10039</v>
      </c>
      <c r="AB38" t="s">
        <v>118</v>
      </c>
      <c r="AC38">
        <v>10039</v>
      </c>
    </row>
    <row r="39" spans="1:29" ht="16.5" x14ac:dyDescent="0.15">
      <c r="A39">
        <f t="shared" si="4"/>
        <v>1103601</v>
      </c>
      <c r="B39" s="31" t="s">
        <v>1337</v>
      </c>
      <c r="C39" s="35">
        <f t="shared" si="9"/>
        <v>11036</v>
      </c>
      <c r="D39" s="24">
        <v>10569</v>
      </c>
      <c r="E39" s="38" t="str">
        <f t="shared" si="8"/>
        <v>10569,10509,10449</v>
      </c>
      <c r="F39" s="39" t="s">
        <v>1401</v>
      </c>
      <c r="G39" s="39">
        <v>2</v>
      </c>
      <c r="H39" s="24" t="s">
        <v>1397</v>
      </c>
      <c r="I39" s="24" t="s">
        <v>1399</v>
      </c>
      <c r="J39" s="24" t="str">
        <f t="shared" si="5"/>
        <v>[2,[10569,10509,10449]]</v>
      </c>
      <c r="K39" s="42">
        <f t="shared" si="6"/>
        <v>1</v>
      </c>
      <c r="L39" s="39" t="s">
        <v>1401</v>
      </c>
      <c r="M39" s="39">
        <v>3</v>
      </c>
      <c r="N39" s="24" t="s">
        <v>1397</v>
      </c>
      <c r="O39" s="24" t="s">
        <v>1399</v>
      </c>
      <c r="P39" s="24">
        <v>4</v>
      </c>
      <c r="Q39" s="24" t="str">
        <f t="shared" si="7"/>
        <v>[[3,[4]],[2,[10569,10509,10449]]]</v>
      </c>
      <c r="R39" s="24" t="s">
        <v>1397</v>
      </c>
      <c r="S39" s="24" t="s">
        <v>1399</v>
      </c>
      <c r="T39" s="24"/>
      <c r="U39" s="24"/>
      <c r="AA39">
        <v>10040</v>
      </c>
      <c r="AB39" t="s">
        <v>119</v>
      </c>
      <c r="AC39">
        <v>10040</v>
      </c>
    </row>
    <row r="40" spans="1:29" ht="16.5" x14ac:dyDescent="0.15">
      <c r="A40">
        <f t="shared" si="4"/>
        <v>1103601</v>
      </c>
      <c r="B40" s="31" t="s">
        <v>1337</v>
      </c>
      <c r="C40" s="35">
        <f t="shared" si="9"/>
        <v>11036</v>
      </c>
      <c r="D40" s="24">
        <v>10629</v>
      </c>
      <c r="E40" s="38" t="str">
        <f t="shared" si="8"/>
        <v>10629,10569,10509,10449</v>
      </c>
      <c r="F40" s="39" t="s">
        <v>1402</v>
      </c>
      <c r="G40" s="39">
        <v>2</v>
      </c>
      <c r="H40" s="24" t="s">
        <v>1397</v>
      </c>
      <c r="I40" s="24" t="s">
        <v>1399</v>
      </c>
      <c r="J40" s="24" t="str">
        <f t="shared" si="5"/>
        <v>[2,[10629,10569,10509,10449]]</v>
      </c>
      <c r="K40" s="42">
        <f t="shared" si="6"/>
        <v>1</v>
      </c>
      <c r="L40" s="39" t="s">
        <v>1401</v>
      </c>
      <c r="M40" s="39">
        <v>3</v>
      </c>
      <c r="N40" s="24" t="s">
        <v>1397</v>
      </c>
      <c r="O40" s="24" t="s">
        <v>1399</v>
      </c>
      <c r="P40" s="24">
        <v>4</v>
      </c>
      <c r="Q40" s="24" t="str">
        <f t="shared" si="7"/>
        <v>[[3,[4]],[2,[10629,10569,10509,10449]]]</v>
      </c>
      <c r="R40" s="24" t="s">
        <v>1397</v>
      </c>
      <c r="S40" s="24" t="s">
        <v>1399</v>
      </c>
      <c r="T40" s="24"/>
      <c r="U40" s="24"/>
      <c r="AA40">
        <v>10041</v>
      </c>
      <c r="AB40" t="s">
        <v>986</v>
      </c>
      <c r="AC40">
        <v>10041</v>
      </c>
    </row>
    <row r="41" spans="1:29" ht="16.5" x14ac:dyDescent="0.15">
      <c r="A41">
        <f t="shared" si="4"/>
        <v>1103601</v>
      </c>
      <c r="B41" s="31" t="s">
        <v>1337</v>
      </c>
      <c r="C41" s="35">
        <f t="shared" si="9"/>
        <v>11036</v>
      </c>
      <c r="D41" s="24">
        <v>10689</v>
      </c>
      <c r="E41" s="38" t="str">
        <f t="shared" si="8"/>
        <v>10689,10629,10569,10509,10449</v>
      </c>
      <c r="F41" s="39" t="s">
        <v>1401</v>
      </c>
      <c r="G41" s="39">
        <v>2</v>
      </c>
      <c r="H41" s="24" t="s">
        <v>1397</v>
      </c>
      <c r="I41" s="24" t="s">
        <v>1399</v>
      </c>
      <c r="J41" s="24" t="str">
        <f t="shared" si="5"/>
        <v>[2,[10689,10629,10569,10509,10449]]</v>
      </c>
      <c r="K41" s="42">
        <f t="shared" si="6"/>
        <v>1</v>
      </c>
      <c r="L41" s="39" t="s">
        <v>1401</v>
      </c>
      <c r="M41" s="39">
        <v>3</v>
      </c>
      <c r="N41" s="24" t="s">
        <v>1397</v>
      </c>
      <c r="O41" s="24" t="s">
        <v>1399</v>
      </c>
      <c r="P41" s="24">
        <v>4</v>
      </c>
      <c r="Q41" s="24" t="str">
        <f t="shared" si="7"/>
        <v>[[3,[4]],[2,[10689,10629,10569,10509,10449]]]</v>
      </c>
      <c r="R41" s="24" t="s">
        <v>1397</v>
      </c>
      <c r="S41" s="24" t="s">
        <v>1399</v>
      </c>
      <c r="T41" s="24"/>
      <c r="U41" s="24"/>
      <c r="AA41">
        <v>10042</v>
      </c>
      <c r="AB41" t="s">
        <v>439</v>
      </c>
      <c r="AC41">
        <v>10042</v>
      </c>
    </row>
    <row r="42" spans="1:29" ht="16.5" x14ac:dyDescent="0.15">
      <c r="A42">
        <f t="shared" si="4"/>
        <v>1103601</v>
      </c>
      <c r="B42" s="31" t="s">
        <v>1337</v>
      </c>
      <c r="C42" s="35">
        <f t="shared" si="9"/>
        <v>11036</v>
      </c>
      <c r="D42" s="24">
        <v>10749</v>
      </c>
      <c r="E42" s="38" t="str">
        <f t="shared" si="8"/>
        <v>10749,10689,10629,10569,10509,10449</v>
      </c>
      <c r="F42" s="39" t="s">
        <v>1402</v>
      </c>
      <c r="G42" s="39">
        <v>2</v>
      </c>
      <c r="H42" s="24" t="s">
        <v>1397</v>
      </c>
      <c r="I42" s="24" t="s">
        <v>1399</v>
      </c>
      <c r="J42" s="24" t="str">
        <f t="shared" si="5"/>
        <v>[2,[10749,10689,10629,10569,10509,10449]]</v>
      </c>
      <c r="K42" s="42">
        <f t="shared" si="6"/>
        <v>1</v>
      </c>
      <c r="L42" s="39" t="s">
        <v>1401</v>
      </c>
      <c r="M42" s="39">
        <v>3</v>
      </c>
      <c r="N42" s="24" t="s">
        <v>1397</v>
      </c>
      <c r="O42" s="24" t="s">
        <v>1399</v>
      </c>
      <c r="P42" s="24">
        <v>4</v>
      </c>
      <c r="Q42" s="24" t="str">
        <f t="shared" si="7"/>
        <v>[[3,[4]],[2,[10749,10689,10629,10569,10509,10449]]]</v>
      </c>
      <c r="R42" s="24" t="s">
        <v>1397</v>
      </c>
      <c r="S42" s="24" t="s">
        <v>1399</v>
      </c>
      <c r="T42" s="24"/>
      <c r="U42" s="24"/>
      <c r="AA42">
        <v>10043</v>
      </c>
      <c r="AB42" t="s">
        <v>411</v>
      </c>
      <c r="AC42">
        <v>10043</v>
      </c>
    </row>
    <row r="43" spans="1:29" ht="16.5" x14ac:dyDescent="0.15">
      <c r="A43">
        <f t="shared" si="4"/>
        <v>1103601</v>
      </c>
      <c r="B43" s="31" t="s">
        <v>1337</v>
      </c>
      <c r="C43" s="35">
        <f t="shared" si="9"/>
        <v>11036</v>
      </c>
      <c r="D43" s="24">
        <v>10809</v>
      </c>
      <c r="E43" s="38" t="str">
        <f t="shared" si="8"/>
        <v>10809,10749,10689,10629,10569,10509,10449</v>
      </c>
      <c r="F43" s="39" t="s">
        <v>1401</v>
      </c>
      <c r="G43" s="39">
        <v>2</v>
      </c>
      <c r="H43" s="24" t="s">
        <v>1397</v>
      </c>
      <c r="I43" s="24" t="s">
        <v>1399</v>
      </c>
      <c r="J43" s="24" t="str">
        <f t="shared" si="5"/>
        <v>[2,[10809,10749,10689,10629,10569,10509,10449]]</v>
      </c>
      <c r="K43" s="42">
        <f t="shared" si="6"/>
        <v>1</v>
      </c>
      <c r="L43" s="39" t="s">
        <v>1401</v>
      </c>
      <c r="M43" s="39">
        <v>3</v>
      </c>
      <c r="N43" s="24" t="s">
        <v>1397</v>
      </c>
      <c r="O43" s="24" t="s">
        <v>1399</v>
      </c>
      <c r="P43" s="24">
        <v>4</v>
      </c>
      <c r="Q43" s="24" t="str">
        <f t="shared" si="7"/>
        <v>[[3,[4]],[2,[10809,10749,10689,10629,10569,10509,10449]]]</v>
      </c>
      <c r="R43" s="24" t="s">
        <v>1397</v>
      </c>
      <c r="S43" s="24" t="s">
        <v>1399</v>
      </c>
      <c r="T43" s="24"/>
      <c r="U43" s="24"/>
      <c r="AA43">
        <v>10046</v>
      </c>
      <c r="AB43" t="s">
        <v>1111</v>
      </c>
      <c r="AC43">
        <v>10046</v>
      </c>
    </row>
    <row r="44" spans="1:29" ht="16.5" x14ac:dyDescent="0.15">
      <c r="A44">
        <f t="shared" si="4"/>
        <v>1103602</v>
      </c>
      <c r="B44" s="31" t="s">
        <v>1337</v>
      </c>
      <c r="C44" s="35">
        <f t="shared" si="9"/>
        <v>11036</v>
      </c>
      <c r="D44" s="24">
        <v>10869</v>
      </c>
      <c r="E44" s="38" t="str">
        <f t="shared" si="8"/>
        <v>10869,10809,10749,10689,10629,10569,10509,10449</v>
      </c>
      <c r="F44" s="39" t="s">
        <v>1402</v>
      </c>
      <c r="G44" s="39">
        <v>2</v>
      </c>
      <c r="H44" s="24" t="s">
        <v>1397</v>
      </c>
      <c r="I44" s="24" t="s">
        <v>1399</v>
      </c>
      <c r="J44" s="24" t="str">
        <f t="shared" si="5"/>
        <v>[2,[10869,10809,10749,10689,10629,10569,10509,10449]]</v>
      </c>
      <c r="K44" s="42">
        <f t="shared" si="6"/>
        <v>2</v>
      </c>
      <c r="L44" s="39" t="s">
        <v>1401</v>
      </c>
      <c r="M44" s="39">
        <v>3</v>
      </c>
      <c r="N44" s="24" t="s">
        <v>1397</v>
      </c>
      <c r="O44" s="24" t="s">
        <v>1399</v>
      </c>
      <c r="P44" s="24">
        <v>4</v>
      </c>
      <c r="Q44" s="24" t="str">
        <f t="shared" si="7"/>
        <v>[[3,[4]],[2,[10869,10809,10749,10689,10629,10569,10509,10449]]]</v>
      </c>
      <c r="R44" s="24" t="s">
        <v>1397</v>
      </c>
      <c r="S44" s="24" t="s">
        <v>1399</v>
      </c>
      <c r="T44" s="24"/>
      <c r="U44" s="24"/>
      <c r="AA44">
        <v>10047</v>
      </c>
      <c r="AB44" t="s">
        <v>1113</v>
      </c>
      <c r="AC44">
        <v>10047</v>
      </c>
    </row>
    <row r="45" spans="1:29" ht="16.5" x14ac:dyDescent="0.15">
      <c r="A45">
        <f t="shared" si="4"/>
        <v>1103301</v>
      </c>
      <c r="B45" s="31" t="s">
        <v>667</v>
      </c>
      <c r="C45" s="35">
        <f t="shared" si="9"/>
        <v>11033</v>
      </c>
      <c r="D45" s="24">
        <v>10459</v>
      </c>
      <c r="E45" s="38">
        <f t="shared" si="8"/>
        <v>10459</v>
      </c>
      <c r="F45" s="39" t="s">
        <v>1402</v>
      </c>
      <c r="G45" s="39">
        <v>2</v>
      </c>
      <c r="H45" s="24" t="s">
        <v>1397</v>
      </c>
      <c r="I45" s="24" t="s">
        <v>1399</v>
      </c>
      <c r="J45" s="24" t="str">
        <f t="shared" si="5"/>
        <v>[2,[10459]]</v>
      </c>
      <c r="K45" s="42">
        <f t="shared" si="6"/>
        <v>1</v>
      </c>
      <c r="L45" s="39" t="s">
        <v>1401</v>
      </c>
      <c r="M45" s="39">
        <v>3</v>
      </c>
      <c r="N45" s="24" t="s">
        <v>1397</v>
      </c>
      <c r="O45" s="24" t="s">
        <v>1399</v>
      </c>
      <c r="P45" s="24">
        <v>4</v>
      </c>
      <c r="Q45" s="24" t="str">
        <f t="shared" si="7"/>
        <v>[[3,[4]],[2,[10459]]]</v>
      </c>
      <c r="R45" s="24" t="s">
        <v>1397</v>
      </c>
      <c r="S45" s="24" t="s">
        <v>1399</v>
      </c>
      <c r="T45" s="24"/>
      <c r="U45" s="24"/>
      <c r="AA45">
        <v>10048</v>
      </c>
      <c r="AB45" t="s">
        <v>1115</v>
      </c>
      <c r="AC45">
        <v>10048</v>
      </c>
    </row>
    <row r="46" spans="1:29" ht="16.5" x14ac:dyDescent="0.15">
      <c r="A46">
        <f t="shared" si="4"/>
        <v>1103301</v>
      </c>
      <c r="B46" s="31" t="s">
        <v>667</v>
      </c>
      <c r="C46" s="35">
        <f t="shared" si="9"/>
        <v>11033</v>
      </c>
      <c r="D46" s="24">
        <v>10519</v>
      </c>
      <c r="E46" s="38" t="str">
        <f t="shared" si="8"/>
        <v>10519,10459</v>
      </c>
      <c r="F46" s="39" t="s">
        <v>1401</v>
      </c>
      <c r="G46" s="39">
        <v>2</v>
      </c>
      <c r="H46" s="24" t="s">
        <v>1397</v>
      </c>
      <c r="I46" s="24" t="s">
        <v>1399</v>
      </c>
      <c r="J46" s="24" t="str">
        <f t="shared" si="5"/>
        <v>[2,[10519,10459]]</v>
      </c>
      <c r="K46" s="42">
        <f t="shared" si="6"/>
        <v>1</v>
      </c>
      <c r="L46" s="39" t="s">
        <v>1401</v>
      </c>
      <c r="M46" s="39">
        <v>3</v>
      </c>
      <c r="N46" s="24" t="s">
        <v>1397</v>
      </c>
      <c r="O46" s="24" t="s">
        <v>1399</v>
      </c>
      <c r="P46" s="24">
        <v>4</v>
      </c>
      <c r="Q46" s="24" t="str">
        <f t="shared" si="7"/>
        <v>[[3,[4]],[2,[10519,10459]]]</v>
      </c>
      <c r="R46" s="24" t="s">
        <v>1397</v>
      </c>
      <c r="S46" s="24" t="s">
        <v>1399</v>
      </c>
      <c r="T46" s="24"/>
      <c r="U46" s="24"/>
      <c r="AA46">
        <v>10052</v>
      </c>
      <c r="AB46" t="s">
        <v>120</v>
      </c>
      <c r="AC46">
        <v>10052</v>
      </c>
    </row>
    <row r="47" spans="1:29" ht="16.5" x14ac:dyDescent="0.15">
      <c r="A47">
        <f t="shared" si="4"/>
        <v>1103301</v>
      </c>
      <c r="B47" s="31" t="s">
        <v>667</v>
      </c>
      <c r="C47" s="35">
        <f t="shared" si="9"/>
        <v>11033</v>
      </c>
      <c r="D47" s="24">
        <v>10579</v>
      </c>
      <c r="E47" s="38" t="str">
        <f t="shared" si="8"/>
        <v>10579,10519,10459</v>
      </c>
      <c r="F47" s="39" t="s">
        <v>1402</v>
      </c>
      <c r="G47" s="39">
        <v>2</v>
      </c>
      <c r="H47" s="24" t="s">
        <v>1397</v>
      </c>
      <c r="I47" s="24" t="s">
        <v>1399</v>
      </c>
      <c r="J47" s="24" t="str">
        <f t="shared" si="5"/>
        <v>[2,[10579,10519,10459]]</v>
      </c>
      <c r="K47" s="42">
        <f t="shared" si="6"/>
        <v>1</v>
      </c>
      <c r="L47" s="39" t="s">
        <v>1401</v>
      </c>
      <c r="M47" s="39">
        <v>3</v>
      </c>
      <c r="N47" s="24" t="s">
        <v>1397</v>
      </c>
      <c r="O47" s="24" t="s">
        <v>1399</v>
      </c>
      <c r="P47" s="24">
        <v>4</v>
      </c>
      <c r="Q47" s="24" t="str">
        <f t="shared" si="7"/>
        <v>[[3,[4]],[2,[10579,10519,10459]]]</v>
      </c>
      <c r="R47" s="24" t="s">
        <v>1397</v>
      </c>
      <c r="S47" s="24" t="s">
        <v>1399</v>
      </c>
      <c r="T47" s="24"/>
      <c r="U47" s="24"/>
      <c r="AA47">
        <v>10053</v>
      </c>
      <c r="AB47" t="s">
        <v>412</v>
      </c>
      <c r="AC47">
        <v>10053</v>
      </c>
    </row>
    <row r="48" spans="1:29" ht="16.5" x14ac:dyDescent="0.15">
      <c r="A48">
        <f t="shared" si="4"/>
        <v>1103301</v>
      </c>
      <c r="B48" s="31" t="s">
        <v>667</v>
      </c>
      <c r="C48" s="35">
        <f t="shared" si="9"/>
        <v>11033</v>
      </c>
      <c r="D48" s="24">
        <v>10639</v>
      </c>
      <c r="E48" s="38" t="str">
        <f t="shared" si="8"/>
        <v>10639,10579,10519,10459</v>
      </c>
      <c r="F48" s="39" t="s">
        <v>1401</v>
      </c>
      <c r="G48" s="39">
        <v>2</v>
      </c>
      <c r="H48" s="24" t="s">
        <v>1397</v>
      </c>
      <c r="I48" s="24" t="s">
        <v>1399</v>
      </c>
      <c r="J48" s="24" t="str">
        <f t="shared" si="5"/>
        <v>[2,[10639,10579,10519,10459]]</v>
      </c>
      <c r="K48" s="42">
        <f t="shared" si="6"/>
        <v>1</v>
      </c>
      <c r="L48" s="39" t="s">
        <v>1401</v>
      </c>
      <c r="M48" s="39">
        <v>3</v>
      </c>
      <c r="N48" s="24" t="s">
        <v>1397</v>
      </c>
      <c r="O48" s="24" t="s">
        <v>1399</v>
      </c>
      <c r="P48" s="24">
        <v>4</v>
      </c>
      <c r="Q48" s="24" t="str">
        <f t="shared" si="7"/>
        <v>[[3,[4]],[2,[10639,10579,10519,10459]]]</v>
      </c>
      <c r="R48" s="24" t="s">
        <v>1397</v>
      </c>
      <c r="S48" s="24" t="s">
        <v>1399</v>
      </c>
      <c r="T48" s="24"/>
      <c r="U48" s="24"/>
      <c r="AA48">
        <v>10054</v>
      </c>
      <c r="AB48" t="s">
        <v>413</v>
      </c>
      <c r="AC48">
        <v>10054</v>
      </c>
    </row>
    <row r="49" spans="1:29" ht="16.5" x14ac:dyDescent="0.15">
      <c r="A49">
        <f t="shared" si="4"/>
        <v>1103301</v>
      </c>
      <c r="B49" s="31" t="s">
        <v>667</v>
      </c>
      <c r="C49" s="35">
        <f t="shared" si="9"/>
        <v>11033</v>
      </c>
      <c r="D49" s="24">
        <v>10699</v>
      </c>
      <c r="E49" s="38" t="str">
        <f t="shared" si="8"/>
        <v>10699,10639,10579,10519,10459</v>
      </c>
      <c r="F49" s="39" t="s">
        <v>1402</v>
      </c>
      <c r="G49" s="39">
        <v>2</v>
      </c>
      <c r="H49" s="24" t="s">
        <v>1397</v>
      </c>
      <c r="I49" s="24" t="s">
        <v>1399</v>
      </c>
      <c r="J49" s="24" t="str">
        <f t="shared" si="5"/>
        <v>[2,[10699,10639,10579,10519,10459]]</v>
      </c>
      <c r="K49" s="42">
        <f t="shared" si="6"/>
        <v>1</v>
      </c>
      <c r="L49" s="39" t="s">
        <v>1401</v>
      </c>
      <c r="M49" s="39">
        <v>3</v>
      </c>
      <c r="N49" s="24" t="s">
        <v>1397</v>
      </c>
      <c r="O49" s="24" t="s">
        <v>1399</v>
      </c>
      <c r="P49" s="24">
        <v>4</v>
      </c>
      <c r="Q49" s="24" t="str">
        <f t="shared" si="7"/>
        <v>[[3,[4]],[2,[10699,10639,10579,10519,10459]]]</v>
      </c>
      <c r="R49" s="24" t="s">
        <v>1397</v>
      </c>
      <c r="S49" s="24" t="s">
        <v>1399</v>
      </c>
      <c r="T49" s="24"/>
      <c r="U49" s="24"/>
      <c r="AA49">
        <v>10055</v>
      </c>
      <c r="AB49" t="s">
        <v>1120</v>
      </c>
      <c r="AC49">
        <v>10055</v>
      </c>
    </row>
    <row r="50" spans="1:29" ht="16.5" x14ac:dyDescent="0.15">
      <c r="A50">
        <f t="shared" si="4"/>
        <v>1103301</v>
      </c>
      <c r="B50" s="31" t="s">
        <v>667</v>
      </c>
      <c r="C50" s="35">
        <f t="shared" si="9"/>
        <v>11033</v>
      </c>
      <c r="D50" s="24">
        <v>10759</v>
      </c>
      <c r="E50" s="38" t="str">
        <f t="shared" si="8"/>
        <v>10759,10699,10639,10579,10519,10459</v>
      </c>
      <c r="F50" s="39" t="s">
        <v>1401</v>
      </c>
      <c r="G50" s="39">
        <v>2</v>
      </c>
      <c r="H50" s="24" t="s">
        <v>1397</v>
      </c>
      <c r="I50" s="24" t="s">
        <v>1399</v>
      </c>
      <c r="J50" s="24" t="str">
        <f t="shared" si="5"/>
        <v>[2,[10759,10699,10639,10579,10519,10459]]</v>
      </c>
      <c r="K50" s="42">
        <f t="shared" si="6"/>
        <v>1</v>
      </c>
      <c r="L50" s="39" t="s">
        <v>1401</v>
      </c>
      <c r="M50" s="39">
        <v>3</v>
      </c>
      <c r="N50" s="24" t="s">
        <v>1397</v>
      </c>
      <c r="O50" s="24" t="s">
        <v>1399</v>
      </c>
      <c r="P50" s="24">
        <v>4</v>
      </c>
      <c r="Q50" s="24" t="str">
        <f t="shared" si="7"/>
        <v>[[3,[4]],[2,[10759,10699,10639,10579,10519,10459]]]</v>
      </c>
      <c r="R50" s="24" t="s">
        <v>1397</v>
      </c>
      <c r="S50" s="24" t="s">
        <v>1399</v>
      </c>
      <c r="T50" s="24"/>
      <c r="U50" s="24"/>
      <c r="AA50">
        <v>10056</v>
      </c>
      <c r="AB50" t="s">
        <v>1122</v>
      </c>
      <c r="AC50">
        <v>10056</v>
      </c>
    </row>
    <row r="51" spans="1:29" ht="16.5" x14ac:dyDescent="0.15">
      <c r="A51">
        <f t="shared" si="4"/>
        <v>1103301</v>
      </c>
      <c r="B51" s="31" t="s">
        <v>667</v>
      </c>
      <c r="C51" s="35">
        <f t="shared" si="9"/>
        <v>11033</v>
      </c>
      <c r="D51" s="24">
        <v>10819</v>
      </c>
      <c r="E51" s="38" t="str">
        <f t="shared" si="8"/>
        <v>10819,10759,10699,10639,10579,10519,10459</v>
      </c>
      <c r="F51" s="39" t="s">
        <v>1402</v>
      </c>
      <c r="G51" s="39">
        <v>2</v>
      </c>
      <c r="H51" s="24" t="s">
        <v>1397</v>
      </c>
      <c r="I51" s="24" t="s">
        <v>1399</v>
      </c>
      <c r="J51" s="24" t="str">
        <f t="shared" si="5"/>
        <v>[2,[10819,10759,10699,10639,10579,10519,10459]]</v>
      </c>
      <c r="K51" s="42">
        <f t="shared" si="6"/>
        <v>1</v>
      </c>
      <c r="L51" s="39" t="s">
        <v>1401</v>
      </c>
      <c r="M51" s="39">
        <v>3</v>
      </c>
      <c r="N51" s="24" t="s">
        <v>1397</v>
      </c>
      <c r="O51" s="24" t="s">
        <v>1399</v>
      </c>
      <c r="P51" s="24">
        <v>4</v>
      </c>
      <c r="Q51" s="24" t="str">
        <f t="shared" si="7"/>
        <v>[[3,[4]],[2,[10819,10759,10699,10639,10579,10519,10459]]]</v>
      </c>
      <c r="R51" s="24" t="s">
        <v>1397</v>
      </c>
      <c r="S51" s="24" t="s">
        <v>1399</v>
      </c>
      <c r="T51" s="24"/>
      <c r="U51" s="24"/>
      <c r="AA51">
        <v>10057</v>
      </c>
      <c r="AB51" t="s">
        <v>1124</v>
      </c>
      <c r="AC51">
        <v>10057</v>
      </c>
    </row>
    <row r="52" spans="1:29" ht="16.5" x14ac:dyDescent="0.15">
      <c r="A52">
        <f t="shared" si="4"/>
        <v>1103302</v>
      </c>
      <c r="B52" s="31" t="s">
        <v>667</v>
      </c>
      <c r="C52" s="35">
        <f t="shared" si="9"/>
        <v>11033</v>
      </c>
      <c r="D52" s="24">
        <v>10879</v>
      </c>
      <c r="E52" s="38" t="str">
        <f t="shared" si="8"/>
        <v>10879,10819,10759,10699,10639,10579,10519,10459</v>
      </c>
      <c r="F52" s="39" t="s">
        <v>1401</v>
      </c>
      <c r="G52" s="39">
        <v>2</v>
      </c>
      <c r="H52" s="24" t="s">
        <v>1397</v>
      </c>
      <c r="I52" s="24" t="s">
        <v>1399</v>
      </c>
      <c r="J52" s="24" t="str">
        <f t="shared" si="5"/>
        <v>[2,[10879,10819,10759,10699,10639,10579,10519,10459]]</v>
      </c>
      <c r="K52" s="42">
        <f t="shared" si="6"/>
        <v>2</v>
      </c>
      <c r="L52" s="39" t="s">
        <v>1401</v>
      </c>
      <c r="M52" s="39">
        <v>3</v>
      </c>
      <c r="N52" s="24" t="s">
        <v>1397</v>
      </c>
      <c r="O52" s="24" t="s">
        <v>1399</v>
      </c>
      <c r="P52" s="24">
        <v>4</v>
      </c>
      <c r="Q52" s="24" t="str">
        <f t="shared" si="7"/>
        <v>[[3,[4]],[2,[10879,10819,10759,10699,10639,10579,10519,10459]]]</v>
      </c>
      <c r="R52" s="24" t="s">
        <v>1397</v>
      </c>
      <c r="S52" s="24" t="s">
        <v>1399</v>
      </c>
      <c r="T52" s="24"/>
      <c r="U52" s="24"/>
      <c r="AA52">
        <v>10058</v>
      </c>
      <c r="AB52" t="s">
        <v>1126</v>
      </c>
      <c r="AC52">
        <v>10058</v>
      </c>
    </row>
    <row r="53" spans="1:29" ht="16.5" x14ac:dyDescent="0.15">
      <c r="A53">
        <f t="shared" si="4"/>
        <v>1101201</v>
      </c>
      <c r="B53" s="29" t="s">
        <v>775</v>
      </c>
      <c r="C53" s="35">
        <f t="shared" si="9"/>
        <v>11012</v>
      </c>
      <c r="D53" s="24">
        <v>10089</v>
      </c>
      <c r="E53" s="38">
        <f t="shared" si="8"/>
        <v>10089</v>
      </c>
      <c r="F53" s="39" t="s">
        <v>1401</v>
      </c>
      <c r="G53" s="39">
        <v>2</v>
      </c>
      <c r="H53" s="24" t="s">
        <v>1397</v>
      </c>
      <c r="I53" s="24" t="s">
        <v>1399</v>
      </c>
      <c r="J53" s="24" t="str">
        <f t="shared" si="5"/>
        <v>[2,[10089]]</v>
      </c>
      <c r="K53" s="42">
        <f t="shared" si="6"/>
        <v>1</v>
      </c>
      <c r="L53" s="39" t="s">
        <v>1401</v>
      </c>
      <c r="M53" s="39">
        <v>3</v>
      </c>
      <c r="N53" s="24" t="s">
        <v>1397</v>
      </c>
      <c r="O53" s="24" t="s">
        <v>1399</v>
      </c>
      <c r="P53" s="24">
        <v>4</v>
      </c>
      <c r="Q53" s="24" t="str">
        <f t="shared" si="7"/>
        <v>[[3,[4]],[2,[10089]]]</v>
      </c>
      <c r="R53" s="24" t="s">
        <v>1397</v>
      </c>
      <c r="S53" s="24" t="s">
        <v>1399</v>
      </c>
      <c r="T53" s="24"/>
      <c r="U53" s="24"/>
      <c r="AA53">
        <v>10059</v>
      </c>
      <c r="AB53" t="s">
        <v>1128</v>
      </c>
      <c r="AC53">
        <v>10059</v>
      </c>
    </row>
    <row r="54" spans="1:29" ht="16.5" x14ac:dyDescent="0.15">
      <c r="A54">
        <f t="shared" si="4"/>
        <v>1101202</v>
      </c>
      <c r="B54" s="29" t="s">
        <v>775</v>
      </c>
      <c r="C54" s="35">
        <f t="shared" si="9"/>
        <v>11012</v>
      </c>
      <c r="D54" s="24">
        <v>10149</v>
      </c>
      <c r="E54" s="38" t="str">
        <f t="shared" si="8"/>
        <v>10149,10089</v>
      </c>
      <c r="F54" s="39" t="s">
        <v>1402</v>
      </c>
      <c r="G54" s="39">
        <v>2</v>
      </c>
      <c r="H54" s="24" t="s">
        <v>1397</v>
      </c>
      <c r="I54" s="24" t="s">
        <v>1399</v>
      </c>
      <c r="J54" s="24" t="str">
        <f t="shared" si="5"/>
        <v>[2,[10149,10089]]</v>
      </c>
      <c r="K54" s="42">
        <f t="shared" si="6"/>
        <v>2</v>
      </c>
      <c r="L54" s="39" t="s">
        <v>1401</v>
      </c>
      <c r="M54" s="39">
        <v>3</v>
      </c>
      <c r="N54" s="24" t="s">
        <v>1397</v>
      </c>
      <c r="O54" s="24" t="s">
        <v>1399</v>
      </c>
      <c r="P54" s="24">
        <v>4</v>
      </c>
      <c r="Q54" s="24" t="str">
        <f t="shared" si="7"/>
        <v>[[3,[4]],[2,[10149,10089]]]</v>
      </c>
      <c r="R54" s="24" t="s">
        <v>1397</v>
      </c>
      <c r="S54" s="24" t="s">
        <v>1399</v>
      </c>
      <c r="T54" s="24"/>
      <c r="U54" s="24"/>
      <c r="AA54">
        <v>10062</v>
      </c>
      <c r="AB54" t="s">
        <v>414</v>
      </c>
      <c r="AC54">
        <v>10062</v>
      </c>
    </row>
    <row r="55" spans="1:29" ht="16.5" x14ac:dyDescent="0.15">
      <c r="A55">
        <f t="shared" si="4"/>
        <v>1100901</v>
      </c>
      <c r="B55" s="29" t="s">
        <v>649</v>
      </c>
      <c r="C55" s="35">
        <f t="shared" si="9"/>
        <v>11009</v>
      </c>
      <c r="D55" s="24">
        <v>10099</v>
      </c>
      <c r="E55" s="38">
        <f t="shared" si="8"/>
        <v>10099</v>
      </c>
      <c r="F55" s="39" t="s">
        <v>1401</v>
      </c>
      <c r="G55" s="39">
        <v>2</v>
      </c>
      <c r="H55" s="24" t="s">
        <v>1397</v>
      </c>
      <c r="I55" s="24" t="s">
        <v>1399</v>
      </c>
      <c r="J55" s="24" t="str">
        <f t="shared" si="5"/>
        <v>[2,[10099]]</v>
      </c>
      <c r="K55" s="42">
        <f t="shared" si="6"/>
        <v>1</v>
      </c>
      <c r="L55" s="39" t="s">
        <v>1401</v>
      </c>
      <c r="M55" s="39">
        <v>3</v>
      </c>
      <c r="N55" s="24" t="s">
        <v>1397</v>
      </c>
      <c r="O55" s="24" t="s">
        <v>1399</v>
      </c>
      <c r="P55" s="24">
        <v>4</v>
      </c>
      <c r="Q55" s="24" t="str">
        <f t="shared" si="7"/>
        <v>[[3,[4]],[2,[10099]]]</v>
      </c>
      <c r="R55" s="24" t="s">
        <v>1397</v>
      </c>
      <c r="S55" s="24" t="s">
        <v>1399</v>
      </c>
      <c r="T55" s="24"/>
      <c r="U55" s="24"/>
      <c r="AA55">
        <v>10063</v>
      </c>
      <c r="AB55" t="s">
        <v>415</v>
      </c>
      <c r="AC55">
        <v>10063</v>
      </c>
    </row>
    <row r="56" spans="1:29" ht="16.5" x14ac:dyDescent="0.15">
      <c r="A56">
        <f t="shared" si="4"/>
        <v>1100902</v>
      </c>
      <c r="B56" s="29" t="s">
        <v>649</v>
      </c>
      <c r="C56" s="35">
        <f t="shared" si="9"/>
        <v>11009</v>
      </c>
      <c r="D56" s="24">
        <v>10159</v>
      </c>
      <c r="E56" s="38" t="str">
        <f t="shared" si="8"/>
        <v>10159,10099</v>
      </c>
      <c r="F56" s="39" t="s">
        <v>1402</v>
      </c>
      <c r="G56" s="39">
        <v>2</v>
      </c>
      <c r="H56" s="24" t="s">
        <v>1397</v>
      </c>
      <c r="I56" s="24" t="s">
        <v>1399</v>
      </c>
      <c r="J56" s="24" t="str">
        <f t="shared" si="5"/>
        <v>[2,[10159,10099]]</v>
      </c>
      <c r="K56" s="42">
        <f t="shared" si="6"/>
        <v>2</v>
      </c>
      <c r="L56" s="39" t="s">
        <v>1401</v>
      </c>
      <c r="M56" s="39">
        <v>3</v>
      </c>
      <c r="N56" s="24" t="s">
        <v>1397</v>
      </c>
      <c r="O56" s="24" t="s">
        <v>1399</v>
      </c>
      <c r="P56" s="24">
        <v>4</v>
      </c>
      <c r="Q56" s="24" t="str">
        <f t="shared" si="7"/>
        <v>[[3,[4]],[2,[10159,10099]]]</v>
      </c>
      <c r="R56" s="24" t="s">
        <v>1397</v>
      </c>
      <c r="S56" s="24" t="s">
        <v>1399</v>
      </c>
      <c r="T56" s="24"/>
      <c r="U56" s="24"/>
      <c r="AA56">
        <v>10064</v>
      </c>
      <c r="AB56" t="s">
        <v>1132</v>
      </c>
      <c r="AC56">
        <v>10064</v>
      </c>
    </row>
    <row r="57" spans="1:29" ht="16.5" x14ac:dyDescent="0.15">
      <c r="A57">
        <f t="shared" si="4"/>
        <v>1102801</v>
      </c>
      <c r="B57" s="31" t="s">
        <v>779</v>
      </c>
      <c r="C57" s="35">
        <f t="shared" si="9"/>
        <v>11028</v>
      </c>
      <c r="D57" s="24">
        <v>10409</v>
      </c>
      <c r="E57" s="38">
        <f t="shared" si="8"/>
        <v>10409</v>
      </c>
      <c r="F57" s="39" t="s">
        <v>1401</v>
      </c>
      <c r="G57" s="39">
        <v>2</v>
      </c>
      <c r="H57" s="24" t="s">
        <v>1397</v>
      </c>
      <c r="I57" s="24" t="s">
        <v>1399</v>
      </c>
      <c r="J57" s="24" t="str">
        <f t="shared" si="5"/>
        <v>[2,[10409]]</v>
      </c>
      <c r="K57" s="42">
        <f t="shared" si="6"/>
        <v>1</v>
      </c>
      <c r="L57" s="39" t="s">
        <v>1401</v>
      </c>
      <c r="M57" s="39">
        <v>3</v>
      </c>
      <c r="N57" s="24" t="s">
        <v>1397</v>
      </c>
      <c r="O57" s="24" t="s">
        <v>1399</v>
      </c>
      <c r="P57" s="24">
        <v>4</v>
      </c>
      <c r="Q57" s="24" t="str">
        <f t="shared" si="7"/>
        <v>[[3,[4]],[2,[10409]]]</v>
      </c>
      <c r="R57" s="24" t="s">
        <v>1397</v>
      </c>
      <c r="S57" s="24" t="s">
        <v>1399</v>
      </c>
      <c r="T57" s="24"/>
      <c r="U57" s="24"/>
      <c r="AA57">
        <v>10065</v>
      </c>
      <c r="AB57" t="s">
        <v>1135</v>
      </c>
      <c r="AC57">
        <v>10065</v>
      </c>
    </row>
    <row r="58" spans="1:29" ht="16.5" x14ac:dyDescent="0.15">
      <c r="A58">
        <f t="shared" si="4"/>
        <v>1102801</v>
      </c>
      <c r="B58" s="31" t="s">
        <v>779</v>
      </c>
      <c r="C58" s="35">
        <f t="shared" si="9"/>
        <v>11028</v>
      </c>
      <c r="D58" s="24">
        <v>10469</v>
      </c>
      <c r="E58" s="38" t="str">
        <f t="shared" si="8"/>
        <v>10469,10409</v>
      </c>
      <c r="F58" s="39" t="s">
        <v>1402</v>
      </c>
      <c r="G58" s="39">
        <v>2</v>
      </c>
      <c r="H58" s="24" t="s">
        <v>1397</v>
      </c>
      <c r="I58" s="24" t="s">
        <v>1399</v>
      </c>
      <c r="J58" s="24" t="str">
        <f t="shared" si="5"/>
        <v>[2,[10469,10409]]</v>
      </c>
      <c r="K58" s="42">
        <f t="shared" si="6"/>
        <v>1</v>
      </c>
      <c r="L58" s="39" t="s">
        <v>1401</v>
      </c>
      <c r="M58" s="39">
        <v>3</v>
      </c>
      <c r="N58" s="24" t="s">
        <v>1397</v>
      </c>
      <c r="O58" s="24" t="s">
        <v>1399</v>
      </c>
      <c r="P58" s="24">
        <v>4</v>
      </c>
      <c r="Q58" s="24" t="str">
        <f t="shared" si="7"/>
        <v>[[3,[4]],[2,[10469,10409]]]</v>
      </c>
      <c r="R58" s="24" t="s">
        <v>1397</v>
      </c>
      <c r="S58" s="24" t="s">
        <v>1399</v>
      </c>
      <c r="T58" s="24"/>
      <c r="U58" s="24"/>
      <c r="AA58">
        <v>10066</v>
      </c>
      <c r="AB58" t="s">
        <v>1138</v>
      </c>
      <c r="AC58">
        <v>10066</v>
      </c>
    </row>
    <row r="59" spans="1:29" ht="16.5" x14ac:dyDescent="0.15">
      <c r="A59">
        <f t="shared" si="4"/>
        <v>1102801</v>
      </c>
      <c r="B59" s="31" t="s">
        <v>779</v>
      </c>
      <c r="C59" s="35">
        <f t="shared" si="9"/>
        <v>11028</v>
      </c>
      <c r="D59" s="24">
        <v>10529</v>
      </c>
      <c r="E59" s="38" t="str">
        <f t="shared" si="8"/>
        <v>10529,10469,10409</v>
      </c>
      <c r="F59" s="39" t="s">
        <v>1401</v>
      </c>
      <c r="G59" s="39">
        <v>2</v>
      </c>
      <c r="H59" s="24" t="s">
        <v>1397</v>
      </c>
      <c r="I59" s="24" t="s">
        <v>1399</v>
      </c>
      <c r="J59" s="24" t="str">
        <f t="shared" si="5"/>
        <v>[2,[10529,10469,10409]]</v>
      </c>
      <c r="K59" s="42">
        <f t="shared" si="6"/>
        <v>1</v>
      </c>
      <c r="L59" s="39" t="s">
        <v>1401</v>
      </c>
      <c r="M59" s="39">
        <v>3</v>
      </c>
      <c r="N59" s="24" t="s">
        <v>1397</v>
      </c>
      <c r="O59" s="24" t="s">
        <v>1399</v>
      </c>
      <c r="P59" s="24">
        <v>4</v>
      </c>
      <c r="Q59" s="24" t="str">
        <f t="shared" si="7"/>
        <v>[[3,[4]],[2,[10529,10469,10409]]]</v>
      </c>
      <c r="R59" s="24" t="s">
        <v>1397</v>
      </c>
      <c r="S59" s="24" t="s">
        <v>1399</v>
      </c>
      <c r="T59" s="24"/>
      <c r="U59" s="24"/>
      <c r="AA59">
        <v>10067</v>
      </c>
      <c r="AB59" t="s">
        <v>1141</v>
      </c>
      <c r="AC59">
        <v>10067</v>
      </c>
    </row>
    <row r="60" spans="1:29" ht="16.5" x14ac:dyDescent="0.15">
      <c r="A60">
        <f t="shared" si="4"/>
        <v>1102801</v>
      </c>
      <c r="B60" s="31" t="s">
        <v>779</v>
      </c>
      <c r="C60" s="35">
        <f t="shared" si="9"/>
        <v>11028</v>
      </c>
      <c r="D60" s="24">
        <v>10589</v>
      </c>
      <c r="E60" s="38" t="str">
        <f t="shared" si="8"/>
        <v>10589,10529,10469,10409</v>
      </c>
      <c r="F60" s="39" t="s">
        <v>1402</v>
      </c>
      <c r="G60" s="39">
        <v>2</v>
      </c>
      <c r="H60" s="24" t="s">
        <v>1397</v>
      </c>
      <c r="I60" s="24" t="s">
        <v>1399</v>
      </c>
      <c r="J60" s="24" t="str">
        <f t="shared" si="5"/>
        <v>[2,[10589,10529,10469,10409]]</v>
      </c>
      <c r="K60" s="42">
        <f t="shared" si="6"/>
        <v>1</v>
      </c>
      <c r="L60" s="39" t="s">
        <v>1401</v>
      </c>
      <c r="M60" s="39">
        <v>3</v>
      </c>
      <c r="N60" s="24" t="s">
        <v>1397</v>
      </c>
      <c r="O60" s="24" t="s">
        <v>1399</v>
      </c>
      <c r="P60" s="24">
        <v>4</v>
      </c>
      <c r="Q60" s="24" t="str">
        <f t="shared" si="7"/>
        <v>[[3,[4]],[2,[10589,10529,10469,10409]]]</v>
      </c>
      <c r="R60" s="24" t="s">
        <v>1397</v>
      </c>
      <c r="S60" s="24" t="s">
        <v>1399</v>
      </c>
      <c r="T60" s="24"/>
      <c r="U60" s="24"/>
      <c r="AA60">
        <v>10068</v>
      </c>
      <c r="AB60" t="s">
        <v>1144</v>
      </c>
      <c r="AC60">
        <v>10068</v>
      </c>
    </row>
    <row r="61" spans="1:29" ht="16.5" x14ac:dyDescent="0.15">
      <c r="A61">
        <f t="shared" si="4"/>
        <v>1102801</v>
      </c>
      <c r="B61" s="31" t="s">
        <v>779</v>
      </c>
      <c r="C61" s="35">
        <f t="shared" si="9"/>
        <v>11028</v>
      </c>
      <c r="D61" s="24">
        <v>10649</v>
      </c>
      <c r="E61" s="38" t="str">
        <f t="shared" si="8"/>
        <v>10649,10589,10529,10469,10409</v>
      </c>
      <c r="F61" s="39" t="s">
        <v>1401</v>
      </c>
      <c r="G61" s="39">
        <v>2</v>
      </c>
      <c r="H61" s="24" t="s">
        <v>1397</v>
      </c>
      <c r="I61" s="24" t="s">
        <v>1399</v>
      </c>
      <c r="J61" s="24" t="str">
        <f t="shared" si="5"/>
        <v>[2,[10649,10589,10529,10469,10409]]</v>
      </c>
      <c r="K61" s="42">
        <f t="shared" si="6"/>
        <v>1</v>
      </c>
      <c r="L61" s="39" t="s">
        <v>1401</v>
      </c>
      <c r="M61" s="39">
        <v>3</v>
      </c>
      <c r="N61" s="24" t="s">
        <v>1397</v>
      </c>
      <c r="O61" s="24" t="s">
        <v>1399</v>
      </c>
      <c r="P61" s="24">
        <v>4</v>
      </c>
      <c r="Q61" s="24" t="str">
        <f t="shared" si="7"/>
        <v>[[3,[4]],[2,[10649,10589,10529,10469,10409]]]</v>
      </c>
      <c r="R61" s="24" t="s">
        <v>1397</v>
      </c>
      <c r="S61" s="24" t="s">
        <v>1399</v>
      </c>
      <c r="T61" s="24"/>
      <c r="U61" s="24"/>
      <c r="AA61">
        <v>10069</v>
      </c>
      <c r="AB61" t="s">
        <v>1147</v>
      </c>
      <c r="AC61">
        <v>10069</v>
      </c>
    </row>
    <row r="62" spans="1:29" ht="16.5" x14ac:dyDescent="0.15">
      <c r="A62">
        <f t="shared" si="4"/>
        <v>1102801</v>
      </c>
      <c r="B62" s="31" t="s">
        <v>779</v>
      </c>
      <c r="C62" s="35">
        <f t="shared" si="9"/>
        <v>11028</v>
      </c>
      <c r="D62" s="24">
        <v>10709</v>
      </c>
      <c r="E62" s="38" t="str">
        <f t="shared" si="8"/>
        <v>10709,10649,10589,10529,10469,10409</v>
      </c>
      <c r="F62" s="39" t="s">
        <v>1402</v>
      </c>
      <c r="G62" s="39">
        <v>2</v>
      </c>
      <c r="H62" s="24" t="s">
        <v>1397</v>
      </c>
      <c r="I62" s="24" t="s">
        <v>1399</v>
      </c>
      <c r="J62" s="24" t="str">
        <f t="shared" si="5"/>
        <v>[2,[10709,10649,10589,10529,10469,10409]]</v>
      </c>
      <c r="K62" s="42">
        <f t="shared" si="6"/>
        <v>1</v>
      </c>
      <c r="L62" s="39" t="s">
        <v>1401</v>
      </c>
      <c r="M62" s="39">
        <v>3</v>
      </c>
      <c r="N62" s="24" t="s">
        <v>1397</v>
      </c>
      <c r="O62" s="24" t="s">
        <v>1399</v>
      </c>
      <c r="P62" s="24">
        <v>4</v>
      </c>
      <c r="Q62" s="24" t="str">
        <f t="shared" si="7"/>
        <v>[[3,[4]],[2,[10709,10649,10589,10529,10469,10409]]]</v>
      </c>
      <c r="R62" s="24" t="s">
        <v>1397</v>
      </c>
      <c r="S62" s="24" t="s">
        <v>1399</v>
      </c>
      <c r="T62" s="24"/>
      <c r="U62" s="24"/>
      <c r="AA62">
        <v>10070</v>
      </c>
      <c r="AB62" t="s">
        <v>1150</v>
      </c>
      <c r="AC62">
        <v>10070</v>
      </c>
    </row>
    <row r="63" spans="1:29" ht="16.5" x14ac:dyDescent="0.15">
      <c r="A63">
        <f t="shared" si="4"/>
        <v>1102801</v>
      </c>
      <c r="B63" s="31" t="s">
        <v>779</v>
      </c>
      <c r="C63" s="35">
        <f t="shared" si="9"/>
        <v>11028</v>
      </c>
      <c r="D63" s="24">
        <v>10769</v>
      </c>
      <c r="E63" s="38" t="str">
        <f t="shared" si="8"/>
        <v>10769,10709,10649,10589,10529,10469,10409</v>
      </c>
      <c r="F63" s="39" t="s">
        <v>1401</v>
      </c>
      <c r="G63" s="39">
        <v>2</v>
      </c>
      <c r="H63" s="24" t="s">
        <v>1397</v>
      </c>
      <c r="I63" s="24" t="s">
        <v>1399</v>
      </c>
      <c r="J63" s="24" t="str">
        <f t="shared" si="5"/>
        <v>[2,[10769,10709,10649,10589,10529,10469,10409]]</v>
      </c>
      <c r="K63" s="42">
        <f t="shared" si="6"/>
        <v>1</v>
      </c>
      <c r="L63" s="39" t="s">
        <v>1401</v>
      </c>
      <c r="M63" s="39">
        <v>3</v>
      </c>
      <c r="N63" s="24" t="s">
        <v>1397</v>
      </c>
      <c r="O63" s="24" t="s">
        <v>1399</v>
      </c>
      <c r="P63" s="24">
        <v>4</v>
      </c>
      <c r="Q63" s="24" t="str">
        <f t="shared" si="7"/>
        <v>[[3,[4]],[2,[10769,10709,10649,10589,10529,10469,10409]]]</v>
      </c>
      <c r="R63" s="24" t="s">
        <v>1397</v>
      </c>
      <c r="S63" s="24" t="s">
        <v>1399</v>
      </c>
      <c r="T63" s="24"/>
      <c r="U63" s="24"/>
      <c r="AA63">
        <v>10071</v>
      </c>
      <c r="AB63" t="s">
        <v>1153</v>
      </c>
      <c r="AC63">
        <v>10071</v>
      </c>
    </row>
    <row r="64" spans="1:29" ht="16.5" x14ac:dyDescent="0.15">
      <c r="A64">
        <f t="shared" si="4"/>
        <v>1102801</v>
      </c>
      <c r="B64" s="31" t="s">
        <v>779</v>
      </c>
      <c r="C64" s="35">
        <f t="shared" si="9"/>
        <v>11028</v>
      </c>
      <c r="D64" s="24">
        <v>10829</v>
      </c>
      <c r="E64" s="38" t="str">
        <f t="shared" si="8"/>
        <v>10829,10769,10709,10649,10589,10529,10469,10409</v>
      </c>
      <c r="F64" s="39" t="s">
        <v>1402</v>
      </c>
      <c r="G64" s="39">
        <v>2</v>
      </c>
      <c r="H64" s="24" t="s">
        <v>1397</v>
      </c>
      <c r="I64" s="24" t="s">
        <v>1399</v>
      </c>
      <c r="J64" s="24" t="str">
        <f t="shared" si="5"/>
        <v>[2,[10829,10769,10709,10649,10589,10529,10469,10409]]</v>
      </c>
      <c r="K64" s="42">
        <f t="shared" si="6"/>
        <v>1</v>
      </c>
      <c r="L64" s="39" t="s">
        <v>1401</v>
      </c>
      <c r="M64" s="39">
        <v>3</v>
      </c>
      <c r="N64" s="24" t="s">
        <v>1397</v>
      </c>
      <c r="O64" s="24" t="s">
        <v>1399</v>
      </c>
      <c r="P64" s="24">
        <v>4</v>
      </c>
      <c r="Q64" s="24" t="str">
        <f t="shared" si="7"/>
        <v>[[3,[4]],[2,[10829,10769,10709,10649,10589,10529,10469,10409]]]</v>
      </c>
      <c r="R64" s="24" t="s">
        <v>1397</v>
      </c>
      <c r="S64" s="24" t="s">
        <v>1399</v>
      </c>
      <c r="T64" s="24"/>
      <c r="U64" s="24"/>
      <c r="AA64">
        <v>10076</v>
      </c>
      <c r="AB64" t="s">
        <v>1156</v>
      </c>
      <c r="AC64">
        <v>10076</v>
      </c>
    </row>
    <row r="65" spans="1:29" ht="16.5" x14ac:dyDescent="0.15">
      <c r="A65">
        <f t="shared" si="4"/>
        <v>1102802</v>
      </c>
      <c r="B65" s="31" t="s">
        <v>779</v>
      </c>
      <c r="C65" s="35">
        <f t="shared" ref="C65:C96" si="10">VLOOKUP(B65,AB:AC,2,FALSE)</f>
        <v>11028</v>
      </c>
      <c r="D65" s="24">
        <v>10889</v>
      </c>
      <c r="E65" s="38" t="str">
        <f t="shared" si="8"/>
        <v>10889,10829,10769,10709,10649,10589,10529,10469,10409</v>
      </c>
      <c r="F65" s="39" t="s">
        <v>1401</v>
      </c>
      <c r="G65" s="39">
        <v>2</v>
      </c>
      <c r="H65" s="24" t="s">
        <v>1397</v>
      </c>
      <c r="I65" s="24" t="s">
        <v>1399</v>
      </c>
      <c r="J65" s="24" t="str">
        <f t="shared" si="5"/>
        <v>[2,[10889,10829,10769,10709,10649,10589,10529,10469,10409]]</v>
      </c>
      <c r="K65" s="42">
        <f t="shared" si="6"/>
        <v>2</v>
      </c>
      <c r="L65" s="39" t="s">
        <v>1401</v>
      </c>
      <c r="M65" s="39">
        <v>3</v>
      </c>
      <c r="N65" s="24" t="s">
        <v>1397</v>
      </c>
      <c r="O65" s="24" t="s">
        <v>1399</v>
      </c>
      <c r="P65" s="24">
        <v>4</v>
      </c>
      <c r="Q65" s="24" t="str">
        <f t="shared" si="7"/>
        <v>[[3,[4]],[2,[10889,10829,10769,10709,10649,10589,10529,10469,10409]]]</v>
      </c>
      <c r="R65" s="24" t="s">
        <v>1397</v>
      </c>
      <c r="S65" s="24" t="s">
        <v>1399</v>
      </c>
      <c r="T65" s="24"/>
      <c r="U65" s="24"/>
      <c r="AA65">
        <v>10077</v>
      </c>
      <c r="AB65" t="s">
        <v>1159</v>
      </c>
      <c r="AC65">
        <v>10077</v>
      </c>
    </row>
    <row r="66" spans="1:29" ht="16.5" x14ac:dyDescent="0.15">
      <c r="A66">
        <f t="shared" si="4"/>
        <v>1102501</v>
      </c>
      <c r="B66" s="31" t="s">
        <v>661</v>
      </c>
      <c r="C66" s="35">
        <f t="shared" si="10"/>
        <v>11025</v>
      </c>
      <c r="D66" s="24">
        <v>10419</v>
      </c>
      <c r="E66" s="38">
        <f t="shared" si="8"/>
        <v>10419</v>
      </c>
      <c r="F66" s="39" t="s">
        <v>1401</v>
      </c>
      <c r="G66" s="39">
        <v>2</v>
      </c>
      <c r="H66" s="24" t="s">
        <v>1397</v>
      </c>
      <c r="I66" s="24" t="s">
        <v>1399</v>
      </c>
      <c r="J66" s="24" t="str">
        <f t="shared" si="5"/>
        <v>[2,[10419]]</v>
      </c>
      <c r="K66" s="42">
        <f t="shared" si="6"/>
        <v>1</v>
      </c>
      <c r="L66" s="39" t="s">
        <v>1401</v>
      </c>
      <c r="M66" s="39">
        <v>3</v>
      </c>
      <c r="N66" s="24" t="s">
        <v>1397</v>
      </c>
      <c r="O66" s="24" t="s">
        <v>1399</v>
      </c>
      <c r="P66" s="24">
        <v>4</v>
      </c>
      <c r="Q66" s="24" t="str">
        <f t="shared" si="7"/>
        <v>[[3,[4]],[2,[10419]]]</v>
      </c>
      <c r="R66" s="24" t="s">
        <v>1397</v>
      </c>
      <c r="S66" s="24" t="s">
        <v>1399</v>
      </c>
      <c r="T66" s="24"/>
      <c r="U66" s="24"/>
      <c r="AA66">
        <v>10078</v>
      </c>
      <c r="AB66" t="s">
        <v>1162</v>
      </c>
      <c r="AC66">
        <v>10078</v>
      </c>
    </row>
    <row r="67" spans="1:29" ht="16.5" x14ac:dyDescent="0.15">
      <c r="A67">
        <f t="shared" si="4"/>
        <v>1102501</v>
      </c>
      <c r="B67" s="31" t="s">
        <v>661</v>
      </c>
      <c r="C67" s="35">
        <f t="shared" si="10"/>
        <v>11025</v>
      </c>
      <c r="D67" s="24">
        <v>10479</v>
      </c>
      <c r="E67" s="38" t="str">
        <f t="shared" si="8"/>
        <v>10479,10419</v>
      </c>
      <c r="F67" s="39" t="s">
        <v>1402</v>
      </c>
      <c r="G67" s="39">
        <v>2</v>
      </c>
      <c r="H67" s="24" t="s">
        <v>1397</v>
      </c>
      <c r="I67" s="24" t="s">
        <v>1399</v>
      </c>
      <c r="J67" s="24" t="str">
        <f t="shared" si="5"/>
        <v>[2,[10479,10419]]</v>
      </c>
      <c r="K67" s="42">
        <f t="shared" si="6"/>
        <v>1</v>
      </c>
      <c r="L67" s="39" t="s">
        <v>1401</v>
      </c>
      <c r="M67" s="39">
        <v>3</v>
      </c>
      <c r="N67" s="24" t="s">
        <v>1397</v>
      </c>
      <c r="O67" s="24" t="s">
        <v>1399</v>
      </c>
      <c r="P67" s="24">
        <v>4</v>
      </c>
      <c r="Q67" s="24" t="str">
        <f t="shared" si="7"/>
        <v>[[3,[4]],[2,[10479,10419]]]</v>
      </c>
      <c r="R67" s="24" t="s">
        <v>1397</v>
      </c>
      <c r="S67" s="24" t="s">
        <v>1399</v>
      </c>
      <c r="T67" s="24"/>
      <c r="U67" s="24"/>
      <c r="AA67">
        <v>10079</v>
      </c>
      <c r="AB67" t="s">
        <v>1165</v>
      </c>
      <c r="AC67">
        <v>10079</v>
      </c>
    </row>
    <row r="68" spans="1:29" ht="16.5" x14ac:dyDescent="0.15">
      <c r="A68">
        <f t="shared" si="4"/>
        <v>1102501</v>
      </c>
      <c r="B68" s="31" t="s">
        <v>661</v>
      </c>
      <c r="C68" s="35">
        <f t="shared" si="10"/>
        <v>11025</v>
      </c>
      <c r="D68" s="24">
        <v>10539</v>
      </c>
      <c r="E68" s="38" t="str">
        <f t="shared" si="8"/>
        <v>10539,10479,10419</v>
      </c>
      <c r="F68" s="39" t="s">
        <v>1401</v>
      </c>
      <c r="G68" s="39">
        <v>2</v>
      </c>
      <c r="H68" s="24" t="s">
        <v>1397</v>
      </c>
      <c r="I68" s="24" t="s">
        <v>1399</v>
      </c>
      <c r="J68" s="24" t="str">
        <f t="shared" si="5"/>
        <v>[2,[10539,10479,10419]]</v>
      </c>
      <c r="K68" s="42">
        <f t="shared" si="6"/>
        <v>1</v>
      </c>
      <c r="L68" s="39" t="s">
        <v>1401</v>
      </c>
      <c r="M68" s="39">
        <v>3</v>
      </c>
      <c r="N68" s="24" t="s">
        <v>1397</v>
      </c>
      <c r="O68" s="24" t="s">
        <v>1399</v>
      </c>
      <c r="P68" s="24">
        <v>4</v>
      </c>
      <c r="Q68" s="24" t="str">
        <f t="shared" si="7"/>
        <v>[[3,[4]],[2,[10539,10479,10419]]]</v>
      </c>
      <c r="R68" s="24" t="s">
        <v>1397</v>
      </c>
      <c r="S68" s="24" t="s">
        <v>1399</v>
      </c>
      <c r="T68" s="24"/>
      <c r="U68" s="24"/>
      <c r="AA68">
        <v>10080</v>
      </c>
      <c r="AB68" t="s">
        <v>1168</v>
      </c>
      <c r="AC68">
        <v>10080</v>
      </c>
    </row>
    <row r="69" spans="1:29" ht="16.5" x14ac:dyDescent="0.15">
      <c r="A69">
        <f t="shared" si="4"/>
        <v>1102501</v>
      </c>
      <c r="B69" s="31" t="s">
        <v>661</v>
      </c>
      <c r="C69" s="35">
        <f t="shared" si="10"/>
        <v>11025</v>
      </c>
      <c r="D69" s="24">
        <v>10599</v>
      </c>
      <c r="E69" s="38" t="str">
        <f t="shared" si="8"/>
        <v>10599,10539,10479,10419</v>
      </c>
      <c r="F69" s="39" t="s">
        <v>1402</v>
      </c>
      <c r="G69" s="39">
        <v>2</v>
      </c>
      <c r="H69" s="24" t="s">
        <v>1397</v>
      </c>
      <c r="I69" s="24" t="s">
        <v>1399</v>
      </c>
      <c r="J69" s="24" t="str">
        <f t="shared" si="5"/>
        <v>[2,[10599,10539,10479,10419]]</v>
      </c>
      <c r="K69" s="42">
        <f t="shared" si="6"/>
        <v>1</v>
      </c>
      <c r="L69" s="39" t="s">
        <v>1401</v>
      </c>
      <c r="M69" s="39">
        <v>3</v>
      </c>
      <c r="N69" s="24" t="s">
        <v>1397</v>
      </c>
      <c r="O69" s="24" t="s">
        <v>1399</v>
      </c>
      <c r="P69" s="24">
        <v>4</v>
      </c>
      <c r="Q69" s="24" t="str">
        <f t="shared" si="7"/>
        <v>[[3,[4]],[2,[10599,10539,10479,10419]]]</v>
      </c>
      <c r="R69" s="24" t="s">
        <v>1397</v>
      </c>
      <c r="S69" s="24" t="s">
        <v>1399</v>
      </c>
      <c r="T69" s="24"/>
      <c r="U69" s="24"/>
      <c r="AA69">
        <v>10081</v>
      </c>
      <c r="AB69" t="s">
        <v>1171</v>
      </c>
      <c r="AC69">
        <v>10081</v>
      </c>
    </row>
    <row r="70" spans="1:29" ht="16.5" x14ac:dyDescent="0.15">
      <c r="A70">
        <f t="shared" si="4"/>
        <v>1102501</v>
      </c>
      <c r="B70" s="31" t="s">
        <v>661</v>
      </c>
      <c r="C70" s="35">
        <f t="shared" si="10"/>
        <v>11025</v>
      </c>
      <c r="D70" s="24">
        <v>10659</v>
      </c>
      <c r="E70" s="38" t="str">
        <f t="shared" si="8"/>
        <v>10659,10599,10539,10479,10419</v>
      </c>
      <c r="F70" s="39" t="s">
        <v>1401</v>
      </c>
      <c r="G70" s="39">
        <v>2</v>
      </c>
      <c r="H70" s="24" t="s">
        <v>1397</v>
      </c>
      <c r="I70" s="24" t="s">
        <v>1399</v>
      </c>
      <c r="J70" s="24" t="str">
        <f t="shared" si="5"/>
        <v>[2,[10659,10599,10539,10479,10419]]</v>
      </c>
      <c r="K70" s="42">
        <f t="shared" si="6"/>
        <v>1</v>
      </c>
      <c r="L70" s="39" t="s">
        <v>1401</v>
      </c>
      <c r="M70" s="39">
        <v>3</v>
      </c>
      <c r="N70" s="24" t="s">
        <v>1397</v>
      </c>
      <c r="O70" s="24" t="s">
        <v>1399</v>
      </c>
      <c r="P70" s="24">
        <v>4</v>
      </c>
      <c r="Q70" s="24" t="str">
        <f t="shared" si="7"/>
        <v>[[3,[4]],[2,[10659,10599,10539,10479,10419]]]</v>
      </c>
      <c r="R70" s="24" t="s">
        <v>1397</v>
      </c>
      <c r="S70" s="24" t="s">
        <v>1399</v>
      </c>
      <c r="T70" s="24"/>
      <c r="U70" s="24"/>
      <c r="AA70">
        <v>10082</v>
      </c>
      <c r="AB70" t="s">
        <v>1174</v>
      </c>
      <c r="AC70">
        <v>10082</v>
      </c>
    </row>
    <row r="71" spans="1:29" ht="16.5" x14ac:dyDescent="0.15">
      <c r="A71">
        <f t="shared" si="4"/>
        <v>1102501</v>
      </c>
      <c r="B71" s="31" t="s">
        <v>661</v>
      </c>
      <c r="C71" s="35">
        <f t="shared" si="10"/>
        <v>11025</v>
      </c>
      <c r="D71" s="24">
        <v>10719</v>
      </c>
      <c r="E71" s="38" t="str">
        <f t="shared" si="8"/>
        <v>10719,10659,10599,10539,10479,10419</v>
      </c>
      <c r="F71" s="39" t="s">
        <v>1402</v>
      </c>
      <c r="G71" s="39">
        <v>2</v>
      </c>
      <c r="H71" s="24" t="s">
        <v>1397</v>
      </c>
      <c r="I71" s="24" t="s">
        <v>1399</v>
      </c>
      <c r="J71" s="24" t="str">
        <f t="shared" si="5"/>
        <v>[2,[10719,10659,10599,10539,10479,10419]]</v>
      </c>
      <c r="K71" s="42">
        <f t="shared" si="6"/>
        <v>1</v>
      </c>
      <c r="L71" s="39" t="s">
        <v>1401</v>
      </c>
      <c r="M71" s="39">
        <v>3</v>
      </c>
      <c r="N71" s="24" t="s">
        <v>1397</v>
      </c>
      <c r="O71" s="24" t="s">
        <v>1399</v>
      </c>
      <c r="P71" s="24">
        <v>4</v>
      </c>
      <c r="Q71" s="24" t="str">
        <f t="shared" si="7"/>
        <v>[[3,[4]],[2,[10719,10659,10599,10539,10479,10419]]]</v>
      </c>
      <c r="R71" s="24" t="s">
        <v>1397</v>
      </c>
      <c r="S71" s="24" t="s">
        <v>1399</v>
      </c>
      <c r="T71" s="24"/>
      <c r="U71" s="24"/>
      <c r="AA71">
        <v>10085</v>
      </c>
      <c r="AB71" t="s">
        <v>1177</v>
      </c>
      <c r="AC71">
        <v>10085</v>
      </c>
    </row>
    <row r="72" spans="1:29" ht="16.5" x14ac:dyDescent="0.15">
      <c r="A72">
        <f t="shared" si="4"/>
        <v>1102501</v>
      </c>
      <c r="B72" s="31" t="s">
        <v>661</v>
      </c>
      <c r="C72" s="35">
        <f t="shared" si="10"/>
        <v>11025</v>
      </c>
      <c r="D72" s="24">
        <v>10779</v>
      </c>
      <c r="E72" s="38" t="str">
        <f t="shared" si="8"/>
        <v>10779,10719,10659,10599,10539,10479,10419</v>
      </c>
      <c r="F72" s="39" t="s">
        <v>1401</v>
      </c>
      <c r="G72" s="39">
        <v>2</v>
      </c>
      <c r="H72" s="24" t="s">
        <v>1397</v>
      </c>
      <c r="I72" s="24" t="s">
        <v>1399</v>
      </c>
      <c r="J72" s="24" t="str">
        <f t="shared" si="5"/>
        <v>[2,[10779,10719,10659,10599,10539,10479,10419]]</v>
      </c>
      <c r="K72" s="42">
        <f t="shared" si="6"/>
        <v>1</v>
      </c>
      <c r="L72" s="39" t="s">
        <v>1401</v>
      </c>
      <c r="M72" s="39">
        <v>3</v>
      </c>
      <c r="N72" s="24" t="s">
        <v>1397</v>
      </c>
      <c r="O72" s="24" t="s">
        <v>1399</v>
      </c>
      <c r="P72" s="24">
        <v>4</v>
      </c>
      <c r="Q72" s="24" t="str">
        <f t="shared" si="7"/>
        <v>[[3,[4]],[2,[10779,10719,10659,10599,10539,10479,10419]]]</v>
      </c>
      <c r="R72" s="24" t="s">
        <v>1397</v>
      </c>
      <c r="S72" s="24" t="s">
        <v>1399</v>
      </c>
      <c r="T72" s="24"/>
      <c r="U72" s="24"/>
      <c r="AA72">
        <v>10086</v>
      </c>
      <c r="AB72" t="s">
        <v>1180</v>
      </c>
      <c r="AC72">
        <v>10086</v>
      </c>
    </row>
    <row r="73" spans="1:29" ht="16.5" x14ac:dyDescent="0.15">
      <c r="A73">
        <f t="shared" si="4"/>
        <v>1102501</v>
      </c>
      <c r="B73" s="31" t="s">
        <v>661</v>
      </c>
      <c r="C73" s="35">
        <f t="shared" si="10"/>
        <v>11025</v>
      </c>
      <c r="D73" s="24">
        <v>10839</v>
      </c>
      <c r="E73" s="38" t="str">
        <f t="shared" si="8"/>
        <v>10839,10779,10719,10659,10599,10539,10479,10419</v>
      </c>
      <c r="F73" s="39" t="s">
        <v>1402</v>
      </c>
      <c r="G73" s="39">
        <v>2</v>
      </c>
      <c r="H73" s="24" t="s">
        <v>1397</v>
      </c>
      <c r="I73" s="24" t="s">
        <v>1399</v>
      </c>
      <c r="J73" s="24" t="str">
        <f t="shared" si="5"/>
        <v>[2,[10839,10779,10719,10659,10599,10539,10479,10419]]</v>
      </c>
      <c r="K73" s="42">
        <f t="shared" si="6"/>
        <v>1</v>
      </c>
      <c r="L73" s="39" t="s">
        <v>1401</v>
      </c>
      <c r="M73" s="39">
        <v>3</v>
      </c>
      <c r="N73" s="24" t="s">
        <v>1397</v>
      </c>
      <c r="O73" s="24" t="s">
        <v>1399</v>
      </c>
      <c r="P73" s="24">
        <v>4</v>
      </c>
      <c r="Q73" s="24" t="str">
        <f t="shared" si="7"/>
        <v>[[3,[4]],[2,[10839,10779,10719,10659,10599,10539,10479,10419]]]</v>
      </c>
      <c r="R73" s="24" t="s">
        <v>1397</v>
      </c>
      <c r="S73" s="24" t="s">
        <v>1399</v>
      </c>
      <c r="T73" s="24"/>
      <c r="U73" s="24"/>
      <c r="AA73">
        <v>10087</v>
      </c>
      <c r="AB73" t="s">
        <v>1183</v>
      </c>
      <c r="AC73">
        <v>10087</v>
      </c>
    </row>
    <row r="74" spans="1:29" ht="16.5" x14ac:dyDescent="0.15">
      <c r="A74">
        <f t="shared" ref="A74:A137" si="11">C74*100+K74</f>
        <v>1102502</v>
      </c>
      <c r="B74" s="31" t="s">
        <v>661</v>
      </c>
      <c r="C74" s="35">
        <f t="shared" si="10"/>
        <v>11025</v>
      </c>
      <c r="D74" s="24">
        <v>10899</v>
      </c>
      <c r="E74" s="38" t="str">
        <f t="shared" si="8"/>
        <v>10899,10839,10779,10719,10659,10599,10539,10479,10419</v>
      </c>
      <c r="F74" s="39" t="s">
        <v>1401</v>
      </c>
      <c r="G74" s="39">
        <v>2</v>
      </c>
      <c r="H74" s="24" t="s">
        <v>1397</v>
      </c>
      <c r="I74" s="24" t="s">
        <v>1399</v>
      </c>
      <c r="J74" s="24" t="str">
        <f t="shared" ref="J74:J94" si="12">H74&amp;G74&amp;F74&amp;H74&amp;E74&amp;I74&amp;I74</f>
        <v>[2,[10899,10839,10779,10719,10659,10599,10539,10479,10419]]</v>
      </c>
      <c r="K74" s="42">
        <f t="shared" ref="K74:K137" si="13">IF(C74=C75,1,2)</f>
        <v>2</v>
      </c>
      <c r="L74" s="39" t="s">
        <v>1401</v>
      </c>
      <c r="M74" s="39">
        <v>3</v>
      </c>
      <c r="N74" s="24" t="s">
        <v>1397</v>
      </c>
      <c r="O74" s="24" t="s">
        <v>1399</v>
      </c>
      <c r="P74" s="24">
        <v>4</v>
      </c>
      <c r="Q74" s="24" t="str">
        <f t="shared" ref="Q74:Q137" si="14">R74&amp;(N74&amp;M74&amp;L74&amp;N74&amp;P74&amp;O74&amp;O74)&amp;L74&amp;(J74)&amp;S74</f>
        <v>[[3,[4]],[2,[10899,10839,10779,10719,10659,10599,10539,10479,10419]]]</v>
      </c>
      <c r="R74" s="24" t="s">
        <v>1397</v>
      </c>
      <c r="S74" s="24" t="s">
        <v>1399</v>
      </c>
      <c r="T74" s="24"/>
      <c r="U74" s="24"/>
      <c r="AA74">
        <v>10088</v>
      </c>
      <c r="AB74" t="s">
        <v>1186</v>
      </c>
      <c r="AC74">
        <v>10088</v>
      </c>
    </row>
    <row r="75" spans="1:29" ht="16.5" x14ac:dyDescent="0.15">
      <c r="A75">
        <f t="shared" si="11"/>
        <v>1100801</v>
      </c>
      <c r="B75" s="29" t="s">
        <v>774</v>
      </c>
      <c r="C75" s="35">
        <f t="shared" si="10"/>
        <v>11008</v>
      </c>
      <c r="D75" s="24">
        <v>10069</v>
      </c>
      <c r="E75" s="38">
        <f t="shared" si="8"/>
        <v>10069</v>
      </c>
      <c r="F75" s="39" t="s">
        <v>1401</v>
      </c>
      <c r="G75" s="39">
        <v>2</v>
      </c>
      <c r="H75" s="24" t="s">
        <v>1397</v>
      </c>
      <c r="I75" s="24" t="s">
        <v>1399</v>
      </c>
      <c r="J75" s="24" t="str">
        <f t="shared" si="12"/>
        <v>[2,[10069]]</v>
      </c>
      <c r="K75" s="42">
        <f t="shared" si="13"/>
        <v>1</v>
      </c>
      <c r="L75" s="39" t="s">
        <v>1401</v>
      </c>
      <c r="M75" s="39">
        <v>3</v>
      </c>
      <c r="N75" s="24" t="s">
        <v>1397</v>
      </c>
      <c r="O75" s="24" t="s">
        <v>1399</v>
      </c>
      <c r="P75" s="24">
        <v>4</v>
      </c>
      <c r="Q75" s="24" t="str">
        <f t="shared" si="14"/>
        <v>[[3,[4]],[2,[10069]]]</v>
      </c>
      <c r="R75" s="24" t="s">
        <v>1397</v>
      </c>
      <c r="S75" s="24" t="s">
        <v>1399</v>
      </c>
      <c r="T75" s="24"/>
      <c r="U75" s="24"/>
      <c r="AA75">
        <v>10092</v>
      </c>
      <c r="AB75" t="s">
        <v>440</v>
      </c>
      <c r="AC75">
        <v>10092</v>
      </c>
    </row>
    <row r="76" spans="1:29" ht="16.5" x14ac:dyDescent="0.15">
      <c r="A76">
        <f t="shared" si="11"/>
        <v>1100802</v>
      </c>
      <c r="B76" s="29" t="s">
        <v>774</v>
      </c>
      <c r="C76" s="35">
        <f t="shared" si="10"/>
        <v>11008</v>
      </c>
      <c r="D76" s="24">
        <v>10129</v>
      </c>
      <c r="E76" s="38" t="str">
        <f t="shared" ref="E76:E94" si="15">IF(C76=C75,D76&amp;F76&amp;E75,D76)</f>
        <v>10129,10069</v>
      </c>
      <c r="F76" s="39" t="s">
        <v>1402</v>
      </c>
      <c r="G76" s="39">
        <v>2</v>
      </c>
      <c r="H76" s="24" t="s">
        <v>1397</v>
      </c>
      <c r="I76" s="24" t="s">
        <v>1399</v>
      </c>
      <c r="J76" s="24" t="str">
        <f t="shared" si="12"/>
        <v>[2,[10129,10069]]</v>
      </c>
      <c r="K76" s="42">
        <f t="shared" si="13"/>
        <v>2</v>
      </c>
      <c r="L76" s="39" t="s">
        <v>1401</v>
      </c>
      <c r="M76" s="39">
        <v>3</v>
      </c>
      <c r="N76" s="24" t="s">
        <v>1397</v>
      </c>
      <c r="O76" s="24" t="s">
        <v>1399</v>
      </c>
      <c r="P76" s="24">
        <v>4</v>
      </c>
      <c r="Q76" s="24" t="str">
        <f t="shared" si="14"/>
        <v>[[3,[4]],[2,[10129,10069]]]</v>
      </c>
      <c r="R76" s="24" t="s">
        <v>1397</v>
      </c>
      <c r="S76" s="24" t="s">
        <v>1399</v>
      </c>
      <c r="T76" s="24"/>
      <c r="U76" s="24"/>
      <c r="AA76">
        <v>10093</v>
      </c>
      <c r="AB76" t="s">
        <v>1190</v>
      </c>
      <c r="AC76">
        <v>10093</v>
      </c>
    </row>
    <row r="77" spans="1:29" ht="16.5" x14ac:dyDescent="0.15">
      <c r="A77">
        <f t="shared" si="11"/>
        <v>1100501</v>
      </c>
      <c r="B77" s="29" t="s">
        <v>646</v>
      </c>
      <c r="C77" s="35">
        <f t="shared" si="10"/>
        <v>11005</v>
      </c>
      <c r="D77" s="24">
        <v>10079</v>
      </c>
      <c r="E77" s="38">
        <f t="shared" si="15"/>
        <v>10079</v>
      </c>
      <c r="F77" s="39" t="s">
        <v>1401</v>
      </c>
      <c r="G77" s="39">
        <v>2</v>
      </c>
      <c r="H77" s="24" t="s">
        <v>1397</v>
      </c>
      <c r="I77" s="24" t="s">
        <v>1399</v>
      </c>
      <c r="J77" s="24" t="str">
        <f t="shared" si="12"/>
        <v>[2,[10079]]</v>
      </c>
      <c r="K77" s="42">
        <f t="shared" si="13"/>
        <v>1</v>
      </c>
      <c r="L77" s="39" t="s">
        <v>1401</v>
      </c>
      <c r="M77" s="39">
        <v>3</v>
      </c>
      <c r="N77" s="24" t="s">
        <v>1397</v>
      </c>
      <c r="O77" s="24" t="s">
        <v>1399</v>
      </c>
      <c r="P77" s="24">
        <v>4</v>
      </c>
      <c r="Q77" s="24" t="str">
        <f t="shared" si="14"/>
        <v>[[3,[4]],[2,[10079]]]</v>
      </c>
      <c r="R77" s="24" t="s">
        <v>1397</v>
      </c>
      <c r="S77" s="24" t="s">
        <v>1399</v>
      </c>
      <c r="T77" s="24"/>
      <c r="U77" s="24"/>
      <c r="AA77">
        <v>10094</v>
      </c>
      <c r="AB77" t="s">
        <v>1193</v>
      </c>
      <c r="AC77">
        <v>10094</v>
      </c>
    </row>
    <row r="78" spans="1:29" ht="16.5" x14ac:dyDescent="0.15">
      <c r="A78">
        <f t="shared" si="11"/>
        <v>1100502</v>
      </c>
      <c r="B78" s="29" t="s">
        <v>646</v>
      </c>
      <c r="C78" s="35">
        <f t="shared" si="10"/>
        <v>11005</v>
      </c>
      <c r="D78" s="24">
        <v>10139</v>
      </c>
      <c r="E78" s="38" t="str">
        <f t="shared" si="15"/>
        <v>10139,10079</v>
      </c>
      <c r="F78" s="39" t="s">
        <v>1402</v>
      </c>
      <c r="G78" s="39">
        <v>2</v>
      </c>
      <c r="H78" s="24" t="s">
        <v>1397</v>
      </c>
      <c r="I78" s="24" t="s">
        <v>1399</v>
      </c>
      <c r="J78" s="24" t="str">
        <f t="shared" si="12"/>
        <v>[2,[10139,10079]]</v>
      </c>
      <c r="K78" s="42">
        <f t="shared" si="13"/>
        <v>2</v>
      </c>
      <c r="L78" s="39" t="s">
        <v>1401</v>
      </c>
      <c r="M78" s="39">
        <v>3</v>
      </c>
      <c r="N78" s="24" t="s">
        <v>1397</v>
      </c>
      <c r="O78" s="24" t="s">
        <v>1399</v>
      </c>
      <c r="P78" s="24">
        <v>4</v>
      </c>
      <c r="Q78" s="24" t="str">
        <f t="shared" si="14"/>
        <v>[[3,[4]],[2,[10139,10079]]]</v>
      </c>
      <c r="R78" s="24" t="s">
        <v>1397</v>
      </c>
      <c r="S78" s="24" t="s">
        <v>1399</v>
      </c>
      <c r="T78" s="24"/>
      <c r="U78" s="24"/>
      <c r="AA78">
        <v>10101</v>
      </c>
      <c r="AB78" t="s">
        <v>110</v>
      </c>
      <c r="AC78">
        <v>10101</v>
      </c>
    </row>
    <row r="79" spans="1:29" ht="16.5" x14ac:dyDescent="0.15">
      <c r="A79">
        <f t="shared" si="11"/>
        <v>1101601</v>
      </c>
      <c r="B79" s="27" t="s">
        <v>776</v>
      </c>
      <c r="C79" s="35">
        <f t="shared" si="10"/>
        <v>11016</v>
      </c>
      <c r="D79" s="24">
        <v>10169</v>
      </c>
      <c r="E79" s="38">
        <f t="shared" si="15"/>
        <v>10169</v>
      </c>
      <c r="F79" s="39" t="s">
        <v>1402</v>
      </c>
      <c r="G79" s="39">
        <v>2</v>
      </c>
      <c r="H79" s="24" t="s">
        <v>1397</v>
      </c>
      <c r="I79" s="24" t="s">
        <v>1399</v>
      </c>
      <c r="J79" s="24" t="str">
        <f t="shared" si="12"/>
        <v>[2,[10169]]</v>
      </c>
      <c r="K79" s="42">
        <f t="shared" si="13"/>
        <v>1</v>
      </c>
      <c r="L79" s="39" t="s">
        <v>1401</v>
      </c>
      <c r="M79" s="39">
        <v>3</v>
      </c>
      <c r="N79" s="24" t="s">
        <v>1397</v>
      </c>
      <c r="O79" s="24" t="s">
        <v>1399</v>
      </c>
      <c r="P79" s="24">
        <v>4</v>
      </c>
      <c r="Q79" s="24" t="str">
        <f t="shared" si="14"/>
        <v>[[3,[4]],[2,[10169]]]</v>
      </c>
      <c r="R79" s="24" t="s">
        <v>1397</v>
      </c>
      <c r="S79" s="24" t="s">
        <v>1399</v>
      </c>
      <c r="T79" s="24"/>
      <c r="U79" s="24"/>
      <c r="AA79">
        <v>10102</v>
      </c>
      <c r="AB79" t="s">
        <v>444</v>
      </c>
      <c r="AC79">
        <v>10102</v>
      </c>
    </row>
    <row r="80" spans="1:29" ht="16.5" x14ac:dyDescent="0.15">
      <c r="A80">
        <f t="shared" si="11"/>
        <v>1101601</v>
      </c>
      <c r="B80" s="27" t="s">
        <v>776</v>
      </c>
      <c r="C80" s="35">
        <f t="shared" si="10"/>
        <v>11016</v>
      </c>
      <c r="D80" s="24">
        <v>10229</v>
      </c>
      <c r="E80" s="38" t="str">
        <f t="shared" si="15"/>
        <v>10229,10169</v>
      </c>
      <c r="F80" s="39" t="s">
        <v>1401</v>
      </c>
      <c r="G80" s="39">
        <v>2</v>
      </c>
      <c r="H80" s="24" t="s">
        <v>1397</v>
      </c>
      <c r="I80" s="24" t="s">
        <v>1399</v>
      </c>
      <c r="J80" s="24" t="str">
        <f t="shared" si="12"/>
        <v>[2,[10229,10169]]</v>
      </c>
      <c r="K80" s="42">
        <f t="shared" si="13"/>
        <v>1</v>
      </c>
      <c r="L80" s="39" t="s">
        <v>1401</v>
      </c>
      <c r="M80" s="39">
        <v>3</v>
      </c>
      <c r="N80" s="24" t="s">
        <v>1397</v>
      </c>
      <c r="O80" s="24" t="s">
        <v>1399</v>
      </c>
      <c r="P80" s="24">
        <v>4</v>
      </c>
      <c r="Q80" s="24" t="str">
        <f t="shared" si="14"/>
        <v>[[3,[4]],[2,[10229,10169]]]</v>
      </c>
      <c r="R80" s="24" t="s">
        <v>1397</v>
      </c>
      <c r="S80" s="24" t="s">
        <v>1399</v>
      </c>
      <c r="T80" s="24"/>
      <c r="U80" s="24"/>
      <c r="AA80">
        <v>10103</v>
      </c>
      <c r="AB80" t="s">
        <v>893</v>
      </c>
      <c r="AC80">
        <v>10103</v>
      </c>
    </row>
    <row r="81" spans="1:29" ht="16.5" x14ac:dyDescent="0.15">
      <c r="A81">
        <f t="shared" si="11"/>
        <v>1101601</v>
      </c>
      <c r="B81" s="27" t="s">
        <v>776</v>
      </c>
      <c r="C81" s="35">
        <f t="shared" si="10"/>
        <v>11016</v>
      </c>
      <c r="D81" s="24">
        <v>10289</v>
      </c>
      <c r="E81" s="38" t="str">
        <f t="shared" si="15"/>
        <v>10289,10229,10169</v>
      </c>
      <c r="F81" s="39" t="s">
        <v>1402</v>
      </c>
      <c r="G81" s="39">
        <v>2</v>
      </c>
      <c r="H81" s="24" t="s">
        <v>1397</v>
      </c>
      <c r="I81" s="24" t="s">
        <v>1399</v>
      </c>
      <c r="J81" s="24" t="str">
        <f t="shared" si="12"/>
        <v>[2,[10289,10229,10169]]</v>
      </c>
      <c r="K81" s="42">
        <f t="shared" si="13"/>
        <v>1</v>
      </c>
      <c r="L81" s="39" t="s">
        <v>1401</v>
      </c>
      <c r="M81" s="39">
        <v>3</v>
      </c>
      <c r="N81" s="24" t="s">
        <v>1397</v>
      </c>
      <c r="O81" s="24" t="s">
        <v>1399</v>
      </c>
      <c r="P81" s="24">
        <v>4</v>
      </c>
      <c r="Q81" s="24" t="str">
        <f t="shared" si="14"/>
        <v>[[3,[4]],[2,[10289,10229,10169]]]</v>
      </c>
      <c r="R81" s="24" t="s">
        <v>1397</v>
      </c>
      <c r="S81" s="24" t="s">
        <v>1399</v>
      </c>
      <c r="T81" s="24"/>
      <c r="U81" s="24"/>
      <c r="AA81">
        <v>10104</v>
      </c>
      <c r="AB81" t="s">
        <v>894</v>
      </c>
      <c r="AC81">
        <v>10104</v>
      </c>
    </row>
    <row r="82" spans="1:29" ht="16.5" x14ac:dyDescent="0.15">
      <c r="A82">
        <f t="shared" si="11"/>
        <v>1101602</v>
      </c>
      <c r="B82" s="27" t="s">
        <v>776</v>
      </c>
      <c r="C82" s="35">
        <f t="shared" si="10"/>
        <v>11016</v>
      </c>
      <c r="D82" s="24">
        <v>10349</v>
      </c>
      <c r="E82" s="38" t="str">
        <f t="shared" si="15"/>
        <v>10349,10289,10229,10169</v>
      </c>
      <c r="F82" s="39" t="s">
        <v>1401</v>
      </c>
      <c r="G82" s="39">
        <v>2</v>
      </c>
      <c r="H82" s="24" t="s">
        <v>1397</v>
      </c>
      <c r="I82" s="24" t="s">
        <v>1399</v>
      </c>
      <c r="J82" s="24" t="str">
        <f t="shared" si="12"/>
        <v>[2,[10349,10289,10229,10169]]</v>
      </c>
      <c r="K82" s="42">
        <f t="shared" si="13"/>
        <v>2</v>
      </c>
      <c r="L82" s="39" t="s">
        <v>1401</v>
      </c>
      <c r="M82" s="39">
        <v>3</v>
      </c>
      <c r="N82" s="24" t="s">
        <v>1397</v>
      </c>
      <c r="O82" s="24" t="s">
        <v>1399</v>
      </c>
      <c r="P82" s="24">
        <v>4</v>
      </c>
      <c r="Q82" s="24" t="str">
        <f t="shared" si="14"/>
        <v>[[3,[4]],[2,[10349,10289,10229,10169]]]</v>
      </c>
      <c r="R82" s="24" t="s">
        <v>1397</v>
      </c>
      <c r="S82" s="24" t="s">
        <v>1399</v>
      </c>
      <c r="T82" s="24"/>
      <c r="U82" s="24"/>
      <c r="AA82">
        <v>10105</v>
      </c>
      <c r="AB82" t="s">
        <v>448</v>
      </c>
      <c r="AC82">
        <v>10105</v>
      </c>
    </row>
    <row r="83" spans="1:29" ht="16.5" x14ac:dyDescent="0.15">
      <c r="A83">
        <f t="shared" si="11"/>
        <v>1101301</v>
      </c>
      <c r="B83" s="27" t="s">
        <v>652</v>
      </c>
      <c r="C83" s="35">
        <f t="shared" si="10"/>
        <v>11013</v>
      </c>
      <c r="D83" s="24">
        <v>10179</v>
      </c>
      <c r="E83" s="38">
        <f t="shared" si="15"/>
        <v>10179</v>
      </c>
      <c r="F83" s="39" t="s">
        <v>1402</v>
      </c>
      <c r="G83" s="39">
        <v>2</v>
      </c>
      <c r="H83" s="24" t="s">
        <v>1397</v>
      </c>
      <c r="I83" s="24" t="s">
        <v>1399</v>
      </c>
      <c r="J83" s="24" t="str">
        <f t="shared" si="12"/>
        <v>[2,[10179]]</v>
      </c>
      <c r="K83" s="42">
        <f t="shared" si="13"/>
        <v>1</v>
      </c>
      <c r="L83" s="39" t="s">
        <v>1401</v>
      </c>
      <c r="M83" s="39">
        <v>3</v>
      </c>
      <c r="N83" s="24" t="s">
        <v>1397</v>
      </c>
      <c r="O83" s="24" t="s">
        <v>1399</v>
      </c>
      <c r="P83" s="24">
        <v>4</v>
      </c>
      <c r="Q83" s="24" t="str">
        <f t="shared" si="14"/>
        <v>[[3,[4]],[2,[10179]]]</v>
      </c>
      <c r="R83" s="24" t="s">
        <v>1397</v>
      </c>
      <c r="S83" s="24" t="s">
        <v>1399</v>
      </c>
      <c r="T83" s="24"/>
      <c r="U83" s="24"/>
      <c r="AA83">
        <v>10106</v>
      </c>
      <c r="AB83" t="s">
        <v>450</v>
      </c>
      <c r="AC83">
        <v>10106</v>
      </c>
    </row>
    <row r="84" spans="1:29" ht="16.5" x14ac:dyDescent="0.15">
      <c r="A84">
        <f t="shared" si="11"/>
        <v>1101301</v>
      </c>
      <c r="B84" s="27" t="s">
        <v>652</v>
      </c>
      <c r="C84" s="35">
        <f t="shared" si="10"/>
        <v>11013</v>
      </c>
      <c r="D84" s="24">
        <v>10239</v>
      </c>
      <c r="E84" s="38" t="str">
        <f t="shared" si="15"/>
        <v>10239,10179</v>
      </c>
      <c r="F84" s="39" t="s">
        <v>1401</v>
      </c>
      <c r="G84" s="39">
        <v>2</v>
      </c>
      <c r="H84" s="24" t="s">
        <v>1397</v>
      </c>
      <c r="I84" s="24" t="s">
        <v>1399</v>
      </c>
      <c r="J84" s="24" t="str">
        <f t="shared" si="12"/>
        <v>[2,[10239,10179]]</v>
      </c>
      <c r="K84" s="42">
        <f t="shared" si="13"/>
        <v>1</v>
      </c>
      <c r="L84" s="39" t="s">
        <v>1401</v>
      </c>
      <c r="M84" s="39">
        <v>3</v>
      </c>
      <c r="N84" s="24" t="s">
        <v>1397</v>
      </c>
      <c r="O84" s="24" t="s">
        <v>1399</v>
      </c>
      <c r="P84" s="24">
        <v>4</v>
      </c>
      <c r="Q84" s="24" t="str">
        <f t="shared" si="14"/>
        <v>[[3,[4]],[2,[10239,10179]]]</v>
      </c>
      <c r="R84" s="24" t="s">
        <v>1397</v>
      </c>
      <c r="S84" s="24" t="s">
        <v>1399</v>
      </c>
      <c r="T84" s="24"/>
      <c r="U84" s="24"/>
      <c r="AA84">
        <v>10107</v>
      </c>
      <c r="AB84" t="s">
        <v>452</v>
      </c>
      <c r="AC84">
        <v>10107</v>
      </c>
    </row>
    <row r="85" spans="1:29" ht="16.5" x14ac:dyDescent="0.15">
      <c r="A85">
        <f t="shared" si="11"/>
        <v>1101301</v>
      </c>
      <c r="B85" s="27" t="s">
        <v>652</v>
      </c>
      <c r="C85" s="35">
        <f t="shared" si="10"/>
        <v>11013</v>
      </c>
      <c r="D85" s="24">
        <v>10299</v>
      </c>
      <c r="E85" s="38" t="str">
        <f t="shared" si="15"/>
        <v>10299,10239,10179</v>
      </c>
      <c r="F85" s="39" t="s">
        <v>1402</v>
      </c>
      <c r="G85" s="39">
        <v>2</v>
      </c>
      <c r="H85" s="24" t="s">
        <v>1397</v>
      </c>
      <c r="I85" s="24" t="s">
        <v>1399</v>
      </c>
      <c r="J85" s="24" t="str">
        <f t="shared" si="12"/>
        <v>[2,[10299,10239,10179]]</v>
      </c>
      <c r="K85" s="42">
        <f t="shared" si="13"/>
        <v>1</v>
      </c>
      <c r="L85" s="39" t="s">
        <v>1401</v>
      </c>
      <c r="M85" s="39">
        <v>3</v>
      </c>
      <c r="N85" s="24" t="s">
        <v>1397</v>
      </c>
      <c r="O85" s="24" t="s">
        <v>1399</v>
      </c>
      <c r="P85" s="24">
        <v>4</v>
      </c>
      <c r="Q85" s="24" t="str">
        <f t="shared" si="14"/>
        <v>[[3,[4]],[2,[10299,10239,10179]]]</v>
      </c>
      <c r="R85" s="24" t="s">
        <v>1397</v>
      </c>
      <c r="S85" s="24" t="s">
        <v>1399</v>
      </c>
      <c r="T85" s="24"/>
      <c r="U85" s="24"/>
      <c r="AA85">
        <v>10108</v>
      </c>
      <c r="AB85" t="s">
        <v>454</v>
      </c>
      <c r="AC85">
        <v>10108</v>
      </c>
    </row>
    <row r="86" spans="1:29" ht="16.5" x14ac:dyDescent="0.15">
      <c r="A86">
        <f t="shared" si="11"/>
        <v>1101302</v>
      </c>
      <c r="B86" s="27" t="s">
        <v>652</v>
      </c>
      <c r="C86" s="35">
        <f t="shared" si="10"/>
        <v>11013</v>
      </c>
      <c r="D86" s="24">
        <v>10359</v>
      </c>
      <c r="E86" s="38" t="str">
        <f t="shared" si="15"/>
        <v>10359,10299,10239,10179</v>
      </c>
      <c r="F86" s="39" t="s">
        <v>1401</v>
      </c>
      <c r="G86" s="39">
        <v>2</v>
      </c>
      <c r="H86" s="24" t="s">
        <v>1397</v>
      </c>
      <c r="I86" s="24" t="s">
        <v>1399</v>
      </c>
      <c r="J86" s="24" t="str">
        <f t="shared" si="12"/>
        <v>[2,[10359,10299,10239,10179]]</v>
      </c>
      <c r="K86" s="42">
        <f t="shared" si="13"/>
        <v>2</v>
      </c>
      <c r="L86" s="39" t="s">
        <v>1401</v>
      </c>
      <c r="M86" s="39">
        <v>3</v>
      </c>
      <c r="N86" s="24" t="s">
        <v>1397</v>
      </c>
      <c r="O86" s="24" t="s">
        <v>1399</v>
      </c>
      <c r="P86" s="24">
        <v>4</v>
      </c>
      <c r="Q86" s="24" t="str">
        <f t="shared" si="14"/>
        <v>[[3,[4]],[2,[10359,10299,10239,10179]]]</v>
      </c>
      <c r="R86" s="24" t="s">
        <v>1397</v>
      </c>
      <c r="S86" s="24" t="s">
        <v>1399</v>
      </c>
      <c r="T86" s="24"/>
      <c r="U86" s="24"/>
      <c r="AA86">
        <v>10111</v>
      </c>
      <c r="AB86" t="s">
        <v>457</v>
      </c>
      <c r="AC86">
        <v>10111</v>
      </c>
    </row>
    <row r="87" spans="1:29" ht="16.5" x14ac:dyDescent="0.15">
      <c r="A87">
        <f t="shared" si="11"/>
        <v>1102401</v>
      </c>
      <c r="B87" s="27" t="s">
        <v>778</v>
      </c>
      <c r="C87" s="35">
        <f t="shared" si="10"/>
        <v>11024</v>
      </c>
      <c r="D87" s="24">
        <v>10209</v>
      </c>
      <c r="E87" s="38">
        <f t="shared" si="15"/>
        <v>10209</v>
      </c>
      <c r="F87" s="39" t="s">
        <v>1402</v>
      </c>
      <c r="G87" s="39">
        <v>2</v>
      </c>
      <c r="H87" s="24" t="s">
        <v>1397</v>
      </c>
      <c r="I87" s="24" t="s">
        <v>1399</v>
      </c>
      <c r="J87" s="24" t="str">
        <f t="shared" si="12"/>
        <v>[2,[10209]]</v>
      </c>
      <c r="K87" s="42">
        <f t="shared" si="13"/>
        <v>1</v>
      </c>
      <c r="L87" s="39" t="s">
        <v>1401</v>
      </c>
      <c r="M87" s="39">
        <v>3</v>
      </c>
      <c r="N87" s="24" t="s">
        <v>1397</v>
      </c>
      <c r="O87" s="24" t="s">
        <v>1399</v>
      </c>
      <c r="P87" s="24">
        <v>4</v>
      </c>
      <c r="Q87" s="24" t="str">
        <f t="shared" si="14"/>
        <v>[[3,[4]],[2,[10209]]]</v>
      </c>
      <c r="R87" s="24" t="s">
        <v>1397</v>
      </c>
      <c r="S87" s="24" t="s">
        <v>1399</v>
      </c>
      <c r="T87" s="24"/>
      <c r="U87" s="24"/>
      <c r="AA87">
        <v>10112</v>
      </c>
      <c r="AB87" t="s">
        <v>459</v>
      </c>
      <c r="AC87">
        <v>10112</v>
      </c>
    </row>
    <row r="88" spans="1:29" ht="16.5" x14ac:dyDescent="0.15">
      <c r="A88">
        <f t="shared" si="11"/>
        <v>1102401</v>
      </c>
      <c r="B88" s="27" t="s">
        <v>778</v>
      </c>
      <c r="C88" s="35">
        <f t="shared" si="10"/>
        <v>11024</v>
      </c>
      <c r="D88" s="24">
        <v>10269</v>
      </c>
      <c r="E88" s="38" t="str">
        <f t="shared" si="15"/>
        <v>10269,10209</v>
      </c>
      <c r="F88" s="39" t="s">
        <v>1401</v>
      </c>
      <c r="G88" s="39">
        <v>2</v>
      </c>
      <c r="H88" s="24" t="s">
        <v>1397</v>
      </c>
      <c r="I88" s="24" t="s">
        <v>1399</v>
      </c>
      <c r="J88" s="24" t="str">
        <f t="shared" si="12"/>
        <v>[2,[10269,10209]]</v>
      </c>
      <c r="K88" s="42">
        <f t="shared" si="13"/>
        <v>1</v>
      </c>
      <c r="L88" s="39" t="s">
        <v>1401</v>
      </c>
      <c r="M88" s="39">
        <v>3</v>
      </c>
      <c r="N88" s="24" t="s">
        <v>1397</v>
      </c>
      <c r="O88" s="24" t="s">
        <v>1399</v>
      </c>
      <c r="P88" s="24">
        <v>4</v>
      </c>
      <c r="Q88" s="24" t="str">
        <f t="shared" si="14"/>
        <v>[[3,[4]],[2,[10269,10209]]]</v>
      </c>
      <c r="R88" s="24" t="s">
        <v>1397</v>
      </c>
      <c r="S88" s="24" t="s">
        <v>1399</v>
      </c>
      <c r="T88" s="24"/>
      <c r="U88" s="24"/>
      <c r="AA88">
        <v>10113</v>
      </c>
      <c r="AB88" t="s">
        <v>461</v>
      </c>
      <c r="AC88">
        <v>10113</v>
      </c>
    </row>
    <row r="89" spans="1:29" ht="16.5" x14ac:dyDescent="0.15">
      <c r="A89">
        <f t="shared" si="11"/>
        <v>1102401</v>
      </c>
      <c r="B89" s="27" t="s">
        <v>778</v>
      </c>
      <c r="C89" s="35">
        <f t="shared" si="10"/>
        <v>11024</v>
      </c>
      <c r="D89" s="24">
        <v>10329</v>
      </c>
      <c r="E89" s="38" t="str">
        <f t="shared" si="15"/>
        <v>10329,10269,10209</v>
      </c>
      <c r="F89" s="39" t="s">
        <v>1402</v>
      </c>
      <c r="G89" s="39">
        <v>2</v>
      </c>
      <c r="H89" s="24" t="s">
        <v>1397</v>
      </c>
      <c r="I89" s="24" t="s">
        <v>1399</v>
      </c>
      <c r="J89" s="24" t="str">
        <f t="shared" si="12"/>
        <v>[2,[10329,10269,10209]]</v>
      </c>
      <c r="K89" s="42">
        <f t="shared" si="13"/>
        <v>1</v>
      </c>
      <c r="L89" s="39" t="s">
        <v>1401</v>
      </c>
      <c r="M89" s="39">
        <v>3</v>
      </c>
      <c r="N89" s="24" t="s">
        <v>1397</v>
      </c>
      <c r="O89" s="24" t="s">
        <v>1399</v>
      </c>
      <c r="P89" s="24">
        <v>4</v>
      </c>
      <c r="Q89" s="24" t="str">
        <f t="shared" si="14"/>
        <v>[[3,[4]],[2,[10329,10269,10209]]]</v>
      </c>
      <c r="R89" s="24" t="s">
        <v>1397</v>
      </c>
      <c r="S89" s="24" t="s">
        <v>1399</v>
      </c>
      <c r="T89" s="24"/>
      <c r="U89" s="24"/>
      <c r="AA89">
        <v>10114</v>
      </c>
      <c r="AB89" t="s">
        <v>463</v>
      </c>
      <c r="AC89">
        <v>10114</v>
      </c>
    </row>
    <row r="90" spans="1:29" ht="16.5" x14ac:dyDescent="0.15">
      <c r="A90">
        <f t="shared" si="11"/>
        <v>1102402</v>
      </c>
      <c r="B90" s="27" t="s">
        <v>778</v>
      </c>
      <c r="C90" s="35">
        <f t="shared" si="10"/>
        <v>11024</v>
      </c>
      <c r="D90" s="24">
        <v>10389</v>
      </c>
      <c r="E90" s="38" t="str">
        <f t="shared" si="15"/>
        <v>10389,10329,10269,10209</v>
      </c>
      <c r="F90" s="39" t="s">
        <v>1401</v>
      </c>
      <c r="G90" s="39">
        <v>2</v>
      </c>
      <c r="H90" s="24" t="s">
        <v>1397</v>
      </c>
      <c r="I90" s="24" t="s">
        <v>1399</v>
      </c>
      <c r="J90" s="24" t="str">
        <f t="shared" si="12"/>
        <v>[2,[10389,10329,10269,10209]]</v>
      </c>
      <c r="K90" s="42">
        <f t="shared" si="13"/>
        <v>2</v>
      </c>
      <c r="L90" s="39" t="s">
        <v>1401</v>
      </c>
      <c r="M90" s="39">
        <v>3</v>
      </c>
      <c r="N90" s="24" t="s">
        <v>1397</v>
      </c>
      <c r="O90" s="24" t="s">
        <v>1399</v>
      </c>
      <c r="P90" s="24">
        <v>4</v>
      </c>
      <c r="Q90" s="24" t="str">
        <f t="shared" si="14"/>
        <v>[[3,[4]],[2,[10389,10329,10269,10209]]]</v>
      </c>
      <c r="R90" s="24" t="s">
        <v>1397</v>
      </c>
      <c r="S90" s="24" t="s">
        <v>1399</v>
      </c>
      <c r="T90" s="24"/>
      <c r="U90" s="24"/>
      <c r="AA90">
        <v>10115</v>
      </c>
      <c r="AB90" t="s">
        <v>465</v>
      </c>
      <c r="AC90">
        <v>10115</v>
      </c>
    </row>
    <row r="91" spans="1:29" ht="16.5" x14ac:dyDescent="0.15">
      <c r="A91">
        <f t="shared" si="11"/>
        <v>1102101</v>
      </c>
      <c r="B91" s="27" t="s">
        <v>658</v>
      </c>
      <c r="C91" s="35">
        <f t="shared" si="10"/>
        <v>11021</v>
      </c>
      <c r="D91" s="24">
        <v>10219</v>
      </c>
      <c r="E91" s="38">
        <f t="shared" si="15"/>
        <v>10219</v>
      </c>
      <c r="F91" s="39" t="s">
        <v>1402</v>
      </c>
      <c r="G91" s="39">
        <v>2</v>
      </c>
      <c r="H91" s="24" t="s">
        <v>1397</v>
      </c>
      <c r="I91" s="24" t="s">
        <v>1399</v>
      </c>
      <c r="J91" s="24" t="str">
        <f t="shared" si="12"/>
        <v>[2,[10219]]</v>
      </c>
      <c r="K91" s="42">
        <f t="shared" si="13"/>
        <v>1</v>
      </c>
      <c r="L91" s="39" t="s">
        <v>1401</v>
      </c>
      <c r="M91" s="39">
        <v>3</v>
      </c>
      <c r="N91" s="24" t="s">
        <v>1397</v>
      </c>
      <c r="O91" s="24" t="s">
        <v>1399</v>
      </c>
      <c r="P91" s="24">
        <v>4</v>
      </c>
      <c r="Q91" s="24" t="str">
        <f t="shared" si="14"/>
        <v>[[3,[4]],[2,[10219]]]</v>
      </c>
      <c r="R91" s="24" t="s">
        <v>1397</v>
      </c>
      <c r="S91" s="24" t="s">
        <v>1399</v>
      </c>
      <c r="T91" s="24"/>
      <c r="U91" s="24"/>
      <c r="AA91">
        <v>10116</v>
      </c>
      <c r="AB91" t="s">
        <v>467</v>
      </c>
      <c r="AC91">
        <v>10116</v>
      </c>
    </row>
    <row r="92" spans="1:29" ht="16.5" x14ac:dyDescent="0.15">
      <c r="A92">
        <f t="shared" si="11"/>
        <v>1102101</v>
      </c>
      <c r="B92" s="27" t="s">
        <v>658</v>
      </c>
      <c r="C92" s="35">
        <f t="shared" si="10"/>
        <v>11021</v>
      </c>
      <c r="D92" s="24">
        <v>10279</v>
      </c>
      <c r="E92" s="38" t="str">
        <f t="shared" si="15"/>
        <v>10279,10219</v>
      </c>
      <c r="F92" s="39" t="s">
        <v>1401</v>
      </c>
      <c r="G92" s="39">
        <v>2</v>
      </c>
      <c r="H92" s="24" t="s">
        <v>1397</v>
      </c>
      <c r="I92" s="24" t="s">
        <v>1399</v>
      </c>
      <c r="J92" s="24" t="str">
        <f t="shared" si="12"/>
        <v>[2,[10279,10219]]</v>
      </c>
      <c r="K92" s="42">
        <f t="shared" si="13"/>
        <v>1</v>
      </c>
      <c r="L92" s="39" t="s">
        <v>1401</v>
      </c>
      <c r="M92" s="39">
        <v>3</v>
      </c>
      <c r="N92" s="24" t="s">
        <v>1397</v>
      </c>
      <c r="O92" s="24" t="s">
        <v>1399</v>
      </c>
      <c r="P92" s="24">
        <v>4</v>
      </c>
      <c r="Q92" s="24" t="str">
        <f t="shared" si="14"/>
        <v>[[3,[4]],[2,[10279,10219]]]</v>
      </c>
      <c r="R92" s="24" t="s">
        <v>1397</v>
      </c>
      <c r="S92" s="24" t="s">
        <v>1399</v>
      </c>
      <c r="T92" s="24"/>
      <c r="U92" s="24"/>
      <c r="AA92">
        <v>10117</v>
      </c>
      <c r="AB92" t="s">
        <v>1210</v>
      </c>
      <c r="AC92">
        <v>10117</v>
      </c>
    </row>
    <row r="93" spans="1:29" ht="16.5" x14ac:dyDescent="0.15">
      <c r="A93">
        <f t="shared" si="11"/>
        <v>1102101</v>
      </c>
      <c r="B93" s="27" t="s">
        <v>658</v>
      </c>
      <c r="C93" s="35">
        <f t="shared" si="10"/>
        <v>11021</v>
      </c>
      <c r="D93" s="24">
        <v>10339</v>
      </c>
      <c r="E93" s="38" t="str">
        <f t="shared" si="15"/>
        <v>10339,10279,10219</v>
      </c>
      <c r="F93" s="39" t="s">
        <v>1402</v>
      </c>
      <c r="G93" s="39">
        <v>2</v>
      </c>
      <c r="H93" s="24" t="s">
        <v>1397</v>
      </c>
      <c r="I93" s="24" t="s">
        <v>1399</v>
      </c>
      <c r="J93" s="24" t="str">
        <f t="shared" si="12"/>
        <v>[2,[10339,10279,10219]]</v>
      </c>
      <c r="K93" s="42">
        <f t="shared" si="13"/>
        <v>1</v>
      </c>
      <c r="L93" s="39" t="s">
        <v>1401</v>
      </c>
      <c r="M93" s="39">
        <v>3</v>
      </c>
      <c r="N93" s="24" t="s">
        <v>1397</v>
      </c>
      <c r="O93" s="24" t="s">
        <v>1399</v>
      </c>
      <c r="P93" s="24">
        <v>4</v>
      </c>
      <c r="Q93" s="24" t="str">
        <f t="shared" si="14"/>
        <v>[[3,[4]],[2,[10339,10279,10219]]]</v>
      </c>
      <c r="R93" s="24" t="s">
        <v>1397</v>
      </c>
      <c r="S93" s="24" t="s">
        <v>1399</v>
      </c>
      <c r="T93" s="24"/>
      <c r="U93" s="24"/>
      <c r="AA93">
        <v>10118</v>
      </c>
      <c r="AB93" t="s">
        <v>921</v>
      </c>
      <c r="AC93">
        <v>10118</v>
      </c>
    </row>
    <row r="94" spans="1:29" ht="17.25" thickBot="1" x14ac:dyDescent="0.2">
      <c r="A94">
        <f t="shared" si="11"/>
        <v>1102102</v>
      </c>
      <c r="B94" s="34" t="s">
        <v>658</v>
      </c>
      <c r="C94" s="35">
        <f t="shared" si="10"/>
        <v>11021</v>
      </c>
      <c r="D94" s="24">
        <v>10399</v>
      </c>
      <c r="E94" s="38" t="str">
        <f t="shared" si="15"/>
        <v>10399,10339,10279,10219</v>
      </c>
      <c r="F94" s="39" t="s">
        <v>1401</v>
      </c>
      <c r="G94" s="39">
        <v>2</v>
      </c>
      <c r="H94" s="24" t="s">
        <v>1397</v>
      </c>
      <c r="I94" s="24" t="s">
        <v>1399</v>
      </c>
      <c r="J94" s="24" t="str">
        <f t="shared" si="12"/>
        <v>[2,[10399,10339,10279,10219]]</v>
      </c>
      <c r="K94" s="42">
        <f t="shared" si="13"/>
        <v>2</v>
      </c>
      <c r="L94" s="39" t="s">
        <v>1401</v>
      </c>
      <c r="M94" s="39">
        <v>3</v>
      </c>
      <c r="N94" s="24" t="s">
        <v>1397</v>
      </c>
      <c r="O94" s="24" t="s">
        <v>1399</v>
      </c>
      <c r="P94" s="24">
        <v>4</v>
      </c>
      <c r="Q94" s="24" t="str">
        <f t="shared" si="14"/>
        <v>[[3,[4]],[2,[10399,10339,10279,10219]]]</v>
      </c>
      <c r="R94" s="24" t="s">
        <v>1397</v>
      </c>
      <c r="S94" s="24" t="s">
        <v>1399</v>
      </c>
      <c r="T94" s="24"/>
      <c r="U94" s="24"/>
      <c r="AA94">
        <v>10119</v>
      </c>
      <c r="AB94" t="s">
        <v>922</v>
      </c>
      <c r="AC94">
        <v>10119</v>
      </c>
    </row>
    <row r="95" spans="1:29" ht="16.5" x14ac:dyDescent="0.15">
      <c r="A95">
        <f t="shared" si="11"/>
        <v>1102301</v>
      </c>
      <c r="B95" s="33" t="s">
        <v>660</v>
      </c>
      <c r="C95" s="35">
        <f t="shared" si="10"/>
        <v>11023</v>
      </c>
      <c r="D95" s="24">
        <v>10210</v>
      </c>
      <c r="E95" s="38">
        <f t="shared" ref="E95:E158" si="16">IF(C95=C94,D95&amp;F95&amp;E94,D95)</f>
        <v>10210</v>
      </c>
      <c r="F95" s="39" t="s">
        <v>1401</v>
      </c>
      <c r="G95" s="39">
        <v>2</v>
      </c>
      <c r="H95" s="24" t="s">
        <v>1397</v>
      </c>
      <c r="I95" s="24" t="s">
        <v>1399</v>
      </c>
      <c r="J95" s="24" t="str">
        <f t="shared" ref="J95:J158" si="17">H95&amp;G95&amp;F95&amp;H95&amp;E95&amp;I95&amp;I95</f>
        <v>[2,[10210]]</v>
      </c>
      <c r="K95" s="42">
        <f t="shared" si="13"/>
        <v>1</v>
      </c>
      <c r="L95" s="39" t="s">
        <v>1401</v>
      </c>
      <c r="M95" s="39">
        <v>3</v>
      </c>
      <c r="N95" s="24" t="s">
        <v>1397</v>
      </c>
      <c r="O95" s="24" t="s">
        <v>1399</v>
      </c>
      <c r="P95" s="24">
        <v>4</v>
      </c>
      <c r="Q95" s="24" t="str">
        <f t="shared" si="14"/>
        <v>[[3,[4]],[2,[10210]]]</v>
      </c>
      <c r="R95" s="24" t="s">
        <v>1397</v>
      </c>
      <c r="S95" s="24" t="s">
        <v>1399</v>
      </c>
      <c r="T95" s="24"/>
      <c r="U95" s="24"/>
      <c r="AA95">
        <v>10120</v>
      </c>
      <c r="AB95" t="s">
        <v>1030</v>
      </c>
      <c r="AC95">
        <v>10120</v>
      </c>
    </row>
    <row r="96" spans="1:29" ht="16.5" x14ac:dyDescent="0.15">
      <c r="A96">
        <f t="shared" si="11"/>
        <v>1102301</v>
      </c>
      <c r="B96" s="33" t="s">
        <v>660</v>
      </c>
      <c r="C96" s="35">
        <f t="shared" si="10"/>
        <v>11023</v>
      </c>
      <c r="D96" s="24">
        <v>10270</v>
      </c>
      <c r="E96" s="38" t="str">
        <f t="shared" si="16"/>
        <v>10270,10210</v>
      </c>
      <c r="F96" s="39" t="s">
        <v>1401</v>
      </c>
      <c r="G96" s="39">
        <v>2</v>
      </c>
      <c r="H96" s="24" t="s">
        <v>1397</v>
      </c>
      <c r="I96" s="24" t="s">
        <v>1399</v>
      </c>
      <c r="J96" s="24" t="str">
        <f t="shared" si="17"/>
        <v>[2,[10270,10210]]</v>
      </c>
      <c r="K96" s="42">
        <f t="shared" si="13"/>
        <v>1</v>
      </c>
      <c r="L96" s="39" t="s">
        <v>1401</v>
      </c>
      <c r="M96" s="39">
        <v>3</v>
      </c>
      <c r="N96" s="24" t="s">
        <v>1397</v>
      </c>
      <c r="O96" s="24" t="s">
        <v>1399</v>
      </c>
      <c r="P96" s="24">
        <v>4</v>
      </c>
      <c r="Q96" s="24" t="str">
        <f t="shared" si="14"/>
        <v>[[3,[4]],[2,[10270,10210]]]</v>
      </c>
      <c r="R96" s="24" t="s">
        <v>1397</v>
      </c>
      <c r="S96" s="24" t="s">
        <v>1399</v>
      </c>
      <c r="T96" s="24"/>
      <c r="U96" s="24"/>
      <c r="AA96">
        <v>10121</v>
      </c>
      <c r="AB96" t="s">
        <v>1031</v>
      </c>
      <c r="AC96">
        <v>10121</v>
      </c>
    </row>
    <row r="97" spans="1:29" ht="16.5" x14ac:dyDescent="0.15">
      <c r="A97">
        <f t="shared" si="11"/>
        <v>1102301</v>
      </c>
      <c r="B97" s="33" t="s">
        <v>660</v>
      </c>
      <c r="C97" s="35">
        <f t="shared" ref="C97:C128" si="18">VLOOKUP(B97,AB:AC,2,FALSE)</f>
        <v>11023</v>
      </c>
      <c r="D97" s="24">
        <v>10330</v>
      </c>
      <c r="E97" s="38" t="str">
        <f t="shared" si="16"/>
        <v>10330,10270,10210</v>
      </c>
      <c r="F97" s="39" t="s">
        <v>1401</v>
      </c>
      <c r="G97" s="39">
        <v>2</v>
      </c>
      <c r="H97" s="24" t="s">
        <v>1397</v>
      </c>
      <c r="I97" s="24" t="s">
        <v>1399</v>
      </c>
      <c r="J97" s="24" t="str">
        <f t="shared" si="17"/>
        <v>[2,[10330,10270,10210]]</v>
      </c>
      <c r="K97" s="42">
        <f t="shared" si="13"/>
        <v>1</v>
      </c>
      <c r="L97" s="39" t="s">
        <v>1401</v>
      </c>
      <c r="M97" s="39">
        <v>3</v>
      </c>
      <c r="N97" s="24" t="s">
        <v>1397</v>
      </c>
      <c r="O97" s="24" t="s">
        <v>1399</v>
      </c>
      <c r="P97" s="24">
        <v>4</v>
      </c>
      <c r="Q97" s="24" t="str">
        <f t="shared" si="14"/>
        <v>[[3,[4]],[2,[10330,10270,10210]]]</v>
      </c>
      <c r="R97" s="24" t="s">
        <v>1397</v>
      </c>
      <c r="S97" s="24" t="s">
        <v>1399</v>
      </c>
      <c r="T97" s="24"/>
      <c r="U97" s="24"/>
      <c r="AA97">
        <v>10122</v>
      </c>
      <c r="AB97" t="s">
        <v>1032</v>
      </c>
      <c r="AC97">
        <v>10122</v>
      </c>
    </row>
    <row r="98" spans="1:29" ht="16.5" x14ac:dyDescent="0.15">
      <c r="A98">
        <f t="shared" si="11"/>
        <v>1102302</v>
      </c>
      <c r="B98" s="33" t="s">
        <v>660</v>
      </c>
      <c r="C98" s="35">
        <f t="shared" si="18"/>
        <v>11023</v>
      </c>
      <c r="D98" s="24">
        <v>10390</v>
      </c>
      <c r="E98" s="38" t="str">
        <f t="shared" si="16"/>
        <v>10390,10330,10270,10210</v>
      </c>
      <c r="F98" s="39" t="s">
        <v>1401</v>
      </c>
      <c r="G98" s="39">
        <v>2</v>
      </c>
      <c r="H98" s="24" t="s">
        <v>1397</v>
      </c>
      <c r="I98" s="24" t="s">
        <v>1399</v>
      </c>
      <c r="J98" s="24" t="str">
        <f t="shared" si="17"/>
        <v>[2,[10390,10330,10270,10210]]</v>
      </c>
      <c r="K98" s="42">
        <f t="shared" si="13"/>
        <v>2</v>
      </c>
      <c r="L98" s="39" t="s">
        <v>1401</v>
      </c>
      <c r="M98" s="39">
        <v>3</v>
      </c>
      <c r="N98" s="24" t="s">
        <v>1397</v>
      </c>
      <c r="O98" s="24" t="s">
        <v>1399</v>
      </c>
      <c r="P98" s="24">
        <v>4</v>
      </c>
      <c r="Q98" s="24" t="str">
        <f t="shared" si="14"/>
        <v>[[3,[4]],[2,[10390,10330,10270,10210]]]</v>
      </c>
      <c r="R98" s="24" t="s">
        <v>1397</v>
      </c>
      <c r="S98" s="24" t="s">
        <v>1399</v>
      </c>
      <c r="T98" s="24"/>
      <c r="U98" s="24"/>
      <c r="AA98">
        <v>10123</v>
      </c>
      <c r="AB98" t="s">
        <v>1033</v>
      </c>
      <c r="AC98">
        <v>10123</v>
      </c>
    </row>
    <row r="99" spans="1:29" ht="16.5" x14ac:dyDescent="0.15">
      <c r="A99">
        <f t="shared" si="11"/>
        <v>1102201</v>
      </c>
      <c r="B99" s="33" t="s">
        <v>659</v>
      </c>
      <c r="C99" s="35">
        <f t="shared" si="18"/>
        <v>11022</v>
      </c>
      <c r="D99" s="24">
        <v>10220</v>
      </c>
      <c r="E99" s="38">
        <f t="shared" si="16"/>
        <v>10220</v>
      </c>
      <c r="F99" s="39" t="s">
        <v>1401</v>
      </c>
      <c r="G99" s="39">
        <v>2</v>
      </c>
      <c r="H99" s="24" t="s">
        <v>1397</v>
      </c>
      <c r="I99" s="24" t="s">
        <v>1399</v>
      </c>
      <c r="J99" s="24" t="str">
        <f t="shared" si="17"/>
        <v>[2,[10220]]</v>
      </c>
      <c r="K99" s="42">
        <f t="shared" si="13"/>
        <v>1</v>
      </c>
      <c r="L99" s="39" t="s">
        <v>1401</v>
      </c>
      <c r="M99" s="39">
        <v>3</v>
      </c>
      <c r="N99" s="24" t="s">
        <v>1397</v>
      </c>
      <c r="O99" s="24" t="s">
        <v>1399</v>
      </c>
      <c r="P99" s="24">
        <v>4</v>
      </c>
      <c r="Q99" s="24" t="str">
        <f t="shared" si="14"/>
        <v>[[3,[4]],[2,[10220]]]</v>
      </c>
      <c r="R99" s="24" t="s">
        <v>1397</v>
      </c>
      <c r="S99" s="24" t="s">
        <v>1399</v>
      </c>
      <c r="T99" s="24"/>
      <c r="U99" s="24"/>
      <c r="AA99">
        <v>10124</v>
      </c>
      <c r="AB99" t="s">
        <v>1034</v>
      </c>
      <c r="AC99">
        <v>10124</v>
      </c>
    </row>
    <row r="100" spans="1:29" ht="16.5" x14ac:dyDescent="0.15">
      <c r="A100">
        <f t="shared" si="11"/>
        <v>1102201</v>
      </c>
      <c r="B100" s="33" t="s">
        <v>659</v>
      </c>
      <c r="C100" s="35">
        <f t="shared" si="18"/>
        <v>11022</v>
      </c>
      <c r="D100" s="24">
        <v>10280</v>
      </c>
      <c r="E100" s="38" t="str">
        <f t="shared" si="16"/>
        <v>10280,10220</v>
      </c>
      <c r="F100" s="39" t="s">
        <v>1401</v>
      </c>
      <c r="G100" s="39">
        <v>2</v>
      </c>
      <c r="H100" s="24" t="s">
        <v>1397</v>
      </c>
      <c r="I100" s="24" t="s">
        <v>1399</v>
      </c>
      <c r="J100" s="24" t="str">
        <f t="shared" si="17"/>
        <v>[2,[10280,10220]]</v>
      </c>
      <c r="K100" s="42">
        <f t="shared" si="13"/>
        <v>1</v>
      </c>
      <c r="L100" s="39" t="s">
        <v>1401</v>
      </c>
      <c r="M100" s="39">
        <v>3</v>
      </c>
      <c r="N100" s="24" t="s">
        <v>1397</v>
      </c>
      <c r="O100" s="24" t="s">
        <v>1399</v>
      </c>
      <c r="P100" s="24">
        <v>4</v>
      </c>
      <c r="Q100" s="24" t="str">
        <f t="shared" si="14"/>
        <v>[[3,[4]],[2,[10280,10220]]]</v>
      </c>
      <c r="R100" s="24" t="s">
        <v>1397</v>
      </c>
      <c r="S100" s="24" t="s">
        <v>1399</v>
      </c>
      <c r="T100" s="24"/>
      <c r="U100" s="24"/>
      <c r="AA100">
        <v>10124</v>
      </c>
      <c r="AB100" t="s">
        <v>1034</v>
      </c>
      <c r="AC100">
        <v>10124</v>
      </c>
    </row>
    <row r="101" spans="1:29" ht="16.5" x14ac:dyDescent="0.15">
      <c r="A101">
        <f t="shared" si="11"/>
        <v>1102201</v>
      </c>
      <c r="B101" s="33" t="s">
        <v>659</v>
      </c>
      <c r="C101" s="35">
        <f t="shared" si="18"/>
        <v>11022</v>
      </c>
      <c r="D101" s="24">
        <v>10340</v>
      </c>
      <c r="E101" s="38" t="str">
        <f t="shared" si="16"/>
        <v>10340,10280,10220</v>
      </c>
      <c r="F101" s="39" t="s">
        <v>1401</v>
      </c>
      <c r="G101" s="39">
        <v>2</v>
      </c>
      <c r="H101" s="24" t="s">
        <v>1397</v>
      </c>
      <c r="I101" s="24" t="s">
        <v>1399</v>
      </c>
      <c r="J101" s="24" t="str">
        <f t="shared" si="17"/>
        <v>[2,[10340,10280,10220]]</v>
      </c>
      <c r="K101" s="42">
        <f t="shared" si="13"/>
        <v>1</v>
      </c>
      <c r="L101" s="39" t="s">
        <v>1401</v>
      </c>
      <c r="M101" s="39">
        <v>3</v>
      </c>
      <c r="N101" s="24" t="s">
        <v>1397</v>
      </c>
      <c r="O101" s="24" t="s">
        <v>1399</v>
      </c>
      <c r="P101" s="24">
        <v>4</v>
      </c>
      <c r="Q101" s="24" t="str">
        <f t="shared" si="14"/>
        <v>[[3,[4]],[2,[10340,10280,10220]]]</v>
      </c>
      <c r="R101" s="24" t="s">
        <v>1397</v>
      </c>
      <c r="S101" s="24" t="s">
        <v>1399</v>
      </c>
      <c r="T101" s="24"/>
      <c r="U101" s="24"/>
      <c r="AA101">
        <v>10125</v>
      </c>
      <c r="AB101" t="s">
        <v>1035</v>
      </c>
      <c r="AC101">
        <v>10125</v>
      </c>
    </row>
    <row r="102" spans="1:29" ht="16.5" x14ac:dyDescent="0.15">
      <c r="A102">
        <f t="shared" si="11"/>
        <v>1102202</v>
      </c>
      <c r="B102" s="33" t="s">
        <v>659</v>
      </c>
      <c r="C102" s="35">
        <f t="shared" si="18"/>
        <v>11022</v>
      </c>
      <c r="D102" s="24">
        <v>10400</v>
      </c>
      <c r="E102" s="38" t="str">
        <f t="shared" si="16"/>
        <v>10400,10340,10280,10220</v>
      </c>
      <c r="F102" s="39" t="s">
        <v>1401</v>
      </c>
      <c r="G102" s="39">
        <v>2</v>
      </c>
      <c r="H102" s="24" t="s">
        <v>1397</v>
      </c>
      <c r="I102" s="24" t="s">
        <v>1399</v>
      </c>
      <c r="J102" s="24" t="str">
        <f t="shared" si="17"/>
        <v>[2,[10400,10340,10280,10220]]</v>
      </c>
      <c r="K102" s="42">
        <f t="shared" si="13"/>
        <v>2</v>
      </c>
      <c r="L102" s="39" t="s">
        <v>1401</v>
      </c>
      <c r="M102" s="39">
        <v>3</v>
      </c>
      <c r="N102" s="24" t="s">
        <v>1397</v>
      </c>
      <c r="O102" s="24" t="s">
        <v>1399</v>
      </c>
      <c r="P102" s="24">
        <v>4</v>
      </c>
      <c r="Q102" s="24" t="str">
        <f t="shared" si="14"/>
        <v>[[3,[4]],[2,[10400,10340,10280,10220]]]</v>
      </c>
      <c r="R102" s="24" t="s">
        <v>1397</v>
      </c>
      <c r="S102" s="24" t="s">
        <v>1399</v>
      </c>
      <c r="T102" s="24"/>
      <c r="U102" s="24"/>
      <c r="AA102">
        <v>10125</v>
      </c>
      <c r="AB102" t="s">
        <v>1035</v>
      </c>
      <c r="AC102">
        <v>10125</v>
      </c>
    </row>
    <row r="103" spans="1:29" ht="16.5" x14ac:dyDescent="0.15">
      <c r="A103">
        <f t="shared" si="11"/>
        <v>1101501</v>
      </c>
      <c r="B103" s="33" t="s">
        <v>654</v>
      </c>
      <c r="C103" s="35">
        <f t="shared" si="18"/>
        <v>11015</v>
      </c>
      <c r="D103" s="24">
        <v>10170</v>
      </c>
      <c r="E103" s="38">
        <f t="shared" si="16"/>
        <v>10170</v>
      </c>
      <c r="F103" s="39" t="s">
        <v>1401</v>
      </c>
      <c r="G103" s="39">
        <v>2</v>
      </c>
      <c r="H103" s="24" t="s">
        <v>1397</v>
      </c>
      <c r="I103" s="24" t="s">
        <v>1399</v>
      </c>
      <c r="J103" s="24" t="str">
        <f t="shared" si="17"/>
        <v>[2,[10170]]</v>
      </c>
      <c r="K103" s="42">
        <f t="shared" si="13"/>
        <v>1</v>
      </c>
      <c r="L103" s="39" t="s">
        <v>1401</v>
      </c>
      <c r="M103" s="39">
        <v>3</v>
      </c>
      <c r="N103" s="24" t="s">
        <v>1397</v>
      </c>
      <c r="O103" s="24" t="s">
        <v>1399</v>
      </c>
      <c r="P103" s="24">
        <v>4</v>
      </c>
      <c r="Q103" s="24" t="str">
        <f t="shared" si="14"/>
        <v>[[3,[4]],[2,[10170]]]</v>
      </c>
      <c r="R103" s="24" t="s">
        <v>1397</v>
      </c>
      <c r="S103" s="24" t="s">
        <v>1399</v>
      </c>
      <c r="T103" s="24"/>
      <c r="U103" s="24"/>
      <c r="AA103">
        <v>10126</v>
      </c>
      <c r="AB103" t="s">
        <v>1036</v>
      </c>
      <c r="AC103">
        <v>10126</v>
      </c>
    </row>
    <row r="104" spans="1:29" ht="16.5" x14ac:dyDescent="0.15">
      <c r="A104">
        <f t="shared" si="11"/>
        <v>1101501</v>
      </c>
      <c r="B104" s="33" t="s">
        <v>654</v>
      </c>
      <c r="C104" s="35">
        <f t="shared" si="18"/>
        <v>11015</v>
      </c>
      <c r="D104" s="24">
        <v>10230</v>
      </c>
      <c r="E104" s="38" t="str">
        <f t="shared" si="16"/>
        <v>10230,10170</v>
      </c>
      <c r="F104" s="39" t="s">
        <v>1401</v>
      </c>
      <c r="G104" s="39">
        <v>2</v>
      </c>
      <c r="H104" s="24" t="s">
        <v>1397</v>
      </c>
      <c r="I104" s="24" t="s">
        <v>1399</v>
      </c>
      <c r="J104" s="24" t="str">
        <f t="shared" si="17"/>
        <v>[2,[10230,10170]]</v>
      </c>
      <c r="K104" s="42">
        <f t="shared" si="13"/>
        <v>1</v>
      </c>
      <c r="L104" s="39" t="s">
        <v>1401</v>
      </c>
      <c r="M104" s="39">
        <v>3</v>
      </c>
      <c r="N104" s="24" t="s">
        <v>1397</v>
      </c>
      <c r="O104" s="24" t="s">
        <v>1399</v>
      </c>
      <c r="P104" s="24">
        <v>4</v>
      </c>
      <c r="Q104" s="24" t="str">
        <f t="shared" si="14"/>
        <v>[[3,[4]],[2,[10230,10170]]]</v>
      </c>
      <c r="R104" s="24" t="s">
        <v>1397</v>
      </c>
      <c r="S104" s="24" t="s">
        <v>1399</v>
      </c>
      <c r="T104" s="24"/>
      <c r="U104" s="24"/>
      <c r="AA104">
        <v>10127</v>
      </c>
      <c r="AB104" t="s">
        <v>1037</v>
      </c>
      <c r="AC104">
        <v>10127</v>
      </c>
    </row>
    <row r="105" spans="1:29" ht="16.5" x14ac:dyDescent="0.15">
      <c r="A105">
        <f t="shared" si="11"/>
        <v>1101501</v>
      </c>
      <c r="B105" s="33" t="s">
        <v>654</v>
      </c>
      <c r="C105" s="35">
        <f t="shared" si="18"/>
        <v>11015</v>
      </c>
      <c r="D105" s="24">
        <v>10290</v>
      </c>
      <c r="E105" s="38" t="str">
        <f t="shared" si="16"/>
        <v>10290,10230,10170</v>
      </c>
      <c r="F105" s="39" t="s">
        <v>1401</v>
      </c>
      <c r="G105" s="39">
        <v>2</v>
      </c>
      <c r="H105" s="24" t="s">
        <v>1397</v>
      </c>
      <c r="I105" s="24" t="s">
        <v>1399</v>
      </c>
      <c r="J105" s="24" t="str">
        <f t="shared" si="17"/>
        <v>[2,[10290,10230,10170]]</v>
      </c>
      <c r="K105" s="42">
        <f t="shared" si="13"/>
        <v>1</v>
      </c>
      <c r="L105" s="39" t="s">
        <v>1401</v>
      </c>
      <c r="M105" s="39">
        <v>3</v>
      </c>
      <c r="N105" s="24" t="s">
        <v>1397</v>
      </c>
      <c r="O105" s="24" t="s">
        <v>1399</v>
      </c>
      <c r="P105" s="24">
        <v>4</v>
      </c>
      <c r="Q105" s="24" t="str">
        <f t="shared" si="14"/>
        <v>[[3,[4]],[2,[10290,10230,10170]]]</v>
      </c>
      <c r="R105" s="24" t="s">
        <v>1397</v>
      </c>
      <c r="S105" s="24" t="s">
        <v>1399</v>
      </c>
      <c r="T105" s="24"/>
      <c r="U105" s="24"/>
      <c r="AA105">
        <v>10401</v>
      </c>
      <c r="AB105" t="s">
        <v>1217</v>
      </c>
      <c r="AC105">
        <v>10401</v>
      </c>
    </row>
    <row r="106" spans="1:29" ht="16.5" x14ac:dyDescent="0.15">
      <c r="A106">
        <f t="shared" si="11"/>
        <v>1101502</v>
      </c>
      <c r="B106" s="33" t="s">
        <v>654</v>
      </c>
      <c r="C106" s="35">
        <f t="shared" si="18"/>
        <v>11015</v>
      </c>
      <c r="D106" s="24">
        <v>10350</v>
      </c>
      <c r="E106" s="38" t="str">
        <f t="shared" si="16"/>
        <v>10350,10290,10230,10170</v>
      </c>
      <c r="F106" s="39" t="s">
        <v>1401</v>
      </c>
      <c r="G106" s="39">
        <v>2</v>
      </c>
      <c r="H106" s="24" t="s">
        <v>1397</v>
      </c>
      <c r="I106" s="24" t="s">
        <v>1399</v>
      </c>
      <c r="J106" s="24" t="str">
        <f t="shared" si="17"/>
        <v>[2,[10350,10290,10230,10170]]</v>
      </c>
      <c r="K106" s="42">
        <f t="shared" si="13"/>
        <v>2</v>
      </c>
      <c r="L106" s="39" t="s">
        <v>1401</v>
      </c>
      <c r="M106" s="39">
        <v>3</v>
      </c>
      <c r="N106" s="24" t="s">
        <v>1397</v>
      </c>
      <c r="O106" s="24" t="s">
        <v>1399</v>
      </c>
      <c r="P106" s="24">
        <v>4</v>
      </c>
      <c r="Q106" s="24" t="str">
        <f t="shared" si="14"/>
        <v>[[3,[4]],[2,[10350,10290,10230,10170]]]</v>
      </c>
      <c r="R106" s="24" t="s">
        <v>1397</v>
      </c>
      <c r="S106" s="24" t="s">
        <v>1399</v>
      </c>
      <c r="T106" s="24"/>
      <c r="U106" s="24"/>
      <c r="AA106">
        <v>10402</v>
      </c>
      <c r="AB106" t="s">
        <v>1220</v>
      </c>
      <c r="AC106">
        <v>10402</v>
      </c>
    </row>
    <row r="107" spans="1:29" ht="16.5" x14ac:dyDescent="0.15">
      <c r="A107">
        <f t="shared" si="11"/>
        <v>1101401</v>
      </c>
      <c r="B107" s="33" t="s">
        <v>653</v>
      </c>
      <c r="C107" s="35">
        <f t="shared" si="18"/>
        <v>11014</v>
      </c>
      <c r="D107" s="24">
        <v>10180</v>
      </c>
      <c r="E107" s="38">
        <f t="shared" si="16"/>
        <v>10180</v>
      </c>
      <c r="F107" s="39" t="s">
        <v>1401</v>
      </c>
      <c r="G107" s="39">
        <v>2</v>
      </c>
      <c r="H107" s="24" t="s">
        <v>1397</v>
      </c>
      <c r="I107" s="24" t="s">
        <v>1399</v>
      </c>
      <c r="J107" s="24" t="str">
        <f t="shared" si="17"/>
        <v>[2,[10180]]</v>
      </c>
      <c r="K107" s="42">
        <f t="shared" si="13"/>
        <v>1</v>
      </c>
      <c r="L107" s="39" t="s">
        <v>1401</v>
      </c>
      <c r="M107" s="39">
        <v>3</v>
      </c>
      <c r="N107" s="24" t="s">
        <v>1397</v>
      </c>
      <c r="O107" s="24" t="s">
        <v>1399</v>
      </c>
      <c r="P107" s="24">
        <v>4</v>
      </c>
      <c r="Q107" s="24" t="str">
        <f t="shared" si="14"/>
        <v>[[3,[4]],[2,[10180]]]</v>
      </c>
      <c r="R107" s="24" t="s">
        <v>1397</v>
      </c>
      <c r="S107" s="24" t="s">
        <v>1399</v>
      </c>
      <c r="T107" s="24"/>
      <c r="U107" s="24"/>
      <c r="AA107">
        <v>10403</v>
      </c>
      <c r="AB107" t="s">
        <v>1223</v>
      </c>
      <c r="AC107">
        <v>10403</v>
      </c>
    </row>
    <row r="108" spans="1:29" ht="16.5" x14ac:dyDescent="0.15">
      <c r="A108">
        <f t="shared" si="11"/>
        <v>1101401</v>
      </c>
      <c r="B108" s="33" t="s">
        <v>653</v>
      </c>
      <c r="C108" s="35">
        <f t="shared" si="18"/>
        <v>11014</v>
      </c>
      <c r="D108" s="24">
        <v>10240</v>
      </c>
      <c r="E108" s="38" t="str">
        <f t="shared" si="16"/>
        <v>10240,10180</v>
      </c>
      <c r="F108" s="39" t="s">
        <v>1401</v>
      </c>
      <c r="G108" s="39">
        <v>2</v>
      </c>
      <c r="H108" s="24" t="s">
        <v>1397</v>
      </c>
      <c r="I108" s="24" t="s">
        <v>1399</v>
      </c>
      <c r="J108" s="24" t="str">
        <f t="shared" si="17"/>
        <v>[2,[10240,10180]]</v>
      </c>
      <c r="K108" s="42">
        <f t="shared" si="13"/>
        <v>1</v>
      </c>
      <c r="L108" s="39" t="s">
        <v>1401</v>
      </c>
      <c r="M108" s="39">
        <v>3</v>
      </c>
      <c r="N108" s="24" t="s">
        <v>1397</v>
      </c>
      <c r="O108" s="24" t="s">
        <v>1399</v>
      </c>
      <c r="P108" s="24">
        <v>4</v>
      </c>
      <c r="Q108" s="24" t="str">
        <f t="shared" si="14"/>
        <v>[[3,[4]],[2,[10240,10180]]]</v>
      </c>
      <c r="R108" s="24" t="s">
        <v>1397</v>
      </c>
      <c r="S108" s="24" t="s">
        <v>1399</v>
      </c>
      <c r="T108" s="24"/>
      <c r="U108" s="24"/>
      <c r="AA108">
        <v>10404</v>
      </c>
      <c r="AB108" t="s">
        <v>1018</v>
      </c>
      <c r="AC108">
        <v>10404</v>
      </c>
    </row>
    <row r="109" spans="1:29" ht="16.5" x14ac:dyDescent="0.15">
      <c r="A109">
        <f t="shared" si="11"/>
        <v>1101401</v>
      </c>
      <c r="B109" s="33" t="s">
        <v>653</v>
      </c>
      <c r="C109" s="35">
        <f t="shared" si="18"/>
        <v>11014</v>
      </c>
      <c r="D109" s="24">
        <v>10300</v>
      </c>
      <c r="E109" s="38" t="str">
        <f t="shared" si="16"/>
        <v>10300,10240,10180</v>
      </c>
      <c r="F109" s="39" t="s">
        <v>1401</v>
      </c>
      <c r="G109" s="39">
        <v>2</v>
      </c>
      <c r="H109" s="24" t="s">
        <v>1397</v>
      </c>
      <c r="I109" s="24" t="s">
        <v>1399</v>
      </c>
      <c r="J109" s="24" t="str">
        <f t="shared" si="17"/>
        <v>[2,[10300,10240,10180]]</v>
      </c>
      <c r="K109" s="42">
        <f t="shared" si="13"/>
        <v>1</v>
      </c>
      <c r="L109" s="39" t="s">
        <v>1401</v>
      </c>
      <c r="M109" s="39">
        <v>3</v>
      </c>
      <c r="N109" s="24" t="s">
        <v>1397</v>
      </c>
      <c r="O109" s="24" t="s">
        <v>1399</v>
      </c>
      <c r="P109" s="24">
        <v>4</v>
      </c>
      <c r="Q109" s="24" t="str">
        <f t="shared" si="14"/>
        <v>[[3,[4]],[2,[10300,10240,10180]]]</v>
      </c>
      <c r="R109" s="24" t="s">
        <v>1397</v>
      </c>
      <c r="S109" s="24" t="s">
        <v>1399</v>
      </c>
      <c r="T109" s="24"/>
      <c r="U109" s="24"/>
      <c r="AA109">
        <v>10405</v>
      </c>
      <c r="AB109" t="s">
        <v>1020</v>
      </c>
      <c r="AC109">
        <v>10405</v>
      </c>
    </row>
    <row r="110" spans="1:29" ht="16.5" x14ac:dyDescent="0.15">
      <c r="A110">
        <f t="shared" si="11"/>
        <v>1101402</v>
      </c>
      <c r="B110" s="33" t="s">
        <v>653</v>
      </c>
      <c r="C110" s="35">
        <f t="shared" si="18"/>
        <v>11014</v>
      </c>
      <c r="D110" s="24">
        <v>10360</v>
      </c>
      <c r="E110" s="38" t="str">
        <f t="shared" si="16"/>
        <v>10360,10300,10240,10180</v>
      </c>
      <c r="F110" s="39" t="s">
        <v>1401</v>
      </c>
      <c r="G110" s="39">
        <v>2</v>
      </c>
      <c r="H110" s="24" t="s">
        <v>1397</v>
      </c>
      <c r="I110" s="24" t="s">
        <v>1399</v>
      </c>
      <c r="J110" s="24" t="str">
        <f t="shared" si="17"/>
        <v>[2,[10360,10300,10240,10180]]</v>
      </c>
      <c r="K110" s="42">
        <f t="shared" si="13"/>
        <v>2</v>
      </c>
      <c r="L110" s="39" t="s">
        <v>1401</v>
      </c>
      <c r="M110" s="39">
        <v>3</v>
      </c>
      <c r="N110" s="24" t="s">
        <v>1397</v>
      </c>
      <c r="O110" s="24" t="s">
        <v>1399</v>
      </c>
      <c r="P110" s="24">
        <v>4</v>
      </c>
      <c r="Q110" s="24" t="str">
        <f t="shared" si="14"/>
        <v>[[3,[4]],[2,[10360,10300,10240,10180]]]</v>
      </c>
      <c r="R110" s="24" t="s">
        <v>1397</v>
      </c>
      <c r="S110" s="24" t="s">
        <v>1399</v>
      </c>
      <c r="T110" s="24"/>
      <c r="U110" s="24"/>
      <c r="AA110">
        <v>10406</v>
      </c>
      <c r="AB110" t="s">
        <v>1022</v>
      </c>
      <c r="AC110">
        <v>10406</v>
      </c>
    </row>
    <row r="111" spans="1:29" ht="16.5" x14ac:dyDescent="0.15">
      <c r="A111">
        <f t="shared" si="11"/>
        <v>1100701</v>
      </c>
      <c r="B111" s="30" t="s">
        <v>648</v>
      </c>
      <c r="C111" s="35">
        <f t="shared" si="18"/>
        <v>11007</v>
      </c>
      <c r="D111" s="24">
        <v>10070</v>
      </c>
      <c r="E111" s="38">
        <f t="shared" si="16"/>
        <v>10070</v>
      </c>
      <c r="F111" s="39" t="s">
        <v>1401</v>
      </c>
      <c r="G111" s="39">
        <v>2</v>
      </c>
      <c r="H111" s="24" t="s">
        <v>1397</v>
      </c>
      <c r="I111" s="24" t="s">
        <v>1399</v>
      </c>
      <c r="J111" s="24" t="str">
        <f t="shared" si="17"/>
        <v>[2,[10070]]</v>
      </c>
      <c r="K111" s="42">
        <f t="shared" si="13"/>
        <v>1</v>
      </c>
      <c r="L111" s="39" t="s">
        <v>1401</v>
      </c>
      <c r="M111" s="39">
        <v>3</v>
      </c>
      <c r="N111" s="24" t="s">
        <v>1397</v>
      </c>
      <c r="O111" s="24" t="s">
        <v>1399</v>
      </c>
      <c r="P111" s="24">
        <v>4</v>
      </c>
      <c r="Q111" s="24" t="str">
        <f t="shared" si="14"/>
        <v>[[3,[4]],[2,[10070]]]</v>
      </c>
      <c r="R111" s="24" t="s">
        <v>1397</v>
      </c>
      <c r="S111" s="24" t="s">
        <v>1399</v>
      </c>
      <c r="T111" s="24"/>
      <c r="U111" s="24"/>
      <c r="AA111">
        <v>10407</v>
      </c>
      <c r="AB111" t="s">
        <v>1024</v>
      </c>
      <c r="AC111">
        <v>10407</v>
      </c>
    </row>
    <row r="112" spans="1:29" ht="16.5" x14ac:dyDescent="0.15">
      <c r="A112">
        <f t="shared" si="11"/>
        <v>1100702</v>
      </c>
      <c r="B112" s="30" t="s">
        <v>648</v>
      </c>
      <c r="C112" s="35">
        <f t="shared" si="18"/>
        <v>11007</v>
      </c>
      <c r="D112" s="24">
        <v>10130</v>
      </c>
      <c r="E112" s="38" t="str">
        <f t="shared" si="16"/>
        <v>10130,10070</v>
      </c>
      <c r="F112" s="39" t="s">
        <v>1401</v>
      </c>
      <c r="G112" s="39">
        <v>2</v>
      </c>
      <c r="H112" s="24" t="s">
        <v>1397</v>
      </c>
      <c r="I112" s="24" t="s">
        <v>1399</v>
      </c>
      <c r="J112" s="24" t="str">
        <f t="shared" si="17"/>
        <v>[2,[10130,10070]]</v>
      </c>
      <c r="K112" s="42">
        <f t="shared" si="13"/>
        <v>2</v>
      </c>
      <c r="L112" s="39" t="s">
        <v>1401</v>
      </c>
      <c r="M112" s="39">
        <v>3</v>
      </c>
      <c r="N112" s="24" t="s">
        <v>1397</v>
      </c>
      <c r="O112" s="24" t="s">
        <v>1399</v>
      </c>
      <c r="P112" s="24">
        <v>4</v>
      </c>
      <c r="Q112" s="24" t="str">
        <f t="shared" si="14"/>
        <v>[[3,[4]],[2,[10130,10070]]]</v>
      </c>
      <c r="R112" s="24" t="s">
        <v>1397</v>
      </c>
      <c r="S112" s="24" t="s">
        <v>1399</v>
      </c>
      <c r="T112" s="24"/>
      <c r="U112" s="24"/>
      <c r="AA112">
        <v>10408</v>
      </c>
      <c r="AB112" t="s">
        <v>1026</v>
      </c>
      <c r="AC112">
        <v>10408</v>
      </c>
    </row>
    <row r="113" spans="1:29" ht="16.5" x14ac:dyDescent="0.15">
      <c r="A113">
        <f t="shared" si="11"/>
        <v>1100601</v>
      </c>
      <c r="B113" s="30" t="s">
        <v>647</v>
      </c>
      <c r="C113" s="35">
        <f t="shared" si="18"/>
        <v>11006</v>
      </c>
      <c r="D113" s="24">
        <v>10080</v>
      </c>
      <c r="E113" s="38">
        <f t="shared" si="16"/>
        <v>10080</v>
      </c>
      <c r="F113" s="39" t="s">
        <v>1401</v>
      </c>
      <c r="G113" s="39">
        <v>2</v>
      </c>
      <c r="H113" s="24" t="s">
        <v>1397</v>
      </c>
      <c r="I113" s="24" t="s">
        <v>1399</v>
      </c>
      <c r="J113" s="24" t="str">
        <f t="shared" si="17"/>
        <v>[2,[10080]]</v>
      </c>
      <c r="K113" s="42">
        <f t="shared" si="13"/>
        <v>1</v>
      </c>
      <c r="L113" s="39" t="s">
        <v>1401</v>
      </c>
      <c r="M113" s="39">
        <v>3</v>
      </c>
      <c r="N113" s="24" t="s">
        <v>1397</v>
      </c>
      <c r="O113" s="24" t="s">
        <v>1399</v>
      </c>
      <c r="P113" s="24">
        <v>4</v>
      </c>
      <c r="Q113" s="24" t="str">
        <f t="shared" si="14"/>
        <v>[[3,[4]],[2,[10080]]]</v>
      </c>
      <c r="R113" s="24" t="s">
        <v>1397</v>
      </c>
      <c r="S113" s="24" t="s">
        <v>1399</v>
      </c>
      <c r="T113" s="24"/>
      <c r="U113" s="24"/>
      <c r="AA113">
        <v>10409</v>
      </c>
      <c r="AB113" t="s">
        <v>1028</v>
      </c>
      <c r="AC113">
        <v>10409</v>
      </c>
    </row>
    <row r="114" spans="1:29" ht="16.5" x14ac:dyDescent="0.15">
      <c r="A114">
        <f t="shared" si="11"/>
        <v>1100602</v>
      </c>
      <c r="B114" s="30" t="s">
        <v>647</v>
      </c>
      <c r="C114" s="35">
        <f t="shared" si="18"/>
        <v>11006</v>
      </c>
      <c r="D114" s="24">
        <v>10140</v>
      </c>
      <c r="E114" s="38" t="str">
        <f t="shared" si="16"/>
        <v>10140,10080</v>
      </c>
      <c r="F114" s="39" t="s">
        <v>1401</v>
      </c>
      <c r="G114" s="39">
        <v>2</v>
      </c>
      <c r="H114" s="24" t="s">
        <v>1397</v>
      </c>
      <c r="I114" s="24" t="s">
        <v>1399</v>
      </c>
      <c r="J114" s="24" t="str">
        <f t="shared" si="17"/>
        <v>[2,[10140,10080]]</v>
      </c>
      <c r="K114" s="42">
        <f t="shared" si="13"/>
        <v>2</v>
      </c>
      <c r="L114" s="39" t="s">
        <v>1401</v>
      </c>
      <c r="M114" s="39">
        <v>3</v>
      </c>
      <c r="N114" s="24" t="s">
        <v>1397</v>
      </c>
      <c r="O114" s="24" t="s">
        <v>1399</v>
      </c>
      <c r="P114" s="24">
        <v>4</v>
      </c>
      <c r="Q114" s="24" t="str">
        <f t="shared" si="14"/>
        <v>[[3,[4]],[2,[10140,10080]]]</v>
      </c>
      <c r="R114" s="24" t="s">
        <v>1397</v>
      </c>
      <c r="S114" s="24" t="s">
        <v>1399</v>
      </c>
      <c r="T114" s="24"/>
      <c r="U114" s="24"/>
      <c r="AA114">
        <v>11001</v>
      </c>
      <c r="AB114" t="s">
        <v>643</v>
      </c>
      <c r="AC114">
        <v>11001</v>
      </c>
    </row>
    <row r="115" spans="1:29" ht="16.5" x14ac:dyDescent="0.15">
      <c r="A115">
        <f t="shared" si="11"/>
        <v>1102701</v>
      </c>
      <c r="B115" s="28" t="s">
        <v>663</v>
      </c>
      <c r="C115" s="35">
        <f t="shared" si="18"/>
        <v>11027</v>
      </c>
      <c r="D115" s="24">
        <v>10410</v>
      </c>
      <c r="E115" s="38">
        <f t="shared" si="16"/>
        <v>10410</v>
      </c>
      <c r="F115" s="39" t="s">
        <v>1401</v>
      </c>
      <c r="G115" s="39">
        <v>2</v>
      </c>
      <c r="H115" s="24" t="s">
        <v>1397</v>
      </c>
      <c r="I115" s="24" t="s">
        <v>1399</v>
      </c>
      <c r="J115" s="24" t="str">
        <f t="shared" si="17"/>
        <v>[2,[10410]]</v>
      </c>
      <c r="K115" s="42">
        <f t="shared" si="13"/>
        <v>1</v>
      </c>
      <c r="L115" s="39" t="s">
        <v>1401</v>
      </c>
      <c r="M115" s="39">
        <v>3</v>
      </c>
      <c r="N115" s="24" t="s">
        <v>1397</v>
      </c>
      <c r="O115" s="24" t="s">
        <v>1399</v>
      </c>
      <c r="P115" s="24">
        <v>4</v>
      </c>
      <c r="Q115" s="24" t="str">
        <f t="shared" si="14"/>
        <v>[[3,[4]],[2,[10410]]]</v>
      </c>
      <c r="R115" s="24" t="s">
        <v>1397</v>
      </c>
      <c r="S115" s="24" t="s">
        <v>1399</v>
      </c>
      <c r="T115" s="24"/>
      <c r="U115" s="24"/>
      <c r="AA115">
        <v>11002</v>
      </c>
      <c r="AB115" t="s">
        <v>644</v>
      </c>
      <c r="AC115">
        <v>11002</v>
      </c>
    </row>
    <row r="116" spans="1:29" ht="16.5" x14ac:dyDescent="0.15">
      <c r="A116">
        <f t="shared" si="11"/>
        <v>1102701</v>
      </c>
      <c r="B116" s="28" t="s">
        <v>663</v>
      </c>
      <c r="C116" s="35">
        <f t="shared" si="18"/>
        <v>11027</v>
      </c>
      <c r="D116" s="24">
        <v>10470</v>
      </c>
      <c r="E116" s="38" t="str">
        <f t="shared" si="16"/>
        <v>10470,10410</v>
      </c>
      <c r="F116" s="39" t="s">
        <v>1401</v>
      </c>
      <c r="G116" s="39">
        <v>2</v>
      </c>
      <c r="H116" s="24" t="s">
        <v>1397</v>
      </c>
      <c r="I116" s="24" t="s">
        <v>1399</v>
      </c>
      <c r="J116" s="24" t="str">
        <f t="shared" si="17"/>
        <v>[2,[10470,10410]]</v>
      </c>
      <c r="K116" s="42">
        <f t="shared" si="13"/>
        <v>1</v>
      </c>
      <c r="L116" s="39" t="s">
        <v>1401</v>
      </c>
      <c r="M116" s="39">
        <v>3</v>
      </c>
      <c r="N116" s="24" t="s">
        <v>1397</v>
      </c>
      <c r="O116" s="24" t="s">
        <v>1399</v>
      </c>
      <c r="P116" s="24">
        <v>4</v>
      </c>
      <c r="Q116" s="24" t="str">
        <f t="shared" si="14"/>
        <v>[[3,[4]],[2,[10470,10410]]]</v>
      </c>
      <c r="R116" s="24" t="s">
        <v>1397</v>
      </c>
      <c r="S116" s="24" t="s">
        <v>1399</v>
      </c>
      <c r="T116" s="24"/>
      <c r="U116" s="24"/>
      <c r="AA116">
        <v>11003</v>
      </c>
      <c r="AB116" t="s">
        <v>645</v>
      </c>
      <c r="AC116">
        <v>11003</v>
      </c>
    </row>
    <row r="117" spans="1:29" ht="16.5" x14ac:dyDescent="0.15">
      <c r="A117">
        <f t="shared" si="11"/>
        <v>1102701</v>
      </c>
      <c r="B117" s="28" t="s">
        <v>663</v>
      </c>
      <c r="C117" s="35">
        <f t="shared" si="18"/>
        <v>11027</v>
      </c>
      <c r="D117" s="24">
        <v>10530</v>
      </c>
      <c r="E117" s="38" t="str">
        <f t="shared" si="16"/>
        <v>10530,10470,10410</v>
      </c>
      <c r="F117" s="39" t="s">
        <v>1401</v>
      </c>
      <c r="G117" s="39">
        <v>2</v>
      </c>
      <c r="H117" s="24" t="s">
        <v>1397</v>
      </c>
      <c r="I117" s="24" t="s">
        <v>1399</v>
      </c>
      <c r="J117" s="24" t="str">
        <f t="shared" si="17"/>
        <v>[2,[10530,10470,10410]]</v>
      </c>
      <c r="K117" s="42">
        <f t="shared" si="13"/>
        <v>1</v>
      </c>
      <c r="L117" s="39" t="s">
        <v>1401</v>
      </c>
      <c r="M117" s="39">
        <v>3</v>
      </c>
      <c r="N117" s="24" t="s">
        <v>1397</v>
      </c>
      <c r="O117" s="24" t="s">
        <v>1399</v>
      </c>
      <c r="P117" s="24">
        <v>4</v>
      </c>
      <c r="Q117" s="24" t="str">
        <f t="shared" si="14"/>
        <v>[[3,[4]],[2,[10530,10470,10410]]]</v>
      </c>
      <c r="R117" s="24" t="s">
        <v>1397</v>
      </c>
      <c r="S117" s="24" t="s">
        <v>1399</v>
      </c>
      <c r="T117" s="24"/>
      <c r="U117" s="24"/>
      <c r="AA117">
        <v>11004</v>
      </c>
      <c r="AB117" t="s">
        <v>773</v>
      </c>
      <c r="AC117">
        <v>11004</v>
      </c>
    </row>
    <row r="118" spans="1:29" ht="16.5" x14ac:dyDescent="0.15">
      <c r="A118">
        <f t="shared" si="11"/>
        <v>1102701</v>
      </c>
      <c r="B118" s="28" t="s">
        <v>663</v>
      </c>
      <c r="C118" s="35">
        <f t="shared" si="18"/>
        <v>11027</v>
      </c>
      <c r="D118" s="24">
        <v>10590</v>
      </c>
      <c r="E118" s="38" t="str">
        <f t="shared" si="16"/>
        <v>10590,10530,10470,10410</v>
      </c>
      <c r="F118" s="39" t="s">
        <v>1401</v>
      </c>
      <c r="G118" s="39">
        <v>2</v>
      </c>
      <c r="H118" s="24" t="s">
        <v>1397</v>
      </c>
      <c r="I118" s="24" t="s">
        <v>1399</v>
      </c>
      <c r="J118" s="24" t="str">
        <f t="shared" si="17"/>
        <v>[2,[10590,10530,10470,10410]]</v>
      </c>
      <c r="K118" s="42">
        <f t="shared" si="13"/>
        <v>1</v>
      </c>
      <c r="L118" s="39" t="s">
        <v>1401</v>
      </c>
      <c r="M118" s="39">
        <v>3</v>
      </c>
      <c r="N118" s="24" t="s">
        <v>1397</v>
      </c>
      <c r="O118" s="24" t="s">
        <v>1399</v>
      </c>
      <c r="P118" s="24">
        <v>4</v>
      </c>
      <c r="Q118" s="24" t="str">
        <f t="shared" si="14"/>
        <v>[[3,[4]],[2,[10590,10530,10470,10410]]]</v>
      </c>
      <c r="R118" s="24" t="s">
        <v>1397</v>
      </c>
      <c r="S118" s="24" t="s">
        <v>1399</v>
      </c>
      <c r="T118" s="24"/>
      <c r="U118" s="24"/>
      <c r="AA118">
        <v>11005</v>
      </c>
      <c r="AB118" t="s">
        <v>646</v>
      </c>
      <c r="AC118">
        <v>11005</v>
      </c>
    </row>
    <row r="119" spans="1:29" ht="16.5" x14ac:dyDescent="0.15">
      <c r="A119">
        <f t="shared" si="11"/>
        <v>1102701</v>
      </c>
      <c r="B119" s="28" t="s">
        <v>663</v>
      </c>
      <c r="C119" s="35">
        <f t="shared" si="18"/>
        <v>11027</v>
      </c>
      <c r="D119" s="24">
        <v>10650</v>
      </c>
      <c r="E119" s="38" t="str">
        <f t="shared" si="16"/>
        <v>10650,10590,10530,10470,10410</v>
      </c>
      <c r="F119" s="39" t="s">
        <v>1401</v>
      </c>
      <c r="G119" s="39">
        <v>2</v>
      </c>
      <c r="H119" s="24" t="s">
        <v>1397</v>
      </c>
      <c r="I119" s="24" t="s">
        <v>1399</v>
      </c>
      <c r="J119" s="24" t="str">
        <f t="shared" si="17"/>
        <v>[2,[10650,10590,10530,10470,10410]]</v>
      </c>
      <c r="K119" s="42">
        <f t="shared" si="13"/>
        <v>1</v>
      </c>
      <c r="L119" s="39" t="s">
        <v>1401</v>
      </c>
      <c r="M119" s="39">
        <v>3</v>
      </c>
      <c r="N119" s="24" t="s">
        <v>1397</v>
      </c>
      <c r="O119" s="24" t="s">
        <v>1399</v>
      </c>
      <c r="P119" s="24">
        <v>4</v>
      </c>
      <c r="Q119" s="24" t="str">
        <f t="shared" si="14"/>
        <v>[[3,[4]],[2,[10650,10590,10530,10470,10410]]]</v>
      </c>
      <c r="R119" s="24" t="s">
        <v>1397</v>
      </c>
      <c r="S119" s="24" t="s">
        <v>1399</v>
      </c>
      <c r="T119" s="24"/>
      <c r="U119" s="24"/>
      <c r="AA119">
        <v>11006</v>
      </c>
      <c r="AB119" t="s">
        <v>647</v>
      </c>
      <c r="AC119">
        <v>11006</v>
      </c>
    </row>
    <row r="120" spans="1:29" ht="16.5" x14ac:dyDescent="0.15">
      <c r="A120">
        <f t="shared" si="11"/>
        <v>1102701</v>
      </c>
      <c r="B120" s="28" t="s">
        <v>663</v>
      </c>
      <c r="C120" s="35">
        <f t="shared" si="18"/>
        <v>11027</v>
      </c>
      <c r="D120" s="24">
        <v>10710</v>
      </c>
      <c r="E120" s="38" t="str">
        <f t="shared" si="16"/>
        <v>10710,10650,10590,10530,10470,10410</v>
      </c>
      <c r="F120" s="39" t="s">
        <v>1401</v>
      </c>
      <c r="G120" s="39">
        <v>2</v>
      </c>
      <c r="H120" s="24" t="s">
        <v>1397</v>
      </c>
      <c r="I120" s="24" t="s">
        <v>1399</v>
      </c>
      <c r="J120" s="24" t="str">
        <f t="shared" si="17"/>
        <v>[2,[10710,10650,10590,10530,10470,10410]]</v>
      </c>
      <c r="K120" s="42">
        <f t="shared" si="13"/>
        <v>1</v>
      </c>
      <c r="L120" s="39" t="s">
        <v>1401</v>
      </c>
      <c r="M120" s="39">
        <v>3</v>
      </c>
      <c r="N120" s="24" t="s">
        <v>1397</v>
      </c>
      <c r="O120" s="24" t="s">
        <v>1399</v>
      </c>
      <c r="P120" s="24">
        <v>4</v>
      </c>
      <c r="Q120" s="24" t="str">
        <f t="shared" si="14"/>
        <v>[[3,[4]],[2,[10710,10650,10590,10530,10470,10410]]]</v>
      </c>
      <c r="R120" s="24" t="s">
        <v>1397</v>
      </c>
      <c r="S120" s="24" t="s">
        <v>1399</v>
      </c>
      <c r="T120" s="24"/>
      <c r="U120" s="24"/>
      <c r="AA120">
        <v>11007</v>
      </c>
      <c r="AB120" t="s">
        <v>648</v>
      </c>
      <c r="AC120">
        <v>11007</v>
      </c>
    </row>
    <row r="121" spans="1:29" ht="16.5" x14ac:dyDescent="0.15">
      <c r="A121">
        <f t="shared" si="11"/>
        <v>1102701</v>
      </c>
      <c r="B121" s="28" t="s">
        <v>663</v>
      </c>
      <c r="C121" s="35">
        <f t="shared" si="18"/>
        <v>11027</v>
      </c>
      <c r="D121" s="24">
        <v>10770</v>
      </c>
      <c r="E121" s="38" t="str">
        <f t="shared" si="16"/>
        <v>10770,10710,10650,10590,10530,10470,10410</v>
      </c>
      <c r="F121" s="39" t="s">
        <v>1401</v>
      </c>
      <c r="G121" s="39">
        <v>2</v>
      </c>
      <c r="H121" s="24" t="s">
        <v>1397</v>
      </c>
      <c r="I121" s="24" t="s">
        <v>1399</v>
      </c>
      <c r="J121" s="24" t="str">
        <f t="shared" si="17"/>
        <v>[2,[10770,10710,10650,10590,10530,10470,10410]]</v>
      </c>
      <c r="K121" s="42">
        <f t="shared" si="13"/>
        <v>1</v>
      </c>
      <c r="L121" s="39" t="s">
        <v>1401</v>
      </c>
      <c r="M121" s="39">
        <v>3</v>
      </c>
      <c r="N121" s="24" t="s">
        <v>1397</v>
      </c>
      <c r="O121" s="24" t="s">
        <v>1399</v>
      </c>
      <c r="P121" s="24">
        <v>4</v>
      </c>
      <c r="Q121" s="24" t="str">
        <f t="shared" si="14"/>
        <v>[[3,[4]],[2,[10770,10710,10650,10590,10530,10470,10410]]]</v>
      </c>
      <c r="R121" s="24" t="s">
        <v>1397</v>
      </c>
      <c r="S121" s="24" t="s">
        <v>1399</v>
      </c>
      <c r="T121" s="24"/>
      <c r="U121" s="24"/>
      <c r="AA121">
        <v>11008</v>
      </c>
      <c r="AB121" t="s">
        <v>774</v>
      </c>
      <c r="AC121">
        <v>11008</v>
      </c>
    </row>
    <row r="122" spans="1:29" ht="16.5" x14ac:dyDescent="0.15">
      <c r="A122">
        <f t="shared" si="11"/>
        <v>1102701</v>
      </c>
      <c r="B122" s="28" t="s">
        <v>663</v>
      </c>
      <c r="C122" s="35">
        <f t="shared" si="18"/>
        <v>11027</v>
      </c>
      <c r="D122" s="24">
        <v>10830</v>
      </c>
      <c r="E122" s="38" t="str">
        <f t="shared" si="16"/>
        <v>10830,10770,10710,10650,10590,10530,10470,10410</v>
      </c>
      <c r="F122" s="39" t="s">
        <v>1401</v>
      </c>
      <c r="G122" s="39">
        <v>2</v>
      </c>
      <c r="H122" s="24" t="s">
        <v>1397</v>
      </c>
      <c r="I122" s="24" t="s">
        <v>1399</v>
      </c>
      <c r="J122" s="24" t="str">
        <f t="shared" si="17"/>
        <v>[2,[10830,10770,10710,10650,10590,10530,10470,10410]]</v>
      </c>
      <c r="K122" s="42">
        <f t="shared" si="13"/>
        <v>1</v>
      </c>
      <c r="L122" s="39" t="s">
        <v>1401</v>
      </c>
      <c r="M122" s="39">
        <v>3</v>
      </c>
      <c r="N122" s="24" t="s">
        <v>1397</v>
      </c>
      <c r="O122" s="24" t="s">
        <v>1399</v>
      </c>
      <c r="P122" s="24">
        <v>4</v>
      </c>
      <c r="Q122" s="24" t="str">
        <f t="shared" si="14"/>
        <v>[[3,[4]],[2,[10830,10770,10710,10650,10590,10530,10470,10410]]]</v>
      </c>
      <c r="R122" s="24" t="s">
        <v>1397</v>
      </c>
      <c r="S122" s="24" t="s">
        <v>1399</v>
      </c>
      <c r="T122" s="24"/>
      <c r="U122" s="24"/>
      <c r="AA122">
        <v>11009</v>
      </c>
      <c r="AB122" t="s">
        <v>649</v>
      </c>
      <c r="AC122">
        <v>11009</v>
      </c>
    </row>
    <row r="123" spans="1:29" ht="16.5" x14ac:dyDescent="0.15">
      <c r="A123">
        <f t="shared" si="11"/>
        <v>1102702</v>
      </c>
      <c r="B123" s="28" t="s">
        <v>663</v>
      </c>
      <c r="C123" s="35">
        <f t="shared" si="18"/>
        <v>11027</v>
      </c>
      <c r="D123" s="24">
        <v>10890</v>
      </c>
      <c r="E123" s="38" t="str">
        <f t="shared" si="16"/>
        <v>10890,10830,10770,10710,10650,10590,10530,10470,10410</v>
      </c>
      <c r="F123" s="39" t="s">
        <v>1401</v>
      </c>
      <c r="G123" s="39">
        <v>2</v>
      </c>
      <c r="H123" s="24" t="s">
        <v>1397</v>
      </c>
      <c r="I123" s="24" t="s">
        <v>1399</v>
      </c>
      <c r="J123" s="24" t="str">
        <f t="shared" si="17"/>
        <v>[2,[10890,10830,10770,10710,10650,10590,10530,10470,10410]]</v>
      </c>
      <c r="K123" s="42">
        <f t="shared" si="13"/>
        <v>2</v>
      </c>
      <c r="L123" s="39" t="s">
        <v>1401</v>
      </c>
      <c r="M123" s="39">
        <v>3</v>
      </c>
      <c r="N123" s="24" t="s">
        <v>1397</v>
      </c>
      <c r="O123" s="24" t="s">
        <v>1399</v>
      </c>
      <c r="P123" s="24">
        <v>4</v>
      </c>
      <c r="Q123" s="24" t="str">
        <f t="shared" si="14"/>
        <v>[[3,[4]],[2,[10890,10830,10770,10710,10650,10590,10530,10470,10410]]]</v>
      </c>
      <c r="R123" s="24" t="s">
        <v>1397</v>
      </c>
      <c r="S123" s="24" t="s">
        <v>1399</v>
      </c>
      <c r="T123" s="24"/>
      <c r="U123" s="24"/>
      <c r="AA123">
        <v>11010</v>
      </c>
      <c r="AB123" t="s">
        <v>650</v>
      </c>
      <c r="AC123">
        <v>11010</v>
      </c>
    </row>
    <row r="124" spans="1:29" ht="16.5" x14ac:dyDescent="0.15">
      <c r="A124">
        <f t="shared" si="11"/>
        <v>1102601</v>
      </c>
      <c r="B124" s="28" t="s">
        <v>662</v>
      </c>
      <c r="C124" s="35">
        <f t="shared" si="18"/>
        <v>11026</v>
      </c>
      <c r="D124" s="24">
        <v>10420</v>
      </c>
      <c r="E124" s="38">
        <f t="shared" si="16"/>
        <v>10420</v>
      </c>
      <c r="F124" s="39" t="s">
        <v>1401</v>
      </c>
      <c r="G124" s="39">
        <v>2</v>
      </c>
      <c r="H124" s="24" t="s">
        <v>1397</v>
      </c>
      <c r="I124" s="24" t="s">
        <v>1399</v>
      </c>
      <c r="J124" s="24" t="str">
        <f t="shared" si="17"/>
        <v>[2,[10420]]</v>
      </c>
      <c r="K124" s="42">
        <f t="shared" si="13"/>
        <v>1</v>
      </c>
      <c r="L124" s="39" t="s">
        <v>1401</v>
      </c>
      <c r="M124" s="39">
        <v>3</v>
      </c>
      <c r="N124" s="24" t="s">
        <v>1397</v>
      </c>
      <c r="O124" s="24" t="s">
        <v>1399</v>
      </c>
      <c r="P124" s="24">
        <v>4</v>
      </c>
      <c r="Q124" s="24" t="str">
        <f t="shared" si="14"/>
        <v>[[3,[4]],[2,[10420]]]</v>
      </c>
      <c r="R124" s="24" t="s">
        <v>1397</v>
      </c>
      <c r="S124" s="24" t="s">
        <v>1399</v>
      </c>
      <c r="T124" s="24"/>
      <c r="U124" s="24"/>
      <c r="AA124">
        <v>11011</v>
      </c>
      <c r="AB124" t="s">
        <v>651</v>
      </c>
      <c r="AC124">
        <v>11011</v>
      </c>
    </row>
    <row r="125" spans="1:29" ht="16.5" x14ac:dyDescent="0.15">
      <c r="A125">
        <f t="shared" si="11"/>
        <v>1102601</v>
      </c>
      <c r="B125" s="28" t="s">
        <v>662</v>
      </c>
      <c r="C125" s="35">
        <f t="shared" si="18"/>
        <v>11026</v>
      </c>
      <c r="D125" s="24">
        <v>10480</v>
      </c>
      <c r="E125" s="38" t="str">
        <f t="shared" si="16"/>
        <v>10480,10420</v>
      </c>
      <c r="F125" s="39" t="s">
        <v>1401</v>
      </c>
      <c r="G125" s="39">
        <v>2</v>
      </c>
      <c r="H125" s="24" t="s">
        <v>1397</v>
      </c>
      <c r="I125" s="24" t="s">
        <v>1399</v>
      </c>
      <c r="J125" s="24" t="str">
        <f t="shared" si="17"/>
        <v>[2,[10480,10420]]</v>
      </c>
      <c r="K125" s="42">
        <f t="shared" si="13"/>
        <v>1</v>
      </c>
      <c r="L125" s="39" t="s">
        <v>1401</v>
      </c>
      <c r="M125" s="39">
        <v>3</v>
      </c>
      <c r="N125" s="24" t="s">
        <v>1397</v>
      </c>
      <c r="O125" s="24" t="s">
        <v>1399</v>
      </c>
      <c r="P125" s="24">
        <v>4</v>
      </c>
      <c r="Q125" s="24" t="str">
        <f t="shared" si="14"/>
        <v>[[3,[4]],[2,[10480,10420]]]</v>
      </c>
      <c r="R125" s="24" t="s">
        <v>1397</v>
      </c>
      <c r="S125" s="24" t="s">
        <v>1399</v>
      </c>
      <c r="T125" s="24"/>
      <c r="U125" s="24"/>
      <c r="AA125">
        <v>11012</v>
      </c>
      <c r="AB125" t="s">
        <v>775</v>
      </c>
      <c r="AC125">
        <v>11012</v>
      </c>
    </row>
    <row r="126" spans="1:29" ht="16.5" x14ac:dyDescent="0.15">
      <c r="A126">
        <f t="shared" si="11"/>
        <v>1102601</v>
      </c>
      <c r="B126" s="28" t="s">
        <v>662</v>
      </c>
      <c r="C126" s="35">
        <f t="shared" si="18"/>
        <v>11026</v>
      </c>
      <c r="D126" s="24">
        <v>10540</v>
      </c>
      <c r="E126" s="38" t="str">
        <f t="shared" si="16"/>
        <v>10540,10480,10420</v>
      </c>
      <c r="F126" s="39" t="s">
        <v>1401</v>
      </c>
      <c r="G126" s="39">
        <v>2</v>
      </c>
      <c r="H126" s="24" t="s">
        <v>1397</v>
      </c>
      <c r="I126" s="24" t="s">
        <v>1399</v>
      </c>
      <c r="J126" s="24" t="str">
        <f t="shared" si="17"/>
        <v>[2,[10540,10480,10420]]</v>
      </c>
      <c r="K126" s="42">
        <f t="shared" si="13"/>
        <v>1</v>
      </c>
      <c r="L126" s="39" t="s">
        <v>1401</v>
      </c>
      <c r="M126" s="39">
        <v>3</v>
      </c>
      <c r="N126" s="24" t="s">
        <v>1397</v>
      </c>
      <c r="O126" s="24" t="s">
        <v>1399</v>
      </c>
      <c r="P126" s="24">
        <v>4</v>
      </c>
      <c r="Q126" s="24" t="str">
        <f t="shared" si="14"/>
        <v>[[3,[4]],[2,[10540,10480,10420]]]</v>
      </c>
      <c r="R126" s="24" t="s">
        <v>1397</v>
      </c>
      <c r="S126" s="24" t="s">
        <v>1399</v>
      </c>
      <c r="T126" s="24"/>
      <c r="U126" s="24"/>
      <c r="AA126">
        <v>11013</v>
      </c>
      <c r="AB126" t="s">
        <v>652</v>
      </c>
      <c r="AC126">
        <v>11013</v>
      </c>
    </row>
    <row r="127" spans="1:29" ht="16.5" x14ac:dyDescent="0.15">
      <c r="A127">
        <f t="shared" si="11"/>
        <v>1102601</v>
      </c>
      <c r="B127" s="28" t="s">
        <v>662</v>
      </c>
      <c r="C127" s="35">
        <f t="shared" si="18"/>
        <v>11026</v>
      </c>
      <c r="D127" s="24">
        <v>10600</v>
      </c>
      <c r="E127" s="38" t="str">
        <f t="shared" si="16"/>
        <v>10600,10540,10480,10420</v>
      </c>
      <c r="F127" s="39" t="s">
        <v>1401</v>
      </c>
      <c r="G127" s="39">
        <v>2</v>
      </c>
      <c r="H127" s="24" t="s">
        <v>1397</v>
      </c>
      <c r="I127" s="24" t="s">
        <v>1399</v>
      </c>
      <c r="J127" s="24" t="str">
        <f t="shared" si="17"/>
        <v>[2,[10600,10540,10480,10420]]</v>
      </c>
      <c r="K127" s="42">
        <f t="shared" si="13"/>
        <v>1</v>
      </c>
      <c r="L127" s="39" t="s">
        <v>1401</v>
      </c>
      <c r="M127" s="39">
        <v>3</v>
      </c>
      <c r="N127" s="24" t="s">
        <v>1397</v>
      </c>
      <c r="O127" s="24" t="s">
        <v>1399</v>
      </c>
      <c r="P127" s="24">
        <v>4</v>
      </c>
      <c r="Q127" s="24" t="str">
        <f t="shared" si="14"/>
        <v>[[3,[4]],[2,[10600,10540,10480,10420]]]</v>
      </c>
      <c r="R127" s="24" t="s">
        <v>1397</v>
      </c>
      <c r="S127" s="24" t="s">
        <v>1399</v>
      </c>
      <c r="T127" s="24"/>
      <c r="U127" s="24"/>
      <c r="AA127">
        <v>11014</v>
      </c>
      <c r="AB127" t="s">
        <v>653</v>
      </c>
      <c r="AC127">
        <v>11014</v>
      </c>
    </row>
    <row r="128" spans="1:29" ht="16.5" x14ac:dyDescent="0.15">
      <c r="A128">
        <f t="shared" si="11"/>
        <v>1102601</v>
      </c>
      <c r="B128" s="28" t="s">
        <v>662</v>
      </c>
      <c r="C128" s="35">
        <f t="shared" si="18"/>
        <v>11026</v>
      </c>
      <c r="D128" s="24">
        <v>10660</v>
      </c>
      <c r="E128" s="38" t="str">
        <f t="shared" si="16"/>
        <v>10660,10600,10540,10480,10420</v>
      </c>
      <c r="F128" s="39" t="s">
        <v>1401</v>
      </c>
      <c r="G128" s="39">
        <v>2</v>
      </c>
      <c r="H128" s="24" t="s">
        <v>1397</v>
      </c>
      <c r="I128" s="24" t="s">
        <v>1399</v>
      </c>
      <c r="J128" s="24" t="str">
        <f t="shared" si="17"/>
        <v>[2,[10660,10600,10540,10480,10420]]</v>
      </c>
      <c r="K128" s="42">
        <f t="shared" si="13"/>
        <v>1</v>
      </c>
      <c r="L128" s="39" t="s">
        <v>1401</v>
      </c>
      <c r="M128" s="39">
        <v>3</v>
      </c>
      <c r="N128" s="24" t="s">
        <v>1397</v>
      </c>
      <c r="O128" s="24" t="s">
        <v>1399</v>
      </c>
      <c r="P128" s="24">
        <v>4</v>
      </c>
      <c r="Q128" s="24" t="str">
        <f t="shared" si="14"/>
        <v>[[3,[4]],[2,[10660,10600,10540,10480,10420]]]</v>
      </c>
      <c r="R128" s="24" t="s">
        <v>1397</v>
      </c>
      <c r="S128" s="24" t="s">
        <v>1399</v>
      </c>
      <c r="T128" s="24"/>
      <c r="U128" s="24"/>
      <c r="AA128">
        <v>11015</v>
      </c>
      <c r="AB128" t="s">
        <v>654</v>
      </c>
      <c r="AC128">
        <v>11015</v>
      </c>
    </row>
    <row r="129" spans="1:29" ht="16.5" x14ac:dyDescent="0.15">
      <c r="A129">
        <f t="shared" si="11"/>
        <v>1102601</v>
      </c>
      <c r="B129" s="28" t="s">
        <v>662</v>
      </c>
      <c r="C129" s="35">
        <f t="shared" ref="C129:C160" si="19">VLOOKUP(B129,AB:AC,2,FALSE)</f>
        <v>11026</v>
      </c>
      <c r="D129" s="24">
        <v>10720</v>
      </c>
      <c r="E129" s="38" t="str">
        <f t="shared" si="16"/>
        <v>10720,10660,10600,10540,10480,10420</v>
      </c>
      <c r="F129" s="39" t="s">
        <v>1401</v>
      </c>
      <c r="G129" s="39">
        <v>2</v>
      </c>
      <c r="H129" s="24" t="s">
        <v>1397</v>
      </c>
      <c r="I129" s="24" t="s">
        <v>1399</v>
      </c>
      <c r="J129" s="24" t="str">
        <f t="shared" si="17"/>
        <v>[2,[10720,10660,10600,10540,10480,10420]]</v>
      </c>
      <c r="K129" s="42">
        <f t="shared" si="13"/>
        <v>1</v>
      </c>
      <c r="L129" s="39" t="s">
        <v>1401</v>
      </c>
      <c r="M129" s="39">
        <v>3</v>
      </c>
      <c r="N129" s="24" t="s">
        <v>1397</v>
      </c>
      <c r="O129" s="24" t="s">
        <v>1399</v>
      </c>
      <c r="P129" s="24">
        <v>4</v>
      </c>
      <c r="Q129" s="24" t="str">
        <f t="shared" si="14"/>
        <v>[[3,[4]],[2,[10720,10660,10600,10540,10480,10420]]]</v>
      </c>
      <c r="R129" s="24" t="s">
        <v>1397</v>
      </c>
      <c r="S129" s="24" t="s">
        <v>1399</v>
      </c>
      <c r="T129" s="24"/>
      <c r="U129" s="24"/>
      <c r="AA129">
        <v>11016</v>
      </c>
      <c r="AB129" t="s">
        <v>776</v>
      </c>
      <c r="AC129">
        <v>11016</v>
      </c>
    </row>
    <row r="130" spans="1:29" ht="16.5" x14ac:dyDescent="0.15">
      <c r="A130">
        <f t="shared" si="11"/>
        <v>1102601</v>
      </c>
      <c r="B130" s="28" t="s">
        <v>662</v>
      </c>
      <c r="C130" s="35">
        <f t="shared" si="19"/>
        <v>11026</v>
      </c>
      <c r="D130" s="24">
        <v>10780</v>
      </c>
      <c r="E130" s="38" t="str">
        <f t="shared" si="16"/>
        <v>10780,10720,10660,10600,10540,10480,10420</v>
      </c>
      <c r="F130" s="39" t="s">
        <v>1401</v>
      </c>
      <c r="G130" s="39">
        <v>2</v>
      </c>
      <c r="H130" s="24" t="s">
        <v>1397</v>
      </c>
      <c r="I130" s="24" t="s">
        <v>1399</v>
      </c>
      <c r="J130" s="24" t="str">
        <f t="shared" si="17"/>
        <v>[2,[10780,10720,10660,10600,10540,10480,10420]]</v>
      </c>
      <c r="K130" s="42">
        <f t="shared" si="13"/>
        <v>1</v>
      </c>
      <c r="L130" s="39" t="s">
        <v>1401</v>
      </c>
      <c r="M130" s="39">
        <v>3</v>
      </c>
      <c r="N130" s="24" t="s">
        <v>1397</v>
      </c>
      <c r="O130" s="24" t="s">
        <v>1399</v>
      </c>
      <c r="P130" s="24">
        <v>4</v>
      </c>
      <c r="Q130" s="24" t="str">
        <f t="shared" si="14"/>
        <v>[[3,[4]],[2,[10780,10720,10660,10600,10540,10480,10420]]]</v>
      </c>
      <c r="R130" s="24" t="s">
        <v>1397</v>
      </c>
      <c r="S130" s="24" t="s">
        <v>1399</v>
      </c>
      <c r="T130" s="24"/>
      <c r="U130" s="24"/>
      <c r="AA130">
        <v>11017</v>
      </c>
      <c r="AB130" t="s">
        <v>655</v>
      </c>
      <c r="AC130">
        <v>11017</v>
      </c>
    </row>
    <row r="131" spans="1:29" ht="16.5" x14ac:dyDescent="0.15">
      <c r="A131">
        <f t="shared" si="11"/>
        <v>1102602</v>
      </c>
      <c r="B131" s="28" t="s">
        <v>662</v>
      </c>
      <c r="C131" s="35">
        <f t="shared" si="19"/>
        <v>11026</v>
      </c>
      <c r="D131" s="24">
        <v>10840</v>
      </c>
      <c r="E131" s="38" t="str">
        <f t="shared" si="16"/>
        <v>10840,10780,10720,10660,10600,10540,10480,10420</v>
      </c>
      <c r="F131" s="39" t="s">
        <v>1401</v>
      </c>
      <c r="G131" s="39">
        <v>2</v>
      </c>
      <c r="H131" s="24" t="s">
        <v>1397</v>
      </c>
      <c r="I131" s="24" t="s">
        <v>1399</v>
      </c>
      <c r="J131" s="24" t="str">
        <f t="shared" si="17"/>
        <v>[2,[10840,10780,10720,10660,10600,10540,10480,10420]]</v>
      </c>
      <c r="K131" s="42">
        <f t="shared" si="13"/>
        <v>2</v>
      </c>
      <c r="L131" s="39" t="s">
        <v>1401</v>
      </c>
      <c r="M131" s="39">
        <v>3</v>
      </c>
      <c r="N131" s="24" t="s">
        <v>1397</v>
      </c>
      <c r="O131" s="24" t="s">
        <v>1399</v>
      </c>
      <c r="P131" s="24">
        <v>4</v>
      </c>
      <c r="Q131" s="24" t="str">
        <f t="shared" si="14"/>
        <v>[[3,[4]],[2,[10840,10780,10720,10660,10600,10540,10480,10420]]]</v>
      </c>
      <c r="R131" s="24" t="s">
        <v>1397</v>
      </c>
      <c r="S131" s="24" t="s">
        <v>1399</v>
      </c>
      <c r="T131" s="24"/>
      <c r="U131" s="24"/>
      <c r="AA131">
        <v>11018</v>
      </c>
      <c r="AB131" t="s">
        <v>656</v>
      </c>
      <c r="AC131">
        <v>11018</v>
      </c>
    </row>
    <row r="132" spans="1:29" ht="16.5" x14ac:dyDescent="0.15">
      <c r="A132">
        <f t="shared" si="11"/>
        <v>1101101</v>
      </c>
      <c r="B132" s="30" t="s">
        <v>651</v>
      </c>
      <c r="C132" s="35">
        <f t="shared" si="19"/>
        <v>11011</v>
      </c>
      <c r="D132" s="24">
        <v>10090</v>
      </c>
      <c r="E132" s="38">
        <f t="shared" si="16"/>
        <v>10090</v>
      </c>
      <c r="F132" s="39" t="s">
        <v>1401</v>
      </c>
      <c r="G132" s="39">
        <v>2</v>
      </c>
      <c r="H132" s="24" t="s">
        <v>1397</v>
      </c>
      <c r="I132" s="24" t="s">
        <v>1399</v>
      </c>
      <c r="J132" s="24" t="str">
        <f t="shared" si="17"/>
        <v>[2,[10090]]</v>
      </c>
      <c r="K132" s="42">
        <f t="shared" si="13"/>
        <v>1</v>
      </c>
      <c r="L132" s="39" t="s">
        <v>1401</v>
      </c>
      <c r="M132" s="39">
        <v>3</v>
      </c>
      <c r="N132" s="24" t="s">
        <v>1397</v>
      </c>
      <c r="O132" s="24" t="s">
        <v>1399</v>
      </c>
      <c r="P132" s="24">
        <v>4</v>
      </c>
      <c r="Q132" s="24" t="str">
        <f t="shared" si="14"/>
        <v>[[3,[4]],[2,[10090]]]</v>
      </c>
      <c r="R132" s="24" t="s">
        <v>1397</v>
      </c>
      <c r="S132" s="24" t="s">
        <v>1399</v>
      </c>
      <c r="T132" s="24"/>
      <c r="U132" s="24"/>
      <c r="AA132">
        <v>11019</v>
      </c>
      <c r="AB132" t="s">
        <v>657</v>
      </c>
      <c r="AC132">
        <v>11019</v>
      </c>
    </row>
    <row r="133" spans="1:29" ht="16.5" x14ac:dyDescent="0.15">
      <c r="A133">
        <f t="shared" si="11"/>
        <v>1101102</v>
      </c>
      <c r="B133" s="30" t="s">
        <v>651</v>
      </c>
      <c r="C133" s="35">
        <f t="shared" si="19"/>
        <v>11011</v>
      </c>
      <c r="D133" s="24">
        <v>10150</v>
      </c>
      <c r="E133" s="38" t="str">
        <f t="shared" si="16"/>
        <v>10150,10090</v>
      </c>
      <c r="F133" s="39" t="s">
        <v>1401</v>
      </c>
      <c r="G133" s="39">
        <v>2</v>
      </c>
      <c r="H133" s="24" t="s">
        <v>1397</v>
      </c>
      <c r="I133" s="24" t="s">
        <v>1399</v>
      </c>
      <c r="J133" s="24" t="str">
        <f t="shared" si="17"/>
        <v>[2,[10150,10090]]</v>
      </c>
      <c r="K133" s="42">
        <f t="shared" si="13"/>
        <v>2</v>
      </c>
      <c r="L133" s="39" t="s">
        <v>1401</v>
      </c>
      <c r="M133" s="39">
        <v>3</v>
      </c>
      <c r="N133" s="24" t="s">
        <v>1397</v>
      </c>
      <c r="O133" s="24" t="s">
        <v>1399</v>
      </c>
      <c r="P133" s="24">
        <v>4</v>
      </c>
      <c r="Q133" s="24" t="str">
        <f t="shared" si="14"/>
        <v>[[3,[4]],[2,[10150,10090]]]</v>
      </c>
      <c r="R133" s="24" t="s">
        <v>1397</v>
      </c>
      <c r="S133" s="24" t="s">
        <v>1399</v>
      </c>
      <c r="T133" s="24"/>
      <c r="U133" s="24"/>
      <c r="AA133">
        <v>11020</v>
      </c>
      <c r="AB133" t="s">
        <v>777</v>
      </c>
      <c r="AC133">
        <v>11020</v>
      </c>
    </row>
    <row r="134" spans="1:29" ht="16.5" x14ac:dyDescent="0.15">
      <c r="A134">
        <f t="shared" si="11"/>
        <v>1101001</v>
      </c>
      <c r="B134" s="30" t="s">
        <v>650</v>
      </c>
      <c r="C134" s="35">
        <f t="shared" si="19"/>
        <v>11010</v>
      </c>
      <c r="D134" s="24">
        <v>10100</v>
      </c>
      <c r="E134" s="38">
        <f t="shared" si="16"/>
        <v>10100</v>
      </c>
      <c r="F134" s="39" t="s">
        <v>1401</v>
      </c>
      <c r="G134" s="39">
        <v>2</v>
      </c>
      <c r="H134" s="24" t="s">
        <v>1397</v>
      </c>
      <c r="I134" s="24" t="s">
        <v>1399</v>
      </c>
      <c r="J134" s="24" t="str">
        <f t="shared" si="17"/>
        <v>[2,[10100]]</v>
      </c>
      <c r="K134" s="42">
        <f t="shared" si="13"/>
        <v>1</v>
      </c>
      <c r="L134" s="39" t="s">
        <v>1401</v>
      </c>
      <c r="M134" s="39">
        <v>3</v>
      </c>
      <c r="N134" s="24" t="s">
        <v>1397</v>
      </c>
      <c r="O134" s="24" t="s">
        <v>1399</v>
      </c>
      <c r="P134" s="24">
        <v>4</v>
      </c>
      <c r="Q134" s="24" t="str">
        <f t="shared" si="14"/>
        <v>[[3,[4]],[2,[10100]]]</v>
      </c>
      <c r="R134" s="24" t="s">
        <v>1397</v>
      </c>
      <c r="S134" s="24" t="s">
        <v>1399</v>
      </c>
      <c r="T134" s="24"/>
      <c r="U134" s="24"/>
      <c r="AA134">
        <v>11021</v>
      </c>
      <c r="AB134" t="s">
        <v>658</v>
      </c>
      <c r="AC134">
        <v>11021</v>
      </c>
    </row>
    <row r="135" spans="1:29" ht="16.5" x14ac:dyDescent="0.15">
      <c r="A135">
        <f t="shared" si="11"/>
        <v>1101002</v>
      </c>
      <c r="B135" s="30" t="s">
        <v>650</v>
      </c>
      <c r="C135" s="35">
        <f t="shared" si="19"/>
        <v>11010</v>
      </c>
      <c r="D135" s="24">
        <v>10160</v>
      </c>
      <c r="E135" s="38" t="str">
        <f t="shared" si="16"/>
        <v>10160,10100</v>
      </c>
      <c r="F135" s="39" t="s">
        <v>1401</v>
      </c>
      <c r="G135" s="39">
        <v>2</v>
      </c>
      <c r="H135" s="24" t="s">
        <v>1397</v>
      </c>
      <c r="I135" s="24" t="s">
        <v>1399</v>
      </c>
      <c r="J135" s="24" t="str">
        <f t="shared" si="17"/>
        <v>[2,[10160,10100]]</v>
      </c>
      <c r="K135" s="42">
        <f t="shared" si="13"/>
        <v>2</v>
      </c>
      <c r="L135" s="39" t="s">
        <v>1401</v>
      </c>
      <c r="M135" s="39">
        <v>3</v>
      </c>
      <c r="N135" s="24" t="s">
        <v>1397</v>
      </c>
      <c r="O135" s="24" t="s">
        <v>1399</v>
      </c>
      <c r="P135" s="24">
        <v>4</v>
      </c>
      <c r="Q135" s="24" t="str">
        <f t="shared" si="14"/>
        <v>[[3,[4]],[2,[10160,10100]]]</v>
      </c>
      <c r="R135" s="24" t="s">
        <v>1397</v>
      </c>
      <c r="S135" s="24" t="s">
        <v>1399</v>
      </c>
      <c r="T135" s="24"/>
      <c r="U135" s="24"/>
      <c r="AA135">
        <v>11022</v>
      </c>
      <c r="AB135" t="s">
        <v>659</v>
      </c>
      <c r="AC135">
        <v>11022</v>
      </c>
    </row>
    <row r="136" spans="1:29" ht="16.5" x14ac:dyDescent="0.15">
      <c r="A136">
        <f t="shared" si="11"/>
        <v>1103501</v>
      </c>
      <c r="B136" s="28" t="s">
        <v>669</v>
      </c>
      <c r="C136" s="35">
        <f t="shared" si="19"/>
        <v>11035</v>
      </c>
      <c r="D136" s="24">
        <v>10450</v>
      </c>
      <c r="E136" s="38">
        <f t="shared" si="16"/>
        <v>10450</v>
      </c>
      <c r="F136" s="39" t="s">
        <v>1401</v>
      </c>
      <c r="G136" s="39">
        <v>2</v>
      </c>
      <c r="H136" s="24" t="s">
        <v>1397</v>
      </c>
      <c r="I136" s="24" t="s">
        <v>1399</v>
      </c>
      <c r="J136" s="24" t="str">
        <f t="shared" si="17"/>
        <v>[2,[10450]]</v>
      </c>
      <c r="K136" s="42">
        <f t="shared" si="13"/>
        <v>1</v>
      </c>
      <c r="L136" s="39" t="s">
        <v>1401</v>
      </c>
      <c r="M136" s="39">
        <v>3</v>
      </c>
      <c r="N136" s="24" t="s">
        <v>1397</v>
      </c>
      <c r="O136" s="24" t="s">
        <v>1399</v>
      </c>
      <c r="P136" s="24">
        <v>4</v>
      </c>
      <c r="Q136" s="24" t="str">
        <f t="shared" si="14"/>
        <v>[[3,[4]],[2,[10450]]]</v>
      </c>
      <c r="R136" s="24" t="s">
        <v>1397</v>
      </c>
      <c r="S136" s="24" t="s">
        <v>1399</v>
      </c>
      <c r="T136" s="24"/>
      <c r="U136" s="24"/>
      <c r="AA136">
        <v>11023</v>
      </c>
      <c r="AB136" t="s">
        <v>660</v>
      </c>
      <c r="AC136">
        <v>11023</v>
      </c>
    </row>
    <row r="137" spans="1:29" ht="16.5" x14ac:dyDescent="0.15">
      <c r="A137">
        <f t="shared" si="11"/>
        <v>1103501</v>
      </c>
      <c r="B137" s="28" t="s">
        <v>669</v>
      </c>
      <c r="C137" s="35">
        <f t="shared" si="19"/>
        <v>11035</v>
      </c>
      <c r="D137" s="24">
        <v>10510</v>
      </c>
      <c r="E137" s="38" t="str">
        <f t="shared" si="16"/>
        <v>10510,10450</v>
      </c>
      <c r="F137" s="39" t="s">
        <v>1401</v>
      </c>
      <c r="G137" s="39">
        <v>2</v>
      </c>
      <c r="H137" s="24" t="s">
        <v>1397</v>
      </c>
      <c r="I137" s="24" t="s">
        <v>1399</v>
      </c>
      <c r="J137" s="24" t="str">
        <f t="shared" si="17"/>
        <v>[2,[10510,10450]]</v>
      </c>
      <c r="K137" s="42">
        <f t="shared" si="13"/>
        <v>1</v>
      </c>
      <c r="L137" s="39" t="s">
        <v>1401</v>
      </c>
      <c r="M137" s="39">
        <v>3</v>
      </c>
      <c r="N137" s="24" t="s">
        <v>1397</v>
      </c>
      <c r="O137" s="24" t="s">
        <v>1399</v>
      </c>
      <c r="P137" s="24">
        <v>4</v>
      </c>
      <c r="Q137" s="24" t="str">
        <f t="shared" si="14"/>
        <v>[[3,[4]],[2,[10510,10450]]]</v>
      </c>
      <c r="R137" s="24" t="s">
        <v>1397</v>
      </c>
      <c r="S137" s="24" t="s">
        <v>1399</v>
      </c>
      <c r="AA137">
        <v>11024</v>
      </c>
      <c r="AB137" t="s">
        <v>778</v>
      </c>
      <c r="AC137">
        <v>11024</v>
      </c>
    </row>
    <row r="138" spans="1:29" ht="16.5" x14ac:dyDescent="0.15">
      <c r="A138">
        <f t="shared" ref="A138:A202" si="20">C138*100+K138</f>
        <v>1103501</v>
      </c>
      <c r="B138" s="28" t="s">
        <v>669</v>
      </c>
      <c r="C138" s="35">
        <f t="shared" si="19"/>
        <v>11035</v>
      </c>
      <c r="D138" s="24">
        <v>10570</v>
      </c>
      <c r="E138" s="38" t="str">
        <f t="shared" si="16"/>
        <v>10570,10510,10450</v>
      </c>
      <c r="F138" s="39" t="s">
        <v>1401</v>
      </c>
      <c r="G138" s="39">
        <v>2</v>
      </c>
      <c r="H138" s="24" t="s">
        <v>1397</v>
      </c>
      <c r="I138" s="24" t="s">
        <v>1399</v>
      </c>
      <c r="J138" s="24" t="str">
        <f t="shared" si="17"/>
        <v>[2,[10570,10510,10450]]</v>
      </c>
      <c r="K138" s="42">
        <f t="shared" ref="K138:K179" si="21">IF(C138=C139,1,2)</f>
        <v>1</v>
      </c>
      <c r="L138" s="39" t="s">
        <v>1401</v>
      </c>
      <c r="M138" s="39">
        <v>3</v>
      </c>
      <c r="N138" s="24" t="s">
        <v>1397</v>
      </c>
      <c r="O138" s="24" t="s">
        <v>1399</v>
      </c>
      <c r="P138" s="24">
        <v>4</v>
      </c>
      <c r="Q138" s="24" t="str">
        <f t="shared" ref="Q138:Q179" si="22">R138&amp;(N138&amp;M138&amp;L138&amp;N138&amp;P138&amp;O138&amp;O138)&amp;L138&amp;(J138)&amp;S138</f>
        <v>[[3,[4]],[2,[10570,10510,10450]]]</v>
      </c>
      <c r="R138" s="24" t="s">
        <v>1397</v>
      </c>
      <c r="S138" s="24" t="s">
        <v>1399</v>
      </c>
      <c r="AA138">
        <v>11025</v>
      </c>
      <c r="AB138" t="s">
        <v>661</v>
      </c>
      <c r="AC138">
        <v>11025</v>
      </c>
    </row>
    <row r="139" spans="1:29" ht="16.5" x14ac:dyDescent="0.15">
      <c r="A139">
        <f t="shared" si="20"/>
        <v>1103501</v>
      </c>
      <c r="B139" s="28" t="s">
        <v>669</v>
      </c>
      <c r="C139" s="35">
        <f t="shared" si="19"/>
        <v>11035</v>
      </c>
      <c r="D139" s="24">
        <v>10630</v>
      </c>
      <c r="E139" s="38" t="str">
        <f t="shared" si="16"/>
        <v>10630,10570,10510,10450</v>
      </c>
      <c r="F139" s="39" t="s">
        <v>1401</v>
      </c>
      <c r="G139" s="39">
        <v>2</v>
      </c>
      <c r="H139" s="24" t="s">
        <v>1397</v>
      </c>
      <c r="I139" s="24" t="s">
        <v>1399</v>
      </c>
      <c r="J139" s="24" t="str">
        <f t="shared" si="17"/>
        <v>[2,[10630,10570,10510,10450]]</v>
      </c>
      <c r="K139" s="42">
        <f t="shared" si="21"/>
        <v>1</v>
      </c>
      <c r="L139" s="39" t="s">
        <v>1401</v>
      </c>
      <c r="M139" s="39">
        <v>3</v>
      </c>
      <c r="N139" s="24" t="s">
        <v>1397</v>
      </c>
      <c r="O139" s="24" t="s">
        <v>1399</v>
      </c>
      <c r="P139" s="24">
        <v>4</v>
      </c>
      <c r="Q139" s="24" t="str">
        <f t="shared" si="22"/>
        <v>[[3,[4]],[2,[10630,10570,10510,10450]]]</v>
      </c>
      <c r="R139" s="24" t="s">
        <v>1397</v>
      </c>
      <c r="S139" s="24" t="s">
        <v>1399</v>
      </c>
      <c r="AA139">
        <v>11026</v>
      </c>
      <c r="AB139" t="s">
        <v>662</v>
      </c>
      <c r="AC139">
        <v>11026</v>
      </c>
    </row>
    <row r="140" spans="1:29" ht="16.5" x14ac:dyDescent="0.15">
      <c r="A140">
        <f t="shared" si="20"/>
        <v>1103501</v>
      </c>
      <c r="B140" s="28" t="s">
        <v>669</v>
      </c>
      <c r="C140" s="35">
        <f t="shared" si="19"/>
        <v>11035</v>
      </c>
      <c r="D140" s="24">
        <v>10690</v>
      </c>
      <c r="E140" s="38" t="str">
        <f t="shared" si="16"/>
        <v>10690,10630,10570,10510,10450</v>
      </c>
      <c r="F140" s="39" t="s">
        <v>1401</v>
      </c>
      <c r="G140" s="39">
        <v>2</v>
      </c>
      <c r="H140" s="24" t="s">
        <v>1397</v>
      </c>
      <c r="I140" s="24" t="s">
        <v>1399</v>
      </c>
      <c r="J140" s="24" t="str">
        <f t="shared" si="17"/>
        <v>[2,[10690,10630,10570,10510,10450]]</v>
      </c>
      <c r="K140" s="42">
        <f t="shared" si="21"/>
        <v>1</v>
      </c>
      <c r="L140" s="39" t="s">
        <v>1401</v>
      </c>
      <c r="M140" s="39">
        <v>3</v>
      </c>
      <c r="N140" s="24" t="s">
        <v>1397</v>
      </c>
      <c r="O140" s="24" t="s">
        <v>1399</v>
      </c>
      <c r="P140" s="24">
        <v>4</v>
      </c>
      <c r="Q140" s="24" t="str">
        <f t="shared" si="22"/>
        <v>[[3,[4]],[2,[10690,10630,10570,10510,10450]]]</v>
      </c>
      <c r="R140" s="24" t="s">
        <v>1397</v>
      </c>
      <c r="S140" s="24" t="s">
        <v>1399</v>
      </c>
      <c r="AA140">
        <v>11027</v>
      </c>
      <c r="AB140" t="s">
        <v>663</v>
      </c>
      <c r="AC140">
        <v>11027</v>
      </c>
    </row>
    <row r="141" spans="1:29" ht="16.5" x14ac:dyDescent="0.15">
      <c r="A141">
        <f t="shared" si="20"/>
        <v>1103501</v>
      </c>
      <c r="B141" s="28" t="s">
        <v>669</v>
      </c>
      <c r="C141" s="35">
        <f t="shared" si="19"/>
        <v>11035</v>
      </c>
      <c r="D141" s="24">
        <v>10750</v>
      </c>
      <c r="E141" s="38" t="str">
        <f t="shared" si="16"/>
        <v>10750,10690,10630,10570,10510,10450</v>
      </c>
      <c r="F141" s="39" t="s">
        <v>1401</v>
      </c>
      <c r="G141" s="39">
        <v>2</v>
      </c>
      <c r="H141" s="24" t="s">
        <v>1397</v>
      </c>
      <c r="I141" s="24" t="s">
        <v>1399</v>
      </c>
      <c r="J141" s="24" t="str">
        <f t="shared" si="17"/>
        <v>[2,[10750,10690,10630,10570,10510,10450]]</v>
      </c>
      <c r="K141" s="42">
        <f t="shared" si="21"/>
        <v>1</v>
      </c>
      <c r="L141" s="39" t="s">
        <v>1401</v>
      </c>
      <c r="M141" s="39">
        <v>3</v>
      </c>
      <c r="N141" s="24" t="s">
        <v>1397</v>
      </c>
      <c r="O141" s="24" t="s">
        <v>1399</v>
      </c>
      <c r="P141" s="24">
        <v>4</v>
      </c>
      <c r="Q141" s="24" t="str">
        <f t="shared" si="22"/>
        <v>[[3,[4]],[2,[10750,10690,10630,10570,10510,10450]]]</v>
      </c>
      <c r="R141" s="24" t="s">
        <v>1397</v>
      </c>
      <c r="S141" s="24" t="s">
        <v>1399</v>
      </c>
      <c r="AA141">
        <v>11028</v>
      </c>
      <c r="AB141" t="s">
        <v>779</v>
      </c>
      <c r="AC141">
        <v>11028</v>
      </c>
    </row>
    <row r="142" spans="1:29" ht="16.5" x14ac:dyDescent="0.15">
      <c r="A142">
        <f t="shared" si="20"/>
        <v>1103501</v>
      </c>
      <c r="B142" s="28" t="s">
        <v>669</v>
      </c>
      <c r="C142" s="35">
        <f t="shared" si="19"/>
        <v>11035</v>
      </c>
      <c r="D142" s="24">
        <v>10810</v>
      </c>
      <c r="E142" s="38" t="str">
        <f t="shared" si="16"/>
        <v>10810,10750,10690,10630,10570,10510,10450</v>
      </c>
      <c r="F142" s="39" t="s">
        <v>1401</v>
      </c>
      <c r="G142" s="39">
        <v>2</v>
      </c>
      <c r="H142" s="24" t="s">
        <v>1397</v>
      </c>
      <c r="I142" s="24" t="s">
        <v>1399</v>
      </c>
      <c r="J142" s="24" t="str">
        <f t="shared" si="17"/>
        <v>[2,[10810,10750,10690,10630,10570,10510,10450]]</v>
      </c>
      <c r="K142" s="42">
        <f t="shared" si="21"/>
        <v>1</v>
      </c>
      <c r="L142" s="39" t="s">
        <v>1401</v>
      </c>
      <c r="M142" s="39">
        <v>3</v>
      </c>
      <c r="N142" s="24" t="s">
        <v>1397</v>
      </c>
      <c r="O142" s="24" t="s">
        <v>1399</v>
      </c>
      <c r="P142" s="24">
        <v>4</v>
      </c>
      <c r="Q142" s="24" t="str">
        <f t="shared" si="22"/>
        <v>[[3,[4]],[2,[10810,10750,10690,10630,10570,10510,10450]]]</v>
      </c>
      <c r="R142" s="24" t="s">
        <v>1397</v>
      </c>
      <c r="S142" s="24" t="s">
        <v>1399</v>
      </c>
      <c r="AA142">
        <v>11029</v>
      </c>
      <c r="AB142" t="s">
        <v>664</v>
      </c>
      <c r="AC142">
        <v>11029</v>
      </c>
    </row>
    <row r="143" spans="1:29" ht="16.5" x14ac:dyDescent="0.15">
      <c r="A143">
        <f t="shared" si="20"/>
        <v>1103502</v>
      </c>
      <c r="B143" s="28" t="s">
        <v>669</v>
      </c>
      <c r="C143" s="35">
        <f t="shared" si="19"/>
        <v>11035</v>
      </c>
      <c r="D143" s="24">
        <v>10870</v>
      </c>
      <c r="E143" s="38" t="str">
        <f t="shared" si="16"/>
        <v>10870,10810,10750,10690,10630,10570,10510,10450</v>
      </c>
      <c r="F143" s="39" t="s">
        <v>1401</v>
      </c>
      <c r="G143" s="39">
        <v>2</v>
      </c>
      <c r="H143" s="24" t="s">
        <v>1397</v>
      </c>
      <c r="I143" s="24" t="s">
        <v>1399</v>
      </c>
      <c r="J143" s="24" t="str">
        <f t="shared" si="17"/>
        <v>[2,[10870,10810,10750,10690,10630,10570,10510,10450]]</v>
      </c>
      <c r="K143" s="42">
        <f t="shared" si="21"/>
        <v>2</v>
      </c>
      <c r="L143" s="39" t="s">
        <v>1401</v>
      </c>
      <c r="M143" s="39">
        <v>3</v>
      </c>
      <c r="N143" s="24" t="s">
        <v>1397</v>
      </c>
      <c r="O143" s="24" t="s">
        <v>1399</v>
      </c>
      <c r="P143" s="24">
        <v>4</v>
      </c>
      <c r="Q143" s="24" t="str">
        <f t="shared" si="22"/>
        <v>[[3,[4]],[2,[10870,10810,10750,10690,10630,10570,10510,10450]]]</v>
      </c>
      <c r="R143" s="24" t="s">
        <v>1397</v>
      </c>
      <c r="S143" s="24" t="s">
        <v>1399</v>
      </c>
      <c r="AA143">
        <v>11030</v>
      </c>
      <c r="AB143" t="s">
        <v>665</v>
      </c>
      <c r="AC143">
        <v>11030</v>
      </c>
    </row>
    <row r="144" spans="1:29" ht="16.5" x14ac:dyDescent="0.15">
      <c r="A144">
        <f t="shared" si="20"/>
        <v>1103401</v>
      </c>
      <c r="B144" s="28" t="s">
        <v>668</v>
      </c>
      <c r="C144" s="35">
        <f t="shared" si="19"/>
        <v>11034</v>
      </c>
      <c r="D144" s="24">
        <v>10460</v>
      </c>
      <c r="E144" s="38">
        <f t="shared" si="16"/>
        <v>10460</v>
      </c>
      <c r="F144" s="39" t="s">
        <v>1401</v>
      </c>
      <c r="G144" s="39">
        <v>2</v>
      </c>
      <c r="H144" s="24" t="s">
        <v>1397</v>
      </c>
      <c r="I144" s="24" t="s">
        <v>1399</v>
      </c>
      <c r="J144" s="24" t="str">
        <f t="shared" si="17"/>
        <v>[2,[10460]]</v>
      </c>
      <c r="K144" s="42">
        <f t="shared" si="21"/>
        <v>1</v>
      </c>
      <c r="L144" s="39" t="s">
        <v>1401</v>
      </c>
      <c r="M144" s="39">
        <v>3</v>
      </c>
      <c r="N144" s="24" t="s">
        <v>1397</v>
      </c>
      <c r="O144" s="24" t="s">
        <v>1399</v>
      </c>
      <c r="P144" s="24">
        <v>4</v>
      </c>
      <c r="Q144" s="24" t="str">
        <f t="shared" si="22"/>
        <v>[[3,[4]],[2,[10460]]]</v>
      </c>
      <c r="R144" s="24" t="s">
        <v>1397</v>
      </c>
      <c r="S144" s="24" t="s">
        <v>1399</v>
      </c>
      <c r="AA144">
        <v>11031</v>
      </c>
      <c r="AB144" t="s">
        <v>666</v>
      </c>
      <c r="AC144">
        <v>11031</v>
      </c>
    </row>
    <row r="145" spans="1:29" ht="16.5" x14ac:dyDescent="0.15">
      <c r="A145">
        <f t="shared" si="20"/>
        <v>1103401</v>
      </c>
      <c r="B145" s="28" t="s">
        <v>668</v>
      </c>
      <c r="C145" s="35">
        <f t="shared" si="19"/>
        <v>11034</v>
      </c>
      <c r="D145" s="24">
        <v>10520</v>
      </c>
      <c r="E145" s="38" t="str">
        <f t="shared" si="16"/>
        <v>10520,10460</v>
      </c>
      <c r="F145" s="39" t="s">
        <v>1401</v>
      </c>
      <c r="G145" s="39">
        <v>2</v>
      </c>
      <c r="H145" s="24" t="s">
        <v>1397</v>
      </c>
      <c r="I145" s="24" t="s">
        <v>1399</v>
      </c>
      <c r="J145" s="24" t="str">
        <f t="shared" si="17"/>
        <v>[2,[10520,10460]]</v>
      </c>
      <c r="K145" s="42">
        <f t="shared" si="21"/>
        <v>1</v>
      </c>
      <c r="L145" s="39" t="s">
        <v>1401</v>
      </c>
      <c r="M145" s="39">
        <v>3</v>
      </c>
      <c r="N145" s="24" t="s">
        <v>1397</v>
      </c>
      <c r="O145" s="24" t="s">
        <v>1399</v>
      </c>
      <c r="P145" s="24">
        <v>4</v>
      </c>
      <c r="Q145" s="24" t="str">
        <f t="shared" si="22"/>
        <v>[[3,[4]],[2,[10520,10460]]]</v>
      </c>
      <c r="R145" s="24" t="s">
        <v>1397</v>
      </c>
      <c r="S145" s="24" t="s">
        <v>1399</v>
      </c>
      <c r="AA145">
        <v>11032</v>
      </c>
      <c r="AB145" t="s">
        <v>780</v>
      </c>
      <c r="AC145">
        <v>11032</v>
      </c>
    </row>
    <row r="146" spans="1:29" ht="16.5" x14ac:dyDescent="0.15">
      <c r="A146">
        <f t="shared" si="20"/>
        <v>1103401</v>
      </c>
      <c r="B146" s="28" t="s">
        <v>668</v>
      </c>
      <c r="C146" s="35">
        <f t="shared" si="19"/>
        <v>11034</v>
      </c>
      <c r="D146" s="24">
        <v>10580</v>
      </c>
      <c r="E146" s="38" t="str">
        <f t="shared" si="16"/>
        <v>10580,10520,10460</v>
      </c>
      <c r="F146" s="39" t="s">
        <v>1401</v>
      </c>
      <c r="G146" s="39">
        <v>2</v>
      </c>
      <c r="H146" s="24" t="s">
        <v>1397</v>
      </c>
      <c r="I146" s="24" t="s">
        <v>1399</v>
      </c>
      <c r="J146" s="24" t="str">
        <f t="shared" si="17"/>
        <v>[2,[10580,10520,10460]]</v>
      </c>
      <c r="K146" s="42">
        <f t="shared" si="21"/>
        <v>1</v>
      </c>
      <c r="L146" s="39" t="s">
        <v>1401</v>
      </c>
      <c r="M146" s="39">
        <v>3</v>
      </c>
      <c r="N146" s="24" t="s">
        <v>1397</v>
      </c>
      <c r="O146" s="24" t="s">
        <v>1399</v>
      </c>
      <c r="P146" s="24">
        <v>4</v>
      </c>
      <c r="Q146" s="24" t="str">
        <f t="shared" si="22"/>
        <v>[[3,[4]],[2,[10580,10520,10460]]]</v>
      </c>
      <c r="R146" s="24" t="s">
        <v>1397</v>
      </c>
      <c r="S146" s="24" t="s">
        <v>1399</v>
      </c>
      <c r="AA146">
        <v>11033</v>
      </c>
      <c r="AB146" t="s">
        <v>667</v>
      </c>
      <c r="AC146">
        <v>11033</v>
      </c>
    </row>
    <row r="147" spans="1:29" ht="16.5" x14ac:dyDescent="0.15">
      <c r="A147">
        <f t="shared" si="20"/>
        <v>1103401</v>
      </c>
      <c r="B147" s="28" t="s">
        <v>668</v>
      </c>
      <c r="C147" s="35">
        <f t="shared" si="19"/>
        <v>11034</v>
      </c>
      <c r="D147" s="24">
        <v>10640</v>
      </c>
      <c r="E147" s="38" t="str">
        <f t="shared" si="16"/>
        <v>10640,10580,10520,10460</v>
      </c>
      <c r="F147" s="39" t="s">
        <v>1401</v>
      </c>
      <c r="G147" s="39">
        <v>2</v>
      </c>
      <c r="H147" s="24" t="s">
        <v>1397</v>
      </c>
      <c r="I147" s="24" t="s">
        <v>1399</v>
      </c>
      <c r="J147" s="24" t="str">
        <f t="shared" si="17"/>
        <v>[2,[10640,10580,10520,10460]]</v>
      </c>
      <c r="K147" s="42">
        <f t="shared" si="21"/>
        <v>1</v>
      </c>
      <c r="L147" s="39" t="s">
        <v>1401</v>
      </c>
      <c r="M147" s="39">
        <v>3</v>
      </c>
      <c r="N147" s="24" t="s">
        <v>1397</v>
      </c>
      <c r="O147" s="24" t="s">
        <v>1399</v>
      </c>
      <c r="P147" s="24">
        <v>4</v>
      </c>
      <c r="Q147" s="24" t="str">
        <f t="shared" si="22"/>
        <v>[[3,[4]],[2,[10640,10580,10520,10460]]]</v>
      </c>
      <c r="R147" s="24" t="s">
        <v>1397</v>
      </c>
      <c r="S147" s="24" t="s">
        <v>1399</v>
      </c>
      <c r="AA147">
        <v>11034</v>
      </c>
      <c r="AB147" t="s">
        <v>668</v>
      </c>
      <c r="AC147">
        <v>11034</v>
      </c>
    </row>
    <row r="148" spans="1:29" ht="16.5" x14ac:dyDescent="0.15">
      <c r="A148">
        <f t="shared" si="20"/>
        <v>1103401</v>
      </c>
      <c r="B148" s="28" t="s">
        <v>668</v>
      </c>
      <c r="C148" s="35">
        <f t="shared" si="19"/>
        <v>11034</v>
      </c>
      <c r="D148" s="24">
        <v>10700</v>
      </c>
      <c r="E148" s="38" t="str">
        <f t="shared" si="16"/>
        <v>10700,10640,10580,10520,10460</v>
      </c>
      <c r="F148" s="39" t="s">
        <v>1401</v>
      </c>
      <c r="G148" s="39">
        <v>2</v>
      </c>
      <c r="H148" s="24" t="s">
        <v>1397</v>
      </c>
      <c r="I148" s="24" t="s">
        <v>1399</v>
      </c>
      <c r="J148" s="24" t="str">
        <f t="shared" si="17"/>
        <v>[2,[10700,10640,10580,10520,10460]]</v>
      </c>
      <c r="K148" s="42">
        <f t="shared" si="21"/>
        <v>1</v>
      </c>
      <c r="L148" s="39" t="s">
        <v>1401</v>
      </c>
      <c r="M148" s="39">
        <v>3</v>
      </c>
      <c r="N148" s="24" t="s">
        <v>1397</v>
      </c>
      <c r="O148" s="24" t="s">
        <v>1399</v>
      </c>
      <c r="P148" s="24">
        <v>4</v>
      </c>
      <c r="Q148" s="24" t="str">
        <f t="shared" si="22"/>
        <v>[[3,[4]],[2,[10700,10640,10580,10520,10460]]]</v>
      </c>
      <c r="R148" s="24" t="s">
        <v>1397</v>
      </c>
      <c r="S148" s="24" t="s">
        <v>1399</v>
      </c>
      <c r="AA148">
        <v>11035</v>
      </c>
      <c r="AB148" t="s">
        <v>669</v>
      </c>
      <c r="AC148">
        <v>11035</v>
      </c>
    </row>
    <row r="149" spans="1:29" ht="16.5" x14ac:dyDescent="0.15">
      <c r="A149">
        <f t="shared" si="20"/>
        <v>1103401</v>
      </c>
      <c r="B149" s="28" t="s">
        <v>668</v>
      </c>
      <c r="C149" s="35">
        <f t="shared" si="19"/>
        <v>11034</v>
      </c>
      <c r="D149" s="24">
        <v>10760</v>
      </c>
      <c r="E149" s="38" t="str">
        <f t="shared" si="16"/>
        <v>10760,10700,10640,10580,10520,10460</v>
      </c>
      <c r="F149" s="39" t="s">
        <v>1401</v>
      </c>
      <c r="G149" s="39">
        <v>2</v>
      </c>
      <c r="H149" s="24" t="s">
        <v>1397</v>
      </c>
      <c r="I149" s="24" t="s">
        <v>1399</v>
      </c>
      <c r="J149" s="24" t="str">
        <f t="shared" si="17"/>
        <v>[2,[10760,10700,10640,10580,10520,10460]]</v>
      </c>
      <c r="K149" s="42">
        <f t="shared" si="21"/>
        <v>1</v>
      </c>
      <c r="L149" s="39" t="s">
        <v>1401</v>
      </c>
      <c r="M149" s="39">
        <v>3</v>
      </c>
      <c r="N149" s="24" t="s">
        <v>1397</v>
      </c>
      <c r="O149" s="24" t="s">
        <v>1399</v>
      </c>
      <c r="P149" s="24">
        <v>4</v>
      </c>
      <c r="Q149" s="24" t="str">
        <f t="shared" si="22"/>
        <v>[[3,[4]],[2,[10760,10700,10640,10580,10520,10460]]]</v>
      </c>
      <c r="R149" s="24" t="s">
        <v>1397</v>
      </c>
      <c r="S149" s="24" t="s">
        <v>1399</v>
      </c>
      <c r="AA149">
        <v>11036</v>
      </c>
      <c r="AB149" t="s">
        <v>1337</v>
      </c>
      <c r="AC149">
        <v>11036</v>
      </c>
    </row>
    <row r="150" spans="1:29" ht="16.5" x14ac:dyDescent="0.15">
      <c r="A150">
        <f t="shared" si="20"/>
        <v>1103401</v>
      </c>
      <c r="B150" s="28" t="s">
        <v>668</v>
      </c>
      <c r="C150" s="35">
        <f t="shared" si="19"/>
        <v>11034</v>
      </c>
      <c r="D150" s="24">
        <v>10820</v>
      </c>
      <c r="E150" s="38" t="str">
        <f t="shared" si="16"/>
        <v>10820,10760,10700,10640,10580,10520,10460</v>
      </c>
      <c r="F150" s="39" t="s">
        <v>1401</v>
      </c>
      <c r="G150" s="39">
        <v>2</v>
      </c>
      <c r="H150" s="24" t="s">
        <v>1397</v>
      </c>
      <c r="I150" s="24" t="s">
        <v>1399</v>
      </c>
      <c r="J150" s="24" t="str">
        <f t="shared" si="17"/>
        <v>[2,[10820,10760,10700,10640,10580,10520,10460]]</v>
      </c>
      <c r="K150" s="42">
        <f t="shared" si="21"/>
        <v>1</v>
      </c>
      <c r="L150" s="39" t="s">
        <v>1401</v>
      </c>
      <c r="M150" s="39">
        <v>3</v>
      </c>
      <c r="N150" s="24" t="s">
        <v>1397</v>
      </c>
      <c r="O150" s="24" t="s">
        <v>1399</v>
      </c>
      <c r="P150" s="24">
        <v>4</v>
      </c>
      <c r="Q150" s="24" t="str">
        <f t="shared" si="22"/>
        <v>[[3,[4]],[2,[10820,10760,10700,10640,10580,10520,10460]]]</v>
      </c>
      <c r="R150" s="24" t="s">
        <v>1397</v>
      </c>
      <c r="S150" s="24" t="s">
        <v>1399</v>
      </c>
      <c r="AA150">
        <v>12001</v>
      </c>
      <c r="AB150" t="s">
        <v>813</v>
      </c>
      <c r="AC150">
        <v>12001</v>
      </c>
    </row>
    <row r="151" spans="1:29" ht="16.5" x14ac:dyDescent="0.15">
      <c r="A151">
        <f t="shared" si="20"/>
        <v>1103402</v>
      </c>
      <c r="B151" s="28" t="s">
        <v>668</v>
      </c>
      <c r="C151" s="35">
        <f t="shared" si="19"/>
        <v>11034</v>
      </c>
      <c r="D151" s="24">
        <v>10880</v>
      </c>
      <c r="E151" s="38" t="str">
        <f t="shared" si="16"/>
        <v>10880,10820,10760,10700,10640,10580,10520,10460</v>
      </c>
      <c r="F151" s="39" t="s">
        <v>1401</v>
      </c>
      <c r="G151" s="39">
        <v>2</v>
      </c>
      <c r="H151" s="24" t="s">
        <v>1397</v>
      </c>
      <c r="I151" s="24" t="s">
        <v>1399</v>
      </c>
      <c r="J151" s="24" t="str">
        <f t="shared" si="17"/>
        <v>[2,[10880,10820,10760,10700,10640,10580,10520,10460]]</v>
      </c>
      <c r="K151" s="42">
        <f t="shared" si="21"/>
        <v>2</v>
      </c>
      <c r="L151" s="39" t="s">
        <v>1401</v>
      </c>
      <c r="M151" s="39">
        <v>3</v>
      </c>
      <c r="N151" s="24" t="s">
        <v>1397</v>
      </c>
      <c r="O151" s="24" t="s">
        <v>1399</v>
      </c>
      <c r="P151" s="24">
        <v>4</v>
      </c>
      <c r="Q151" s="24" t="str">
        <f t="shared" si="22"/>
        <v>[[3,[4]],[2,[10880,10820,10760,10700,10640,10580,10520,10460]]]</v>
      </c>
      <c r="R151" s="24" t="s">
        <v>1397</v>
      </c>
      <c r="S151" s="24" t="s">
        <v>1399</v>
      </c>
      <c r="AA151">
        <v>12002</v>
      </c>
      <c r="AB151" t="s">
        <v>814</v>
      </c>
      <c r="AC151">
        <v>12002</v>
      </c>
    </row>
    <row r="152" spans="1:29" ht="16.5" x14ac:dyDescent="0.15">
      <c r="A152">
        <f t="shared" si="20"/>
        <v>1100301</v>
      </c>
      <c r="B152" s="30" t="s">
        <v>645</v>
      </c>
      <c r="C152" s="35">
        <f t="shared" si="19"/>
        <v>11003</v>
      </c>
      <c r="D152" s="24">
        <v>10050</v>
      </c>
      <c r="E152" s="38">
        <f t="shared" si="16"/>
        <v>10050</v>
      </c>
      <c r="F152" s="39" t="s">
        <v>1401</v>
      </c>
      <c r="G152" s="39">
        <v>2</v>
      </c>
      <c r="H152" s="24" t="s">
        <v>1397</v>
      </c>
      <c r="I152" s="24" t="s">
        <v>1399</v>
      </c>
      <c r="J152" s="24" t="str">
        <f t="shared" si="17"/>
        <v>[2,[10050]]</v>
      </c>
      <c r="K152" s="42">
        <f t="shared" si="21"/>
        <v>1</v>
      </c>
      <c r="L152" s="39" t="s">
        <v>1401</v>
      </c>
      <c r="M152" s="39">
        <v>3</v>
      </c>
      <c r="N152" s="24" t="s">
        <v>1397</v>
      </c>
      <c r="O152" s="24" t="s">
        <v>1399</v>
      </c>
      <c r="P152" s="24">
        <v>4</v>
      </c>
      <c r="Q152" s="24" t="str">
        <f t="shared" si="22"/>
        <v>[[3,[4]],[2,[10050]]]</v>
      </c>
      <c r="R152" s="24" t="s">
        <v>1397</v>
      </c>
      <c r="S152" s="24" t="s">
        <v>1399</v>
      </c>
      <c r="AA152">
        <v>12003</v>
      </c>
      <c r="AB152" t="s">
        <v>815</v>
      </c>
      <c r="AC152">
        <v>12003</v>
      </c>
    </row>
    <row r="153" spans="1:29" ht="16.5" x14ac:dyDescent="0.15">
      <c r="A153">
        <f t="shared" si="20"/>
        <v>1100302</v>
      </c>
      <c r="B153" s="30" t="s">
        <v>645</v>
      </c>
      <c r="C153" s="35">
        <f t="shared" si="19"/>
        <v>11003</v>
      </c>
      <c r="D153" s="24">
        <v>10110</v>
      </c>
      <c r="E153" s="38" t="str">
        <f t="shared" si="16"/>
        <v>10110,10050</v>
      </c>
      <c r="F153" s="39" t="s">
        <v>1401</v>
      </c>
      <c r="G153" s="39">
        <v>2</v>
      </c>
      <c r="H153" s="24" t="s">
        <v>1397</v>
      </c>
      <c r="I153" s="24" t="s">
        <v>1399</v>
      </c>
      <c r="J153" s="24" t="str">
        <f t="shared" si="17"/>
        <v>[2,[10110,10050]]</v>
      </c>
      <c r="K153" s="42">
        <f t="shared" si="21"/>
        <v>2</v>
      </c>
      <c r="L153" s="39" t="s">
        <v>1401</v>
      </c>
      <c r="M153" s="39">
        <v>3</v>
      </c>
      <c r="N153" s="24" t="s">
        <v>1397</v>
      </c>
      <c r="O153" s="24" t="s">
        <v>1399</v>
      </c>
      <c r="P153" s="24">
        <v>4</v>
      </c>
      <c r="Q153" s="24" t="str">
        <f t="shared" si="22"/>
        <v>[[3,[4]],[2,[10110,10050]]]</v>
      </c>
      <c r="R153" s="24" t="s">
        <v>1397</v>
      </c>
      <c r="S153" s="24" t="s">
        <v>1399</v>
      </c>
      <c r="AA153">
        <v>12004</v>
      </c>
      <c r="AB153" t="s">
        <v>816</v>
      </c>
      <c r="AC153">
        <v>12004</v>
      </c>
    </row>
    <row r="154" spans="1:29" ht="16.5" x14ac:dyDescent="0.15">
      <c r="A154">
        <f t="shared" si="20"/>
        <v>1100201</v>
      </c>
      <c r="B154" s="30" t="s">
        <v>644</v>
      </c>
      <c r="C154" s="35">
        <f t="shared" si="19"/>
        <v>11002</v>
      </c>
      <c r="D154" s="24">
        <v>10060</v>
      </c>
      <c r="E154" s="38">
        <f t="shared" si="16"/>
        <v>10060</v>
      </c>
      <c r="F154" s="39" t="s">
        <v>1401</v>
      </c>
      <c r="G154" s="39">
        <v>2</v>
      </c>
      <c r="H154" s="24" t="s">
        <v>1397</v>
      </c>
      <c r="I154" s="24" t="s">
        <v>1399</v>
      </c>
      <c r="J154" s="24" t="str">
        <f t="shared" si="17"/>
        <v>[2,[10060]]</v>
      </c>
      <c r="K154" s="42">
        <f t="shared" si="21"/>
        <v>1</v>
      </c>
      <c r="L154" s="39" t="s">
        <v>1401</v>
      </c>
      <c r="M154" s="39">
        <v>3</v>
      </c>
      <c r="N154" s="24" t="s">
        <v>1397</v>
      </c>
      <c r="O154" s="24" t="s">
        <v>1399</v>
      </c>
      <c r="P154" s="24">
        <v>4</v>
      </c>
      <c r="Q154" s="24" t="str">
        <f t="shared" si="22"/>
        <v>[[3,[4]],[2,[10060]]]</v>
      </c>
      <c r="R154" s="24" t="s">
        <v>1397</v>
      </c>
      <c r="S154" s="24" t="s">
        <v>1399</v>
      </c>
      <c r="AA154">
        <v>12005</v>
      </c>
      <c r="AB154" t="s">
        <v>817</v>
      </c>
      <c r="AC154">
        <v>12005</v>
      </c>
    </row>
    <row r="155" spans="1:29" ht="16.5" x14ac:dyDescent="0.15">
      <c r="A155">
        <f t="shared" si="20"/>
        <v>1100202</v>
      </c>
      <c r="B155" s="30" t="s">
        <v>644</v>
      </c>
      <c r="C155" s="35">
        <f t="shared" si="19"/>
        <v>11002</v>
      </c>
      <c r="D155" s="24">
        <v>10120</v>
      </c>
      <c r="E155" s="38" t="str">
        <f t="shared" si="16"/>
        <v>10120,10060</v>
      </c>
      <c r="F155" s="39" t="s">
        <v>1401</v>
      </c>
      <c r="G155" s="39">
        <v>2</v>
      </c>
      <c r="H155" s="24" t="s">
        <v>1397</v>
      </c>
      <c r="I155" s="24" t="s">
        <v>1399</v>
      </c>
      <c r="J155" s="24" t="str">
        <f t="shared" si="17"/>
        <v>[2,[10120,10060]]</v>
      </c>
      <c r="K155" s="42">
        <f t="shared" si="21"/>
        <v>2</v>
      </c>
      <c r="L155" s="39" t="s">
        <v>1401</v>
      </c>
      <c r="M155" s="39">
        <v>3</v>
      </c>
      <c r="N155" s="24" t="s">
        <v>1397</v>
      </c>
      <c r="O155" s="24" t="s">
        <v>1399</v>
      </c>
      <c r="P155" s="24">
        <v>4</v>
      </c>
      <c r="Q155" s="24" t="str">
        <f t="shared" si="22"/>
        <v>[[3,[4]],[2,[10120,10060]]]</v>
      </c>
      <c r="R155" s="24" t="s">
        <v>1397</v>
      </c>
      <c r="S155" s="24" t="s">
        <v>1399</v>
      </c>
      <c r="AA155">
        <v>12006</v>
      </c>
      <c r="AB155" t="s">
        <v>818</v>
      </c>
      <c r="AC155">
        <v>12006</v>
      </c>
    </row>
    <row r="156" spans="1:29" ht="16.5" x14ac:dyDescent="0.15">
      <c r="A156">
        <f t="shared" si="20"/>
        <v>1101901</v>
      </c>
      <c r="B156" s="33" t="s">
        <v>657</v>
      </c>
      <c r="C156" s="35">
        <f t="shared" si="19"/>
        <v>11019</v>
      </c>
      <c r="D156" s="24">
        <v>10190</v>
      </c>
      <c r="E156" s="38">
        <f t="shared" si="16"/>
        <v>10190</v>
      </c>
      <c r="F156" s="39" t="s">
        <v>1401</v>
      </c>
      <c r="G156" s="39">
        <v>2</v>
      </c>
      <c r="H156" s="24" t="s">
        <v>1397</v>
      </c>
      <c r="I156" s="24" t="s">
        <v>1399</v>
      </c>
      <c r="J156" s="24" t="str">
        <f t="shared" si="17"/>
        <v>[2,[10190]]</v>
      </c>
      <c r="K156" s="42">
        <f t="shared" si="21"/>
        <v>1</v>
      </c>
      <c r="L156" s="39" t="s">
        <v>1401</v>
      </c>
      <c r="M156" s="39">
        <v>3</v>
      </c>
      <c r="N156" s="24" t="s">
        <v>1397</v>
      </c>
      <c r="O156" s="24" t="s">
        <v>1399</v>
      </c>
      <c r="P156" s="24">
        <v>4</v>
      </c>
      <c r="Q156" s="24" t="str">
        <f t="shared" si="22"/>
        <v>[[3,[4]],[2,[10190]]]</v>
      </c>
      <c r="R156" s="24" t="s">
        <v>1397</v>
      </c>
      <c r="S156" s="24" t="s">
        <v>1399</v>
      </c>
      <c r="AA156">
        <v>12007</v>
      </c>
      <c r="AB156" t="s">
        <v>819</v>
      </c>
      <c r="AC156">
        <v>12007</v>
      </c>
    </row>
    <row r="157" spans="1:29" ht="16.5" x14ac:dyDescent="0.15">
      <c r="A157">
        <f t="shared" si="20"/>
        <v>1101901</v>
      </c>
      <c r="B157" s="33" t="s">
        <v>657</v>
      </c>
      <c r="C157" s="35">
        <f t="shared" si="19"/>
        <v>11019</v>
      </c>
      <c r="D157" s="24">
        <v>10250</v>
      </c>
      <c r="E157" s="38" t="str">
        <f t="shared" si="16"/>
        <v>10250,10190</v>
      </c>
      <c r="F157" s="39" t="s">
        <v>1401</v>
      </c>
      <c r="G157" s="39">
        <v>2</v>
      </c>
      <c r="H157" s="24" t="s">
        <v>1397</v>
      </c>
      <c r="I157" s="24" t="s">
        <v>1399</v>
      </c>
      <c r="J157" s="24" t="str">
        <f t="shared" si="17"/>
        <v>[2,[10250,10190]]</v>
      </c>
      <c r="K157" s="42">
        <f t="shared" si="21"/>
        <v>1</v>
      </c>
      <c r="L157" s="39" t="s">
        <v>1401</v>
      </c>
      <c r="M157" s="39">
        <v>3</v>
      </c>
      <c r="N157" s="24" t="s">
        <v>1397</v>
      </c>
      <c r="O157" s="24" t="s">
        <v>1399</v>
      </c>
      <c r="P157" s="24">
        <v>4</v>
      </c>
      <c r="Q157" s="24" t="str">
        <f t="shared" si="22"/>
        <v>[[3,[4]],[2,[10250,10190]]]</v>
      </c>
      <c r="R157" s="24" t="s">
        <v>1397</v>
      </c>
      <c r="S157" s="24" t="s">
        <v>1399</v>
      </c>
      <c r="AA157">
        <v>12008</v>
      </c>
      <c r="AB157" t="s">
        <v>820</v>
      </c>
      <c r="AC157">
        <v>12008</v>
      </c>
    </row>
    <row r="158" spans="1:29" ht="16.5" x14ac:dyDescent="0.15">
      <c r="A158">
        <f t="shared" si="20"/>
        <v>1101901</v>
      </c>
      <c r="B158" s="33" t="s">
        <v>657</v>
      </c>
      <c r="C158" s="35">
        <f t="shared" si="19"/>
        <v>11019</v>
      </c>
      <c r="D158" s="24">
        <v>10310</v>
      </c>
      <c r="E158" s="38" t="str">
        <f t="shared" si="16"/>
        <v>10310,10250,10190</v>
      </c>
      <c r="F158" s="39" t="s">
        <v>1401</v>
      </c>
      <c r="G158" s="39">
        <v>2</v>
      </c>
      <c r="H158" s="24" t="s">
        <v>1397</v>
      </c>
      <c r="I158" s="24" t="s">
        <v>1399</v>
      </c>
      <c r="J158" s="24" t="str">
        <f t="shared" si="17"/>
        <v>[2,[10310,10250,10190]]</v>
      </c>
      <c r="K158" s="42">
        <f t="shared" si="21"/>
        <v>1</v>
      </c>
      <c r="L158" s="39" t="s">
        <v>1401</v>
      </c>
      <c r="M158" s="39">
        <v>3</v>
      </c>
      <c r="N158" s="24" t="s">
        <v>1397</v>
      </c>
      <c r="O158" s="24" t="s">
        <v>1399</v>
      </c>
      <c r="P158" s="24">
        <v>4</v>
      </c>
      <c r="Q158" s="24" t="str">
        <f t="shared" si="22"/>
        <v>[[3,[4]],[2,[10310,10250,10190]]]</v>
      </c>
      <c r="R158" s="24" t="s">
        <v>1397</v>
      </c>
      <c r="S158" s="24" t="s">
        <v>1399</v>
      </c>
      <c r="AA158">
        <v>12009</v>
      </c>
      <c r="AB158" t="s">
        <v>821</v>
      </c>
      <c r="AC158">
        <v>12009</v>
      </c>
    </row>
    <row r="159" spans="1:29" ht="16.5" x14ac:dyDescent="0.15">
      <c r="A159">
        <f t="shared" si="20"/>
        <v>1101902</v>
      </c>
      <c r="B159" s="33" t="s">
        <v>657</v>
      </c>
      <c r="C159" s="35">
        <f t="shared" si="19"/>
        <v>11019</v>
      </c>
      <c r="D159" s="24">
        <v>10370</v>
      </c>
      <c r="E159" s="38" t="str">
        <f t="shared" ref="E159:E179" si="23">IF(C159=C158,D159&amp;F159&amp;E158,D159)</f>
        <v>10370,10310,10250,10190</v>
      </c>
      <c r="F159" s="39" t="s">
        <v>1401</v>
      </c>
      <c r="G159" s="39">
        <v>2</v>
      </c>
      <c r="H159" s="24" t="s">
        <v>1397</v>
      </c>
      <c r="I159" s="24" t="s">
        <v>1399</v>
      </c>
      <c r="J159" s="24" t="str">
        <f t="shared" ref="J159:J179" si="24">H159&amp;G159&amp;F159&amp;H159&amp;E159&amp;I159&amp;I159</f>
        <v>[2,[10370,10310,10250,10190]]</v>
      </c>
      <c r="K159" s="42">
        <f t="shared" si="21"/>
        <v>2</v>
      </c>
      <c r="L159" s="39" t="s">
        <v>1401</v>
      </c>
      <c r="M159" s="39">
        <v>3</v>
      </c>
      <c r="N159" s="24" t="s">
        <v>1397</v>
      </c>
      <c r="O159" s="24" t="s">
        <v>1399</v>
      </c>
      <c r="P159" s="24">
        <v>4</v>
      </c>
      <c r="Q159" s="24" t="str">
        <f t="shared" si="22"/>
        <v>[[3,[4]],[2,[10370,10310,10250,10190]]]</v>
      </c>
      <c r="R159" s="24" t="s">
        <v>1397</v>
      </c>
      <c r="S159" s="24" t="s">
        <v>1399</v>
      </c>
      <c r="AA159">
        <v>12010</v>
      </c>
      <c r="AB159" t="s">
        <v>822</v>
      </c>
      <c r="AC159">
        <v>12010</v>
      </c>
    </row>
    <row r="160" spans="1:29" ht="16.5" x14ac:dyDescent="0.15">
      <c r="A160">
        <f t="shared" si="20"/>
        <v>1101801</v>
      </c>
      <c r="B160" s="33" t="s">
        <v>656</v>
      </c>
      <c r="C160" s="35">
        <f t="shared" si="19"/>
        <v>11018</v>
      </c>
      <c r="D160" s="24">
        <v>10200</v>
      </c>
      <c r="E160" s="38">
        <f t="shared" si="23"/>
        <v>10200</v>
      </c>
      <c r="F160" s="39" t="s">
        <v>1401</v>
      </c>
      <c r="G160" s="39">
        <v>2</v>
      </c>
      <c r="H160" s="24" t="s">
        <v>1397</v>
      </c>
      <c r="I160" s="24" t="s">
        <v>1399</v>
      </c>
      <c r="J160" s="24" t="str">
        <f t="shared" si="24"/>
        <v>[2,[10200]]</v>
      </c>
      <c r="K160" s="42">
        <f t="shared" si="21"/>
        <v>1</v>
      </c>
      <c r="L160" s="39" t="s">
        <v>1401</v>
      </c>
      <c r="M160" s="39">
        <v>3</v>
      </c>
      <c r="N160" s="24" t="s">
        <v>1397</v>
      </c>
      <c r="O160" s="24" t="s">
        <v>1399</v>
      </c>
      <c r="P160" s="24">
        <v>4</v>
      </c>
      <c r="Q160" s="24" t="str">
        <f t="shared" si="22"/>
        <v>[[3,[4]],[2,[10200]]]</v>
      </c>
      <c r="R160" s="24" t="s">
        <v>1397</v>
      </c>
      <c r="S160" s="24" t="s">
        <v>1399</v>
      </c>
      <c r="AA160">
        <v>12011</v>
      </c>
      <c r="AB160" t="s">
        <v>823</v>
      </c>
      <c r="AC160">
        <v>12011</v>
      </c>
    </row>
    <row r="161" spans="1:29" ht="16.5" x14ac:dyDescent="0.15">
      <c r="A161">
        <f t="shared" si="20"/>
        <v>1101801</v>
      </c>
      <c r="B161" s="33" t="s">
        <v>656</v>
      </c>
      <c r="C161" s="35">
        <f t="shared" ref="C161:C179" si="25">VLOOKUP(B161,AB:AC,2,FALSE)</f>
        <v>11018</v>
      </c>
      <c r="D161" s="24">
        <v>10260</v>
      </c>
      <c r="E161" s="38" t="str">
        <f t="shared" si="23"/>
        <v>10260,10200</v>
      </c>
      <c r="F161" s="39" t="s">
        <v>1401</v>
      </c>
      <c r="G161" s="39">
        <v>2</v>
      </c>
      <c r="H161" s="24" t="s">
        <v>1397</v>
      </c>
      <c r="I161" s="24" t="s">
        <v>1399</v>
      </c>
      <c r="J161" s="24" t="str">
        <f t="shared" si="24"/>
        <v>[2,[10260,10200]]</v>
      </c>
      <c r="K161" s="42">
        <f t="shared" si="21"/>
        <v>1</v>
      </c>
      <c r="L161" s="39" t="s">
        <v>1401</v>
      </c>
      <c r="M161" s="39">
        <v>3</v>
      </c>
      <c r="N161" s="24" t="s">
        <v>1397</v>
      </c>
      <c r="O161" s="24" t="s">
        <v>1399</v>
      </c>
      <c r="P161" s="24">
        <v>4</v>
      </c>
      <c r="Q161" s="24" t="str">
        <f t="shared" si="22"/>
        <v>[[3,[4]],[2,[10260,10200]]]</v>
      </c>
      <c r="R161" s="24" t="s">
        <v>1397</v>
      </c>
      <c r="S161" s="24" t="s">
        <v>1399</v>
      </c>
      <c r="AA161">
        <v>12012</v>
      </c>
      <c r="AB161" t="s">
        <v>824</v>
      </c>
      <c r="AC161">
        <v>12012</v>
      </c>
    </row>
    <row r="162" spans="1:29" ht="16.5" x14ac:dyDescent="0.15">
      <c r="A162">
        <f t="shared" si="20"/>
        <v>1101801</v>
      </c>
      <c r="B162" s="33" t="s">
        <v>656</v>
      </c>
      <c r="C162" s="35">
        <f t="shared" si="25"/>
        <v>11018</v>
      </c>
      <c r="D162" s="24">
        <v>10320</v>
      </c>
      <c r="E162" s="38" t="str">
        <f t="shared" si="23"/>
        <v>10320,10260,10200</v>
      </c>
      <c r="F162" s="39" t="s">
        <v>1401</v>
      </c>
      <c r="G162" s="39">
        <v>2</v>
      </c>
      <c r="H162" s="24" t="s">
        <v>1397</v>
      </c>
      <c r="I162" s="24" t="s">
        <v>1399</v>
      </c>
      <c r="J162" s="24" t="str">
        <f t="shared" si="24"/>
        <v>[2,[10320,10260,10200]]</v>
      </c>
      <c r="K162" s="42">
        <f t="shared" si="21"/>
        <v>1</v>
      </c>
      <c r="L162" s="39" t="s">
        <v>1401</v>
      </c>
      <c r="M162" s="39">
        <v>3</v>
      </c>
      <c r="N162" s="24" t="s">
        <v>1397</v>
      </c>
      <c r="O162" s="24" t="s">
        <v>1399</v>
      </c>
      <c r="P162" s="24">
        <v>4</v>
      </c>
      <c r="Q162" s="24" t="str">
        <f t="shared" si="22"/>
        <v>[[3,[4]],[2,[10320,10260,10200]]]</v>
      </c>
      <c r="R162" s="24" t="s">
        <v>1397</v>
      </c>
      <c r="S162" s="24" t="s">
        <v>1399</v>
      </c>
      <c r="AA162">
        <v>12013</v>
      </c>
      <c r="AB162" t="s">
        <v>1338</v>
      </c>
      <c r="AC162">
        <v>12013</v>
      </c>
    </row>
    <row r="163" spans="1:29" ht="16.5" x14ac:dyDescent="0.15">
      <c r="A163">
        <f t="shared" si="20"/>
        <v>1101802</v>
      </c>
      <c r="B163" s="33" t="s">
        <v>656</v>
      </c>
      <c r="C163" s="35">
        <f t="shared" si="25"/>
        <v>11018</v>
      </c>
      <c r="D163" s="24">
        <v>10380</v>
      </c>
      <c r="E163" s="38" t="str">
        <f t="shared" si="23"/>
        <v>10380,10320,10260,10200</v>
      </c>
      <c r="F163" s="39" t="s">
        <v>1401</v>
      </c>
      <c r="G163" s="39">
        <v>2</v>
      </c>
      <c r="H163" s="24" t="s">
        <v>1397</v>
      </c>
      <c r="I163" s="24" t="s">
        <v>1399</v>
      </c>
      <c r="J163" s="24" t="str">
        <f t="shared" si="24"/>
        <v>[2,[10380,10320,10260,10200]]</v>
      </c>
      <c r="K163" s="42">
        <f t="shared" si="21"/>
        <v>2</v>
      </c>
      <c r="L163" s="39" t="s">
        <v>1401</v>
      </c>
      <c r="M163" s="39">
        <v>3</v>
      </c>
      <c r="N163" s="24" t="s">
        <v>1397</v>
      </c>
      <c r="O163" s="24" t="s">
        <v>1399</v>
      </c>
      <c r="P163" s="24">
        <v>4</v>
      </c>
      <c r="Q163" s="24" t="str">
        <f t="shared" si="22"/>
        <v>[[3,[4]],[2,[10380,10320,10260,10200]]]</v>
      </c>
      <c r="R163" s="24" t="s">
        <v>1397</v>
      </c>
      <c r="S163" s="24" t="s">
        <v>1399</v>
      </c>
      <c r="AA163">
        <v>12014</v>
      </c>
      <c r="AB163" t="s">
        <v>826</v>
      </c>
      <c r="AC163">
        <v>12014</v>
      </c>
    </row>
    <row r="164" spans="1:29" ht="16.5" x14ac:dyDescent="0.15">
      <c r="A164">
        <f t="shared" si="20"/>
        <v>1103101</v>
      </c>
      <c r="B164" s="28" t="s">
        <v>666</v>
      </c>
      <c r="C164" s="35">
        <f t="shared" si="25"/>
        <v>11031</v>
      </c>
      <c r="D164" s="24">
        <v>10430</v>
      </c>
      <c r="E164" s="38">
        <f t="shared" si="23"/>
        <v>10430</v>
      </c>
      <c r="F164" s="39" t="s">
        <v>1401</v>
      </c>
      <c r="G164" s="39">
        <v>2</v>
      </c>
      <c r="H164" s="24" t="s">
        <v>1397</v>
      </c>
      <c r="I164" s="24" t="s">
        <v>1399</v>
      </c>
      <c r="J164" s="24" t="str">
        <f t="shared" si="24"/>
        <v>[2,[10430]]</v>
      </c>
      <c r="K164" s="42">
        <f t="shared" si="21"/>
        <v>1</v>
      </c>
      <c r="L164" s="39" t="s">
        <v>1401</v>
      </c>
      <c r="M164" s="39">
        <v>3</v>
      </c>
      <c r="N164" s="24" t="s">
        <v>1397</v>
      </c>
      <c r="O164" s="24" t="s">
        <v>1399</v>
      </c>
      <c r="P164" s="24">
        <v>4</v>
      </c>
      <c r="Q164" s="24" t="str">
        <f t="shared" si="22"/>
        <v>[[3,[4]],[2,[10430]]]</v>
      </c>
      <c r="R164" s="24" t="s">
        <v>1397</v>
      </c>
      <c r="S164" s="24" t="s">
        <v>1399</v>
      </c>
      <c r="AA164">
        <v>12015</v>
      </c>
      <c r="AB164" t="s">
        <v>827</v>
      </c>
      <c r="AC164">
        <v>12015</v>
      </c>
    </row>
    <row r="165" spans="1:29" ht="16.5" x14ac:dyDescent="0.15">
      <c r="A165">
        <f t="shared" si="20"/>
        <v>1103101</v>
      </c>
      <c r="B165" s="28" t="s">
        <v>666</v>
      </c>
      <c r="C165" s="35">
        <f t="shared" si="25"/>
        <v>11031</v>
      </c>
      <c r="D165" s="24">
        <v>10490</v>
      </c>
      <c r="E165" s="38" t="str">
        <f t="shared" si="23"/>
        <v>10490,10430</v>
      </c>
      <c r="F165" s="39" t="s">
        <v>1401</v>
      </c>
      <c r="G165" s="39">
        <v>2</v>
      </c>
      <c r="H165" s="24" t="s">
        <v>1397</v>
      </c>
      <c r="I165" s="24" t="s">
        <v>1399</v>
      </c>
      <c r="J165" s="24" t="str">
        <f t="shared" si="24"/>
        <v>[2,[10490,10430]]</v>
      </c>
      <c r="K165" s="42">
        <f t="shared" si="21"/>
        <v>1</v>
      </c>
      <c r="L165" s="39" t="s">
        <v>1401</v>
      </c>
      <c r="M165" s="39">
        <v>3</v>
      </c>
      <c r="N165" s="24" t="s">
        <v>1397</v>
      </c>
      <c r="O165" s="24" t="s">
        <v>1399</v>
      </c>
      <c r="P165" s="24">
        <v>4</v>
      </c>
      <c r="Q165" s="24" t="str">
        <f t="shared" si="22"/>
        <v>[[3,[4]],[2,[10490,10430]]]</v>
      </c>
      <c r="R165" s="24" t="s">
        <v>1397</v>
      </c>
      <c r="S165" s="24" t="s">
        <v>1399</v>
      </c>
      <c r="AA165">
        <v>12016</v>
      </c>
      <c r="AB165" t="s">
        <v>828</v>
      </c>
      <c r="AC165">
        <v>12016</v>
      </c>
    </row>
    <row r="166" spans="1:29" ht="16.5" x14ac:dyDescent="0.15">
      <c r="A166">
        <f t="shared" si="20"/>
        <v>1103101</v>
      </c>
      <c r="B166" s="28" t="s">
        <v>666</v>
      </c>
      <c r="C166" s="35">
        <f t="shared" si="25"/>
        <v>11031</v>
      </c>
      <c r="D166" s="24">
        <v>10550</v>
      </c>
      <c r="E166" s="38" t="str">
        <f t="shared" si="23"/>
        <v>10550,10490,10430</v>
      </c>
      <c r="F166" s="39" t="s">
        <v>1401</v>
      </c>
      <c r="G166" s="39">
        <v>2</v>
      </c>
      <c r="H166" s="24" t="s">
        <v>1397</v>
      </c>
      <c r="I166" s="24" t="s">
        <v>1399</v>
      </c>
      <c r="J166" s="24" t="str">
        <f t="shared" si="24"/>
        <v>[2,[10550,10490,10430]]</v>
      </c>
      <c r="K166" s="42">
        <f t="shared" si="21"/>
        <v>1</v>
      </c>
      <c r="L166" s="39" t="s">
        <v>1401</v>
      </c>
      <c r="M166" s="39">
        <v>3</v>
      </c>
      <c r="N166" s="24" t="s">
        <v>1397</v>
      </c>
      <c r="O166" s="24" t="s">
        <v>1399</v>
      </c>
      <c r="P166" s="24">
        <v>4</v>
      </c>
      <c r="Q166" s="24" t="str">
        <f t="shared" si="22"/>
        <v>[[3,[4]],[2,[10550,10490,10430]]]</v>
      </c>
      <c r="R166" s="24" t="s">
        <v>1397</v>
      </c>
      <c r="S166" s="24" t="s">
        <v>1399</v>
      </c>
      <c r="AA166">
        <v>12017</v>
      </c>
      <c r="AB166" t="s">
        <v>829</v>
      </c>
      <c r="AC166">
        <v>12017</v>
      </c>
    </row>
    <row r="167" spans="1:29" ht="16.5" x14ac:dyDescent="0.15">
      <c r="A167">
        <f t="shared" si="20"/>
        <v>1103101</v>
      </c>
      <c r="B167" s="28" t="s">
        <v>666</v>
      </c>
      <c r="C167" s="35">
        <f t="shared" si="25"/>
        <v>11031</v>
      </c>
      <c r="D167" s="24">
        <v>10610</v>
      </c>
      <c r="E167" s="38" t="str">
        <f t="shared" si="23"/>
        <v>10610,10550,10490,10430</v>
      </c>
      <c r="F167" s="39" t="s">
        <v>1401</v>
      </c>
      <c r="G167" s="39">
        <v>2</v>
      </c>
      <c r="H167" s="24" t="s">
        <v>1397</v>
      </c>
      <c r="I167" s="24" t="s">
        <v>1399</v>
      </c>
      <c r="J167" s="24" t="str">
        <f t="shared" si="24"/>
        <v>[2,[10610,10550,10490,10430]]</v>
      </c>
      <c r="K167" s="42">
        <f t="shared" si="21"/>
        <v>1</v>
      </c>
      <c r="L167" s="39" t="s">
        <v>1401</v>
      </c>
      <c r="M167" s="39">
        <v>3</v>
      </c>
      <c r="N167" s="24" t="s">
        <v>1397</v>
      </c>
      <c r="O167" s="24" t="s">
        <v>1399</v>
      </c>
      <c r="P167" s="24">
        <v>4</v>
      </c>
      <c r="Q167" s="24" t="str">
        <f t="shared" si="22"/>
        <v>[[3,[4]],[2,[10610,10550,10490,10430]]]</v>
      </c>
      <c r="R167" s="24" t="s">
        <v>1397</v>
      </c>
      <c r="S167" s="24" t="s">
        <v>1399</v>
      </c>
      <c r="AA167">
        <v>12018</v>
      </c>
      <c r="AB167" t="s">
        <v>830</v>
      </c>
      <c r="AC167">
        <v>12018</v>
      </c>
    </row>
    <row r="168" spans="1:29" ht="16.5" x14ac:dyDescent="0.15">
      <c r="A168">
        <f t="shared" si="20"/>
        <v>1103101</v>
      </c>
      <c r="B168" s="28" t="s">
        <v>666</v>
      </c>
      <c r="C168" s="35">
        <f t="shared" si="25"/>
        <v>11031</v>
      </c>
      <c r="D168" s="24">
        <v>10670</v>
      </c>
      <c r="E168" s="38" t="str">
        <f t="shared" si="23"/>
        <v>10670,10610,10550,10490,10430</v>
      </c>
      <c r="F168" s="39" t="s">
        <v>1401</v>
      </c>
      <c r="G168" s="39">
        <v>2</v>
      </c>
      <c r="H168" s="24" t="s">
        <v>1397</v>
      </c>
      <c r="I168" s="24" t="s">
        <v>1399</v>
      </c>
      <c r="J168" s="24" t="str">
        <f t="shared" si="24"/>
        <v>[2,[10670,10610,10550,10490,10430]]</v>
      </c>
      <c r="K168" s="42">
        <f t="shared" si="21"/>
        <v>1</v>
      </c>
      <c r="L168" s="39" t="s">
        <v>1401</v>
      </c>
      <c r="M168" s="39">
        <v>3</v>
      </c>
      <c r="N168" s="24" t="s">
        <v>1397</v>
      </c>
      <c r="O168" s="24" t="s">
        <v>1399</v>
      </c>
      <c r="P168" s="24">
        <v>4</v>
      </c>
      <c r="Q168" s="24" t="str">
        <f t="shared" si="22"/>
        <v>[[3,[4]],[2,[10670,10610,10550,10490,10430]]]</v>
      </c>
      <c r="R168" s="24" t="s">
        <v>1397</v>
      </c>
      <c r="S168" s="24" t="s">
        <v>1399</v>
      </c>
      <c r="AA168">
        <v>12019</v>
      </c>
      <c r="AB168" t="s">
        <v>831</v>
      </c>
      <c r="AC168">
        <v>12019</v>
      </c>
    </row>
    <row r="169" spans="1:29" ht="16.5" x14ac:dyDescent="0.15">
      <c r="A169">
        <f t="shared" si="20"/>
        <v>1103101</v>
      </c>
      <c r="B169" s="28" t="s">
        <v>666</v>
      </c>
      <c r="C169" s="35">
        <f t="shared" si="25"/>
        <v>11031</v>
      </c>
      <c r="D169" s="24">
        <v>10730</v>
      </c>
      <c r="E169" s="38" t="str">
        <f t="shared" si="23"/>
        <v>10730,10670,10610,10550,10490,10430</v>
      </c>
      <c r="F169" s="39" t="s">
        <v>1401</v>
      </c>
      <c r="G169" s="39">
        <v>2</v>
      </c>
      <c r="H169" s="24" t="s">
        <v>1397</v>
      </c>
      <c r="I169" s="24" t="s">
        <v>1399</v>
      </c>
      <c r="J169" s="24" t="str">
        <f t="shared" si="24"/>
        <v>[2,[10730,10670,10610,10550,10490,10430]]</v>
      </c>
      <c r="K169" s="42">
        <f t="shared" si="21"/>
        <v>1</v>
      </c>
      <c r="L169" s="39" t="s">
        <v>1401</v>
      </c>
      <c r="M169" s="39">
        <v>3</v>
      </c>
      <c r="N169" s="24" t="s">
        <v>1397</v>
      </c>
      <c r="O169" s="24" t="s">
        <v>1399</v>
      </c>
      <c r="P169" s="24">
        <v>4</v>
      </c>
      <c r="Q169" s="24" t="str">
        <f t="shared" si="22"/>
        <v>[[3,[4]],[2,[10730,10670,10610,10550,10490,10430]]]</v>
      </c>
      <c r="R169" s="24" t="s">
        <v>1397</v>
      </c>
      <c r="S169" s="24" t="s">
        <v>1399</v>
      </c>
      <c r="AA169">
        <v>12020</v>
      </c>
      <c r="AB169" t="s">
        <v>832</v>
      </c>
      <c r="AC169">
        <v>12020</v>
      </c>
    </row>
    <row r="170" spans="1:29" ht="16.5" x14ac:dyDescent="0.15">
      <c r="A170">
        <f t="shared" si="20"/>
        <v>1103101</v>
      </c>
      <c r="B170" s="28" t="s">
        <v>666</v>
      </c>
      <c r="C170" s="35">
        <f t="shared" si="25"/>
        <v>11031</v>
      </c>
      <c r="D170" s="24">
        <v>10790</v>
      </c>
      <c r="E170" s="38" t="str">
        <f t="shared" si="23"/>
        <v>10790,10730,10670,10610,10550,10490,10430</v>
      </c>
      <c r="F170" s="39" t="s">
        <v>1401</v>
      </c>
      <c r="G170" s="39">
        <v>2</v>
      </c>
      <c r="H170" s="24" t="s">
        <v>1397</v>
      </c>
      <c r="I170" s="24" t="s">
        <v>1399</v>
      </c>
      <c r="J170" s="24" t="str">
        <f t="shared" si="24"/>
        <v>[2,[10790,10730,10670,10610,10550,10490,10430]]</v>
      </c>
      <c r="K170" s="42">
        <f t="shared" si="21"/>
        <v>1</v>
      </c>
      <c r="L170" s="39" t="s">
        <v>1401</v>
      </c>
      <c r="M170" s="39">
        <v>3</v>
      </c>
      <c r="N170" s="24" t="s">
        <v>1397</v>
      </c>
      <c r="O170" s="24" t="s">
        <v>1399</v>
      </c>
      <c r="P170" s="24">
        <v>4</v>
      </c>
      <c r="Q170" s="24" t="str">
        <f t="shared" si="22"/>
        <v>[[3,[4]],[2,[10790,10730,10670,10610,10550,10490,10430]]]</v>
      </c>
      <c r="R170" s="24" t="s">
        <v>1397</v>
      </c>
      <c r="S170" s="24" t="s">
        <v>1399</v>
      </c>
      <c r="AA170">
        <v>12021</v>
      </c>
      <c r="AB170" t="s">
        <v>833</v>
      </c>
      <c r="AC170">
        <v>12021</v>
      </c>
    </row>
    <row r="171" spans="1:29" ht="16.5" x14ac:dyDescent="0.15">
      <c r="A171">
        <f t="shared" si="20"/>
        <v>1103102</v>
      </c>
      <c r="B171" s="28" t="s">
        <v>666</v>
      </c>
      <c r="C171" s="35">
        <f t="shared" si="25"/>
        <v>11031</v>
      </c>
      <c r="D171" s="24">
        <v>10850</v>
      </c>
      <c r="E171" s="38" t="str">
        <f t="shared" si="23"/>
        <v>10850,10790,10730,10670,10610,10550,10490,10430</v>
      </c>
      <c r="F171" s="39" t="s">
        <v>1401</v>
      </c>
      <c r="G171" s="39">
        <v>2</v>
      </c>
      <c r="H171" s="24" t="s">
        <v>1397</v>
      </c>
      <c r="I171" s="24" t="s">
        <v>1399</v>
      </c>
      <c r="J171" s="24" t="str">
        <f t="shared" si="24"/>
        <v>[2,[10850,10790,10730,10670,10610,10550,10490,10430]]</v>
      </c>
      <c r="K171" s="42">
        <f t="shared" si="21"/>
        <v>2</v>
      </c>
      <c r="L171" s="39" t="s">
        <v>1401</v>
      </c>
      <c r="M171" s="39">
        <v>3</v>
      </c>
      <c r="N171" s="24" t="s">
        <v>1397</v>
      </c>
      <c r="O171" s="24" t="s">
        <v>1399</v>
      </c>
      <c r="P171" s="24">
        <v>4</v>
      </c>
      <c r="Q171" s="24" t="str">
        <f t="shared" si="22"/>
        <v>[[3,[4]],[2,[10850,10790,10730,10670,10610,10550,10490,10430]]]</v>
      </c>
      <c r="R171" s="24" t="s">
        <v>1397</v>
      </c>
      <c r="S171" s="24" t="s">
        <v>1399</v>
      </c>
      <c r="AA171">
        <v>12022</v>
      </c>
      <c r="AB171" t="s">
        <v>834</v>
      </c>
      <c r="AC171">
        <v>12022</v>
      </c>
    </row>
    <row r="172" spans="1:29" ht="16.5" x14ac:dyDescent="0.15">
      <c r="A172">
        <f t="shared" si="20"/>
        <v>1103001</v>
      </c>
      <c r="B172" s="28" t="s">
        <v>665</v>
      </c>
      <c r="C172" s="35">
        <f t="shared" si="25"/>
        <v>11030</v>
      </c>
      <c r="D172" s="24">
        <v>10440</v>
      </c>
      <c r="E172" s="38">
        <f t="shared" si="23"/>
        <v>10440</v>
      </c>
      <c r="F172" s="39" t="s">
        <v>1401</v>
      </c>
      <c r="G172" s="39">
        <v>2</v>
      </c>
      <c r="H172" s="24" t="s">
        <v>1397</v>
      </c>
      <c r="I172" s="24" t="s">
        <v>1399</v>
      </c>
      <c r="J172" s="24" t="str">
        <f t="shared" si="24"/>
        <v>[2,[10440]]</v>
      </c>
      <c r="K172" s="42">
        <f t="shared" si="21"/>
        <v>1</v>
      </c>
      <c r="L172" s="39" t="s">
        <v>1401</v>
      </c>
      <c r="M172" s="39">
        <v>3</v>
      </c>
      <c r="N172" s="24" t="s">
        <v>1397</v>
      </c>
      <c r="O172" s="24" t="s">
        <v>1399</v>
      </c>
      <c r="P172" s="24">
        <v>4</v>
      </c>
      <c r="Q172" s="24" t="str">
        <f t="shared" si="22"/>
        <v>[[3,[4]],[2,[10440]]]</v>
      </c>
      <c r="R172" s="24" t="s">
        <v>1397</v>
      </c>
      <c r="S172" s="24" t="s">
        <v>1399</v>
      </c>
      <c r="AA172">
        <v>12023</v>
      </c>
      <c r="AB172" t="s">
        <v>835</v>
      </c>
      <c r="AC172">
        <v>12023</v>
      </c>
    </row>
    <row r="173" spans="1:29" ht="16.5" x14ac:dyDescent="0.15">
      <c r="A173">
        <f t="shared" si="20"/>
        <v>1103001</v>
      </c>
      <c r="B173" s="28" t="s">
        <v>665</v>
      </c>
      <c r="C173" s="35">
        <f t="shared" si="25"/>
        <v>11030</v>
      </c>
      <c r="D173" s="24">
        <v>10500</v>
      </c>
      <c r="E173" s="38" t="str">
        <f t="shared" si="23"/>
        <v>10500,10440</v>
      </c>
      <c r="F173" s="39" t="s">
        <v>1401</v>
      </c>
      <c r="G173" s="39">
        <v>2</v>
      </c>
      <c r="H173" s="24" t="s">
        <v>1397</v>
      </c>
      <c r="I173" s="24" t="s">
        <v>1399</v>
      </c>
      <c r="J173" s="24" t="str">
        <f t="shared" si="24"/>
        <v>[2,[10500,10440]]</v>
      </c>
      <c r="K173" s="42">
        <f t="shared" si="21"/>
        <v>1</v>
      </c>
      <c r="L173" s="39" t="s">
        <v>1401</v>
      </c>
      <c r="M173" s="39">
        <v>3</v>
      </c>
      <c r="N173" s="24" t="s">
        <v>1397</v>
      </c>
      <c r="O173" s="24" t="s">
        <v>1399</v>
      </c>
      <c r="P173" s="24">
        <v>4</v>
      </c>
      <c r="Q173" s="24" t="str">
        <f t="shared" si="22"/>
        <v>[[3,[4]],[2,[10500,10440]]]</v>
      </c>
      <c r="R173" s="24" t="s">
        <v>1397</v>
      </c>
      <c r="S173" s="24" t="s">
        <v>1399</v>
      </c>
      <c r="AA173">
        <v>12024</v>
      </c>
      <c r="AB173" t="s">
        <v>836</v>
      </c>
      <c r="AC173">
        <v>12024</v>
      </c>
    </row>
    <row r="174" spans="1:29" ht="16.5" x14ac:dyDescent="0.15">
      <c r="A174">
        <f t="shared" si="20"/>
        <v>1103001</v>
      </c>
      <c r="B174" s="28" t="s">
        <v>665</v>
      </c>
      <c r="C174" s="35">
        <f t="shared" si="25"/>
        <v>11030</v>
      </c>
      <c r="D174" s="24">
        <v>10560</v>
      </c>
      <c r="E174" s="38" t="str">
        <f t="shared" si="23"/>
        <v>10560,10500,10440</v>
      </c>
      <c r="F174" s="39" t="s">
        <v>1401</v>
      </c>
      <c r="G174" s="39">
        <v>2</v>
      </c>
      <c r="H174" s="24" t="s">
        <v>1397</v>
      </c>
      <c r="I174" s="24" t="s">
        <v>1399</v>
      </c>
      <c r="J174" s="24" t="str">
        <f t="shared" si="24"/>
        <v>[2,[10560,10500,10440]]</v>
      </c>
      <c r="K174" s="42">
        <f t="shared" si="21"/>
        <v>1</v>
      </c>
      <c r="L174" s="39" t="s">
        <v>1401</v>
      </c>
      <c r="M174" s="39">
        <v>3</v>
      </c>
      <c r="N174" s="24" t="s">
        <v>1397</v>
      </c>
      <c r="O174" s="24" t="s">
        <v>1399</v>
      </c>
      <c r="P174" s="24">
        <v>4</v>
      </c>
      <c r="Q174" s="24" t="str">
        <f t="shared" si="22"/>
        <v>[[3,[4]],[2,[10560,10500,10440]]]</v>
      </c>
      <c r="R174" s="24" t="s">
        <v>1397</v>
      </c>
      <c r="S174" s="24" t="s">
        <v>1399</v>
      </c>
      <c r="AA174">
        <v>12025</v>
      </c>
      <c r="AB174" t="s">
        <v>837</v>
      </c>
      <c r="AC174">
        <v>12025</v>
      </c>
    </row>
    <row r="175" spans="1:29" ht="16.5" x14ac:dyDescent="0.15">
      <c r="A175">
        <f t="shared" si="20"/>
        <v>1103001</v>
      </c>
      <c r="B175" s="28" t="s">
        <v>665</v>
      </c>
      <c r="C175" s="35">
        <f t="shared" si="25"/>
        <v>11030</v>
      </c>
      <c r="D175" s="24">
        <v>10620</v>
      </c>
      <c r="E175" s="38" t="str">
        <f t="shared" si="23"/>
        <v>10620,10560,10500,10440</v>
      </c>
      <c r="F175" s="39" t="s">
        <v>1401</v>
      </c>
      <c r="G175" s="39">
        <v>2</v>
      </c>
      <c r="H175" s="24" t="s">
        <v>1397</v>
      </c>
      <c r="I175" s="24" t="s">
        <v>1399</v>
      </c>
      <c r="J175" s="24" t="str">
        <f t="shared" si="24"/>
        <v>[2,[10620,10560,10500,10440]]</v>
      </c>
      <c r="K175" s="42">
        <f t="shared" si="21"/>
        <v>1</v>
      </c>
      <c r="L175" s="39" t="s">
        <v>1401</v>
      </c>
      <c r="M175" s="39">
        <v>3</v>
      </c>
      <c r="N175" s="24" t="s">
        <v>1397</v>
      </c>
      <c r="O175" s="24" t="s">
        <v>1399</v>
      </c>
      <c r="P175" s="24">
        <v>4</v>
      </c>
      <c r="Q175" s="24" t="str">
        <f t="shared" si="22"/>
        <v>[[3,[4]],[2,[10620,10560,10500,10440]]]</v>
      </c>
      <c r="R175" s="24" t="s">
        <v>1397</v>
      </c>
      <c r="S175" s="24" t="s">
        <v>1399</v>
      </c>
      <c r="AA175">
        <v>12026</v>
      </c>
      <c r="AB175" t="s">
        <v>838</v>
      </c>
      <c r="AC175">
        <v>12026</v>
      </c>
    </row>
    <row r="176" spans="1:29" ht="16.5" x14ac:dyDescent="0.15">
      <c r="A176">
        <f t="shared" si="20"/>
        <v>1103001</v>
      </c>
      <c r="B176" s="28" t="s">
        <v>665</v>
      </c>
      <c r="C176" s="35">
        <f t="shared" si="25"/>
        <v>11030</v>
      </c>
      <c r="D176" s="24">
        <v>10680</v>
      </c>
      <c r="E176" s="38" t="str">
        <f t="shared" si="23"/>
        <v>10680,10620,10560,10500,10440</v>
      </c>
      <c r="F176" s="39" t="s">
        <v>1401</v>
      </c>
      <c r="G176" s="39">
        <v>2</v>
      </c>
      <c r="H176" s="24" t="s">
        <v>1397</v>
      </c>
      <c r="I176" s="24" t="s">
        <v>1399</v>
      </c>
      <c r="J176" s="24" t="str">
        <f t="shared" si="24"/>
        <v>[2,[10680,10620,10560,10500,10440]]</v>
      </c>
      <c r="K176" s="42">
        <f t="shared" si="21"/>
        <v>1</v>
      </c>
      <c r="L176" s="39" t="s">
        <v>1401</v>
      </c>
      <c r="M176" s="39">
        <v>3</v>
      </c>
      <c r="N176" s="24" t="s">
        <v>1397</v>
      </c>
      <c r="O176" s="24" t="s">
        <v>1399</v>
      </c>
      <c r="P176" s="24">
        <v>4</v>
      </c>
      <c r="Q176" s="24" t="str">
        <f t="shared" si="22"/>
        <v>[[3,[4]],[2,[10680,10620,10560,10500,10440]]]</v>
      </c>
      <c r="R176" s="24" t="s">
        <v>1397</v>
      </c>
      <c r="S176" s="24" t="s">
        <v>1399</v>
      </c>
      <c r="AA176">
        <v>12027</v>
      </c>
      <c r="AB176" t="s">
        <v>839</v>
      </c>
      <c r="AC176">
        <v>12027</v>
      </c>
    </row>
    <row r="177" spans="1:29" ht="16.5" x14ac:dyDescent="0.15">
      <c r="A177">
        <f t="shared" si="20"/>
        <v>1103001</v>
      </c>
      <c r="B177" s="28" t="s">
        <v>665</v>
      </c>
      <c r="C177" s="35">
        <f t="shared" si="25"/>
        <v>11030</v>
      </c>
      <c r="D177" s="24">
        <v>10740</v>
      </c>
      <c r="E177" s="38" t="str">
        <f t="shared" si="23"/>
        <v>10740,10680,10620,10560,10500,10440</v>
      </c>
      <c r="F177" s="39" t="s">
        <v>1401</v>
      </c>
      <c r="G177" s="39">
        <v>2</v>
      </c>
      <c r="H177" s="24" t="s">
        <v>1397</v>
      </c>
      <c r="I177" s="24" t="s">
        <v>1399</v>
      </c>
      <c r="J177" s="24" t="str">
        <f t="shared" si="24"/>
        <v>[2,[10740,10680,10620,10560,10500,10440]]</v>
      </c>
      <c r="K177" s="42">
        <f t="shared" si="21"/>
        <v>1</v>
      </c>
      <c r="L177" s="39" t="s">
        <v>1401</v>
      </c>
      <c r="M177" s="39">
        <v>3</v>
      </c>
      <c r="N177" s="24" t="s">
        <v>1397</v>
      </c>
      <c r="O177" s="24" t="s">
        <v>1399</v>
      </c>
      <c r="P177" s="24">
        <v>4</v>
      </c>
      <c r="Q177" s="24" t="str">
        <f t="shared" si="22"/>
        <v>[[3,[4]],[2,[10740,10680,10620,10560,10500,10440]]]</v>
      </c>
      <c r="R177" s="24" t="s">
        <v>1397</v>
      </c>
      <c r="S177" s="24" t="s">
        <v>1399</v>
      </c>
      <c r="AA177">
        <v>12028</v>
      </c>
      <c r="AB177" t="s">
        <v>840</v>
      </c>
      <c r="AC177">
        <v>12028</v>
      </c>
    </row>
    <row r="178" spans="1:29" ht="16.5" x14ac:dyDescent="0.15">
      <c r="A178">
        <f t="shared" si="20"/>
        <v>1103001</v>
      </c>
      <c r="B178" s="28" t="s">
        <v>665</v>
      </c>
      <c r="C178" s="35">
        <f t="shared" si="25"/>
        <v>11030</v>
      </c>
      <c r="D178" s="24">
        <v>10800</v>
      </c>
      <c r="E178" s="38" t="str">
        <f t="shared" si="23"/>
        <v>10800,10740,10680,10620,10560,10500,10440</v>
      </c>
      <c r="F178" s="39" t="s">
        <v>1401</v>
      </c>
      <c r="G178" s="39">
        <v>2</v>
      </c>
      <c r="H178" s="24" t="s">
        <v>1397</v>
      </c>
      <c r="I178" s="24" t="s">
        <v>1399</v>
      </c>
      <c r="J178" s="24" t="str">
        <f t="shared" si="24"/>
        <v>[2,[10800,10740,10680,10620,10560,10500,10440]]</v>
      </c>
      <c r="K178" s="42">
        <f t="shared" si="21"/>
        <v>1</v>
      </c>
      <c r="L178" s="39" t="s">
        <v>1401</v>
      </c>
      <c r="M178" s="39">
        <v>3</v>
      </c>
      <c r="N178" s="24" t="s">
        <v>1397</v>
      </c>
      <c r="O178" s="24" t="s">
        <v>1399</v>
      </c>
      <c r="P178" s="24">
        <v>4</v>
      </c>
      <c r="Q178" s="24" t="str">
        <f t="shared" si="22"/>
        <v>[[3,[4]],[2,[10800,10740,10680,10620,10560,10500,10440]]]</v>
      </c>
      <c r="R178" s="24" t="s">
        <v>1397</v>
      </c>
      <c r="S178" s="24" t="s">
        <v>1399</v>
      </c>
      <c r="AA178">
        <v>12029</v>
      </c>
      <c r="AB178" t="s">
        <v>701</v>
      </c>
      <c r="AC178">
        <v>12029</v>
      </c>
    </row>
    <row r="179" spans="1:29" ht="16.5" x14ac:dyDescent="0.15">
      <c r="A179">
        <f t="shared" si="20"/>
        <v>1103002</v>
      </c>
      <c r="B179" s="28" t="s">
        <v>665</v>
      </c>
      <c r="C179" s="35">
        <f t="shared" si="25"/>
        <v>11030</v>
      </c>
      <c r="D179" s="24">
        <v>10860</v>
      </c>
      <c r="E179" s="38" t="str">
        <f t="shared" si="23"/>
        <v>10860,10800,10740,10680,10620,10560,10500,10440</v>
      </c>
      <c r="F179" s="39" t="s">
        <v>1401</v>
      </c>
      <c r="G179" s="39">
        <v>2</v>
      </c>
      <c r="H179" s="24" t="s">
        <v>1397</v>
      </c>
      <c r="I179" s="24" t="s">
        <v>1399</v>
      </c>
      <c r="J179" s="24" t="str">
        <f t="shared" si="24"/>
        <v>[2,[10860,10800,10740,10680,10620,10560,10500,10440]]</v>
      </c>
      <c r="K179" s="42">
        <f t="shared" si="21"/>
        <v>2</v>
      </c>
      <c r="L179" s="39" t="s">
        <v>1401</v>
      </c>
      <c r="M179" s="39">
        <v>3</v>
      </c>
      <c r="N179" s="24" t="s">
        <v>1397</v>
      </c>
      <c r="O179" s="24" t="s">
        <v>1399</v>
      </c>
      <c r="P179" s="24">
        <v>4</v>
      </c>
      <c r="Q179" s="24" t="str">
        <f t="shared" si="22"/>
        <v>[[3,[4]],[2,[10860,10800,10740,10680,10620,10560,10500,10440]]]</v>
      </c>
      <c r="R179" s="24" t="s">
        <v>1397</v>
      </c>
      <c r="S179" s="24" t="s">
        <v>1399</v>
      </c>
      <c r="AA179">
        <v>12030</v>
      </c>
      <c r="AB179" t="s">
        <v>705</v>
      </c>
      <c r="AC179">
        <v>12030</v>
      </c>
    </row>
    <row r="180" spans="1:29" ht="16.5" x14ac:dyDescent="0.15">
      <c r="B180" s="36"/>
      <c r="C180" s="35"/>
      <c r="D180" s="24"/>
      <c r="E180" s="38"/>
      <c r="F180" s="39"/>
      <c r="G180" s="39"/>
      <c r="H180" s="24"/>
      <c r="I180" s="24"/>
      <c r="J180" s="24"/>
      <c r="K180" s="42"/>
      <c r="L180" s="39"/>
      <c r="M180" s="39"/>
      <c r="N180" s="24"/>
      <c r="O180" s="24"/>
      <c r="P180" s="24"/>
      <c r="Q180" s="24"/>
      <c r="R180" s="24"/>
      <c r="S180" s="24"/>
      <c r="AA180">
        <v>12031</v>
      </c>
      <c r="AB180" t="s">
        <v>710</v>
      </c>
      <c r="AC180">
        <v>12031</v>
      </c>
    </row>
    <row r="181" spans="1:29" ht="16.5" x14ac:dyDescent="0.15">
      <c r="A181">
        <f t="shared" si="20"/>
        <v>1001601</v>
      </c>
      <c r="B181" s="43" t="s">
        <v>101</v>
      </c>
      <c r="C181" s="35">
        <f t="shared" ref="C181:C244" si="26">VLOOKUP(B181,AB:AC,2,FALSE)</f>
        <v>10016</v>
      </c>
      <c r="D181">
        <v>10230</v>
      </c>
      <c r="E181" s="38">
        <f>IF(C181=C179,D181&amp;F181&amp;E179,D181)</f>
        <v>10230</v>
      </c>
      <c r="F181" s="39" t="s">
        <v>1401</v>
      </c>
      <c r="G181" s="39">
        <v>2</v>
      </c>
      <c r="H181" s="24" t="s">
        <v>1397</v>
      </c>
      <c r="I181" s="24" t="s">
        <v>1399</v>
      </c>
      <c r="J181" s="24" t="str">
        <f t="shared" ref="J181:J244" si="27">H181&amp;G181&amp;F181&amp;H181&amp;E181&amp;I181&amp;I181</f>
        <v>[2,[10230]]</v>
      </c>
      <c r="K181" s="42">
        <f>IF(C181=C182,1,2)</f>
        <v>1</v>
      </c>
      <c r="L181" s="39" t="s">
        <v>1401</v>
      </c>
      <c r="M181" s="39">
        <v>3</v>
      </c>
      <c r="N181" s="24" t="s">
        <v>1397</v>
      </c>
      <c r="O181" s="24" t="s">
        <v>1399</v>
      </c>
      <c r="P181" s="24">
        <f t="shared" ref="P181:P244" si="28">IFERROR(VLOOKUP(B181,AE:AK,2,FALSE),0)</f>
        <v>10016</v>
      </c>
      <c r="Q181" s="24" t="str">
        <f>IF(P181=0,R181&amp;(J181)&amp;S181,R181&amp;(N181&amp;M181&amp;L181&amp;N181&amp;P181&amp;O181&amp;O181)&amp;L181&amp;(J181)&amp;S181)</f>
        <v>[[3,[10016]],[2,[10230]]]</v>
      </c>
      <c r="R181" s="24" t="s">
        <v>1397</v>
      </c>
      <c r="S181" s="24" t="s">
        <v>1399</v>
      </c>
      <c r="AA181">
        <v>12032</v>
      </c>
      <c r="AB181" t="s">
        <v>715</v>
      </c>
      <c r="AC181">
        <v>12032</v>
      </c>
    </row>
    <row r="182" spans="1:29" ht="16.5" x14ac:dyDescent="0.15">
      <c r="A182">
        <f t="shared" si="20"/>
        <v>1001601</v>
      </c>
      <c r="B182" s="43" t="s">
        <v>101</v>
      </c>
      <c r="C182" s="35">
        <f t="shared" si="26"/>
        <v>10016</v>
      </c>
      <c r="D182">
        <v>10350</v>
      </c>
      <c r="E182" s="38" t="str">
        <f t="shared" ref="E182:E244" si="29">IF(C182=C181,D182&amp;F182&amp;E181,D182)</f>
        <v>10350,10230</v>
      </c>
      <c r="F182" s="39" t="s">
        <v>1401</v>
      </c>
      <c r="G182" s="39">
        <v>2</v>
      </c>
      <c r="H182" s="24" t="s">
        <v>1397</v>
      </c>
      <c r="I182" s="24" t="s">
        <v>1399</v>
      </c>
      <c r="J182" s="24" t="str">
        <f t="shared" si="27"/>
        <v>[2,[10350,10230]]</v>
      </c>
      <c r="K182" s="42">
        <f t="shared" ref="K182:K245" si="30">IF(C182=C183,1,2)</f>
        <v>1</v>
      </c>
      <c r="L182" s="39" t="s">
        <v>1401</v>
      </c>
      <c r="M182" s="39">
        <v>3</v>
      </c>
      <c r="N182" s="24" t="s">
        <v>1397</v>
      </c>
      <c r="O182" s="24" t="s">
        <v>1399</v>
      </c>
      <c r="P182" s="24">
        <f t="shared" si="28"/>
        <v>10016</v>
      </c>
      <c r="Q182" s="24" t="str">
        <f t="shared" ref="Q182:Q245" si="31">IF(P182=0,R182&amp;(J182)&amp;S182,R182&amp;(N182&amp;M182&amp;L182&amp;N182&amp;P182&amp;O182&amp;O182)&amp;L182&amp;(J182)&amp;S182)</f>
        <v>[[3,[10016]],[2,[10350,10230]]]</v>
      </c>
      <c r="R182" s="24" t="s">
        <v>1397</v>
      </c>
      <c r="S182" s="24" t="s">
        <v>1399</v>
      </c>
      <c r="AA182">
        <v>12033</v>
      </c>
      <c r="AB182" t="s">
        <v>702</v>
      </c>
      <c r="AC182">
        <v>12033</v>
      </c>
    </row>
    <row r="183" spans="1:29" ht="16.5" x14ac:dyDescent="0.15">
      <c r="A183">
        <f t="shared" si="20"/>
        <v>1001601</v>
      </c>
      <c r="B183" s="43" t="s">
        <v>101</v>
      </c>
      <c r="C183" s="35">
        <f t="shared" si="26"/>
        <v>10016</v>
      </c>
      <c r="D183">
        <v>10470</v>
      </c>
      <c r="E183" s="38" t="str">
        <f t="shared" si="29"/>
        <v>10470,10350,10230</v>
      </c>
      <c r="F183" s="39" t="s">
        <v>1401</v>
      </c>
      <c r="G183" s="39">
        <v>2</v>
      </c>
      <c r="H183" s="24" t="s">
        <v>1397</v>
      </c>
      <c r="I183" s="24" t="s">
        <v>1399</v>
      </c>
      <c r="J183" s="24" t="str">
        <f t="shared" si="27"/>
        <v>[2,[10470,10350,10230]]</v>
      </c>
      <c r="K183" s="42">
        <f t="shared" si="30"/>
        <v>1</v>
      </c>
      <c r="L183" s="39" t="s">
        <v>1401</v>
      </c>
      <c r="M183" s="39">
        <v>3</v>
      </c>
      <c r="N183" s="24" t="s">
        <v>1397</v>
      </c>
      <c r="O183" s="24" t="s">
        <v>1399</v>
      </c>
      <c r="P183" s="24">
        <f t="shared" si="28"/>
        <v>10016</v>
      </c>
      <c r="Q183" s="24" t="str">
        <f t="shared" si="31"/>
        <v>[[3,[10016]],[2,[10470,10350,10230]]]</v>
      </c>
      <c r="R183" s="24" t="s">
        <v>1397</v>
      </c>
      <c r="S183" s="24" t="s">
        <v>1399</v>
      </c>
      <c r="AA183">
        <v>12034</v>
      </c>
      <c r="AB183" t="s">
        <v>706</v>
      </c>
      <c r="AC183">
        <v>12034</v>
      </c>
    </row>
    <row r="184" spans="1:29" ht="16.5" x14ac:dyDescent="0.15">
      <c r="A184">
        <f t="shared" si="20"/>
        <v>1001601</v>
      </c>
      <c r="B184" s="43" t="s">
        <v>101</v>
      </c>
      <c r="C184" s="35">
        <f t="shared" si="26"/>
        <v>10016</v>
      </c>
      <c r="D184">
        <v>10590</v>
      </c>
      <c r="E184" s="38" t="str">
        <f t="shared" si="29"/>
        <v>10590,10470,10350,10230</v>
      </c>
      <c r="F184" s="39" t="s">
        <v>1401</v>
      </c>
      <c r="G184" s="39">
        <v>2</v>
      </c>
      <c r="H184" s="24" t="s">
        <v>1397</v>
      </c>
      <c r="I184" s="24" t="s">
        <v>1399</v>
      </c>
      <c r="J184" s="24" t="str">
        <f t="shared" si="27"/>
        <v>[2,[10590,10470,10350,10230]]</v>
      </c>
      <c r="K184" s="42">
        <f t="shared" si="30"/>
        <v>1</v>
      </c>
      <c r="L184" s="39" t="s">
        <v>1401</v>
      </c>
      <c r="M184" s="39">
        <v>3</v>
      </c>
      <c r="N184" s="24" t="s">
        <v>1397</v>
      </c>
      <c r="O184" s="24" t="s">
        <v>1399</v>
      </c>
      <c r="P184" s="24">
        <f t="shared" si="28"/>
        <v>10016</v>
      </c>
      <c r="Q184" s="24" t="str">
        <f t="shared" si="31"/>
        <v>[[3,[10016]],[2,[10590,10470,10350,10230]]]</v>
      </c>
      <c r="R184" s="24" t="s">
        <v>1397</v>
      </c>
      <c r="S184" s="24" t="s">
        <v>1399</v>
      </c>
      <c r="AA184">
        <v>12035</v>
      </c>
      <c r="AB184" t="s">
        <v>711</v>
      </c>
      <c r="AC184">
        <v>12035</v>
      </c>
    </row>
    <row r="185" spans="1:29" ht="16.5" x14ac:dyDescent="0.15">
      <c r="A185">
        <f t="shared" si="20"/>
        <v>1001601</v>
      </c>
      <c r="B185" s="43" t="s">
        <v>101</v>
      </c>
      <c r="C185" s="35">
        <f t="shared" si="26"/>
        <v>10016</v>
      </c>
      <c r="D185">
        <v>10710</v>
      </c>
      <c r="E185" s="38" t="str">
        <f t="shared" si="29"/>
        <v>10710,10590,10470,10350,10230</v>
      </c>
      <c r="F185" s="39" t="s">
        <v>1401</v>
      </c>
      <c r="G185" s="39">
        <v>2</v>
      </c>
      <c r="H185" s="24" t="s">
        <v>1397</v>
      </c>
      <c r="I185" s="24" t="s">
        <v>1399</v>
      </c>
      <c r="J185" s="24" t="str">
        <f t="shared" si="27"/>
        <v>[2,[10710,10590,10470,10350,10230]]</v>
      </c>
      <c r="K185" s="42">
        <f t="shared" si="30"/>
        <v>1</v>
      </c>
      <c r="L185" s="39" t="s">
        <v>1401</v>
      </c>
      <c r="M185" s="39">
        <v>3</v>
      </c>
      <c r="N185" s="24" t="s">
        <v>1397</v>
      </c>
      <c r="O185" s="24" t="s">
        <v>1399</v>
      </c>
      <c r="P185" s="24">
        <f t="shared" si="28"/>
        <v>10016</v>
      </c>
      <c r="Q185" s="24" t="str">
        <f t="shared" si="31"/>
        <v>[[3,[10016]],[2,[10710,10590,10470,10350,10230]]]</v>
      </c>
      <c r="R185" s="24" t="s">
        <v>1397</v>
      </c>
      <c r="S185" s="24" t="s">
        <v>1399</v>
      </c>
      <c r="AA185">
        <v>12036</v>
      </c>
      <c r="AB185" t="s">
        <v>716</v>
      </c>
      <c r="AC185">
        <v>12036</v>
      </c>
    </row>
    <row r="186" spans="1:29" ht="16.5" x14ac:dyDescent="0.15">
      <c r="A186">
        <f t="shared" si="20"/>
        <v>1001602</v>
      </c>
      <c r="B186" s="43" t="s">
        <v>101</v>
      </c>
      <c r="C186" s="35">
        <f t="shared" si="26"/>
        <v>10016</v>
      </c>
      <c r="D186">
        <v>10830</v>
      </c>
      <c r="E186" s="38" t="str">
        <f t="shared" si="29"/>
        <v>10830,10710,10590,10470,10350,10230</v>
      </c>
      <c r="F186" s="39" t="s">
        <v>1401</v>
      </c>
      <c r="G186" s="39">
        <v>2</v>
      </c>
      <c r="H186" s="24" t="s">
        <v>1397</v>
      </c>
      <c r="I186" s="24" t="s">
        <v>1399</v>
      </c>
      <c r="J186" s="24" t="str">
        <f t="shared" si="27"/>
        <v>[2,[10830,10710,10590,10470,10350,10230]]</v>
      </c>
      <c r="K186" s="42">
        <f t="shared" si="30"/>
        <v>2</v>
      </c>
      <c r="L186" s="39" t="s">
        <v>1401</v>
      </c>
      <c r="M186" s="39">
        <v>3</v>
      </c>
      <c r="N186" s="24" t="s">
        <v>1397</v>
      </c>
      <c r="O186" s="24" t="s">
        <v>1399</v>
      </c>
      <c r="P186" s="24">
        <f t="shared" si="28"/>
        <v>10016</v>
      </c>
      <c r="Q186" s="24" t="str">
        <f t="shared" si="31"/>
        <v>[[3,[10016]],[2,[10830,10710,10590,10470,10350,10230]]]</v>
      </c>
      <c r="R186" s="24" t="s">
        <v>1397</v>
      </c>
      <c r="S186" s="24" t="s">
        <v>1399</v>
      </c>
      <c r="AA186">
        <v>12037</v>
      </c>
      <c r="AB186" t="s">
        <v>1339</v>
      </c>
      <c r="AC186">
        <v>12037</v>
      </c>
    </row>
    <row r="187" spans="1:29" ht="16.5" x14ac:dyDescent="0.15">
      <c r="A187">
        <f t="shared" si="20"/>
        <v>1003601</v>
      </c>
      <c r="B187" s="27" t="s">
        <v>116</v>
      </c>
      <c r="C187" s="35">
        <f t="shared" si="26"/>
        <v>10036</v>
      </c>
      <c r="D187" s="24">
        <v>10156</v>
      </c>
      <c r="E187" s="38">
        <f t="shared" si="29"/>
        <v>10156</v>
      </c>
      <c r="F187" s="39" t="s">
        <v>1401</v>
      </c>
      <c r="G187" s="39">
        <v>2</v>
      </c>
      <c r="H187" s="24" t="s">
        <v>1397</v>
      </c>
      <c r="I187" s="24" t="s">
        <v>1399</v>
      </c>
      <c r="J187" s="24" t="str">
        <f t="shared" si="27"/>
        <v>[2,[10156]]</v>
      </c>
      <c r="K187" s="42">
        <f t="shared" si="30"/>
        <v>1</v>
      </c>
      <c r="L187" s="39" t="s">
        <v>1401</v>
      </c>
      <c r="M187" s="39">
        <v>3</v>
      </c>
      <c r="N187" s="24" t="s">
        <v>1397</v>
      </c>
      <c r="O187" s="24" t="s">
        <v>1399</v>
      </c>
      <c r="P187" s="24">
        <f t="shared" si="28"/>
        <v>0</v>
      </c>
      <c r="Q187" s="24" t="str">
        <f t="shared" si="31"/>
        <v>[[2,[10156]]]</v>
      </c>
      <c r="R187" s="24" t="s">
        <v>1397</v>
      </c>
      <c r="S187" s="24" t="s">
        <v>1399</v>
      </c>
      <c r="AA187">
        <v>12038</v>
      </c>
      <c r="AB187" t="s">
        <v>842</v>
      </c>
      <c r="AC187">
        <v>12038</v>
      </c>
    </row>
    <row r="188" spans="1:29" ht="16.5" x14ac:dyDescent="0.15">
      <c r="A188">
        <f t="shared" si="20"/>
        <v>1003601</v>
      </c>
      <c r="B188" s="27" t="s">
        <v>116</v>
      </c>
      <c r="C188" s="35">
        <f t="shared" si="26"/>
        <v>10036</v>
      </c>
      <c r="D188" s="24">
        <v>10316</v>
      </c>
      <c r="E188" s="38" t="str">
        <f t="shared" si="29"/>
        <v>10316,10156</v>
      </c>
      <c r="F188" s="39" t="s">
        <v>1401</v>
      </c>
      <c r="G188" s="39">
        <v>2</v>
      </c>
      <c r="H188" s="24" t="s">
        <v>1397</v>
      </c>
      <c r="I188" s="24" t="s">
        <v>1399</v>
      </c>
      <c r="J188" s="24" t="str">
        <f t="shared" si="27"/>
        <v>[2,[10316,10156]]</v>
      </c>
      <c r="K188" s="42">
        <f t="shared" si="30"/>
        <v>1</v>
      </c>
      <c r="L188" s="39" t="s">
        <v>1401</v>
      </c>
      <c r="M188" s="39">
        <v>3</v>
      </c>
      <c r="N188" s="24" t="s">
        <v>1397</v>
      </c>
      <c r="O188" s="24" t="s">
        <v>1399</v>
      </c>
      <c r="P188" s="24">
        <f t="shared" si="28"/>
        <v>0</v>
      </c>
      <c r="Q188" s="24" t="str">
        <f t="shared" si="31"/>
        <v>[[2,[10316,10156]]]</v>
      </c>
      <c r="R188" s="24" t="s">
        <v>1397</v>
      </c>
      <c r="S188" s="24" t="s">
        <v>1399</v>
      </c>
      <c r="AA188">
        <v>12039</v>
      </c>
      <c r="AB188" t="s">
        <v>843</v>
      </c>
      <c r="AC188">
        <v>12039</v>
      </c>
    </row>
    <row r="189" spans="1:29" ht="16.5" x14ac:dyDescent="0.15">
      <c r="A189">
        <f t="shared" si="20"/>
        <v>1003601</v>
      </c>
      <c r="B189" s="27" t="s">
        <v>116</v>
      </c>
      <c r="C189" s="35">
        <f t="shared" si="26"/>
        <v>10036</v>
      </c>
      <c r="D189" s="24">
        <v>10476</v>
      </c>
      <c r="E189" s="38" t="str">
        <f t="shared" si="29"/>
        <v>10476,10316,10156</v>
      </c>
      <c r="F189" s="39" t="s">
        <v>1401</v>
      </c>
      <c r="G189" s="39">
        <v>2</v>
      </c>
      <c r="H189" s="24" t="s">
        <v>1397</v>
      </c>
      <c r="I189" s="24" t="s">
        <v>1399</v>
      </c>
      <c r="J189" s="24" t="str">
        <f t="shared" si="27"/>
        <v>[2,[10476,10316,10156]]</v>
      </c>
      <c r="K189" s="42">
        <f t="shared" si="30"/>
        <v>1</v>
      </c>
      <c r="L189" s="39" t="s">
        <v>1401</v>
      </c>
      <c r="M189" s="39">
        <v>3</v>
      </c>
      <c r="N189" s="24" t="s">
        <v>1397</v>
      </c>
      <c r="O189" s="24" t="s">
        <v>1399</v>
      </c>
      <c r="P189" s="24">
        <f t="shared" si="28"/>
        <v>0</v>
      </c>
      <c r="Q189" s="24" t="str">
        <f t="shared" si="31"/>
        <v>[[2,[10476,10316,10156]]]</v>
      </c>
      <c r="R189" s="24" t="s">
        <v>1397</v>
      </c>
      <c r="S189" s="24" t="s">
        <v>1399</v>
      </c>
      <c r="AA189">
        <v>12040</v>
      </c>
      <c r="AB189" t="s">
        <v>844</v>
      </c>
      <c r="AC189">
        <v>12040</v>
      </c>
    </row>
    <row r="190" spans="1:29" ht="16.5" x14ac:dyDescent="0.15">
      <c r="A190">
        <f t="shared" si="20"/>
        <v>1003601</v>
      </c>
      <c r="B190" s="27" t="s">
        <v>116</v>
      </c>
      <c r="C190" s="35">
        <f t="shared" si="26"/>
        <v>10036</v>
      </c>
      <c r="D190" s="24">
        <v>10636</v>
      </c>
      <c r="E190" s="38" t="str">
        <f t="shared" si="29"/>
        <v>10636,10476,10316,10156</v>
      </c>
      <c r="F190" s="39" t="s">
        <v>1401</v>
      </c>
      <c r="G190" s="39">
        <v>2</v>
      </c>
      <c r="H190" s="24" t="s">
        <v>1397</v>
      </c>
      <c r="I190" s="24" t="s">
        <v>1399</v>
      </c>
      <c r="J190" s="24" t="str">
        <f t="shared" si="27"/>
        <v>[2,[10636,10476,10316,10156]]</v>
      </c>
      <c r="K190" s="42">
        <f t="shared" si="30"/>
        <v>1</v>
      </c>
      <c r="L190" s="39" t="s">
        <v>1401</v>
      </c>
      <c r="M190" s="39">
        <v>3</v>
      </c>
      <c r="N190" s="24" t="s">
        <v>1397</v>
      </c>
      <c r="O190" s="24" t="s">
        <v>1399</v>
      </c>
      <c r="P190" s="24">
        <f t="shared" si="28"/>
        <v>0</v>
      </c>
      <c r="Q190" s="24" t="str">
        <f t="shared" si="31"/>
        <v>[[2,[10636,10476,10316,10156]]]</v>
      </c>
      <c r="R190" s="24" t="s">
        <v>1397</v>
      </c>
      <c r="S190" s="24" t="s">
        <v>1399</v>
      </c>
      <c r="AA190">
        <v>12041</v>
      </c>
      <c r="AB190" t="s">
        <v>845</v>
      </c>
      <c r="AC190">
        <v>12041</v>
      </c>
    </row>
    <row r="191" spans="1:29" ht="16.5" x14ac:dyDescent="0.15">
      <c r="A191">
        <f t="shared" si="20"/>
        <v>1003601</v>
      </c>
      <c r="B191" s="27" t="s">
        <v>116</v>
      </c>
      <c r="C191" s="35">
        <f t="shared" si="26"/>
        <v>10036</v>
      </c>
      <c r="D191" s="24">
        <v>10796</v>
      </c>
      <c r="E191" s="38" t="str">
        <f t="shared" si="29"/>
        <v>10796,10636,10476,10316,10156</v>
      </c>
      <c r="F191" s="39" t="s">
        <v>1401</v>
      </c>
      <c r="G191" s="39">
        <v>2</v>
      </c>
      <c r="H191" s="24" t="s">
        <v>1397</v>
      </c>
      <c r="I191" s="24" t="s">
        <v>1399</v>
      </c>
      <c r="J191" s="24" t="str">
        <f t="shared" si="27"/>
        <v>[2,[10796,10636,10476,10316,10156]]</v>
      </c>
      <c r="K191" s="42">
        <f t="shared" si="30"/>
        <v>1</v>
      </c>
      <c r="L191" s="39" t="s">
        <v>1401</v>
      </c>
      <c r="M191" s="39">
        <v>3</v>
      </c>
      <c r="N191" s="24" t="s">
        <v>1397</v>
      </c>
      <c r="O191" s="24" t="s">
        <v>1399</v>
      </c>
      <c r="P191" s="24">
        <f t="shared" si="28"/>
        <v>0</v>
      </c>
      <c r="Q191" s="24" t="str">
        <f t="shared" si="31"/>
        <v>[[2,[10796,10636,10476,10316,10156]]]</v>
      </c>
      <c r="R191" s="24" t="s">
        <v>1397</v>
      </c>
      <c r="S191" s="24" t="s">
        <v>1399</v>
      </c>
      <c r="AA191">
        <v>12042</v>
      </c>
      <c r="AB191" t="s">
        <v>846</v>
      </c>
      <c r="AC191">
        <v>12042</v>
      </c>
    </row>
    <row r="192" spans="1:29" ht="16.5" x14ac:dyDescent="0.15">
      <c r="A192">
        <f t="shared" si="20"/>
        <v>1003602</v>
      </c>
      <c r="B192" s="27" t="s">
        <v>116</v>
      </c>
      <c r="C192" s="35">
        <f t="shared" si="26"/>
        <v>10036</v>
      </c>
      <c r="D192" s="24">
        <v>10099</v>
      </c>
      <c r="E192" s="38" t="str">
        <f t="shared" si="29"/>
        <v>10099,10796,10636,10476,10316,10156</v>
      </c>
      <c r="F192" s="39" t="s">
        <v>1401</v>
      </c>
      <c r="G192" s="39">
        <v>2</v>
      </c>
      <c r="H192" s="24" t="s">
        <v>1397</v>
      </c>
      <c r="I192" s="24" t="s">
        <v>1399</v>
      </c>
      <c r="J192" s="24" t="str">
        <f t="shared" si="27"/>
        <v>[2,[10099,10796,10636,10476,10316,10156]]</v>
      </c>
      <c r="K192" s="42">
        <f t="shared" si="30"/>
        <v>2</v>
      </c>
      <c r="L192" s="39" t="s">
        <v>1401</v>
      </c>
      <c r="M192" s="39">
        <v>3</v>
      </c>
      <c r="N192" s="24" t="s">
        <v>1397</v>
      </c>
      <c r="O192" s="24" t="s">
        <v>1399</v>
      </c>
      <c r="P192" s="24">
        <f t="shared" si="28"/>
        <v>0</v>
      </c>
      <c r="Q192" s="24" t="str">
        <f t="shared" si="31"/>
        <v>[[2,[10099,10796,10636,10476,10316,10156]]]</v>
      </c>
      <c r="R192" s="24" t="s">
        <v>1397</v>
      </c>
      <c r="S192" s="24" t="s">
        <v>1399</v>
      </c>
      <c r="AA192">
        <v>12043</v>
      </c>
      <c r="AB192" t="s">
        <v>847</v>
      </c>
      <c r="AC192">
        <v>12043</v>
      </c>
    </row>
    <row r="193" spans="1:29" ht="16.5" x14ac:dyDescent="0.15">
      <c r="A193">
        <f t="shared" si="20"/>
        <v>1011801</v>
      </c>
      <c r="B193" s="43" t="s">
        <v>921</v>
      </c>
      <c r="C193" s="35">
        <f t="shared" si="26"/>
        <v>10118</v>
      </c>
      <c r="D193">
        <v>10170</v>
      </c>
      <c r="E193" s="38">
        <f t="shared" si="29"/>
        <v>10170</v>
      </c>
      <c r="F193" s="39" t="s">
        <v>1401</v>
      </c>
      <c r="G193" s="39">
        <v>2</v>
      </c>
      <c r="H193" s="24" t="s">
        <v>1397</v>
      </c>
      <c r="I193" s="24" t="s">
        <v>1399</v>
      </c>
      <c r="J193" s="24" t="str">
        <f t="shared" si="27"/>
        <v>[2,[10170]]</v>
      </c>
      <c r="K193" s="42">
        <f t="shared" si="30"/>
        <v>1</v>
      </c>
      <c r="L193" s="39" t="s">
        <v>1401</v>
      </c>
      <c r="M193" s="39">
        <v>3</v>
      </c>
      <c r="N193" s="24" t="s">
        <v>1397</v>
      </c>
      <c r="O193" s="24" t="s">
        <v>1399</v>
      </c>
      <c r="P193" s="24">
        <f t="shared" si="28"/>
        <v>0</v>
      </c>
      <c r="Q193" s="24" t="str">
        <f t="shared" si="31"/>
        <v>[[2,[10170]]]</v>
      </c>
      <c r="R193" s="24" t="s">
        <v>1397</v>
      </c>
      <c r="S193" s="24" t="s">
        <v>1399</v>
      </c>
      <c r="AA193">
        <v>12044</v>
      </c>
      <c r="AB193" t="s">
        <v>848</v>
      </c>
      <c r="AC193">
        <v>12044</v>
      </c>
    </row>
    <row r="194" spans="1:29" ht="16.5" x14ac:dyDescent="0.15">
      <c r="A194">
        <f t="shared" si="20"/>
        <v>1011801</v>
      </c>
      <c r="B194" s="43" t="s">
        <v>921</v>
      </c>
      <c r="C194" s="35">
        <f t="shared" si="26"/>
        <v>10118</v>
      </c>
      <c r="D194">
        <v>10290</v>
      </c>
      <c r="E194" s="38" t="str">
        <f t="shared" si="29"/>
        <v>10290,10170</v>
      </c>
      <c r="F194" s="39" t="s">
        <v>1401</v>
      </c>
      <c r="G194" s="39">
        <v>2</v>
      </c>
      <c r="H194" s="24" t="s">
        <v>1397</v>
      </c>
      <c r="I194" s="24" t="s">
        <v>1399</v>
      </c>
      <c r="J194" s="24" t="str">
        <f t="shared" si="27"/>
        <v>[2,[10290,10170]]</v>
      </c>
      <c r="K194" s="42">
        <f t="shared" si="30"/>
        <v>1</v>
      </c>
      <c r="L194" s="39" t="s">
        <v>1401</v>
      </c>
      <c r="M194" s="39">
        <v>3</v>
      </c>
      <c r="N194" s="24" t="s">
        <v>1397</v>
      </c>
      <c r="O194" s="24" t="s">
        <v>1399</v>
      </c>
      <c r="P194" s="24">
        <f t="shared" si="28"/>
        <v>0</v>
      </c>
      <c r="Q194" s="24" t="str">
        <f t="shared" si="31"/>
        <v>[[2,[10290,10170]]]</v>
      </c>
      <c r="R194" s="24" t="s">
        <v>1397</v>
      </c>
      <c r="S194" s="24" t="s">
        <v>1399</v>
      </c>
      <c r="AA194">
        <v>12045</v>
      </c>
      <c r="AB194" t="s">
        <v>849</v>
      </c>
      <c r="AC194">
        <v>12045</v>
      </c>
    </row>
    <row r="195" spans="1:29" ht="16.5" x14ac:dyDescent="0.15">
      <c r="A195">
        <f t="shared" si="20"/>
        <v>1011801</v>
      </c>
      <c r="B195" s="43" t="s">
        <v>921</v>
      </c>
      <c r="C195" s="35">
        <f t="shared" si="26"/>
        <v>10118</v>
      </c>
      <c r="D195">
        <v>10410</v>
      </c>
      <c r="E195" s="38" t="str">
        <f t="shared" si="29"/>
        <v>10410,10290,10170</v>
      </c>
      <c r="F195" s="39" t="s">
        <v>1401</v>
      </c>
      <c r="G195" s="39">
        <v>2</v>
      </c>
      <c r="H195" s="24" t="s">
        <v>1397</v>
      </c>
      <c r="I195" s="24" t="s">
        <v>1399</v>
      </c>
      <c r="J195" s="24" t="str">
        <f t="shared" si="27"/>
        <v>[2,[10410,10290,10170]]</v>
      </c>
      <c r="K195" s="42">
        <f t="shared" si="30"/>
        <v>1</v>
      </c>
      <c r="L195" s="39" t="s">
        <v>1401</v>
      </c>
      <c r="M195" s="39">
        <v>3</v>
      </c>
      <c r="N195" s="24" t="s">
        <v>1397</v>
      </c>
      <c r="O195" s="24" t="s">
        <v>1399</v>
      </c>
      <c r="P195" s="24">
        <f t="shared" si="28"/>
        <v>0</v>
      </c>
      <c r="Q195" s="24" t="str">
        <f t="shared" si="31"/>
        <v>[[2,[10410,10290,10170]]]</v>
      </c>
      <c r="R195" s="24" t="s">
        <v>1397</v>
      </c>
      <c r="S195" s="24" t="s">
        <v>1399</v>
      </c>
      <c r="AA195">
        <v>12046</v>
      </c>
      <c r="AB195" t="s">
        <v>850</v>
      </c>
      <c r="AC195">
        <v>12046</v>
      </c>
    </row>
    <row r="196" spans="1:29" ht="16.5" x14ac:dyDescent="0.15">
      <c r="A196">
        <f t="shared" si="20"/>
        <v>1011801</v>
      </c>
      <c r="B196" s="43" t="s">
        <v>921</v>
      </c>
      <c r="C196" s="35">
        <f t="shared" si="26"/>
        <v>10118</v>
      </c>
      <c r="D196">
        <v>10530</v>
      </c>
      <c r="E196" s="38" t="str">
        <f t="shared" si="29"/>
        <v>10530,10410,10290,10170</v>
      </c>
      <c r="F196" s="39" t="s">
        <v>1401</v>
      </c>
      <c r="G196" s="39">
        <v>2</v>
      </c>
      <c r="H196" s="24" t="s">
        <v>1397</v>
      </c>
      <c r="I196" s="24" t="s">
        <v>1399</v>
      </c>
      <c r="J196" s="24" t="str">
        <f t="shared" si="27"/>
        <v>[2,[10530,10410,10290,10170]]</v>
      </c>
      <c r="K196" s="42">
        <f t="shared" si="30"/>
        <v>1</v>
      </c>
      <c r="L196" s="39" t="s">
        <v>1401</v>
      </c>
      <c r="M196" s="39">
        <v>3</v>
      </c>
      <c r="N196" s="24" t="s">
        <v>1397</v>
      </c>
      <c r="O196" s="24" t="s">
        <v>1399</v>
      </c>
      <c r="P196" s="24">
        <f t="shared" si="28"/>
        <v>0</v>
      </c>
      <c r="Q196" s="24" t="str">
        <f t="shared" si="31"/>
        <v>[[2,[10530,10410,10290,10170]]]</v>
      </c>
      <c r="R196" s="24" t="s">
        <v>1397</v>
      </c>
      <c r="S196" s="24" t="s">
        <v>1399</v>
      </c>
      <c r="AA196">
        <v>12047</v>
      </c>
      <c r="AB196" t="s">
        <v>851</v>
      </c>
      <c r="AC196">
        <v>12047</v>
      </c>
    </row>
    <row r="197" spans="1:29" ht="16.5" x14ac:dyDescent="0.15">
      <c r="A197">
        <f t="shared" si="20"/>
        <v>1011801</v>
      </c>
      <c r="B197" s="43" t="s">
        <v>921</v>
      </c>
      <c r="C197" s="35">
        <f t="shared" si="26"/>
        <v>10118</v>
      </c>
      <c r="D197">
        <v>10650</v>
      </c>
      <c r="E197" s="38" t="str">
        <f t="shared" si="29"/>
        <v>10650,10530,10410,10290,10170</v>
      </c>
      <c r="F197" s="39" t="s">
        <v>1401</v>
      </c>
      <c r="G197" s="39">
        <v>2</v>
      </c>
      <c r="H197" s="24" t="s">
        <v>1397</v>
      </c>
      <c r="I197" s="24" t="s">
        <v>1399</v>
      </c>
      <c r="J197" s="24" t="str">
        <f t="shared" si="27"/>
        <v>[2,[10650,10530,10410,10290,10170]]</v>
      </c>
      <c r="K197" s="42">
        <f t="shared" si="30"/>
        <v>1</v>
      </c>
      <c r="L197" s="39" t="s">
        <v>1401</v>
      </c>
      <c r="M197" s="39">
        <v>3</v>
      </c>
      <c r="N197" s="24" t="s">
        <v>1397</v>
      </c>
      <c r="O197" s="24" t="s">
        <v>1399</v>
      </c>
      <c r="P197" s="24">
        <f t="shared" si="28"/>
        <v>0</v>
      </c>
      <c r="Q197" s="24" t="str">
        <f t="shared" si="31"/>
        <v>[[2,[10650,10530,10410,10290,10170]]]</v>
      </c>
      <c r="R197" s="24" t="s">
        <v>1397</v>
      </c>
      <c r="S197" s="24" t="s">
        <v>1399</v>
      </c>
      <c r="AA197">
        <v>12048</v>
      </c>
      <c r="AB197" t="s">
        <v>852</v>
      </c>
      <c r="AC197">
        <v>12048</v>
      </c>
    </row>
    <row r="198" spans="1:29" ht="16.5" x14ac:dyDescent="0.15">
      <c r="A198">
        <f t="shared" si="20"/>
        <v>1011801</v>
      </c>
      <c r="B198" s="43" t="s">
        <v>921</v>
      </c>
      <c r="C198" s="35">
        <f t="shared" si="26"/>
        <v>10118</v>
      </c>
      <c r="D198">
        <v>10770</v>
      </c>
      <c r="E198" s="38" t="str">
        <f t="shared" si="29"/>
        <v>10770,10650,10530,10410,10290,10170</v>
      </c>
      <c r="F198" s="39" t="s">
        <v>1401</v>
      </c>
      <c r="G198" s="39">
        <v>2</v>
      </c>
      <c r="H198" s="24" t="s">
        <v>1397</v>
      </c>
      <c r="I198" s="24" t="s">
        <v>1399</v>
      </c>
      <c r="J198" s="24" t="str">
        <f t="shared" si="27"/>
        <v>[2,[10770,10650,10530,10410,10290,10170]]</v>
      </c>
      <c r="K198" s="42">
        <f t="shared" si="30"/>
        <v>1</v>
      </c>
      <c r="L198" s="39" t="s">
        <v>1401</v>
      </c>
      <c r="M198" s="39">
        <v>3</v>
      </c>
      <c r="N198" s="24" t="s">
        <v>1397</v>
      </c>
      <c r="O198" s="24" t="s">
        <v>1399</v>
      </c>
      <c r="P198" s="24">
        <f t="shared" si="28"/>
        <v>0</v>
      </c>
      <c r="Q198" s="24" t="str">
        <f t="shared" si="31"/>
        <v>[[2,[10770,10650,10530,10410,10290,10170]]]</v>
      </c>
      <c r="R198" s="24" t="s">
        <v>1397</v>
      </c>
      <c r="S198" s="24" t="s">
        <v>1399</v>
      </c>
      <c r="AA198">
        <v>12049</v>
      </c>
      <c r="AB198" t="s">
        <v>853</v>
      </c>
      <c r="AC198">
        <v>12049</v>
      </c>
    </row>
    <row r="199" spans="1:29" ht="16.5" x14ac:dyDescent="0.15">
      <c r="A199">
        <f t="shared" si="20"/>
        <v>1011802</v>
      </c>
      <c r="B199" s="43" t="s">
        <v>921</v>
      </c>
      <c r="C199" s="35">
        <f t="shared" si="26"/>
        <v>10118</v>
      </c>
      <c r="D199">
        <v>10890</v>
      </c>
      <c r="E199" s="38" t="str">
        <f t="shared" si="29"/>
        <v>10890,10770,10650,10530,10410,10290,10170</v>
      </c>
      <c r="F199" s="39" t="s">
        <v>1401</v>
      </c>
      <c r="G199" s="39">
        <v>2</v>
      </c>
      <c r="H199" s="24" t="s">
        <v>1397</v>
      </c>
      <c r="I199" s="24" t="s">
        <v>1399</v>
      </c>
      <c r="J199" s="24" t="str">
        <f t="shared" si="27"/>
        <v>[2,[10890,10770,10650,10530,10410,10290,10170]]</v>
      </c>
      <c r="K199" s="42">
        <f t="shared" si="30"/>
        <v>2</v>
      </c>
      <c r="L199" s="39" t="s">
        <v>1401</v>
      </c>
      <c r="M199" s="39">
        <v>3</v>
      </c>
      <c r="N199" s="24" t="s">
        <v>1397</v>
      </c>
      <c r="O199" s="24" t="s">
        <v>1399</v>
      </c>
      <c r="P199" s="24">
        <f t="shared" si="28"/>
        <v>0</v>
      </c>
      <c r="Q199" s="24" t="str">
        <f t="shared" si="31"/>
        <v>[[2,[10890,10770,10650,10530,10410,10290,10170]]]</v>
      </c>
      <c r="R199" s="24" t="s">
        <v>1397</v>
      </c>
      <c r="S199" s="24" t="s">
        <v>1399</v>
      </c>
      <c r="AA199">
        <v>12050</v>
      </c>
      <c r="AB199" t="s">
        <v>854</v>
      </c>
      <c r="AC199">
        <v>12050</v>
      </c>
    </row>
    <row r="200" spans="1:29" ht="16.5" x14ac:dyDescent="0.15">
      <c r="A200">
        <f t="shared" si="20"/>
        <v>1000301</v>
      </c>
      <c r="B200" s="43" t="s">
        <v>108</v>
      </c>
      <c r="C200" s="35">
        <f t="shared" si="26"/>
        <v>10003</v>
      </c>
      <c r="D200">
        <v>10200</v>
      </c>
      <c r="E200" s="38">
        <f t="shared" si="29"/>
        <v>10200</v>
      </c>
      <c r="F200" s="39" t="s">
        <v>1401</v>
      </c>
      <c r="G200" s="39">
        <v>2</v>
      </c>
      <c r="H200" s="24" t="s">
        <v>1397</v>
      </c>
      <c r="I200" s="24" t="s">
        <v>1399</v>
      </c>
      <c r="J200" s="24" t="str">
        <f t="shared" si="27"/>
        <v>[2,[10200]]</v>
      </c>
      <c r="K200" s="42">
        <f t="shared" si="30"/>
        <v>1</v>
      </c>
      <c r="L200" s="39" t="s">
        <v>1401</v>
      </c>
      <c r="M200" s="39">
        <v>3</v>
      </c>
      <c r="N200" s="24" t="s">
        <v>1397</v>
      </c>
      <c r="O200" s="24" t="s">
        <v>1399</v>
      </c>
      <c r="P200" s="24">
        <f t="shared" si="28"/>
        <v>10003</v>
      </c>
      <c r="Q200" s="24" t="str">
        <f t="shared" si="31"/>
        <v>[[3,[10003]],[2,[10200]]]</v>
      </c>
      <c r="R200" s="24" t="s">
        <v>1397</v>
      </c>
      <c r="S200" s="24" t="s">
        <v>1399</v>
      </c>
      <c r="AA200">
        <v>12051</v>
      </c>
      <c r="AB200" t="s">
        <v>855</v>
      </c>
      <c r="AC200">
        <v>12051</v>
      </c>
    </row>
    <row r="201" spans="1:29" ht="16.5" x14ac:dyDescent="0.15">
      <c r="A201">
        <f t="shared" si="20"/>
        <v>1000301</v>
      </c>
      <c r="B201" s="43" t="s">
        <v>108</v>
      </c>
      <c r="C201" s="35">
        <f t="shared" si="26"/>
        <v>10003</v>
      </c>
      <c r="D201">
        <v>10320</v>
      </c>
      <c r="E201" s="38" t="str">
        <f t="shared" si="29"/>
        <v>10320,10200</v>
      </c>
      <c r="F201" s="39" t="s">
        <v>1401</v>
      </c>
      <c r="G201" s="39">
        <v>2</v>
      </c>
      <c r="H201" s="24" t="s">
        <v>1397</v>
      </c>
      <c r="I201" s="24" t="s">
        <v>1399</v>
      </c>
      <c r="J201" s="24" t="str">
        <f t="shared" si="27"/>
        <v>[2,[10320,10200]]</v>
      </c>
      <c r="K201" s="42">
        <f t="shared" si="30"/>
        <v>1</v>
      </c>
      <c r="L201" s="39" t="s">
        <v>1401</v>
      </c>
      <c r="M201" s="39">
        <v>3</v>
      </c>
      <c r="N201" s="24" t="s">
        <v>1397</v>
      </c>
      <c r="O201" s="24" t="s">
        <v>1399</v>
      </c>
      <c r="P201" s="24">
        <f t="shared" si="28"/>
        <v>10003</v>
      </c>
      <c r="Q201" s="24" t="str">
        <f t="shared" si="31"/>
        <v>[[3,[10003]],[2,[10320,10200]]]</v>
      </c>
      <c r="R201" s="24" t="s">
        <v>1397</v>
      </c>
      <c r="S201" s="24" t="s">
        <v>1399</v>
      </c>
      <c r="AA201">
        <v>12052</v>
      </c>
      <c r="AB201" t="s">
        <v>856</v>
      </c>
      <c r="AC201">
        <v>12052</v>
      </c>
    </row>
    <row r="202" spans="1:29" ht="16.5" x14ac:dyDescent="0.15">
      <c r="A202">
        <f t="shared" si="20"/>
        <v>1000301</v>
      </c>
      <c r="B202" s="43" t="s">
        <v>108</v>
      </c>
      <c r="C202" s="35">
        <f t="shared" si="26"/>
        <v>10003</v>
      </c>
      <c r="D202">
        <v>10440</v>
      </c>
      <c r="E202" s="38" t="str">
        <f t="shared" si="29"/>
        <v>10440,10320,10200</v>
      </c>
      <c r="F202" s="39" t="s">
        <v>1401</v>
      </c>
      <c r="G202" s="39">
        <v>2</v>
      </c>
      <c r="H202" s="24" t="s">
        <v>1397</v>
      </c>
      <c r="I202" s="24" t="s">
        <v>1399</v>
      </c>
      <c r="J202" s="24" t="str">
        <f t="shared" si="27"/>
        <v>[2,[10440,10320,10200]]</v>
      </c>
      <c r="K202" s="42">
        <f t="shared" si="30"/>
        <v>1</v>
      </c>
      <c r="L202" s="39" t="s">
        <v>1401</v>
      </c>
      <c r="M202" s="39">
        <v>3</v>
      </c>
      <c r="N202" s="24" t="s">
        <v>1397</v>
      </c>
      <c r="O202" s="24" t="s">
        <v>1399</v>
      </c>
      <c r="P202" s="24">
        <f t="shared" si="28"/>
        <v>10003</v>
      </c>
      <c r="Q202" s="24" t="str">
        <f t="shared" si="31"/>
        <v>[[3,[10003]],[2,[10440,10320,10200]]]</v>
      </c>
      <c r="R202" s="24" t="s">
        <v>1397</v>
      </c>
      <c r="S202" s="24" t="s">
        <v>1399</v>
      </c>
      <c r="AA202">
        <v>12053</v>
      </c>
      <c r="AB202" t="s">
        <v>857</v>
      </c>
      <c r="AC202">
        <v>12053</v>
      </c>
    </row>
    <row r="203" spans="1:29" ht="16.5" x14ac:dyDescent="0.15">
      <c r="A203">
        <f t="shared" ref="A203:A266" si="32">C203*100+K203</f>
        <v>1000301</v>
      </c>
      <c r="B203" s="43" t="s">
        <v>108</v>
      </c>
      <c r="C203" s="35">
        <f t="shared" si="26"/>
        <v>10003</v>
      </c>
      <c r="D203">
        <v>10560</v>
      </c>
      <c r="E203" s="38" t="str">
        <f t="shared" si="29"/>
        <v>10560,10440,10320,10200</v>
      </c>
      <c r="F203" s="39" t="s">
        <v>1401</v>
      </c>
      <c r="G203" s="39">
        <v>2</v>
      </c>
      <c r="H203" s="24" t="s">
        <v>1397</v>
      </c>
      <c r="I203" s="24" t="s">
        <v>1399</v>
      </c>
      <c r="J203" s="24" t="str">
        <f t="shared" si="27"/>
        <v>[2,[10560,10440,10320,10200]]</v>
      </c>
      <c r="K203" s="42">
        <f t="shared" si="30"/>
        <v>1</v>
      </c>
      <c r="L203" s="39" t="s">
        <v>1401</v>
      </c>
      <c r="M203" s="39">
        <v>3</v>
      </c>
      <c r="N203" s="24" t="s">
        <v>1397</v>
      </c>
      <c r="O203" s="24" t="s">
        <v>1399</v>
      </c>
      <c r="P203" s="24">
        <f t="shared" si="28"/>
        <v>10003</v>
      </c>
      <c r="Q203" s="24" t="str">
        <f t="shared" si="31"/>
        <v>[[3,[10003]],[2,[10560,10440,10320,10200]]]</v>
      </c>
      <c r="R203" s="24" t="s">
        <v>1397</v>
      </c>
      <c r="S203" s="24" t="s">
        <v>1399</v>
      </c>
      <c r="AA203">
        <v>12054</v>
      </c>
      <c r="AB203" t="s">
        <v>858</v>
      </c>
      <c r="AC203">
        <v>12054</v>
      </c>
    </row>
    <row r="204" spans="1:29" ht="16.5" x14ac:dyDescent="0.15">
      <c r="A204">
        <f t="shared" si="32"/>
        <v>1000301</v>
      </c>
      <c r="B204" s="43" t="s">
        <v>108</v>
      </c>
      <c r="C204" s="35">
        <f t="shared" si="26"/>
        <v>10003</v>
      </c>
      <c r="D204">
        <v>10680</v>
      </c>
      <c r="E204" s="38" t="str">
        <f t="shared" si="29"/>
        <v>10680,10560,10440,10320,10200</v>
      </c>
      <c r="F204" s="39" t="s">
        <v>1401</v>
      </c>
      <c r="G204" s="39">
        <v>2</v>
      </c>
      <c r="H204" s="24" t="s">
        <v>1397</v>
      </c>
      <c r="I204" s="24" t="s">
        <v>1399</v>
      </c>
      <c r="J204" s="24" t="str">
        <f t="shared" si="27"/>
        <v>[2,[10680,10560,10440,10320,10200]]</v>
      </c>
      <c r="K204" s="42">
        <f t="shared" si="30"/>
        <v>1</v>
      </c>
      <c r="L204" s="39" t="s">
        <v>1401</v>
      </c>
      <c r="M204" s="39">
        <v>3</v>
      </c>
      <c r="N204" s="24" t="s">
        <v>1397</v>
      </c>
      <c r="O204" s="24" t="s">
        <v>1399</v>
      </c>
      <c r="P204" s="24">
        <f t="shared" si="28"/>
        <v>10003</v>
      </c>
      <c r="Q204" s="24" t="str">
        <f t="shared" si="31"/>
        <v>[[3,[10003]],[2,[10680,10560,10440,10320,10200]]]</v>
      </c>
      <c r="R204" s="24" t="s">
        <v>1397</v>
      </c>
      <c r="S204" s="24" t="s">
        <v>1399</v>
      </c>
      <c r="AA204">
        <v>12055</v>
      </c>
      <c r="AB204" t="s">
        <v>859</v>
      </c>
      <c r="AC204">
        <v>12055</v>
      </c>
    </row>
    <row r="205" spans="1:29" ht="16.5" x14ac:dyDescent="0.15">
      <c r="A205">
        <f t="shared" si="32"/>
        <v>1000302</v>
      </c>
      <c r="B205" s="43" t="s">
        <v>108</v>
      </c>
      <c r="C205" s="35">
        <f t="shared" si="26"/>
        <v>10003</v>
      </c>
      <c r="D205">
        <v>10800</v>
      </c>
      <c r="E205" s="38" t="str">
        <f t="shared" si="29"/>
        <v>10800,10680,10560,10440,10320,10200</v>
      </c>
      <c r="F205" s="39" t="s">
        <v>1401</v>
      </c>
      <c r="G205" s="39">
        <v>2</v>
      </c>
      <c r="H205" s="24" t="s">
        <v>1397</v>
      </c>
      <c r="I205" s="24" t="s">
        <v>1399</v>
      </c>
      <c r="J205" s="24" t="str">
        <f t="shared" si="27"/>
        <v>[2,[10800,10680,10560,10440,10320,10200]]</v>
      </c>
      <c r="K205" s="42">
        <f t="shared" si="30"/>
        <v>2</v>
      </c>
      <c r="L205" s="39" t="s">
        <v>1401</v>
      </c>
      <c r="M205" s="39">
        <v>3</v>
      </c>
      <c r="N205" s="24" t="s">
        <v>1397</v>
      </c>
      <c r="O205" s="24" t="s">
        <v>1399</v>
      </c>
      <c r="P205" s="24">
        <f t="shared" si="28"/>
        <v>10003</v>
      </c>
      <c r="Q205" s="24" t="str">
        <f t="shared" si="31"/>
        <v>[[3,[10003]],[2,[10800,10680,10560,10440,10320,10200]]]</v>
      </c>
      <c r="R205" s="24" t="s">
        <v>1397</v>
      </c>
      <c r="S205" s="24" t="s">
        <v>1399</v>
      </c>
      <c r="AA205">
        <v>12056</v>
      </c>
      <c r="AB205" t="s">
        <v>860</v>
      </c>
      <c r="AC205">
        <v>12056</v>
      </c>
    </row>
    <row r="206" spans="1:29" ht="16.5" x14ac:dyDescent="0.15">
      <c r="A206">
        <f t="shared" si="32"/>
        <v>1000701</v>
      </c>
      <c r="B206" s="27" t="s">
        <v>177</v>
      </c>
      <c r="C206" s="35">
        <f t="shared" si="26"/>
        <v>10007</v>
      </c>
      <c r="D206" s="24">
        <v>10056</v>
      </c>
      <c r="E206" s="38">
        <f t="shared" si="29"/>
        <v>10056</v>
      </c>
      <c r="F206" s="39" t="s">
        <v>1401</v>
      </c>
      <c r="G206" s="39">
        <v>2</v>
      </c>
      <c r="H206" s="24" t="s">
        <v>1397</v>
      </c>
      <c r="I206" s="24" t="s">
        <v>1399</v>
      </c>
      <c r="J206" s="24" t="str">
        <f t="shared" si="27"/>
        <v>[2,[10056]]</v>
      </c>
      <c r="K206" s="42">
        <f t="shared" si="30"/>
        <v>1</v>
      </c>
      <c r="L206" s="39" t="s">
        <v>1401</v>
      </c>
      <c r="M206" s="39">
        <v>3</v>
      </c>
      <c r="N206" s="24" t="s">
        <v>1397</v>
      </c>
      <c r="O206" s="24" t="s">
        <v>1399</v>
      </c>
      <c r="P206" s="24">
        <f t="shared" si="28"/>
        <v>0</v>
      </c>
      <c r="Q206" s="24" t="str">
        <f t="shared" si="31"/>
        <v>[[2,[10056]]]</v>
      </c>
      <c r="R206" s="24" t="s">
        <v>1397</v>
      </c>
      <c r="S206" s="24" t="s">
        <v>1399</v>
      </c>
      <c r="AA206">
        <v>12057</v>
      </c>
      <c r="AB206" t="s">
        <v>703</v>
      </c>
      <c r="AC206">
        <v>12057</v>
      </c>
    </row>
    <row r="207" spans="1:29" ht="16.5" x14ac:dyDescent="0.15">
      <c r="A207">
        <f t="shared" si="32"/>
        <v>1000701</v>
      </c>
      <c r="B207" s="27" t="s">
        <v>177</v>
      </c>
      <c r="C207" s="35">
        <f t="shared" si="26"/>
        <v>10007</v>
      </c>
      <c r="D207" s="24">
        <v>10216</v>
      </c>
      <c r="E207" s="38" t="str">
        <f t="shared" si="29"/>
        <v>10216,10056</v>
      </c>
      <c r="F207" s="39" t="s">
        <v>1401</v>
      </c>
      <c r="G207" s="39">
        <v>2</v>
      </c>
      <c r="H207" s="24" t="s">
        <v>1397</v>
      </c>
      <c r="I207" s="24" t="s">
        <v>1399</v>
      </c>
      <c r="J207" s="24" t="str">
        <f t="shared" si="27"/>
        <v>[2,[10216,10056]]</v>
      </c>
      <c r="K207" s="42">
        <f t="shared" si="30"/>
        <v>1</v>
      </c>
      <c r="L207" s="39" t="s">
        <v>1401</v>
      </c>
      <c r="M207" s="39">
        <v>3</v>
      </c>
      <c r="N207" s="24" t="s">
        <v>1397</v>
      </c>
      <c r="O207" s="24" t="s">
        <v>1399</v>
      </c>
      <c r="P207" s="24">
        <f t="shared" si="28"/>
        <v>0</v>
      </c>
      <c r="Q207" s="24" t="str">
        <f t="shared" si="31"/>
        <v>[[2,[10216,10056]]]</v>
      </c>
      <c r="R207" s="24" t="s">
        <v>1397</v>
      </c>
      <c r="S207" s="24" t="s">
        <v>1399</v>
      </c>
      <c r="AA207">
        <v>12058</v>
      </c>
      <c r="AB207" t="s">
        <v>707</v>
      </c>
      <c r="AC207">
        <v>12058</v>
      </c>
    </row>
    <row r="208" spans="1:29" ht="16.5" x14ac:dyDescent="0.15">
      <c r="A208">
        <f t="shared" si="32"/>
        <v>1000701</v>
      </c>
      <c r="B208" s="27" t="s">
        <v>177</v>
      </c>
      <c r="C208" s="35">
        <f t="shared" si="26"/>
        <v>10007</v>
      </c>
      <c r="D208" s="24">
        <v>10376</v>
      </c>
      <c r="E208" s="38" t="str">
        <f t="shared" si="29"/>
        <v>10376,10216,10056</v>
      </c>
      <c r="F208" s="39" t="s">
        <v>1401</v>
      </c>
      <c r="G208" s="39">
        <v>2</v>
      </c>
      <c r="H208" s="24" t="s">
        <v>1397</v>
      </c>
      <c r="I208" s="24" t="s">
        <v>1399</v>
      </c>
      <c r="J208" s="24" t="str">
        <f t="shared" si="27"/>
        <v>[2,[10376,10216,10056]]</v>
      </c>
      <c r="K208" s="42">
        <f t="shared" si="30"/>
        <v>1</v>
      </c>
      <c r="L208" s="39" t="s">
        <v>1401</v>
      </c>
      <c r="M208" s="39">
        <v>3</v>
      </c>
      <c r="N208" s="24" t="s">
        <v>1397</v>
      </c>
      <c r="O208" s="24" t="s">
        <v>1399</v>
      </c>
      <c r="P208" s="24">
        <f t="shared" si="28"/>
        <v>0</v>
      </c>
      <c r="Q208" s="24" t="str">
        <f t="shared" si="31"/>
        <v>[[2,[10376,10216,10056]]]</v>
      </c>
      <c r="R208" s="24" t="s">
        <v>1397</v>
      </c>
      <c r="S208" s="24" t="s">
        <v>1399</v>
      </c>
      <c r="AA208">
        <v>12059</v>
      </c>
      <c r="AB208" t="s">
        <v>712</v>
      </c>
      <c r="AC208">
        <v>12059</v>
      </c>
    </row>
    <row r="209" spans="1:29" ht="16.5" x14ac:dyDescent="0.15">
      <c r="A209">
        <f t="shared" si="32"/>
        <v>1000701</v>
      </c>
      <c r="B209" s="27" t="s">
        <v>177</v>
      </c>
      <c r="C209" s="35">
        <f t="shared" si="26"/>
        <v>10007</v>
      </c>
      <c r="D209" s="24">
        <v>10536</v>
      </c>
      <c r="E209" s="38" t="str">
        <f t="shared" si="29"/>
        <v>10536,10376,10216,10056</v>
      </c>
      <c r="F209" s="39" t="s">
        <v>1401</v>
      </c>
      <c r="G209" s="39">
        <v>2</v>
      </c>
      <c r="H209" s="24" t="s">
        <v>1397</v>
      </c>
      <c r="I209" s="24" t="s">
        <v>1399</v>
      </c>
      <c r="J209" s="24" t="str">
        <f t="shared" si="27"/>
        <v>[2,[10536,10376,10216,10056]]</v>
      </c>
      <c r="K209" s="42">
        <f t="shared" si="30"/>
        <v>1</v>
      </c>
      <c r="L209" s="39" t="s">
        <v>1401</v>
      </c>
      <c r="M209" s="39">
        <v>3</v>
      </c>
      <c r="N209" s="24" t="s">
        <v>1397</v>
      </c>
      <c r="O209" s="24" t="s">
        <v>1399</v>
      </c>
      <c r="P209" s="24">
        <f t="shared" si="28"/>
        <v>0</v>
      </c>
      <c r="Q209" s="24" t="str">
        <f t="shared" si="31"/>
        <v>[[2,[10536,10376,10216,10056]]]</v>
      </c>
      <c r="R209" s="24" t="s">
        <v>1397</v>
      </c>
      <c r="S209" s="24" t="s">
        <v>1399</v>
      </c>
      <c r="AA209">
        <v>12060</v>
      </c>
      <c r="AB209" t="s">
        <v>717</v>
      </c>
      <c r="AC209">
        <v>12060</v>
      </c>
    </row>
    <row r="210" spans="1:29" ht="16.5" x14ac:dyDescent="0.15">
      <c r="A210">
        <f t="shared" si="32"/>
        <v>1000701</v>
      </c>
      <c r="B210" s="27" t="s">
        <v>177</v>
      </c>
      <c r="C210" s="35">
        <f t="shared" si="26"/>
        <v>10007</v>
      </c>
      <c r="D210" s="24">
        <v>10696</v>
      </c>
      <c r="E210" s="38" t="str">
        <f t="shared" si="29"/>
        <v>10696,10536,10376,10216,10056</v>
      </c>
      <c r="F210" s="39" t="s">
        <v>1401</v>
      </c>
      <c r="G210" s="39">
        <v>2</v>
      </c>
      <c r="H210" s="24" t="s">
        <v>1397</v>
      </c>
      <c r="I210" s="24" t="s">
        <v>1399</v>
      </c>
      <c r="J210" s="24" t="str">
        <f t="shared" si="27"/>
        <v>[2,[10696,10536,10376,10216,10056]]</v>
      </c>
      <c r="K210" s="42">
        <f t="shared" si="30"/>
        <v>1</v>
      </c>
      <c r="L210" s="39" t="s">
        <v>1401</v>
      </c>
      <c r="M210" s="39">
        <v>3</v>
      </c>
      <c r="N210" s="24" t="s">
        <v>1397</v>
      </c>
      <c r="O210" s="24" t="s">
        <v>1399</v>
      </c>
      <c r="P210" s="24">
        <f t="shared" si="28"/>
        <v>0</v>
      </c>
      <c r="Q210" s="24" t="str">
        <f t="shared" si="31"/>
        <v>[[2,[10696,10536,10376,10216,10056]]]</v>
      </c>
      <c r="R210" s="24" t="s">
        <v>1397</v>
      </c>
      <c r="S210" s="24" t="s">
        <v>1399</v>
      </c>
      <c r="AA210">
        <v>12061</v>
      </c>
      <c r="AB210" t="s">
        <v>720</v>
      </c>
      <c r="AC210">
        <v>12061</v>
      </c>
    </row>
    <row r="211" spans="1:29" ht="16.5" x14ac:dyDescent="0.15">
      <c r="A211">
        <f t="shared" si="32"/>
        <v>1000702</v>
      </c>
      <c r="B211" s="27" t="s">
        <v>177</v>
      </c>
      <c r="C211" s="35">
        <f t="shared" si="26"/>
        <v>10007</v>
      </c>
      <c r="D211" s="24">
        <v>10856</v>
      </c>
      <c r="E211" s="38" t="str">
        <f t="shared" si="29"/>
        <v>10856,10696,10536,10376,10216,10056</v>
      </c>
      <c r="F211" s="39" t="s">
        <v>1401</v>
      </c>
      <c r="G211" s="39">
        <v>2</v>
      </c>
      <c r="H211" s="24" t="s">
        <v>1397</v>
      </c>
      <c r="I211" s="24" t="s">
        <v>1399</v>
      </c>
      <c r="J211" s="24" t="str">
        <f t="shared" si="27"/>
        <v>[2,[10856,10696,10536,10376,10216,10056]]</v>
      </c>
      <c r="K211" s="42">
        <f t="shared" si="30"/>
        <v>2</v>
      </c>
      <c r="L211" s="39" t="s">
        <v>1401</v>
      </c>
      <c r="M211" s="39">
        <v>3</v>
      </c>
      <c r="N211" s="24" t="s">
        <v>1397</v>
      </c>
      <c r="O211" s="24" t="s">
        <v>1399</v>
      </c>
      <c r="P211" s="24">
        <f t="shared" si="28"/>
        <v>0</v>
      </c>
      <c r="Q211" s="24" t="str">
        <f t="shared" si="31"/>
        <v>[[2,[10856,10696,10536,10376,10216,10056]]]</v>
      </c>
      <c r="R211" s="24" t="s">
        <v>1397</v>
      </c>
      <c r="S211" s="24" t="s">
        <v>1399</v>
      </c>
      <c r="AA211">
        <v>12062</v>
      </c>
      <c r="AB211" t="s">
        <v>704</v>
      </c>
      <c r="AC211">
        <v>12062</v>
      </c>
    </row>
    <row r="212" spans="1:29" ht="16.5" x14ac:dyDescent="0.15">
      <c r="A212">
        <f t="shared" si="32"/>
        <v>1003001</v>
      </c>
      <c r="B212" s="27" t="s">
        <v>111</v>
      </c>
      <c r="C212" s="35">
        <f t="shared" si="26"/>
        <v>10030</v>
      </c>
      <c r="D212" s="24">
        <v>10086</v>
      </c>
      <c r="E212" s="38">
        <f t="shared" si="29"/>
        <v>10086</v>
      </c>
      <c r="F212" s="39" t="s">
        <v>1401</v>
      </c>
      <c r="G212" s="39">
        <v>2</v>
      </c>
      <c r="H212" s="24" t="s">
        <v>1397</v>
      </c>
      <c r="I212" s="24" t="s">
        <v>1399</v>
      </c>
      <c r="J212" s="24" t="str">
        <f t="shared" si="27"/>
        <v>[2,[10086]]</v>
      </c>
      <c r="K212" s="42">
        <f t="shared" si="30"/>
        <v>1</v>
      </c>
      <c r="L212" s="39" t="s">
        <v>1401</v>
      </c>
      <c r="M212" s="39">
        <v>3</v>
      </c>
      <c r="N212" s="24" t="s">
        <v>1397</v>
      </c>
      <c r="O212" s="24" t="s">
        <v>1399</v>
      </c>
      <c r="P212" s="24">
        <f t="shared" si="28"/>
        <v>0</v>
      </c>
      <c r="Q212" s="24" t="str">
        <f t="shared" si="31"/>
        <v>[[2,[10086]]]</v>
      </c>
      <c r="R212" s="24" t="s">
        <v>1397</v>
      </c>
      <c r="S212" s="24" t="s">
        <v>1399</v>
      </c>
      <c r="AA212">
        <v>12063</v>
      </c>
      <c r="AB212" t="s">
        <v>708</v>
      </c>
      <c r="AC212">
        <v>12063</v>
      </c>
    </row>
    <row r="213" spans="1:29" ht="16.5" x14ac:dyDescent="0.15">
      <c r="A213">
        <f t="shared" si="32"/>
        <v>1003001</v>
      </c>
      <c r="B213" s="27" t="s">
        <v>111</v>
      </c>
      <c r="C213" s="35">
        <f t="shared" si="26"/>
        <v>10030</v>
      </c>
      <c r="D213" s="24">
        <v>10246</v>
      </c>
      <c r="E213" s="38" t="str">
        <f t="shared" si="29"/>
        <v>10246,10086</v>
      </c>
      <c r="F213" s="39" t="s">
        <v>1401</v>
      </c>
      <c r="G213" s="39">
        <v>2</v>
      </c>
      <c r="H213" s="24" t="s">
        <v>1397</v>
      </c>
      <c r="I213" s="24" t="s">
        <v>1399</v>
      </c>
      <c r="J213" s="24" t="str">
        <f t="shared" si="27"/>
        <v>[2,[10246,10086]]</v>
      </c>
      <c r="K213" s="42">
        <f t="shared" si="30"/>
        <v>1</v>
      </c>
      <c r="L213" s="39" t="s">
        <v>1401</v>
      </c>
      <c r="M213" s="39">
        <v>3</v>
      </c>
      <c r="N213" s="24" t="s">
        <v>1397</v>
      </c>
      <c r="O213" s="24" t="s">
        <v>1399</v>
      </c>
      <c r="P213" s="24">
        <f t="shared" si="28"/>
        <v>0</v>
      </c>
      <c r="Q213" s="24" t="str">
        <f t="shared" si="31"/>
        <v>[[2,[10246,10086]]]</v>
      </c>
      <c r="R213" s="24" t="s">
        <v>1397</v>
      </c>
      <c r="S213" s="24" t="s">
        <v>1399</v>
      </c>
      <c r="AA213">
        <v>12064</v>
      </c>
      <c r="AB213" t="s">
        <v>713</v>
      </c>
      <c r="AC213">
        <v>12064</v>
      </c>
    </row>
    <row r="214" spans="1:29" ht="16.5" x14ac:dyDescent="0.15">
      <c r="A214">
        <f t="shared" si="32"/>
        <v>1003001</v>
      </c>
      <c r="B214" s="27" t="s">
        <v>111</v>
      </c>
      <c r="C214" s="35">
        <f t="shared" si="26"/>
        <v>10030</v>
      </c>
      <c r="D214" s="24">
        <v>10406</v>
      </c>
      <c r="E214" s="38" t="str">
        <f t="shared" si="29"/>
        <v>10406,10246,10086</v>
      </c>
      <c r="F214" s="39" t="s">
        <v>1401</v>
      </c>
      <c r="G214" s="39">
        <v>2</v>
      </c>
      <c r="H214" s="24" t="s">
        <v>1397</v>
      </c>
      <c r="I214" s="24" t="s">
        <v>1399</v>
      </c>
      <c r="J214" s="24" t="str">
        <f t="shared" si="27"/>
        <v>[2,[10406,10246,10086]]</v>
      </c>
      <c r="K214" s="42">
        <f t="shared" si="30"/>
        <v>1</v>
      </c>
      <c r="L214" s="39" t="s">
        <v>1401</v>
      </c>
      <c r="M214" s="39">
        <v>3</v>
      </c>
      <c r="N214" s="24" t="s">
        <v>1397</v>
      </c>
      <c r="O214" s="24" t="s">
        <v>1399</v>
      </c>
      <c r="P214" s="24">
        <f t="shared" si="28"/>
        <v>0</v>
      </c>
      <c r="Q214" s="24" t="str">
        <f t="shared" si="31"/>
        <v>[[2,[10406,10246,10086]]]</v>
      </c>
      <c r="R214" s="24" t="s">
        <v>1397</v>
      </c>
      <c r="S214" s="24" t="s">
        <v>1399</v>
      </c>
      <c r="AA214">
        <v>12065</v>
      </c>
      <c r="AB214" t="s">
        <v>718</v>
      </c>
      <c r="AC214">
        <v>12065</v>
      </c>
    </row>
    <row r="215" spans="1:29" ht="16.5" x14ac:dyDescent="0.15">
      <c r="A215">
        <f t="shared" si="32"/>
        <v>1003001</v>
      </c>
      <c r="B215" s="27" t="s">
        <v>111</v>
      </c>
      <c r="C215" s="35">
        <f t="shared" si="26"/>
        <v>10030</v>
      </c>
      <c r="D215" s="24">
        <v>10566</v>
      </c>
      <c r="E215" s="38" t="str">
        <f t="shared" si="29"/>
        <v>10566,10406,10246,10086</v>
      </c>
      <c r="F215" s="39" t="s">
        <v>1401</v>
      </c>
      <c r="G215" s="39">
        <v>2</v>
      </c>
      <c r="H215" s="24" t="s">
        <v>1397</v>
      </c>
      <c r="I215" s="24" t="s">
        <v>1399</v>
      </c>
      <c r="J215" s="24" t="str">
        <f t="shared" si="27"/>
        <v>[2,[10566,10406,10246,10086]]</v>
      </c>
      <c r="K215" s="42">
        <f t="shared" si="30"/>
        <v>1</v>
      </c>
      <c r="L215" s="39" t="s">
        <v>1401</v>
      </c>
      <c r="M215" s="39">
        <v>3</v>
      </c>
      <c r="N215" s="24" t="s">
        <v>1397</v>
      </c>
      <c r="O215" s="24" t="s">
        <v>1399</v>
      </c>
      <c r="P215" s="24">
        <f t="shared" si="28"/>
        <v>0</v>
      </c>
      <c r="Q215" s="24" t="str">
        <f t="shared" si="31"/>
        <v>[[2,[10566,10406,10246,10086]]]</v>
      </c>
      <c r="R215" s="24" t="s">
        <v>1397</v>
      </c>
      <c r="S215" s="24" t="s">
        <v>1399</v>
      </c>
      <c r="AA215">
        <v>12066</v>
      </c>
      <c r="AB215" t="s">
        <v>721</v>
      </c>
      <c r="AC215">
        <v>12066</v>
      </c>
    </row>
    <row r="216" spans="1:29" ht="16.5" x14ac:dyDescent="0.15">
      <c r="A216">
        <f t="shared" si="32"/>
        <v>1003001</v>
      </c>
      <c r="B216" s="27" t="s">
        <v>111</v>
      </c>
      <c r="C216" s="35">
        <f t="shared" si="26"/>
        <v>10030</v>
      </c>
      <c r="D216" s="24">
        <v>10726</v>
      </c>
      <c r="E216" s="38" t="str">
        <f t="shared" si="29"/>
        <v>10726,10566,10406,10246,10086</v>
      </c>
      <c r="F216" s="39" t="s">
        <v>1401</v>
      </c>
      <c r="G216" s="39">
        <v>2</v>
      </c>
      <c r="H216" s="24" t="s">
        <v>1397</v>
      </c>
      <c r="I216" s="24" t="s">
        <v>1399</v>
      </c>
      <c r="J216" s="24" t="str">
        <f t="shared" si="27"/>
        <v>[2,[10726,10566,10406,10246,10086]]</v>
      </c>
      <c r="K216" s="42">
        <f t="shared" si="30"/>
        <v>1</v>
      </c>
      <c r="L216" s="39" t="s">
        <v>1401</v>
      </c>
      <c r="M216" s="39">
        <v>3</v>
      </c>
      <c r="N216" s="24" t="s">
        <v>1397</v>
      </c>
      <c r="O216" s="24" t="s">
        <v>1399</v>
      </c>
      <c r="P216" s="24">
        <f t="shared" si="28"/>
        <v>0</v>
      </c>
      <c r="Q216" s="24" t="str">
        <f t="shared" si="31"/>
        <v>[[2,[10726,10566,10406,10246,10086]]]</v>
      </c>
      <c r="R216" s="24" t="s">
        <v>1397</v>
      </c>
      <c r="S216" s="24" t="s">
        <v>1399</v>
      </c>
      <c r="AA216">
        <v>12067</v>
      </c>
      <c r="AB216" t="s">
        <v>1340</v>
      </c>
      <c r="AC216">
        <v>12067</v>
      </c>
    </row>
    <row r="217" spans="1:29" ht="16.5" x14ac:dyDescent="0.15">
      <c r="A217">
        <f t="shared" si="32"/>
        <v>1003002</v>
      </c>
      <c r="B217" s="27" t="s">
        <v>111</v>
      </c>
      <c r="C217" s="35">
        <f t="shared" si="26"/>
        <v>10030</v>
      </c>
      <c r="D217" s="24">
        <v>10886</v>
      </c>
      <c r="E217" s="38" t="str">
        <f t="shared" si="29"/>
        <v>10886,10726,10566,10406,10246,10086</v>
      </c>
      <c r="F217" s="39" t="s">
        <v>1401</v>
      </c>
      <c r="G217" s="39">
        <v>2</v>
      </c>
      <c r="H217" s="24" t="s">
        <v>1397</v>
      </c>
      <c r="I217" s="24" t="s">
        <v>1399</v>
      </c>
      <c r="J217" s="24" t="str">
        <f t="shared" si="27"/>
        <v>[2,[10886,10726,10566,10406,10246,10086]]</v>
      </c>
      <c r="K217" s="42">
        <f t="shared" si="30"/>
        <v>2</v>
      </c>
      <c r="L217" s="39" t="s">
        <v>1401</v>
      </c>
      <c r="M217" s="39">
        <v>3</v>
      </c>
      <c r="N217" s="24" t="s">
        <v>1397</v>
      </c>
      <c r="O217" s="24" t="s">
        <v>1399</v>
      </c>
      <c r="P217" s="24">
        <f t="shared" si="28"/>
        <v>0</v>
      </c>
      <c r="Q217" s="24" t="str">
        <f t="shared" si="31"/>
        <v>[[2,[10886,10726,10566,10406,10246,10086]]]</v>
      </c>
      <c r="R217" s="24" t="s">
        <v>1397</v>
      </c>
      <c r="S217" s="24" t="s">
        <v>1399</v>
      </c>
      <c r="AA217">
        <v>12068</v>
      </c>
      <c r="AB217" t="s">
        <v>1341</v>
      </c>
      <c r="AC217">
        <v>12068</v>
      </c>
    </row>
    <row r="218" spans="1:29" ht="16.5" x14ac:dyDescent="0.15">
      <c r="A218">
        <f t="shared" si="32"/>
        <v>1010801</v>
      </c>
      <c r="B218" s="31" t="s">
        <v>454</v>
      </c>
      <c r="C218" s="35">
        <f t="shared" si="26"/>
        <v>10108</v>
      </c>
      <c r="D218" s="24">
        <v>10169</v>
      </c>
      <c r="E218" s="38">
        <f t="shared" si="29"/>
        <v>10169</v>
      </c>
      <c r="F218" s="39" t="s">
        <v>1401</v>
      </c>
      <c r="G218" s="39">
        <v>2</v>
      </c>
      <c r="H218" s="24" t="s">
        <v>1397</v>
      </c>
      <c r="I218" s="24" t="s">
        <v>1399</v>
      </c>
      <c r="J218" s="24" t="str">
        <f t="shared" si="27"/>
        <v>[2,[10169]]</v>
      </c>
      <c r="K218" s="42">
        <f t="shared" si="30"/>
        <v>1</v>
      </c>
      <c r="L218" s="39" t="s">
        <v>1401</v>
      </c>
      <c r="M218" s="39">
        <v>3</v>
      </c>
      <c r="N218" s="24" t="s">
        <v>1397</v>
      </c>
      <c r="O218" s="24" t="s">
        <v>1399</v>
      </c>
      <c r="P218" s="24">
        <f t="shared" si="28"/>
        <v>0</v>
      </c>
      <c r="Q218" s="24" t="str">
        <f t="shared" si="31"/>
        <v>[[2,[10169]]]</v>
      </c>
      <c r="R218" s="24" t="s">
        <v>1397</v>
      </c>
      <c r="S218" s="24" t="s">
        <v>1399</v>
      </c>
      <c r="AA218">
        <v>12069</v>
      </c>
      <c r="AB218" t="s">
        <v>1342</v>
      </c>
      <c r="AC218">
        <v>12069</v>
      </c>
    </row>
    <row r="219" spans="1:29" ht="16.5" x14ac:dyDescent="0.15">
      <c r="A219">
        <f t="shared" si="32"/>
        <v>1010801</v>
      </c>
      <c r="B219" s="31" t="s">
        <v>454</v>
      </c>
      <c r="C219" s="35">
        <f t="shared" si="26"/>
        <v>10108</v>
      </c>
      <c r="D219" s="24">
        <v>10339</v>
      </c>
      <c r="E219" s="38" t="str">
        <f t="shared" si="29"/>
        <v>10339,10169</v>
      </c>
      <c r="F219" s="39" t="s">
        <v>1401</v>
      </c>
      <c r="G219" s="39">
        <v>2</v>
      </c>
      <c r="H219" s="24" t="s">
        <v>1397</v>
      </c>
      <c r="I219" s="24" t="s">
        <v>1399</v>
      </c>
      <c r="J219" s="24" t="str">
        <f t="shared" si="27"/>
        <v>[2,[10339,10169]]</v>
      </c>
      <c r="K219" s="42">
        <f t="shared" si="30"/>
        <v>1</v>
      </c>
      <c r="L219" s="39" t="s">
        <v>1401</v>
      </c>
      <c r="M219" s="39">
        <v>3</v>
      </c>
      <c r="N219" s="24" t="s">
        <v>1397</v>
      </c>
      <c r="O219" s="24" t="s">
        <v>1399</v>
      </c>
      <c r="P219" s="24">
        <f t="shared" si="28"/>
        <v>0</v>
      </c>
      <c r="Q219" s="24" t="str">
        <f t="shared" si="31"/>
        <v>[[2,[10339,10169]]]</v>
      </c>
      <c r="R219" s="24" t="s">
        <v>1397</v>
      </c>
      <c r="S219" s="24" t="s">
        <v>1399</v>
      </c>
      <c r="AA219">
        <v>12070</v>
      </c>
      <c r="AB219" t="s">
        <v>1343</v>
      </c>
      <c r="AC219">
        <v>12070</v>
      </c>
    </row>
    <row r="220" spans="1:29" ht="16.5" x14ac:dyDescent="0.15">
      <c r="A220">
        <f t="shared" si="32"/>
        <v>1010801</v>
      </c>
      <c r="B220" s="31" t="s">
        <v>454</v>
      </c>
      <c r="C220" s="35">
        <f t="shared" si="26"/>
        <v>10108</v>
      </c>
      <c r="D220" s="24">
        <v>10509</v>
      </c>
      <c r="E220" s="38" t="str">
        <f t="shared" si="29"/>
        <v>10509,10339,10169</v>
      </c>
      <c r="F220" s="39" t="s">
        <v>1401</v>
      </c>
      <c r="G220" s="39">
        <v>2</v>
      </c>
      <c r="H220" s="24" t="s">
        <v>1397</v>
      </c>
      <c r="I220" s="24" t="s">
        <v>1399</v>
      </c>
      <c r="J220" s="24" t="str">
        <f t="shared" si="27"/>
        <v>[2,[10509,10339,10169]]</v>
      </c>
      <c r="K220" s="42">
        <f t="shared" si="30"/>
        <v>1</v>
      </c>
      <c r="L220" s="39" t="s">
        <v>1401</v>
      </c>
      <c r="M220" s="39">
        <v>3</v>
      </c>
      <c r="N220" s="24" t="s">
        <v>1397</v>
      </c>
      <c r="O220" s="24" t="s">
        <v>1399</v>
      </c>
      <c r="P220" s="24">
        <f t="shared" si="28"/>
        <v>0</v>
      </c>
      <c r="Q220" s="24" t="str">
        <f t="shared" si="31"/>
        <v>[[2,[10509,10339,10169]]]</v>
      </c>
      <c r="R220" s="24" t="s">
        <v>1397</v>
      </c>
      <c r="S220" s="24" t="s">
        <v>1399</v>
      </c>
      <c r="AA220">
        <v>12071</v>
      </c>
      <c r="AB220" t="s">
        <v>1344</v>
      </c>
      <c r="AC220">
        <v>12071</v>
      </c>
    </row>
    <row r="221" spans="1:29" ht="16.5" x14ac:dyDescent="0.15">
      <c r="A221">
        <f t="shared" si="32"/>
        <v>1010801</v>
      </c>
      <c r="B221" s="31" t="s">
        <v>454</v>
      </c>
      <c r="C221" s="35">
        <f t="shared" si="26"/>
        <v>10108</v>
      </c>
      <c r="D221" s="24">
        <v>10679</v>
      </c>
      <c r="E221" s="38" t="str">
        <f t="shared" si="29"/>
        <v>10679,10509,10339,10169</v>
      </c>
      <c r="F221" s="39" t="s">
        <v>1401</v>
      </c>
      <c r="G221" s="39">
        <v>2</v>
      </c>
      <c r="H221" s="24" t="s">
        <v>1397</v>
      </c>
      <c r="I221" s="24" t="s">
        <v>1399</v>
      </c>
      <c r="J221" s="24" t="str">
        <f t="shared" si="27"/>
        <v>[2,[10679,10509,10339,10169]]</v>
      </c>
      <c r="K221" s="42">
        <f t="shared" si="30"/>
        <v>1</v>
      </c>
      <c r="L221" s="39" t="s">
        <v>1401</v>
      </c>
      <c r="M221" s="39">
        <v>3</v>
      </c>
      <c r="N221" s="24" t="s">
        <v>1397</v>
      </c>
      <c r="O221" s="24" t="s">
        <v>1399</v>
      </c>
      <c r="P221" s="24">
        <f t="shared" si="28"/>
        <v>0</v>
      </c>
      <c r="Q221" s="24" t="str">
        <f t="shared" si="31"/>
        <v>[[2,[10679,10509,10339,10169]]]</v>
      </c>
      <c r="R221" s="24" t="s">
        <v>1397</v>
      </c>
      <c r="S221" s="24" t="s">
        <v>1399</v>
      </c>
      <c r="AA221">
        <v>12072</v>
      </c>
      <c r="AB221" t="s">
        <v>1345</v>
      </c>
      <c r="AC221">
        <v>12072</v>
      </c>
    </row>
    <row r="222" spans="1:29" ht="16.5" x14ac:dyDescent="0.15">
      <c r="A222">
        <f t="shared" si="32"/>
        <v>1010802</v>
      </c>
      <c r="B222" s="31" t="s">
        <v>454</v>
      </c>
      <c r="C222" s="35">
        <f t="shared" si="26"/>
        <v>10108</v>
      </c>
      <c r="D222" s="24">
        <v>10849</v>
      </c>
      <c r="E222" s="38" t="str">
        <f t="shared" si="29"/>
        <v>10849,10679,10509,10339,10169</v>
      </c>
      <c r="F222" s="39" t="s">
        <v>1401</v>
      </c>
      <c r="G222" s="39">
        <v>2</v>
      </c>
      <c r="H222" s="24" t="s">
        <v>1397</v>
      </c>
      <c r="I222" s="24" t="s">
        <v>1399</v>
      </c>
      <c r="J222" s="24" t="str">
        <f t="shared" si="27"/>
        <v>[2,[10849,10679,10509,10339,10169]]</v>
      </c>
      <c r="K222" s="42">
        <f t="shared" si="30"/>
        <v>2</v>
      </c>
      <c r="L222" s="39" t="s">
        <v>1401</v>
      </c>
      <c r="M222" s="39">
        <v>3</v>
      </c>
      <c r="N222" s="24" t="s">
        <v>1397</v>
      </c>
      <c r="O222" s="24" t="s">
        <v>1399</v>
      </c>
      <c r="P222" s="24">
        <f t="shared" si="28"/>
        <v>0</v>
      </c>
      <c r="Q222" s="24" t="str">
        <f t="shared" si="31"/>
        <v>[[2,[10849,10679,10509,10339,10169]]]</v>
      </c>
      <c r="R222" s="24" t="s">
        <v>1397</v>
      </c>
      <c r="S222" s="24" t="s">
        <v>1399</v>
      </c>
      <c r="AA222">
        <v>12073</v>
      </c>
      <c r="AB222" t="s">
        <v>1346</v>
      </c>
      <c r="AC222">
        <v>12073</v>
      </c>
    </row>
    <row r="223" spans="1:29" ht="16.5" x14ac:dyDescent="0.15">
      <c r="A223">
        <f t="shared" si="32"/>
        <v>1003501</v>
      </c>
      <c r="B223" s="31" t="s">
        <v>115</v>
      </c>
      <c r="C223" s="35">
        <f t="shared" si="26"/>
        <v>10035</v>
      </c>
      <c r="D223" s="24">
        <v>10229</v>
      </c>
      <c r="E223" s="38">
        <f t="shared" si="29"/>
        <v>10229</v>
      </c>
      <c r="F223" s="39" t="s">
        <v>1401</v>
      </c>
      <c r="G223" s="39">
        <v>2</v>
      </c>
      <c r="H223" s="24" t="s">
        <v>1397</v>
      </c>
      <c r="I223" s="24" t="s">
        <v>1399</v>
      </c>
      <c r="J223" s="24" t="str">
        <f t="shared" si="27"/>
        <v>[2,[10229]]</v>
      </c>
      <c r="K223" s="42">
        <f t="shared" si="30"/>
        <v>1</v>
      </c>
      <c r="L223" s="39" t="s">
        <v>1401</v>
      </c>
      <c r="M223" s="39">
        <v>3</v>
      </c>
      <c r="N223" s="24" t="s">
        <v>1397</v>
      </c>
      <c r="O223" s="24" t="s">
        <v>1399</v>
      </c>
      <c r="P223" s="24">
        <f t="shared" si="28"/>
        <v>0</v>
      </c>
      <c r="Q223" s="24" t="str">
        <f t="shared" si="31"/>
        <v>[[2,[10229]]]</v>
      </c>
      <c r="R223" s="24" t="s">
        <v>1397</v>
      </c>
      <c r="S223" s="24" t="s">
        <v>1399</v>
      </c>
      <c r="AA223">
        <v>12074</v>
      </c>
      <c r="AB223" t="s">
        <v>1347</v>
      </c>
      <c r="AC223">
        <v>12074</v>
      </c>
    </row>
    <row r="224" spans="1:29" ht="16.5" x14ac:dyDescent="0.15">
      <c r="A224">
        <f t="shared" si="32"/>
        <v>1003501</v>
      </c>
      <c r="B224" s="31" t="s">
        <v>115</v>
      </c>
      <c r="C224" s="35">
        <f t="shared" si="26"/>
        <v>10035</v>
      </c>
      <c r="D224" s="24">
        <v>10399</v>
      </c>
      <c r="E224" s="38" t="str">
        <f t="shared" si="29"/>
        <v>10399,10229</v>
      </c>
      <c r="F224" s="39" t="s">
        <v>1401</v>
      </c>
      <c r="G224" s="39">
        <v>2</v>
      </c>
      <c r="H224" s="24" t="s">
        <v>1397</v>
      </c>
      <c r="I224" s="24" t="s">
        <v>1399</v>
      </c>
      <c r="J224" s="24" t="str">
        <f t="shared" si="27"/>
        <v>[2,[10399,10229]]</v>
      </c>
      <c r="K224" s="42">
        <f t="shared" si="30"/>
        <v>1</v>
      </c>
      <c r="L224" s="39" t="s">
        <v>1401</v>
      </c>
      <c r="M224" s="39">
        <v>3</v>
      </c>
      <c r="N224" s="24" t="s">
        <v>1397</v>
      </c>
      <c r="O224" s="24" t="s">
        <v>1399</v>
      </c>
      <c r="P224" s="24">
        <f t="shared" si="28"/>
        <v>0</v>
      </c>
      <c r="Q224" s="24" t="str">
        <f t="shared" si="31"/>
        <v>[[2,[10399,10229]]]</v>
      </c>
      <c r="R224" s="24" t="s">
        <v>1397</v>
      </c>
      <c r="S224" s="24" t="s">
        <v>1399</v>
      </c>
      <c r="AA224">
        <v>12075</v>
      </c>
      <c r="AB224" t="s">
        <v>1348</v>
      </c>
      <c r="AC224">
        <v>12075</v>
      </c>
    </row>
    <row r="225" spans="1:29" ht="16.5" x14ac:dyDescent="0.15">
      <c r="A225">
        <f t="shared" si="32"/>
        <v>1003501</v>
      </c>
      <c r="B225" s="31" t="s">
        <v>115</v>
      </c>
      <c r="C225" s="35">
        <f t="shared" si="26"/>
        <v>10035</v>
      </c>
      <c r="D225" s="24">
        <v>10569</v>
      </c>
      <c r="E225" s="38" t="str">
        <f t="shared" si="29"/>
        <v>10569,10399,10229</v>
      </c>
      <c r="F225" s="39" t="s">
        <v>1401</v>
      </c>
      <c r="G225" s="39">
        <v>2</v>
      </c>
      <c r="H225" s="24" t="s">
        <v>1397</v>
      </c>
      <c r="I225" s="24" t="s">
        <v>1399</v>
      </c>
      <c r="J225" s="24" t="str">
        <f t="shared" si="27"/>
        <v>[2,[10569,10399,10229]]</v>
      </c>
      <c r="K225" s="42">
        <f t="shared" si="30"/>
        <v>1</v>
      </c>
      <c r="L225" s="39" t="s">
        <v>1401</v>
      </c>
      <c r="M225" s="39">
        <v>3</v>
      </c>
      <c r="N225" s="24" t="s">
        <v>1397</v>
      </c>
      <c r="O225" s="24" t="s">
        <v>1399</v>
      </c>
      <c r="P225" s="24">
        <f t="shared" si="28"/>
        <v>0</v>
      </c>
      <c r="Q225" s="24" t="str">
        <f t="shared" si="31"/>
        <v>[[2,[10569,10399,10229]]]</v>
      </c>
      <c r="R225" s="24" t="s">
        <v>1397</v>
      </c>
      <c r="S225" s="24" t="s">
        <v>1399</v>
      </c>
      <c r="AA225">
        <v>12076</v>
      </c>
      <c r="AB225" t="s">
        <v>1349</v>
      </c>
      <c r="AC225">
        <v>12076</v>
      </c>
    </row>
    <row r="226" spans="1:29" ht="16.5" x14ac:dyDescent="0.15">
      <c r="A226">
        <f t="shared" si="32"/>
        <v>1003501</v>
      </c>
      <c r="B226" s="31" t="s">
        <v>115</v>
      </c>
      <c r="C226" s="35">
        <f t="shared" si="26"/>
        <v>10035</v>
      </c>
      <c r="D226" s="24">
        <v>10739</v>
      </c>
      <c r="E226" s="38" t="str">
        <f t="shared" si="29"/>
        <v>10739,10569,10399,10229</v>
      </c>
      <c r="F226" s="39" t="s">
        <v>1401</v>
      </c>
      <c r="G226" s="39">
        <v>2</v>
      </c>
      <c r="H226" s="24" t="s">
        <v>1397</v>
      </c>
      <c r="I226" s="24" t="s">
        <v>1399</v>
      </c>
      <c r="J226" s="24" t="str">
        <f t="shared" si="27"/>
        <v>[2,[10739,10569,10399,10229]]</v>
      </c>
      <c r="K226" s="42">
        <f t="shared" si="30"/>
        <v>1</v>
      </c>
      <c r="L226" s="39" t="s">
        <v>1401</v>
      </c>
      <c r="M226" s="39">
        <v>3</v>
      </c>
      <c r="N226" s="24" t="s">
        <v>1397</v>
      </c>
      <c r="O226" s="24" t="s">
        <v>1399</v>
      </c>
      <c r="P226" s="24">
        <f t="shared" si="28"/>
        <v>0</v>
      </c>
      <c r="Q226" s="24" t="str">
        <f t="shared" si="31"/>
        <v>[[2,[10739,10569,10399,10229]]]</v>
      </c>
      <c r="R226" s="24" t="s">
        <v>1397</v>
      </c>
      <c r="S226" s="24" t="s">
        <v>1399</v>
      </c>
      <c r="AA226">
        <v>12077</v>
      </c>
      <c r="AB226" t="s">
        <v>1350</v>
      </c>
      <c r="AC226">
        <v>12077</v>
      </c>
    </row>
    <row r="227" spans="1:29" ht="16.5" x14ac:dyDescent="0.15">
      <c r="A227">
        <f t="shared" si="32"/>
        <v>1003502</v>
      </c>
      <c r="B227" s="31" t="s">
        <v>115</v>
      </c>
      <c r="C227" s="35">
        <f t="shared" si="26"/>
        <v>10035</v>
      </c>
      <c r="D227">
        <v>10060</v>
      </c>
      <c r="E227" s="38" t="str">
        <f t="shared" si="29"/>
        <v>10060,10739,10569,10399,10229</v>
      </c>
      <c r="F227" s="39" t="s">
        <v>1401</v>
      </c>
      <c r="G227" s="39">
        <v>2</v>
      </c>
      <c r="H227" s="24" t="s">
        <v>1397</v>
      </c>
      <c r="I227" s="24" t="s">
        <v>1399</v>
      </c>
      <c r="J227" s="24" t="str">
        <f t="shared" si="27"/>
        <v>[2,[10060,10739,10569,10399,10229]]</v>
      </c>
      <c r="K227" s="42">
        <f t="shared" si="30"/>
        <v>2</v>
      </c>
      <c r="L227" s="39" t="s">
        <v>1401</v>
      </c>
      <c r="M227" s="39">
        <v>3</v>
      </c>
      <c r="N227" s="24" t="s">
        <v>1397</v>
      </c>
      <c r="O227" s="24" t="s">
        <v>1399</v>
      </c>
      <c r="P227" s="24">
        <f t="shared" si="28"/>
        <v>0</v>
      </c>
      <c r="Q227" s="24" t="str">
        <f t="shared" si="31"/>
        <v>[[2,[10060,10739,10569,10399,10229]]]</v>
      </c>
      <c r="R227" s="24" t="s">
        <v>1397</v>
      </c>
      <c r="S227" s="24" t="s">
        <v>1399</v>
      </c>
      <c r="AA227">
        <v>12078</v>
      </c>
      <c r="AB227" t="s">
        <v>1351</v>
      </c>
      <c r="AC227">
        <v>12078</v>
      </c>
    </row>
    <row r="228" spans="1:29" ht="16.5" x14ac:dyDescent="0.15">
      <c r="A228">
        <f t="shared" si="32"/>
        <v>1010401</v>
      </c>
      <c r="B228" s="27" t="s">
        <v>894</v>
      </c>
      <c r="C228" s="35">
        <f t="shared" si="26"/>
        <v>10104</v>
      </c>
      <c r="D228" s="24">
        <v>10126</v>
      </c>
      <c r="E228" s="38">
        <f t="shared" si="29"/>
        <v>10126</v>
      </c>
      <c r="F228" s="39" t="s">
        <v>1401</v>
      </c>
      <c r="G228" s="39">
        <v>2</v>
      </c>
      <c r="H228" s="24" t="s">
        <v>1397</v>
      </c>
      <c r="I228" s="24" t="s">
        <v>1399</v>
      </c>
      <c r="J228" s="24" t="str">
        <f t="shared" si="27"/>
        <v>[2,[10126]]</v>
      </c>
      <c r="K228" s="42">
        <f t="shared" si="30"/>
        <v>1</v>
      </c>
      <c r="L228" s="39" t="s">
        <v>1401</v>
      </c>
      <c r="M228" s="39">
        <v>3</v>
      </c>
      <c r="N228" s="24" t="s">
        <v>1397</v>
      </c>
      <c r="O228" s="24" t="s">
        <v>1399</v>
      </c>
      <c r="P228" s="24">
        <f t="shared" si="28"/>
        <v>0</v>
      </c>
      <c r="Q228" s="24" t="str">
        <f t="shared" si="31"/>
        <v>[[2,[10126]]]</v>
      </c>
      <c r="R228" s="24" t="s">
        <v>1397</v>
      </c>
      <c r="S228" s="24" t="s">
        <v>1399</v>
      </c>
      <c r="AA228">
        <v>12079</v>
      </c>
      <c r="AB228" t="s">
        <v>1352</v>
      </c>
      <c r="AC228">
        <v>12079</v>
      </c>
    </row>
    <row r="229" spans="1:29" ht="16.5" x14ac:dyDescent="0.15">
      <c r="A229">
        <f t="shared" si="32"/>
        <v>1010401</v>
      </c>
      <c r="B229" s="27" t="s">
        <v>894</v>
      </c>
      <c r="C229" s="35">
        <f t="shared" si="26"/>
        <v>10104</v>
      </c>
      <c r="D229" s="24">
        <v>10286</v>
      </c>
      <c r="E229" s="38" t="str">
        <f t="shared" si="29"/>
        <v>10286,10126</v>
      </c>
      <c r="F229" s="39" t="s">
        <v>1401</v>
      </c>
      <c r="G229" s="39">
        <v>2</v>
      </c>
      <c r="H229" s="24" t="s">
        <v>1397</v>
      </c>
      <c r="I229" s="24" t="s">
        <v>1399</v>
      </c>
      <c r="J229" s="24" t="str">
        <f t="shared" si="27"/>
        <v>[2,[10286,10126]]</v>
      </c>
      <c r="K229" s="42">
        <f t="shared" si="30"/>
        <v>1</v>
      </c>
      <c r="L229" s="39" t="s">
        <v>1401</v>
      </c>
      <c r="M229" s="39">
        <v>3</v>
      </c>
      <c r="N229" s="24" t="s">
        <v>1397</v>
      </c>
      <c r="O229" s="24" t="s">
        <v>1399</v>
      </c>
      <c r="P229" s="24">
        <f t="shared" si="28"/>
        <v>0</v>
      </c>
      <c r="Q229" s="24" t="str">
        <f t="shared" si="31"/>
        <v>[[2,[10286,10126]]]</v>
      </c>
      <c r="R229" s="24" t="s">
        <v>1397</v>
      </c>
      <c r="S229" s="24" t="s">
        <v>1399</v>
      </c>
      <c r="AA229">
        <v>12080</v>
      </c>
      <c r="AB229" t="s">
        <v>709</v>
      </c>
      <c r="AC229">
        <v>12080</v>
      </c>
    </row>
    <row r="230" spans="1:29" ht="16.5" x14ac:dyDescent="0.15">
      <c r="A230">
        <f t="shared" si="32"/>
        <v>1010401</v>
      </c>
      <c r="B230" s="27" t="s">
        <v>894</v>
      </c>
      <c r="C230" s="35">
        <f t="shared" si="26"/>
        <v>10104</v>
      </c>
      <c r="D230" s="24">
        <v>10446</v>
      </c>
      <c r="E230" s="38" t="str">
        <f t="shared" si="29"/>
        <v>10446,10286,10126</v>
      </c>
      <c r="F230" s="39" t="s">
        <v>1401</v>
      </c>
      <c r="G230" s="39">
        <v>2</v>
      </c>
      <c r="H230" s="24" t="s">
        <v>1397</v>
      </c>
      <c r="I230" s="24" t="s">
        <v>1399</v>
      </c>
      <c r="J230" s="24" t="str">
        <f t="shared" si="27"/>
        <v>[2,[10446,10286,10126]]</v>
      </c>
      <c r="K230" s="42">
        <f t="shared" si="30"/>
        <v>1</v>
      </c>
      <c r="L230" s="39" t="s">
        <v>1401</v>
      </c>
      <c r="M230" s="39">
        <v>3</v>
      </c>
      <c r="N230" s="24" t="s">
        <v>1397</v>
      </c>
      <c r="O230" s="24" t="s">
        <v>1399</v>
      </c>
      <c r="P230" s="24">
        <f t="shared" si="28"/>
        <v>0</v>
      </c>
      <c r="Q230" s="24" t="str">
        <f t="shared" si="31"/>
        <v>[[2,[10446,10286,10126]]]</v>
      </c>
      <c r="R230" s="24" t="s">
        <v>1397</v>
      </c>
      <c r="S230" s="24" t="s">
        <v>1399</v>
      </c>
      <c r="AA230">
        <v>12081</v>
      </c>
      <c r="AB230" t="s">
        <v>714</v>
      </c>
      <c r="AC230">
        <v>12081</v>
      </c>
    </row>
    <row r="231" spans="1:29" ht="16.5" x14ac:dyDescent="0.15">
      <c r="A231">
        <f t="shared" si="32"/>
        <v>1010401</v>
      </c>
      <c r="B231" s="27" t="s">
        <v>894</v>
      </c>
      <c r="C231" s="35">
        <f t="shared" si="26"/>
        <v>10104</v>
      </c>
      <c r="D231" s="24">
        <v>10606</v>
      </c>
      <c r="E231" s="38" t="str">
        <f t="shared" si="29"/>
        <v>10606,10446,10286,10126</v>
      </c>
      <c r="F231" s="39" t="s">
        <v>1401</v>
      </c>
      <c r="G231" s="39">
        <v>2</v>
      </c>
      <c r="H231" s="24" t="s">
        <v>1397</v>
      </c>
      <c r="I231" s="24" t="s">
        <v>1399</v>
      </c>
      <c r="J231" s="24" t="str">
        <f t="shared" si="27"/>
        <v>[2,[10606,10446,10286,10126]]</v>
      </c>
      <c r="K231" s="42">
        <f t="shared" si="30"/>
        <v>1</v>
      </c>
      <c r="L231" s="39" t="s">
        <v>1401</v>
      </c>
      <c r="M231" s="39">
        <v>3</v>
      </c>
      <c r="N231" s="24" t="s">
        <v>1397</v>
      </c>
      <c r="O231" s="24" t="s">
        <v>1399</v>
      </c>
      <c r="P231" s="24">
        <f t="shared" si="28"/>
        <v>0</v>
      </c>
      <c r="Q231" s="24" t="str">
        <f t="shared" si="31"/>
        <v>[[2,[10606,10446,10286,10126]]]</v>
      </c>
      <c r="R231" s="24" t="s">
        <v>1397</v>
      </c>
      <c r="S231" s="24" t="s">
        <v>1399</v>
      </c>
      <c r="AA231">
        <v>12082</v>
      </c>
      <c r="AB231" t="s">
        <v>719</v>
      </c>
      <c r="AC231">
        <v>12082</v>
      </c>
    </row>
    <row r="232" spans="1:29" ht="16.5" x14ac:dyDescent="0.15">
      <c r="A232">
        <f t="shared" si="32"/>
        <v>1010401</v>
      </c>
      <c r="B232" s="27" t="s">
        <v>894</v>
      </c>
      <c r="C232" s="35">
        <f t="shared" si="26"/>
        <v>10104</v>
      </c>
      <c r="D232" s="24">
        <v>10766</v>
      </c>
      <c r="E232" s="38" t="str">
        <f t="shared" si="29"/>
        <v>10766,10606,10446,10286,10126</v>
      </c>
      <c r="F232" s="39" t="s">
        <v>1401</v>
      </c>
      <c r="G232" s="39">
        <v>2</v>
      </c>
      <c r="H232" s="24" t="s">
        <v>1397</v>
      </c>
      <c r="I232" s="24" t="s">
        <v>1399</v>
      </c>
      <c r="J232" s="24" t="str">
        <f t="shared" si="27"/>
        <v>[2,[10766,10606,10446,10286,10126]]</v>
      </c>
      <c r="K232" s="42">
        <f t="shared" si="30"/>
        <v>1</v>
      </c>
      <c r="L232" s="39" t="s">
        <v>1401</v>
      </c>
      <c r="M232" s="39">
        <v>3</v>
      </c>
      <c r="N232" s="24" t="s">
        <v>1397</v>
      </c>
      <c r="O232" s="24" t="s">
        <v>1399</v>
      </c>
      <c r="P232" s="24">
        <f t="shared" si="28"/>
        <v>0</v>
      </c>
      <c r="Q232" s="24" t="str">
        <f t="shared" si="31"/>
        <v>[[2,[10766,10606,10446,10286,10126]]]</v>
      </c>
      <c r="R232" s="24" t="s">
        <v>1397</v>
      </c>
      <c r="S232" s="24" t="s">
        <v>1399</v>
      </c>
      <c r="AA232">
        <v>12083</v>
      </c>
      <c r="AB232" t="s">
        <v>722</v>
      </c>
      <c r="AC232">
        <v>12083</v>
      </c>
    </row>
    <row r="233" spans="1:29" ht="16.5" x14ac:dyDescent="0.15">
      <c r="A233">
        <f t="shared" si="32"/>
        <v>1010402</v>
      </c>
      <c r="B233" s="27" t="s">
        <v>894</v>
      </c>
      <c r="C233" s="35">
        <f t="shared" si="26"/>
        <v>10104</v>
      </c>
      <c r="D233" s="24">
        <v>10069</v>
      </c>
      <c r="E233" s="38" t="str">
        <f t="shared" si="29"/>
        <v>10069,10766,10606,10446,10286,10126</v>
      </c>
      <c r="F233" s="39" t="s">
        <v>1401</v>
      </c>
      <c r="G233" s="39">
        <v>2</v>
      </c>
      <c r="H233" s="24" t="s">
        <v>1397</v>
      </c>
      <c r="I233" s="24" t="s">
        <v>1399</v>
      </c>
      <c r="J233" s="24" t="str">
        <f t="shared" si="27"/>
        <v>[2,[10069,10766,10606,10446,10286,10126]]</v>
      </c>
      <c r="K233" s="42">
        <f t="shared" si="30"/>
        <v>2</v>
      </c>
      <c r="L233" s="39" t="s">
        <v>1401</v>
      </c>
      <c r="M233" s="39">
        <v>3</v>
      </c>
      <c r="N233" s="24" t="s">
        <v>1397</v>
      </c>
      <c r="O233" s="24" t="s">
        <v>1399</v>
      </c>
      <c r="P233" s="24">
        <f t="shared" si="28"/>
        <v>0</v>
      </c>
      <c r="Q233" s="24" t="str">
        <f t="shared" si="31"/>
        <v>[[2,[10069,10766,10606,10446,10286,10126]]]</v>
      </c>
      <c r="R233" s="24" t="s">
        <v>1397</v>
      </c>
      <c r="S233" s="24" t="s">
        <v>1399</v>
      </c>
      <c r="AA233">
        <v>12084</v>
      </c>
      <c r="AB233" t="s">
        <v>723</v>
      </c>
      <c r="AC233">
        <v>12084</v>
      </c>
    </row>
    <row r="234" spans="1:29" ht="16.5" x14ac:dyDescent="0.15">
      <c r="A234">
        <f t="shared" si="32"/>
        <v>1010301</v>
      </c>
      <c r="B234" s="27" t="s">
        <v>893</v>
      </c>
      <c r="C234" s="35">
        <f t="shared" si="26"/>
        <v>10103</v>
      </c>
      <c r="D234" s="24">
        <v>10096</v>
      </c>
      <c r="E234" s="38">
        <f t="shared" si="29"/>
        <v>10096</v>
      </c>
      <c r="F234" s="39" t="s">
        <v>1401</v>
      </c>
      <c r="G234" s="39">
        <v>2</v>
      </c>
      <c r="H234" s="24" t="s">
        <v>1397</v>
      </c>
      <c r="I234" s="24" t="s">
        <v>1399</v>
      </c>
      <c r="J234" s="24" t="str">
        <f t="shared" si="27"/>
        <v>[2,[10096]]</v>
      </c>
      <c r="K234" s="42">
        <f t="shared" si="30"/>
        <v>1</v>
      </c>
      <c r="L234" s="39" t="s">
        <v>1401</v>
      </c>
      <c r="M234" s="39">
        <v>3</v>
      </c>
      <c r="N234" s="24" t="s">
        <v>1397</v>
      </c>
      <c r="O234" s="24" t="s">
        <v>1399</v>
      </c>
      <c r="P234" s="24">
        <f t="shared" si="28"/>
        <v>0</v>
      </c>
      <c r="Q234" s="24" t="str">
        <f t="shared" si="31"/>
        <v>[[2,[10096]]]</v>
      </c>
      <c r="R234" s="24" t="s">
        <v>1397</v>
      </c>
      <c r="S234" s="24" t="s">
        <v>1399</v>
      </c>
      <c r="AA234">
        <v>14001</v>
      </c>
      <c r="AB234" t="s">
        <v>1353</v>
      </c>
      <c r="AC234">
        <v>14001</v>
      </c>
    </row>
    <row r="235" spans="1:29" ht="16.5" x14ac:dyDescent="0.15">
      <c r="A235">
        <f t="shared" si="32"/>
        <v>1010301</v>
      </c>
      <c r="B235" s="27" t="s">
        <v>893</v>
      </c>
      <c r="C235" s="35">
        <f t="shared" si="26"/>
        <v>10103</v>
      </c>
      <c r="D235" s="24">
        <v>10256</v>
      </c>
      <c r="E235" s="38" t="str">
        <f t="shared" si="29"/>
        <v>10256,10096</v>
      </c>
      <c r="F235" s="39" t="s">
        <v>1401</v>
      </c>
      <c r="G235" s="39">
        <v>2</v>
      </c>
      <c r="H235" s="24" t="s">
        <v>1397</v>
      </c>
      <c r="I235" s="24" t="s">
        <v>1399</v>
      </c>
      <c r="J235" s="24" t="str">
        <f t="shared" si="27"/>
        <v>[2,[10256,10096]]</v>
      </c>
      <c r="K235" s="42">
        <f t="shared" si="30"/>
        <v>1</v>
      </c>
      <c r="L235" s="39" t="s">
        <v>1401</v>
      </c>
      <c r="M235" s="39">
        <v>3</v>
      </c>
      <c r="N235" s="24" t="s">
        <v>1397</v>
      </c>
      <c r="O235" s="24" t="s">
        <v>1399</v>
      </c>
      <c r="P235" s="24">
        <f t="shared" si="28"/>
        <v>0</v>
      </c>
      <c r="Q235" s="24" t="str">
        <f t="shared" si="31"/>
        <v>[[2,[10256,10096]]]</v>
      </c>
      <c r="R235" s="24" t="s">
        <v>1397</v>
      </c>
      <c r="S235" s="24" t="s">
        <v>1399</v>
      </c>
      <c r="AA235">
        <v>14002</v>
      </c>
      <c r="AB235" t="s">
        <v>1354</v>
      </c>
      <c r="AC235">
        <v>14002</v>
      </c>
    </row>
    <row r="236" spans="1:29" ht="16.5" x14ac:dyDescent="0.15">
      <c r="A236">
        <f t="shared" si="32"/>
        <v>1010301</v>
      </c>
      <c r="B236" s="27" t="s">
        <v>893</v>
      </c>
      <c r="C236" s="35">
        <f t="shared" si="26"/>
        <v>10103</v>
      </c>
      <c r="D236" s="24">
        <v>10416</v>
      </c>
      <c r="E236" s="38" t="str">
        <f t="shared" si="29"/>
        <v>10416,10256,10096</v>
      </c>
      <c r="F236" s="39" t="s">
        <v>1401</v>
      </c>
      <c r="G236" s="39">
        <v>2</v>
      </c>
      <c r="H236" s="24" t="s">
        <v>1397</v>
      </c>
      <c r="I236" s="24" t="s">
        <v>1399</v>
      </c>
      <c r="J236" s="24" t="str">
        <f t="shared" si="27"/>
        <v>[2,[10416,10256,10096]]</v>
      </c>
      <c r="K236" s="42">
        <f t="shared" si="30"/>
        <v>1</v>
      </c>
      <c r="L236" s="39" t="s">
        <v>1401</v>
      </c>
      <c r="M236" s="39">
        <v>3</v>
      </c>
      <c r="N236" s="24" t="s">
        <v>1397</v>
      </c>
      <c r="O236" s="24" t="s">
        <v>1399</v>
      </c>
      <c r="P236" s="24">
        <f t="shared" si="28"/>
        <v>0</v>
      </c>
      <c r="Q236" s="24" t="str">
        <f t="shared" si="31"/>
        <v>[[2,[10416,10256,10096]]]</v>
      </c>
      <c r="R236" s="24" t="s">
        <v>1397</v>
      </c>
      <c r="S236" s="24" t="s">
        <v>1399</v>
      </c>
      <c r="AA236">
        <v>14003</v>
      </c>
      <c r="AB236" t="s">
        <v>1355</v>
      </c>
      <c r="AC236">
        <v>14003</v>
      </c>
    </row>
    <row r="237" spans="1:29" ht="16.5" x14ac:dyDescent="0.15">
      <c r="A237">
        <f t="shared" si="32"/>
        <v>1010301</v>
      </c>
      <c r="B237" s="27" t="s">
        <v>893</v>
      </c>
      <c r="C237" s="35">
        <f t="shared" si="26"/>
        <v>10103</v>
      </c>
      <c r="D237" s="24">
        <v>10576</v>
      </c>
      <c r="E237" s="38" t="str">
        <f t="shared" si="29"/>
        <v>10576,10416,10256,10096</v>
      </c>
      <c r="F237" s="39" t="s">
        <v>1401</v>
      </c>
      <c r="G237" s="39">
        <v>2</v>
      </c>
      <c r="H237" s="24" t="s">
        <v>1397</v>
      </c>
      <c r="I237" s="24" t="s">
        <v>1399</v>
      </c>
      <c r="J237" s="24" t="str">
        <f t="shared" si="27"/>
        <v>[2,[10576,10416,10256,10096]]</v>
      </c>
      <c r="K237" s="42">
        <f t="shared" si="30"/>
        <v>1</v>
      </c>
      <c r="L237" s="39" t="s">
        <v>1401</v>
      </c>
      <c r="M237" s="39">
        <v>3</v>
      </c>
      <c r="N237" s="24" t="s">
        <v>1397</v>
      </c>
      <c r="O237" s="24" t="s">
        <v>1399</v>
      </c>
      <c r="P237" s="24">
        <f t="shared" si="28"/>
        <v>0</v>
      </c>
      <c r="Q237" s="24" t="str">
        <f t="shared" si="31"/>
        <v>[[2,[10576,10416,10256,10096]]]</v>
      </c>
      <c r="R237" s="24" t="s">
        <v>1397</v>
      </c>
      <c r="S237" s="24" t="s">
        <v>1399</v>
      </c>
      <c r="AA237">
        <v>14004</v>
      </c>
      <c r="AB237" t="s">
        <v>1356</v>
      </c>
      <c r="AC237">
        <v>14004</v>
      </c>
    </row>
    <row r="238" spans="1:29" ht="16.5" x14ac:dyDescent="0.15">
      <c r="A238">
        <f t="shared" si="32"/>
        <v>1010301</v>
      </c>
      <c r="B238" s="27" t="s">
        <v>893</v>
      </c>
      <c r="C238" s="35">
        <f t="shared" si="26"/>
        <v>10103</v>
      </c>
      <c r="D238" s="24">
        <v>10736</v>
      </c>
      <c r="E238" s="38" t="str">
        <f t="shared" si="29"/>
        <v>10736,10576,10416,10256,10096</v>
      </c>
      <c r="F238" s="39" t="s">
        <v>1401</v>
      </c>
      <c r="G238" s="39">
        <v>2</v>
      </c>
      <c r="H238" s="24" t="s">
        <v>1397</v>
      </c>
      <c r="I238" s="24" t="s">
        <v>1399</v>
      </c>
      <c r="J238" s="24" t="str">
        <f t="shared" si="27"/>
        <v>[2,[10736,10576,10416,10256,10096]]</v>
      </c>
      <c r="K238" s="42">
        <f t="shared" si="30"/>
        <v>1</v>
      </c>
      <c r="L238" s="39" t="s">
        <v>1401</v>
      </c>
      <c r="M238" s="39">
        <v>3</v>
      </c>
      <c r="N238" s="24" t="s">
        <v>1397</v>
      </c>
      <c r="O238" s="24" t="s">
        <v>1399</v>
      </c>
      <c r="P238" s="24">
        <f t="shared" si="28"/>
        <v>0</v>
      </c>
      <c r="Q238" s="24" t="str">
        <f t="shared" si="31"/>
        <v>[[2,[10736,10576,10416,10256,10096]]]</v>
      </c>
      <c r="R238" s="24" t="s">
        <v>1397</v>
      </c>
      <c r="S238" s="24" t="s">
        <v>1399</v>
      </c>
      <c r="AA238">
        <v>14005</v>
      </c>
      <c r="AB238" t="s">
        <v>1357</v>
      </c>
      <c r="AC238">
        <v>14005</v>
      </c>
    </row>
    <row r="239" spans="1:29" ht="16.5" x14ac:dyDescent="0.15">
      <c r="A239">
        <f t="shared" si="32"/>
        <v>1010301</v>
      </c>
      <c r="B239" s="27" t="s">
        <v>893</v>
      </c>
      <c r="C239" s="35">
        <f t="shared" si="26"/>
        <v>10103</v>
      </c>
      <c r="D239" s="24">
        <v>10896</v>
      </c>
      <c r="E239" s="38" t="str">
        <f t="shared" si="29"/>
        <v>10896,10736,10576,10416,10256,10096</v>
      </c>
      <c r="F239" s="39" t="s">
        <v>1401</v>
      </c>
      <c r="G239" s="39">
        <v>2</v>
      </c>
      <c r="H239" s="24" t="s">
        <v>1397</v>
      </c>
      <c r="I239" s="24" t="s">
        <v>1399</v>
      </c>
      <c r="J239" s="24" t="str">
        <f t="shared" si="27"/>
        <v>[2,[10896,10736,10576,10416,10256,10096]]</v>
      </c>
      <c r="K239" s="42">
        <f t="shared" si="30"/>
        <v>1</v>
      </c>
      <c r="L239" s="39" t="s">
        <v>1401</v>
      </c>
      <c r="M239" s="39">
        <v>3</v>
      </c>
      <c r="N239" s="24" t="s">
        <v>1397</v>
      </c>
      <c r="O239" s="24" t="s">
        <v>1399</v>
      </c>
      <c r="P239" s="24">
        <f t="shared" si="28"/>
        <v>0</v>
      </c>
      <c r="Q239" s="24" t="str">
        <f t="shared" si="31"/>
        <v>[[2,[10896,10736,10576,10416,10256,10096]]]</v>
      </c>
      <c r="R239" s="24" t="s">
        <v>1397</v>
      </c>
      <c r="S239" s="24" t="s">
        <v>1399</v>
      </c>
      <c r="AA239">
        <v>14006</v>
      </c>
      <c r="AB239" t="s">
        <v>1358</v>
      </c>
      <c r="AC239">
        <v>14006</v>
      </c>
    </row>
    <row r="240" spans="1:29" ht="16.5" x14ac:dyDescent="0.15">
      <c r="A240">
        <f t="shared" si="32"/>
        <v>1010302</v>
      </c>
      <c r="B240" s="27" t="s">
        <v>893</v>
      </c>
      <c r="C240" s="35">
        <f t="shared" si="26"/>
        <v>10103</v>
      </c>
      <c r="D240" s="24">
        <v>10038</v>
      </c>
      <c r="E240" s="38" t="str">
        <f t="shared" si="29"/>
        <v>10038,10896,10736,10576,10416,10256,10096</v>
      </c>
      <c r="F240" s="39" t="s">
        <v>1401</v>
      </c>
      <c r="G240" s="39">
        <v>2</v>
      </c>
      <c r="H240" s="24" t="s">
        <v>1397</v>
      </c>
      <c r="I240" s="24" t="s">
        <v>1399</v>
      </c>
      <c r="J240" s="24" t="str">
        <f t="shared" si="27"/>
        <v>[2,[10038,10896,10736,10576,10416,10256,10096]]</v>
      </c>
      <c r="K240" s="42">
        <f t="shared" si="30"/>
        <v>2</v>
      </c>
      <c r="L240" s="39" t="s">
        <v>1401</v>
      </c>
      <c r="M240" s="39">
        <v>3</v>
      </c>
      <c r="N240" s="24" t="s">
        <v>1397</v>
      </c>
      <c r="O240" s="24" t="s">
        <v>1399</v>
      </c>
      <c r="P240" s="24">
        <f t="shared" si="28"/>
        <v>0</v>
      </c>
      <c r="Q240" s="24" t="str">
        <f t="shared" si="31"/>
        <v>[[2,[10038,10896,10736,10576,10416,10256,10096]]]</v>
      </c>
      <c r="R240" s="24" t="s">
        <v>1397</v>
      </c>
      <c r="S240" s="24" t="s">
        <v>1399</v>
      </c>
      <c r="AA240">
        <v>14101</v>
      </c>
      <c r="AB240" t="s">
        <v>1359</v>
      </c>
      <c r="AC240">
        <v>14101</v>
      </c>
    </row>
    <row r="241" spans="1:29" ht="16.5" x14ac:dyDescent="0.15">
      <c r="A241">
        <f t="shared" si="32"/>
        <v>1001001</v>
      </c>
      <c r="B241" s="31" t="s">
        <v>1336</v>
      </c>
      <c r="C241" s="35">
        <f t="shared" si="26"/>
        <v>10010</v>
      </c>
      <c r="D241" s="24">
        <v>10209</v>
      </c>
      <c r="E241" s="38">
        <f t="shared" si="29"/>
        <v>10209</v>
      </c>
      <c r="F241" s="39" t="s">
        <v>1401</v>
      </c>
      <c r="G241" s="39">
        <v>2</v>
      </c>
      <c r="H241" s="24" t="s">
        <v>1397</v>
      </c>
      <c r="I241" s="24" t="s">
        <v>1399</v>
      </c>
      <c r="J241" s="24" t="str">
        <f t="shared" si="27"/>
        <v>[2,[10209]]</v>
      </c>
      <c r="K241" s="42">
        <f t="shared" si="30"/>
        <v>1</v>
      </c>
      <c r="L241" s="39" t="s">
        <v>1401</v>
      </c>
      <c r="M241" s="39">
        <v>3</v>
      </c>
      <c r="N241" s="24" t="s">
        <v>1397</v>
      </c>
      <c r="O241" s="24" t="s">
        <v>1399</v>
      </c>
      <c r="P241" s="24">
        <f t="shared" si="28"/>
        <v>0</v>
      </c>
      <c r="Q241" s="24" t="str">
        <f t="shared" si="31"/>
        <v>[[2,[10209]]]</v>
      </c>
      <c r="R241" s="24" t="s">
        <v>1397</v>
      </c>
      <c r="S241" s="24" t="s">
        <v>1399</v>
      </c>
      <c r="AA241">
        <v>14102</v>
      </c>
      <c r="AB241" t="s">
        <v>1360</v>
      </c>
      <c r="AC241">
        <v>14102</v>
      </c>
    </row>
    <row r="242" spans="1:29" ht="16.5" x14ac:dyDescent="0.15">
      <c r="A242">
        <f t="shared" si="32"/>
        <v>1001001</v>
      </c>
      <c r="B242" s="31" t="s">
        <v>93</v>
      </c>
      <c r="C242" s="35">
        <f t="shared" si="26"/>
        <v>10010</v>
      </c>
      <c r="D242" s="24">
        <v>10379</v>
      </c>
      <c r="E242" s="38" t="str">
        <f t="shared" si="29"/>
        <v>10379,10209</v>
      </c>
      <c r="F242" s="39" t="s">
        <v>1401</v>
      </c>
      <c r="G242" s="39">
        <v>2</v>
      </c>
      <c r="H242" s="24" t="s">
        <v>1397</v>
      </c>
      <c r="I242" s="24" t="s">
        <v>1399</v>
      </c>
      <c r="J242" s="24" t="str">
        <f t="shared" si="27"/>
        <v>[2,[10379,10209]]</v>
      </c>
      <c r="K242" s="42">
        <f t="shared" si="30"/>
        <v>1</v>
      </c>
      <c r="L242" s="39" t="s">
        <v>1401</v>
      </c>
      <c r="M242" s="39">
        <v>3</v>
      </c>
      <c r="N242" s="24" t="s">
        <v>1397</v>
      </c>
      <c r="O242" s="24" t="s">
        <v>1399</v>
      </c>
      <c r="P242" s="24">
        <f t="shared" si="28"/>
        <v>0</v>
      </c>
      <c r="Q242" s="24" t="str">
        <f t="shared" si="31"/>
        <v>[[2,[10379,10209]]]</v>
      </c>
      <c r="R242" s="24" t="s">
        <v>1397</v>
      </c>
      <c r="S242" s="24" t="s">
        <v>1399</v>
      </c>
      <c r="AA242">
        <v>14104</v>
      </c>
      <c r="AB242" t="s">
        <v>21</v>
      </c>
      <c r="AC242">
        <v>14104</v>
      </c>
    </row>
    <row r="243" spans="1:29" ht="16.5" x14ac:dyDescent="0.15">
      <c r="A243">
        <f t="shared" si="32"/>
        <v>1001001</v>
      </c>
      <c r="B243" s="31" t="s">
        <v>93</v>
      </c>
      <c r="C243" s="35">
        <f t="shared" si="26"/>
        <v>10010</v>
      </c>
      <c r="D243" s="24">
        <v>10549</v>
      </c>
      <c r="E243" s="38" t="str">
        <f t="shared" si="29"/>
        <v>10549,10379,10209</v>
      </c>
      <c r="F243" s="39" t="s">
        <v>1401</v>
      </c>
      <c r="G243" s="39">
        <v>2</v>
      </c>
      <c r="H243" s="24" t="s">
        <v>1397</v>
      </c>
      <c r="I243" s="24" t="s">
        <v>1399</v>
      </c>
      <c r="J243" s="24" t="str">
        <f t="shared" si="27"/>
        <v>[2,[10549,10379,10209]]</v>
      </c>
      <c r="K243" s="42">
        <f t="shared" si="30"/>
        <v>1</v>
      </c>
      <c r="L243" s="39" t="s">
        <v>1401</v>
      </c>
      <c r="M243" s="39">
        <v>3</v>
      </c>
      <c r="N243" s="24" t="s">
        <v>1397</v>
      </c>
      <c r="O243" s="24" t="s">
        <v>1399</v>
      </c>
      <c r="P243" s="24">
        <f t="shared" si="28"/>
        <v>0</v>
      </c>
      <c r="Q243" s="24" t="str">
        <f t="shared" si="31"/>
        <v>[[2,[10549,10379,10209]]]</v>
      </c>
      <c r="R243" s="24" t="s">
        <v>1397</v>
      </c>
      <c r="S243" s="24" t="s">
        <v>1399</v>
      </c>
      <c r="AA243">
        <v>14106</v>
      </c>
      <c r="AB243" t="s">
        <v>22</v>
      </c>
      <c r="AC243">
        <v>14106</v>
      </c>
    </row>
    <row r="244" spans="1:29" ht="16.5" x14ac:dyDescent="0.15">
      <c r="A244">
        <f t="shared" si="32"/>
        <v>1001001</v>
      </c>
      <c r="B244" s="31" t="s">
        <v>93</v>
      </c>
      <c r="C244" s="35">
        <f t="shared" si="26"/>
        <v>10010</v>
      </c>
      <c r="D244" s="24">
        <v>10719</v>
      </c>
      <c r="E244" s="38" t="str">
        <f t="shared" si="29"/>
        <v>10719,10549,10379,10209</v>
      </c>
      <c r="F244" s="39" t="s">
        <v>1401</v>
      </c>
      <c r="G244" s="39">
        <v>2</v>
      </c>
      <c r="H244" s="24" t="s">
        <v>1397</v>
      </c>
      <c r="I244" s="24" t="s">
        <v>1399</v>
      </c>
      <c r="J244" s="24" t="str">
        <f t="shared" si="27"/>
        <v>[2,[10719,10549,10379,10209]]</v>
      </c>
      <c r="K244" s="42">
        <f t="shared" si="30"/>
        <v>1</v>
      </c>
      <c r="L244" s="39" t="s">
        <v>1401</v>
      </c>
      <c r="M244" s="39">
        <v>3</v>
      </c>
      <c r="N244" s="24" t="s">
        <v>1397</v>
      </c>
      <c r="O244" s="24" t="s">
        <v>1399</v>
      </c>
      <c r="P244" s="24">
        <f t="shared" si="28"/>
        <v>0</v>
      </c>
      <c r="Q244" s="24" t="str">
        <f t="shared" si="31"/>
        <v>[[2,[10719,10549,10379,10209]]]</v>
      </c>
      <c r="R244" s="24" t="s">
        <v>1397</v>
      </c>
      <c r="S244" s="24" t="s">
        <v>1399</v>
      </c>
      <c r="AA244">
        <v>14107</v>
      </c>
      <c r="AB244" t="s">
        <v>1361</v>
      </c>
      <c r="AC244">
        <v>14107</v>
      </c>
    </row>
    <row r="245" spans="1:29" ht="16.5" x14ac:dyDescent="0.15">
      <c r="A245">
        <f t="shared" si="32"/>
        <v>1001002</v>
      </c>
      <c r="B245" s="31" t="s">
        <v>93</v>
      </c>
      <c r="C245" s="35">
        <f t="shared" ref="C245:C308" si="33">VLOOKUP(B245,AB:AC,2,FALSE)</f>
        <v>10010</v>
      </c>
      <c r="D245" s="24">
        <v>10889</v>
      </c>
      <c r="E245" s="38" t="str">
        <f t="shared" ref="E245:E308" si="34">IF(C245=C244,D245&amp;F245&amp;E244,D245)</f>
        <v>10889,10719,10549,10379,10209</v>
      </c>
      <c r="F245" s="39" t="s">
        <v>1401</v>
      </c>
      <c r="G245" s="39">
        <v>2</v>
      </c>
      <c r="H245" s="24" t="s">
        <v>1397</v>
      </c>
      <c r="I245" s="24" t="s">
        <v>1399</v>
      </c>
      <c r="J245" s="24" t="str">
        <f t="shared" ref="J245:J308" si="35">H245&amp;G245&amp;F245&amp;H245&amp;E245&amp;I245&amp;I245</f>
        <v>[2,[10889,10719,10549,10379,10209]]</v>
      </c>
      <c r="K245" s="42">
        <f t="shared" si="30"/>
        <v>2</v>
      </c>
      <c r="L245" s="39" t="s">
        <v>1401</v>
      </c>
      <c r="M245" s="39">
        <v>3</v>
      </c>
      <c r="N245" s="24" t="s">
        <v>1397</v>
      </c>
      <c r="O245" s="24" t="s">
        <v>1399</v>
      </c>
      <c r="P245" s="24">
        <f t="shared" ref="P245:P308" si="36">IFERROR(VLOOKUP(B245,AE:AK,2,FALSE),0)</f>
        <v>0</v>
      </c>
      <c r="Q245" s="24" t="str">
        <f t="shared" si="31"/>
        <v>[[2,[10889,10719,10549,10379,10209]]]</v>
      </c>
      <c r="R245" s="24" t="s">
        <v>1397</v>
      </c>
      <c r="S245" s="24" t="s">
        <v>1399</v>
      </c>
      <c r="AA245">
        <v>14108</v>
      </c>
      <c r="AB245" t="s">
        <v>1362</v>
      </c>
      <c r="AC245">
        <v>14108</v>
      </c>
    </row>
    <row r="246" spans="1:29" ht="16.5" x14ac:dyDescent="0.15">
      <c r="A246">
        <f t="shared" si="32"/>
        <v>1001301</v>
      </c>
      <c r="B246" s="43" t="s">
        <v>105</v>
      </c>
      <c r="C246" s="35">
        <f t="shared" si="33"/>
        <v>10013</v>
      </c>
      <c r="D246">
        <v>10130</v>
      </c>
      <c r="E246" s="38">
        <f t="shared" si="34"/>
        <v>10130</v>
      </c>
      <c r="F246" s="39" t="s">
        <v>1401</v>
      </c>
      <c r="G246" s="39">
        <v>2</v>
      </c>
      <c r="H246" s="24" t="s">
        <v>1397</v>
      </c>
      <c r="I246" s="24" t="s">
        <v>1399</v>
      </c>
      <c r="J246" s="24" t="str">
        <f t="shared" si="35"/>
        <v>[2,[10130]]</v>
      </c>
      <c r="K246" s="42">
        <f t="shared" ref="K246:K309" si="37">IF(C246=C247,1,2)</f>
        <v>1</v>
      </c>
      <c r="L246" s="39" t="s">
        <v>1401</v>
      </c>
      <c r="M246" s="39">
        <v>3</v>
      </c>
      <c r="N246" s="24" t="s">
        <v>1397</v>
      </c>
      <c r="O246" s="24" t="s">
        <v>1399</v>
      </c>
      <c r="P246" s="24">
        <f t="shared" si="36"/>
        <v>0</v>
      </c>
      <c r="Q246" s="24" t="str">
        <f t="shared" ref="Q246:Q309" si="38">IF(P246=0,R246&amp;(J246)&amp;S246,R246&amp;(N246&amp;M246&amp;L246&amp;N246&amp;P246&amp;O246&amp;O246)&amp;L246&amp;(J246)&amp;S246)</f>
        <v>[[2,[10130]]]</v>
      </c>
      <c r="R246" s="24" t="s">
        <v>1397</v>
      </c>
      <c r="S246" s="24" t="s">
        <v>1399</v>
      </c>
      <c r="AA246">
        <v>14110</v>
      </c>
      <c r="AB246" t="s">
        <v>1363</v>
      </c>
      <c r="AC246">
        <v>14110</v>
      </c>
    </row>
    <row r="247" spans="1:29" ht="16.5" x14ac:dyDescent="0.15">
      <c r="A247">
        <f t="shared" si="32"/>
        <v>1001301</v>
      </c>
      <c r="B247" s="43" t="s">
        <v>105</v>
      </c>
      <c r="C247" s="35">
        <f t="shared" si="33"/>
        <v>10013</v>
      </c>
      <c r="D247">
        <v>10250</v>
      </c>
      <c r="E247" s="38" t="str">
        <f t="shared" si="34"/>
        <v>10250,10130</v>
      </c>
      <c r="F247" s="39" t="s">
        <v>1401</v>
      </c>
      <c r="G247" s="39">
        <v>2</v>
      </c>
      <c r="H247" s="24" t="s">
        <v>1397</v>
      </c>
      <c r="I247" s="24" t="s">
        <v>1399</v>
      </c>
      <c r="J247" s="24" t="str">
        <f t="shared" si="35"/>
        <v>[2,[10250,10130]]</v>
      </c>
      <c r="K247" s="42">
        <f t="shared" si="37"/>
        <v>1</v>
      </c>
      <c r="L247" s="39" t="s">
        <v>1401</v>
      </c>
      <c r="M247" s="39">
        <v>3</v>
      </c>
      <c r="N247" s="24" t="s">
        <v>1397</v>
      </c>
      <c r="O247" s="24" t="s">
        <v>1399</v>
      </c>
      <c r="P247" s="24">
        <f t="shared" si="36"/>
        <v>0</v>
      </c>
      <c r="Q247" s="24" t="str">
        <f t="shared" si="38"/>
        <v>[[2,[10250,10130]]]</v>
      </c>
      <c r="R247" s="24" t="s">
        <v>1397</v>
      </c>
      <c r="S247" s="24" t="s">
        <v>1399</v>
      </c>
      <c r="AA247">
        <v>14201</v>
      </c>
      <c r="AB247" t="s">
        <v>951</v>
      </c>
      <c r="AC247">
        <v>14201</v>
      </c>
    </row>
    <row r="248" spans="1:29" ht="16.5" x14ac:dyDescent="0.15">
      <c r="A248">
        <f t="shared" si="32"/>
        <v>1001301</v>
      </c>
      <c r="B248" s="43" t="s">
        <v>105</v>
      </c>
      <c r="C248" s="35">
        <f t="shared" si="33"/>
        <v>10013</v>
      </c>
      <c r="D248">
        <v>10370</v>
      </c>
      <c r="E248" s="38" t="str">
        <f t="shared" si="34"/>
        <v>10370,10250,10130</v>
      </c>
      <c r="F248" s="39" t="s">
        <v>1401</v>
      </c>
      <c r="G248" s="39">
        <v>2</v>
      </c>
      <c r="H248" s="24" t="s">
        <v>1397</v>
      </c>
      <c r="I248" s="24" t="s">
        <v>1399</v>
      </c>
      <c r="J248" s="24" t="str">
        <f t="shared" si="35"/>
        <v>[2,[10370,10250,10130]]</v>
      </c>
      <c r="K248" s="42">
        <f t="shared" si="37"/>
        <v>1</v>
      </c>
      <c r="L248" s="39" t="s">
        <v>1401</v>
      </c>
      <c r="M248" s="39">
        <v>3</v>
      </c>
      <c r="N248" s="24" t="s">
        <v>1397</v>
      </c>
      <c r="O248" s="24" t="s">
        <v>1399</v>
      </c>
      <c r="P248" s="24">
        <f t="shared" si="36"/>
        <v>0</v>
      </c>
      <c r="Q248" s="24" t="str">
        <f t="shared" si="38"/>
        <v>[[2,[10370,10250,10130]]]</v>
      </c>
      <c r="R248" s="24" t="s">
        <v>1397</v>
      </c>
      <c r="S248" s="24" t="s">
        <v>1399</v>
      </c>
      <c r="AA248">
        <v>14208</v>
      </c>
      <c r="AB248" t="s">
        <v>1364</v>
      </c>
      <c r="AC248">
        <v>14208</v>
      </c>
    </row>
    <row r="249" spans="1:29" ht="16.5" x14ac:dyDescent="0.15">
      <c r="A249">
        <f t="shared" si="32"/>
        <v>1001301</v>
      </c>
      <c r="B249" s="43" t="s">
        <v>105</v>
      </c>
      <c r="C249" s="35">
        <f t="shared" si="33"/>
        <v>10013</v>
      </c>
      <c r="D249">
        <v>10490</v>
      </c>
      <c r="E249" s="38" t="str">
        <f t="shared" si="34"/>
        <v>10490,10370,10250,10130</v>
      </c>
      <c r="F249" s="39" t="s">
        <v>1401</v>
      </c>
      <c r="G249" s="39">
        <v>2</v>
      </c>
      <c r="H249" s="24" t="s">
        <v>1397</v>
      </c>
      <c r="I249" s="24" t="s">
        <v>1399</v>
      </c>
      <c r="J249" s="24" t="str">
        <f t="shared" si="35"/>
        <v>[2,[10490,10370,10250,10130]]</v>
      </c>
      <c r="K249" s="42">
        <f t="shared" si="37"/>
        <v>1</v>
      </c>
      <c r="L249" s="39" t="s">
        <v>1401</v>
      </c>
      <c r="M249" s="39">
        <v>3</v>
      </c>
      <c r="N249" s="24" t="s">
        <v>1397</v>
      </c>
      <c r="O249" s="24" t="s">
        <v>1399</v>
      </c>
      <c r="P249" s="24">
        <f t="shared" si="36"/>
        <v>0</v>
      </c>
      <c r="Q249" s="24" t="str">
        <f t="shared" si="38"/>
        <v>[[2,[10490,10370,10250,10130]]]</v>
      </c>
      <c r="R249" s="24" t="s">
        <v>1397</v>
      </c>
      <c r="S249" s="24" t="s">
        <v>1399</v>
      </c>
      <c r="AA249">
        <v>14209</v>
      </c>
      <c r="AB249" t="s">
        <v>1365</v>
      </c>
      <c r="AC249">
        <v>14209</v>
      </c>
    </row>
    <row r="250" spans="1:29" ht="16.5" x14ac:dyDescent="0.15">
      <c r="A250">
        <f t="shared" si="32"/>
        <v>1001301</v>
      </c>
      <c r="B250" s="43" t="s">
        <v>105</v>
      </c>
      <c r="C250" s="35">
        <f t="shared" si="33"/>
        <v>10013</v>
      </c>
      <c r="D250">
        <v>10610</v>
      </c>
      <c r="E250" s="38" t="str">
        <f t="shared" si="34"/>
        <v>10610,10490,10370,10250,10130</v>
      </c>
      <c r="F250" s="39" t="s">
        <v>1401</v>
      </c>
      <c r="G250" s="39">
        <v>2</v>
      </c>
      <c r="H250" s="24" t="s">
        <v>1397</v>
      </c>
      <c r="I250" s="24" t="s">
        <v>1399</v>
      </c>
      <c r="J250" s="24" t="str">
        <f t="shared" si="35"/>
        <v>[2,[10610,10490,10370,10250,10130]]</v>
      </c>
      <c r="K250" s="42">
        <f t="shared" si="37"/>
        <v>1</v>
      </c>
      <c r="L250" s="39" t="s">
        <v>1401</v>
      </c>
      <c r="M250" s="39">
        <v>3</v>
      </c>
      <c r="N250" s="24" t="s">
        <v>1397</v>
      </c>
      <c r="O250" s="24" t="s">
        <v>1399</v>
      </c>
      <c r="P250" s="24">
        <f t="shared" si="36"/>
        <v>0</v>
      </c>
      <c r="Q250" s="24" t="str">
        <f t="shared" si="38"/>
        <v>[[2,[10610,10490,10370,10250,10130]]]</v>
      </c>
      <c r="R250" s="24" t="s">
        <v>1397</v>
      </c>
      <c r="S250" s="24" t="s">
        <v>1399</v>
      </c>
      <c r="AA250">
        <v>14210</v>
      </c>
      <c r="AB250" t="s">
        <v>1366</v>
      </c>
      <c r="AC250">
        <v>14210</v>
      </c>
    </row>
    <row r="251" spans="1:29" ht="16.5" x14ac:dyDescent="0.15">
      <c r="A251">
        <f t="shared" si="32"/>
        <v>1001301</v>
      </c>
      <c r="B251" s="43" t="s">
        <v>105</v>
      </c>
      <c r="C251" s="35">
        <f t="shared" si="33"/>
        <v>10013</v>
      </c>
      <c r="D251">
        <v>10730</v>
      </c>
      <c r="E251" s="38" t="str">
        <f t="shared" si="34"/>
        <v>10730,10610,10490,10370,10250,10130</v>
      </c>
      <c r="F251" s="39" t="s">
        <v>1401</v>
      </c>
      <c r="G251" s="39">
        <v>2</v>
      </c>
      <c r="H251" s="24" t="s">
        <v>1397</v>
      </c>
      <c r="I251" s="24" t="s">
        <v>1399</v>
      </c>
      <c r="J251" s="24" t="str">
        <f t="shared" si="35"/>
        <v>[2,[10730,10610,10490,10370,10250,10130]]</v>
      </c>
      <c r="K251" s="42">
        <f t="shared" si="37"/>
        <v>1</v>
      </c>
      <c r="L251" s="39" t="s">
        <v>1401</v>
      </c>
      <c r="M251" s="39">
        <v>3</v>
      </c>
      <c r="N251" s="24" t="s">
        <v>1397</v>
      </c>
      <c r="O251" s="24" t="s">
        <v>1399</v>
      </c>
      <c r="P251" s="24">
        <f t="shared" si="36"/>
        <v>0</v>
      </c>
      <c r="Q251" s="24" t="str">
        <f t="shared" si="38"/>
        <v>[[2,[10730,10610,10490,10370,10250,10130]]]</v>
      </c>
      <c r="R251" s="24" t="s">
        <v>1397</v>
      </c>
      <c r="S251" s="24" t="s">
        <v>1399</v>
      </c>
      <c r="AA251">
        <v>14211</v>
      </c>
      <c r="AB251" t="s">
        <v>1367</v>
      </c>
      <c r="AC251">
        <v>14211</v>
      </c>
    </row>
    <row r="252" spans="1:29" ht="16.5" x14ac:dyDescent="0.15">
      <c r="A252">
        <f t="shared" si="32"/>
        <v>1001302</v>
      </c>
      <c r="B252" s="43" t="s">
        <v>105</v>
      </c>
      <c r="C252" s="35">
        <f t="shared" si="33"/>
        <v>10013</v>
      </c>
      <c r="D252">
        <v>10850</v>
      </c>
      <c r="E252" s="38" t="str">
        <f t="shared" si="34"/>
        <v>10850,10730,10610,10490,10370,10250,10130</v>
      </c>
      <c r="F252" s="39" t="s">
        <v>1401</v>
      </c>
      <c r="G252" s="39">
        <v>2</v>
      </c>
      <c r="H252" s="24" t="s">
        <v>1397</v>
      </c>
      <c r="I252" s="24" t="s">
        <v>1399</v>
      </c>
      <c r="J252" s="24" t="str">
        <f t="shared" si="35"/>
        <v>[2,[10850,10730,10610,10490,10370,10250,10130]]</v>
      </c>
      <c r="K252" s="42">
        <f t="shared" si="37"/>
        <v>2</v>
      </c>
      <c r="L252" s="39" t="s">
        <v>1401</v>
      </c>
      <c r="M252" s="39">
        <v>3</v>
      </c>
      <c r="N252" s="24" t="s">
        <v>1397</v>
      </c>
      <c r="O252" s="24" t="s">
        <v>1399</v>
      </c>
      <c r="P252" s="24">
        <f t="shared" si="36"/>
        <v>0</v>
      </c>
      <c r="Q252" s="24" t="str">
        <f t="shared" si="38"/>
        <v>[[2,[10850,10730,10610,10490,10370,10250,10130]]]</v>
      </c>
      <c r="R252" s="24" t="s">
        <v>1397</v>
      </c>
      <c r="S252" s="24" t="s">
        <v>1399</v>
      </c>
      <c r="AA252">
        <v>14299</v>
      </c>
      <c r="AB252" t="s">
        <v>1275</v>
      </c>
      <c r="AC252">
        <v>14299</v>
      </c>
    </row>
    <row r="253" spans="1:29" ht="16.5" x14ac:dyDescent="0.15">
      <c r="A253">
        <f t="shared" si="32"/>
        <v>1001801</v>
      </c>
      <c r="B253" s="27" t="s">
        <v>102</v>
      </c>
      <c r="C253" s="35">
        <f t="shared" si="33"/>
        <v>10018</v>
      </c>
      <c r="D253" s="24">
        <v>10146</v>
      </c>
      <c r="E253" s="38">
        <f t="shared" si="34"/>
        <v>10146</v>
      </c>
      <c r="F253" s="39" t="s">
        <v>1401</v>
      </c>
      <c r="G253" s="39">
        <v>2</v>
      </c>
      <c r="H253" s="24" t="s">
        <v>1397</v>
      </c>
      <c r="I253" s="24" t="s">
        <v>1399</v>
      </c>
      <c r="J253" s="24" t="str">
        <f t="shared" si="35"/>
        <v>[2,[10146]]</v>
      </c>
      <c r="K253" s="42">
        <f t="shared" si="37"/>
        <v>1</v>
      </c>
      <c r="L253" s="39" t="s">
        <v>1401</v>
      </c>
      <c r="M253" s="39">
        <v>3</v>
      </c>
      <c r="N253" s="24" t="s">
        <v>1397</v>
      </c>
      <c r="O253" s="24" t="s">
        <v>1399</v>
      </c>
      <c r="P253" s="24">
        <f t="shared" si="36"/>
        <v>0</v>
      </c>
      <c r="Q253" s="24" t="str">
        <f t="shared" si="38"/>
        <v>[[2,[10146]]]</v>
      </c>
      <c r="R253" s="24" t="s">
        <v>1397</v>
      </c>
      <c r="S253" s="24" t="s">
        <v>1399</v>
      </c>
      <c r="AA253">
        <v>14300</v>
      </c>
      <c r="AB253" t="s">
        <v>1368</v>
      </c>
      <c r="AC253">
        <v>14300</v>
      </c>
    </row>
    <row r="254" spans="1:29" ht="16.5" x14ac:dyDescent="0.15">
      <c r="A254">
        <f t="shared" si="32"/>
        <v>1001801</v>
      </c>
      <c r="B254" s="27" t="s">
        <v>102</v>
      </c>
      <c r="C254" s="35">
        <f t="shared" si="33"/>
        <v>10018</v>
      </c>
      <c r="D254" s="24">
        <v>10306</v>
      </c>
      <c r="E254" s="38" t="str">
        <f t="shared" si="34"/>
        <v>10306,10146</v>
      </c>
      <c r="F254" s="39" t="s">
        <v>1401</v>
      </c>
      <c r="G254" s="39">
        <v>2</v>
      </c>
      <c r="H254" s="24" t="s">
        <v>1397</v>
      </c>
      <c r="I254" s="24" t="s">
        <v>1399</v>
      </c>
      <c r="J254" s="24" t="str">
        <f t="shared" si="35"/>
        <v>[2,[10306,10146]]</v>
      </c>
      <c r="K254" s="42">
        <f t="shared" si="37"/>
        <v>1</v>
      </c>
      <c r="L254" s="39" t="s">
        <v>1401</v>
      </c>
      <c r="M254" s="39">
        <v>3</v>
      </c>
      <c r="N254" s="24" t="s">
        <v>1397</v>
      </c>
      <c r="O254" s="24" t="s">
        <v>1399</v>
      </c>
      <c r="P254" s="24">
        <f t="shared" si="36"/>
        <v>0</v>
      </c>
      <c r="Q254" s="24" t="str">
        <f t="shared" si="38"/>
        <v>[[2,[10306,10146]]]</v>
      </c>
      <c r="R254" s="24" t="s">
        <v>1397</v>
      </c>
      <c r="S254" s="24" t="s">
        <v>1399</v>
      </c>
      <c r="AA254">
        <v>14301</v>
      </c>
      <c r="AB254" t="s">
        <v>1265</v>
      </c>
      <c r="AC254">
        <v>14301</v>
      </c>
    </row>
    <row r="255" spans="1:29" ht="16.5" x14ac:dyDescent="0.15">
      <c r="A255">
        <f t="shared" si="32"/>
        <v>1001801</v>
      </c>
      <c r="B255" s="27" t="s">
        <v>102</v>
      </c>
      <c r="C255" s="35">
        <f t="shared" si="33"/>
        <v>10018</v>
      </c>
      <c r="D255" s="24">
        <v>10466</v>
      </c>
      <c r="E255" s="38" t="str">
        <f t="shared" si="34"/>
        <v>10466,10306,10146</v>
      </c>
      <c r="F255" s="39" t="s">
        <v>1401</v>
      </c>
      <c r="G255" s="39">
        <v>2</v>
      </c>
      <c r="H255" s="24" t="s">
        <v>1397</v>
      </c>
      <c r="I255" s="24" t="s">
        <v>1399</v>
      </c>
      <c r="J255" s="24" t="str">
        <f t="shared" si="35"/>
        <v>[2,[10466,10306,10146]]</v>
      </c>
      <c r="K255" s="42">
        <f t="shared" si="37"/>
        <v>1</v>
      </c>
      <c r="L255" s="39" t="s">
        <v>1401</v>
      </c>
      <c r="M255" s="39">
        <v>3</v>
      </c>
      <c r="N255" s="24" t="s">
        <v>1397</v>
      </c>
      <c r="O255" s="24" t="s">
        <v>1399</v>
      </c>
      <c r="P255" s="24">
        <f t="shared" si="36"/>
        <v>0</v>
      </c>
      <c r="Q255" s="24" t="str">
        <f t="shared" si="38"/>
        <v>[[2,[10466,10306,10146]]]</v>
      </c>
      <c r="R255" s="24" t="s">
        <v>1397</v>
      </c>
      <c r="S255" s="24" t="s">
        <v>1399</v>
      </c>
      <c r="AA255">
        <v>14302</v>
      </c>
      <c r="AB255" t="s">
        <v>1266</v>
      </c>
      <c r="AC255">
        <v>14302</v>
      </c>
    </row>
    <row r="256" spans="1:29" ht="16.5" x14ac:dyDescent="0.15">
      <c r="A256">
        <f t="shared" si="32"/>
        <v>1001801</v>
      </c>
      <c r="B256" s="27" t="s">
        <v>102</v>
      </c>
      <c r="C256" s="35">
        <f t="shared" si="33"/>
        <v>10018</v>
      </c>
      <c r="D256" s="24">
        <v>10626</v>
      </c>
      <c r="E256" s="38" t="str">
        <f t="shared" si="34"/>
        <v>10626,10466,10306,10146</v>
      </c>
      <c r="F256" s="39" t="s">
        <v>1401</v>
      </c>
      <c r="G256" s="39">
        <v>2</v>
      </c>
      <c r="H256" s="24" t="s">
        <v>1397</v>
      </c>
      <c r="I256" s="24" t="s">
        <v>1399</v>
      </c>
      <c r="J256" s="24" t="str">
        <f t="shared" si="35"/>
        <v>[2,[10626,10466,10306,10146]]</v>
      </c>
      <c r="K256" s="42">
        <f t="shared" si="37"/>
        <v>1</v>
      </c>
      <c r="L256" s="39" t="s">
        <v>1401</v>
      </c>
      <c r="M256" s="39">
        <v>3</v>
      </c>
      <c r="N256" s="24" t="s">
        <v>1397</v>
      </c>
      <c r="O256" s="24" t="s">
        <v>1399</v>
      </c>
      <c r="P256" s="24">
        <f t="shared" si="36"/>
        <v>0</v>
      </c>
      <c r="Q256" s="24" t="str">
        <f t="shared" si="38"/>
        <v>[[2,[10626,10466,10306,10146]]]</v>
      </c>
      <c r="R256" s="24" t="s">
        <v>1397</v>
      </c>
      <c r="S256" s="24" t="s">
        <v>1399</v>
      </c>
      <c r="AA256">
        <v>14303</v>
      </c>
      <c r="AB256" t="s">
        <v>1267</v>
      </c>
      <c r="AC256">
        <v>14303</v>
      </c>
    </row>
    <row r="257" spans="1:29" ht="16.5" x14ac:dyDescent="0.15">
      <c r="A257">
        <f t="shared" si="32"/>
        <v>1001801</v>
      </c>
      <c r="B257" s="27" t="s">
        <v>102</v>
      </c>
      <c r="C257" s="35">
        <f t="shared" si="33"/>
        <v>10018</v>
      </c>
      <c r="D257" s="24">
        <v>10786</v>
      </c>
      <c r="E257" s="38" t="str">
        <f t="shared" si="34"/>
        <v>10786,10626,10466,10306,10146</v>
      </c>
      <c r="F257" s="39" t="s">
        <v>1401</v>
      </c>
      <c r="G257" s="39">
        <v>2</v>
      </c>
      <c r="H257" s="24" t="s">
        <v>1397</v>
      </c>
      <c r="I257" s="24" t="s">
        <v>1399</v>
      </c>
      <c r="J257" s="24" t="str">
        <f t="shared" si="35"/>
        <v>[2,[10786,10626,10466,10306,10146]]</v>
      </c>
      <c r="K257" s="42">
        <f t="shared" si="37"/>
        <v>1</v>
      </c>
      <c r="L257" s="39" t="s">
        <v>1401</v>
      </c>
      <c r="M257" s="39">
        <v>3</v>
      </c>
      <c r="N257" s="24" t="s">
        <v>1397</v>
      </c>
      <c r="O257" s="24" t="s">
        <v>1399</v>
      </c>
      <c r="P257" s="24">
        <f t="shared" si="36"/>
        <v>0</v>
      </c>
      <c r="Q257" s="24" t="str">
        <f t="shared" si="38"/>
        <v>[[2,[10786,10626,10466,10306,10146]]]</v>
      </c>
      <c r="R257" s="24" t="s">
        <v>1397</v>
      </c>
      <c r="S257" s="24" t="s">
        <v>1399</v>
      </c>
      <c r="AA257">
        <v>14304</v>
      </c>
      <c r="AB257" t="s">
        <v>1268</v>
      </c>
      <c r="AC257">
        <v>14304</v>
      </c>
    </row>
    <row r="258" spans="1:29" ht="16.5" x14ac:dyDescent="0.15">
      <c r="A258">
        <f t="shared" si="32"/>
        <v>1001802</v>
      </c>
      <c r="B258" s="27" t="s">
        <v>102</v>
      </c>
      <c r="C258" s="35">
        <f t="shared" si="33"/>
        <v>10018</v>
      </c>
      <c r="D258" s="24">
        <v>10089</v>
      </c>
      <c r="E258" s="38" t="str">
        <f t="shared" si="34"/>
        <v>10089,10786,10626,10466,10306,10146</v>
      </c>
      <c r="F258" s="39" t="s">
        <v>1401</v>
      </c>
      <c r="G258" s="39">
        <v>2</v>
      </c>
      <c r="H258" s="24" t="s">
        <v>1397</v>
      </c>
      <c r="I258" s="24" t="s">
        <v>1399</v>
      </c>
      <c r="J258" s="24" t="str">
        <f t="shared" si="35"/>
        <v>[2,[10089,10786,10626,10466,10306,10146]]</v>
      </c>
      <c r="K258" s="42">
        <f t="shared" si="37"/>
        <v>2</v>
      </c>
      <c r="L258" s="39" t="s">
        <v>1401</v>
      </c>
      <c r="M258" s="39">
        <v>3</v>
      </c>
      <c r="N258" s="24" t="s">
        <v>1397</v>
      </c>
      <c r="O258" s="24" t="s">
        <v>1399</v>
      </c>
      <c r="P258" s="24">
        <f t="shared" si="36"/>
        <v>0</v>
      </c>
      <c r="Q258" s="24" t="str">
        <f t="shared" si="38"/>
        <v>[[2,[10089,10786,10626,10466,10306,10146]]]</v>
      </c>
      <c r="R258" s="24" t="s">
        <v>1397</v>
      </c>
      <c r="S258" s="24" t="s">
        <v>1399</v>
      </c>
      <c r="AA258">
        <v>14305</v>
      </c>
      <c r="AB258" t="s">
        <v>1369</v>
      </c>
      <c r="AC258">
        <v>14305</v>
      </c>
    </row>
    <row r="259" spans="1:29" ht="16.5" x14ac:dyDescent="0.15">
      <c r="A259">
        <f t="shared" si="32"/>
        <v>1003201</v>
      </c>
      <c r="B259" s="31" t="s">
        <v>113</v>
      </c>
      <c r="C259" s="35">
        <f t="shared" si="33"/>
        <v>10032</v>
      </c>
      <c r="D259" s="24">
        <v>10239</v>
      </c>
      <c r="E259" s="38">
        <f t="shared" si="34"/>
        <v>10239</v>
      </c>
      <c r="F259" s="39" t="s">
        <v>1401</v>
      </c>
      <c r="G259" s="39">
        <v>2</v>
      </c>
      <c r="H259" s="24" t="s">
        <v>1397</v>
      </c>
      <c r="I259" s="24" t="s">
        <v>1399</v>
      </c>
      <c r="J259" s="24" t="str">
        <f t="shared" si="35"/>
        <v>[2,[10239]]</v>
      </c>
      <c r="K259" s="42">
        <f t="shared" si="37"/>
        <v>1</v>
      </c>
      <c r="L259" s="39" t="s">
        <v>1401</v>
      </c>
      <c r="M259" s="39">
        <v>3</v>
      </c>
      <c r="N259" s="24" t="s">
        <v>1397</v>
      </c>
      <c r="O259" s="24" t="s">
        <v>1399</v>
      </c>
      <c r="P259" s="24">
        <f t="shared" si="36"/>
        <v>0</v>
      </c>
      <c r="Q259" s="24" t="str">
        <f t="shared" si="38"/>
        <v>[[2,[10239]]]</v>
      </c>
      <c r="R259" s="24" t="s">
        <v>1397</v>
      </c>
      <c r="S259" s="24" t="s">
        <v>1399</v>
      </c>
      <c r="AA259">
        <v>14306</v>
      </c>
      <c r="AB259" t="s">
        <v>1269</v>
      </c>
      <c r="AC259">
        <v>14306</v>
      </c>
    </row>
    <row r="260" spans="1:29" ht="16.5" x14ac:dyDescent="0.15">
      <c r="A260">
        <f t="shared" si="32"/>
        <v>1003201</v>
      </c>
      <c r="B260" s="31" t="s">
        <v>113</v>
      </c>
      <c r="C260" s="35">
        <f t="shared" si="33"/>
        <v>10032</v>
      </c>
      <c r="D260" s="24">
        <v>10409</v>
      </c>
      <c r="E260" s="38" t="str">
        <f t="shared" si="34"/>
        <v>10409,10239</v>
      </c>
      <c r="F260" s="39" t="s">
        <v>1401</v>
      </c>
      <c r="G260" s="39">
        <v>2</v>
      </c>
      <c r="H260" s="24" t="s">
        <v>1397</v>
      </c>
      <c r="I260" s="24" t="s">
        <v>1399</v>
      </c>
      <c r="J260" s="24" t="str">
        <f t="shared" si="35"/>
        <v>[2,[10409,10239]]</v>
      </c>
      <c r="K260" s="42">
        <f t="shared" si="37"/>
        <v>1</v>
      </c>
      <c r="L260" s="39" t="s">
        <v>1401</v>
      </c>
      <c r="M260" s="39">
        <v>3</v>
      </c>
      <c r="N260" s="24" t="s">
        <v>1397</v>
      </c>
      <c r="O260" s="24" t="s">
        <v>1399</v>
      </c>
      <c r="P260" s="24">
        <f t="shared" si="36"/>
        <v>0</v>
      </c>
      <c r="Q260" s="24" t="str">
        <f t="shared" si="38"/>
        <v>[[2,[10409,10239]]]</v>
      </c>
      <c r="R260" s="24" t="s">
        <v>1397</v>
      </c>
      <c r="S260" s="24" t="s">
        <v>1399</v>
      </c>
      <c r="AA260">
        <v>14307</v>
      </c>
      <c r="AB260" t="s">
        <v>1270</v>
      </c>
      <c r="AC260">
        <v>14307</v>
      </c>
    </row>
    <row r="261" spans="1:29" ht="16.5" x14ac:dyDescent="0.15">
      <c r="A261">
        <f t="shared" si="32"/>
        <v>1003201</v>
      </c>
      <c r="B261" s="31" t="s">
        <v>113</v>
      </c>
      <c r="C261" s="35">
        <f t="shared" si="33"/>
        <v>10032</v>
      </c>
      <c r="D261" s="24">
        <v>10579</v>
      </c>
      <c r="E261" s="38" t="str">
        <f t="shared" si="34"/>
        <v>10579,10409,10239</v>
      </c>
      <c r="F261" s="39" t="s">
        <v>1401</v>
      </c>
      <c r="G261" s="39">
        <v>2</v>
      </c>
      <c r="H261" s="24" t="s">
        <v>1397</v>
      </c>
      <c r="I261" s="24" t="s">
        <v>1399</v>
      </c>
      <c r="J261" s="24" t="str">
        <f t="shared" si="35"/>
        <v>[2,[10579,10409,10239]]</v>
      </c>
      <c r="K261" s="42">
        <f t="shared" si="37"/>
        <v>1</v>
      </c>
      <c r="L261" s="39" t="s">
        <v>1401</v>
      </c>
      <c r="M261" s="39">
        <v>3</v>
      </c>
      <c r="N261" s="24" t="s">
        <v>1397</v>
      </c>
      <c r="O261" s="24" t="s">
        <v>1399</v>
      </c>
      <c r="P261" s="24">
        <f t="shared" si="36"/>
        <v>0</v>
      </c>
      <c r="Q261" s="24" t="str">
        <f t="shared" si="38"/>
        <v>[[2,[10579,10409,10239]]]</v>
      </c>
      <c r="R261" s="24" t="s">
        <v>1397</v>
      </c>
      <c r="S261" s="24" t="s">
        <v>1399</v>
      </c>
      <c r="AA261">
        <v>14308</v>
      </c>
      <c r="AB261" t="s">
        <v>1271</v>
      </c>
      <c r="AC261">
        <v>14308</v>
      </c>
    </row>
    <row r="262" spans="1:29" ht="16.5" x14ac:dyDescent="0.15">
      <c r="A262">
        <f t="shared" si="32"/>
        <v>1003201</v>
      </c>
      <c r="B262" s="31" t="s">
        <v>113</v>
      </c>
      <c r="C262" s="35">
        <f t="shared" si="33"/>
        <v>10032</v>
      </c>
      <c r="D262" s="24">
        <v>10749</v>
      </c>
      <c r="E262" s="38" t="str">
        <f t="shared" si="34"/>
        <v>10749,10579,10409,10239</v>
      </c>
      <c r="F262" s="39" t="s">
        <v>1401</v>
      </c>
      <c r="G262" s="39">
        <v>2</v>
      </c>
      <c r="H262" s="24" t="s">
        <v>1397</v>
      </c>
      <c r="I262" s="24" t="s">
        <v>1399</v>
      </c>
      <c r="J262" s="24" t="str">
        <f t="shared" si="35"/>
        <v>[2,[10749,10579,10409,10239]]</v>
      </c>
      <c r="K262" s="42">
        <f t="shared" si="37"/>
        <v>1</v>
      </c>
      <c r="L262" s="39" t="s">
        <v>1401</v>
      </c>
      <c r="M262" s="39">
        <v>3</v>
      </c>
      <c r="N262" s="24" t="s">
        <v>1397</v>
      </c>
      <c r="O262" s="24" t="s">
        <v>1399</v>
      </c>
      <c r="P262" s="24">
        <f t="shared" si="36"/>
        <v>0</v>
      </c>
      <c r="Q262" s="24" t="str">
        <f t="shared" si="38"/>
        <v>[[2,[10749,10579,10409,10239]]]</v>
      </c>
      <c r="R262" s="24" t="s">
        <v>1397</v>
      </c>
      <c r="S262" s="24" t="s">
        <v>1399</v>
      </c>
      <c r="AA262">
        <v>14309</v>
      </c>
      <c r="AB262" t="s">
        <v>1272</v>
      </c>
      <c r="AC262">
        <v>14309</v>
      </c>
    </row>
    <row r="263" spans="1:29" ht="16.5" x14ac:dyDescent="0.15">
      <c r="A263">
        <f t="shared" si="32"/>
        <v>1003202</v>
      </c>
      <c r="B263" s="31" t="s">
        <v>113</v>
      </c>
      <c r="C263" s="35">
        <f t="shared" si="33"/>
        <v>10032</v>
      </c>
      <c r="D263">
        <v>10070</v>
      </c>
      <c r="E263" s="38" t="str">
        <f t="shared" si="34"/>
        <v>10070,10749,10579,10409,10239</v>
      </c>
      <c r="F263" s="39" t="s">
        <v>1401</v>
      </c>
      <c r="G263" s="39">
        <v>2</v>
      </c>
      <c r="H263" s="24" t="s">
        <v>1397</v>
      </c>
      <c r="I263" s="24" t="s">
        <v>1399</v>
      </c>
      <c r="J263" s="24" t="str">
        <f t="shared" si="35"/>
        <v>[2,[10070,10749,10579,10409,10239]]</v>
      </c>
      <c r="K263" s="42">
        <f t="shared" si="37"/>
        <v>2</v>
      </c>
      <c r="L263" s="39" t="s">
        <v>1401</v>
      </c>
      <c r="M263" s="39">
        <v>3</v>
      </c>
      <c r="N263" s="24" t="s">
        <v>1397</v>
      </c>
      <c r="O263" s="24" t="s">
        <v>1399</v>
      </c>
      <c r="P263" s="24">
        <f t="shared" si="36"/>
        <v>0</v>
      </c>
      <c r="Q263" s="24" t="str">
        <f t="shared" si="38"/>
        <v>[[2,[10070,10749,10579,10409,10239]]]</v>
      </c>
      <c r="R263" s="24" t="s">
        <v>1397</v>
      </c>
      <c r="S263" s="24" t="s">
        <v>1399</v>
      </c>
      <c r="AA263">
        <v>14310</v>
      </c>
      <c r="AB263" t="s">
        <v>1273</v>
      </c>
      <c r="AC263">
        <v>14310</v>
      </c>
    </row>
    <row r="264" spans="1:29" ht="16.5" x14ac:dyDescent="0.15">
      <c r="A264">
        <f t="shared" si="32"/>
        <v>1011201</v>
      </c>
      <c r="B264" s="43" t="s">
        <v>459</v>
      </c>
      <c r="C264" s="35">
        <f t="shared" si="33"/>
        <v>10112</v>
      </c>
      <c r="D264">
        <v>10150</v>
      </c>
      <c r="E264" s="38">
        <f t="shared" si="34"/>
        <v>10150</v>
      </c>
      <c r="F264" s="39" t="s">
        <v>1401</v>
      </c>
      <c r="G264" s="39">
        <v>2</v>
      </c>
      <c r="H264" s="24" t="s">
        <v>1397</v>
      </c>
      <c r="I264" s="24" t="s">
        <v>1399</v>
      </c>
      <c r="J264" s="24" t="str">
        <f t="shared" si="35"/>
        <v>[2,[10150]]</v>
      </c>
      <c r="K264" s="42">
        <f t="shared" si="37"/>
        <v>1</v>
      </c>
      <c r="L264" s="39" t="s">
        <v>1401</v>
      </c>
      <c r="M264" s="39">
        <v>3</v>
      </c>
      <c r="N264" s="24" t="s">
        <v>1397</v>
      </c>
      <c r="O264" s="24" t="s">
        <v>1399</v>
      </c>
      <c r="P264" s="24">
        <f t="shared" si="36"/>
        <v>0</v>
      </c>
      <c r="Q264" s="24" t="str">
        <f t="shared" si="38"/>
        <v>[[2,[10150]]]</v>
      </c>
      <c r="R264" s="24" t="s">
        <v>1397</v>
      </c>
      <c r="S264" s="24" t="s">
        <v>1399</v>
      </c>
      <c r="AA264">
        <v>14311</v>
      </c>
      <c r="AB264" t="s">
        <v>1272</v>
      </c>
      <c r="AC264">
        <v>14311</v>
      </c>
    </row>
    <row r="265" spans="1:29" ht="16.5" x14ac:dyDescent="0.15">
      <c r="A265">
        <f t="shared" si="32"/>
        <v>1011201</v>
      </c>
      <c r="B265" s="43" t="s">
        <v>459</v>
      </c>
      <c r="C265" s="35">
        <f t="shared" si="33"/>
        <v>10112</v>
      </c>
      <c r="D265">
        <v>10270</v>
      </c>
      <c r="E265" s="38" t="str">
        <f t="shared" si="34"/>
        <v>10270,10150</v>
      </c>
      <c r="F265" s="39" t="s">
        <v>1401</v>
      </c>
      <c r="G265" s="39">
        <v>2</v>
      </c>
      <c r="H265" s="24" t="s">
        <v>1397</v>
      </c>
      <c r="I265" s="24" t="s">
        <v>1399</v>
      </c>
      <c r="J265" s="24" t="str">
        <f t="shared" si="35"/>
        <v>[2,[10270,10150]]</v>
      </c>
      <c r="K265" s="42">
        <f t="shared" si="37"/>
        <v>1</v>
      </c>
      <c r="L265" s="39" t="s">
        <v>1401</v>
      </c>
      <c r="M265" s="39">
        <v>3</v>
      </c>
      <c r="N265" s="24" t="s">
        <v>1397</v>
      </c>
      <c r="O265" s="24" t="s">
        <v>1399</v>
      </c>
      <c r="P265" s="24">
        <f t="shared" si="36"/>
        <v>0</v>
      </c>
      <c r="Q265" s="24" t="str">
        <f t="shared" si="38"/>
        <v>[[2,[10270,10150]]]</v>
      </c>
      <c r="R265" s="24" t="s">
        <v>1397</v>
      </c>
      <c r="S265" s="24" t="s">
        <v>1399</v>
      </c>
      <c r="AA265">
        <v>14312</v>
      </c>
      <c r="AB265" t="s">
        <v>954</v>
      </c>
      <c r="AC265">
        <v>14312</v>
      </c>
    </row>
    <row r="266" spans="1:29" ht="16.5" x14ac:dyDescent="0.15">
      <c r="A266">
        <f t="shared" si="32"/>
        <v>1011201</v>
      </c>
      <c r="B266" s="43" t="s">
        <v>459</v>
      </c>
      <c r="C266" s="35">
        <f t="shared" si="33"/>
        <v>10112</v>
      </c>
      <c r="D266">
        <v>10390</v>
      </c>
      <c r="E266" s="38" t="str">
        <f t="shared" si="34"/>
        <v>10390,10270,10150</v>
      </c>
      <c r="F266" s="39" t="s">
        <v>1401</v>
      </c>
      <c r="G266" s="39">
        <v>2</v>
      </c>
      <c r="H266" s="24" t="s">
        <v>1397</v>
      </c>
      <c r="I266" s="24" t="s">
        <v>1399</v>
      </c>
      <c r="J266" s="24" t="str">
        <f t="shared" si="35"/>
        <v>[2,[10390,10270,10150]]</v>
      </c>
      <c r="K266" s="42">
        <f t="shared" si="37"/>
        <v>1</v>
      </c>
      <c r="L266" s="39" t="s">
        <v>1401</v>
      </c>
      <c r="M266" s="39">
        <v>3</v>
      </c>
      <c r="N266" s="24" t="s">
        <v>1397</v>
      </c>
      <c r="O266" s="24" t="s">
        <v>1399</v>
      </c>
      <c r="P266" s="24">
        <f t="shared" si="36"/>
        <v>0</v>
      </c>
      <c r="Q266" s="24" t="str">
        <f t="shared" si="38"/>
        <v>[[2,[10390,10270,10150]]]</v>
      </c>
      <c r="R266" s="24" t="s">
        <v>1397</v>
      </c>
      <c r="S266" s="24" t="s">
        <v>1399</v>
      </c>
      <c r="AA266">
        <v>14313</v>
      </c>
      <c r="AB266" t="s">
        <v>955</v>
      </c>
      <c r="AC266">
        <v>14313</v>
      </c>
    </row>
    <row r="267" spans="1:29" ht="16.5" x14ac:dyDescent="0.15">
      <c r="A267">
        <f t="shared" ref="A267:A330" si="39">C267*100+K267</f>
        <v>1011201</v>
      </c>
      <c r="B267" s="43" t="s">
        <v>459</v>
      </c>
      <c r="C267" s="35">
        <f t="shared" si="33"/>
        <v>10112</v>
      </c>
      <c r="D267">
        <v>10510</v>
      </c>
      <c r="E267" s="38" t="str">
        <f t="shared" si="34"/>
        <v>10510,10390,10270,10150</v>
      </c>
      <c r="F267" s="39" t="s">
        <v>1401</v>
      </c>
      <c r="G267" s="39">
        <v>2</v>
      </c>
      <c r="H267" s="24" t="s">
        <v>1397</v>
      </c>
      <c r="I267" s="24" t="s">
        <v>1399</v>
      </c>
      <c r="J267" s="24" t="str">
        <f t="shared" si="35"/>
        <v>[2,[10510,10390,10270,10150]]</v>
      </c>
      <c r="K267" s="42">
        <f t="shared" si="37"/>
        <v>1</v>
      </c>
      <c r="L267" s="39" t="s">
        <v>1401</v>
      </c>
      <c r="M267" s="39">
        <v>3</v>
      </c>
      <c r="N267" s="24" t="s">
        <v>1397</v>
      </c>
      <c r="O267" s="24" t="s">
        <v>1399</v>
      </c>
      <c r="P267" s="24">
        <f t="shared" si="36"/>
        <v>0</v>
      </c>
      <c r="Q267" s="24" t="str">
        <f t="shared" si="38"/>
        <v>[[2,[10510,10390,10270,10150]]]</v>
      </c>
      <c r="R267" s="24" t="s">
        <v>1397</v>
      </c>
      <c r="S267" s="24" t="s">
        <v>1399</v>
      </c>
      <c r="AA267">
        <v>14314</v>
      </c>
      <c r="AB267" t="s">
        <v>1370</v>
      </c>
      <c r="AC267">
        <v>14314</v>
      </c>
    </row>
    <row r="268" spans="1:29" ht="16.5" x14ac:dyDescent="0.15">
      <c r="A268">
        <f t="shared" si="39"/>
        <v>1011201</v>
      </c>
      <c r="B268" s="43" t="s">
        <v>459</v>
      </c>
      <c r="C268" s="35">
        <f t="shared" si="33"/>
        <v>10112</v>
      </c>
      <c r="D268">
        <v>10630</v>
      </c>
      <c r="E268" s="38" t="str">
        <f t="shared" si="34"/>
        <v>10630,10510,10390,10270,10150</v>
      </c>
      <c r="F268" s="39" t="s">
        <v>1401</v>
      </c>
      <c r="G268" s="39">
        <v>2</v>
      </c>
      <c r="H268" s="24" t="s">
        <v>1397</v>
      </c>
      <c r="I268" s="24" t="s">
        <v>1399</v>
      </c>
      <c r="J268" s="24" t="str">
        <f t="shared" si="35"/>
        <v>[2,[10630,10510,10390,10270,10150]]</v>
      </c>
      <c r="K268" s="42">
        <f t="shared" si="37"/>
        <v>1</v>
      </c>
      <c r="L268" s="39" t="s">
        <v>1401</v>
      </c>
      <c r="M268" s="39">
        <v>3</v>
      </c>
      <c r="N268" s="24" t="s">
        <v>1397</v>
      </c>
      <c r="O268" s="24" t="s">
        <v>1399</v>
      </c>
      <c r="P268" s="24">
        <f t="shared" si="36"/>
        <v>0</v>
      </c>
      <c r="Q268" s="24" t="str">
        <f t="shared" si="38"/>
        <v>[[2,[10630,10510,10390,10270,10150]]]</v>
      </c>
      <c r="R268" s="24" t="s">
        <v>1397</v>
      </c>
      <c r="S268" s="24" t="s">
        <v>1399</v>
      </c>
      <c r="AA268">
        <v>14315</v>
      </c>
      <c r="AB268" t="s">
        <v>1371</v>
      </c>
      <c r="AC268">
        <v>14315</v>
      </c>
    </row>
    <row r="269" spans="1:29" ht="16.5" x14ac:dyDescent="0.15">
      <c r="A269">
        <f t="shared" si="39"/>
        <v>1011201</v>
      </c>
      <c r="B269" s="43" t="s">
        <v>459</v>
      </c>
      <c r="C269" s="35">
        <f t="shared" si="33"/>
        <v>10112</v>
      </c>
      <c r="D269">
        <v>10750</v>
      </c>
      <c r="E269" s="38" t="str">
        <f t="shared" si="34"/>
        <v>10750,10630,10510,10390,10270,10150</v>
      </c>
      <c r="F269" s="39" t="s">
        <v>1401</v>
      </c>
      <c r="G269" s="39">
        <v>2</v>
      </c>
      <c r="H269" s="24" t="s">
        <v>1397</v>
      </c>
      <c r="I269" s="24" t="s">
        <v>1399</v>
      </c>
      <c r="J269" s="24" t="str">
        <f t="shared" si="35"/>
        <v>[2,[10750,10630,10510,10390,10270,10150]]</v>
      </c>
      <c r="K269" s="42">
        <f t="shared" si="37"/>
        <v>1</v>
      </c>
      <c r="L269" s="39" t="s">
        <v>1401</v>
      </c>
      <c r="M269" s="39">
        <v>3</v>
      </c>
      <c r="N269" s="24" t="s">
        <v>1397</v>
      </c>
      <c r="O269" s="24" t="s">
        <v>1399</v>
      </c>
      <c r="P269" s="24">
        <f t="shared" si="36"/>
        <v>0</v>
      </c>
      <c r="Q269" s="24" t="str">
        <f t="shared" si="38"/>
        <v>[[2,[10750,10630,10510,10390,10270,10150]]]</v>
      </c>
      <c r="R269" s="24" t="s">
        <v>1397</v>
      </c>
      <c r="S269" s="24" t="s">
        <v>1399</v>
      </c>
      <c r="AA269">
        <v>14316</v>
      </c>
      <c r="AB269" t="s">
        <v>956</v>
      </c>
      <c r="AC269">
        <v>14316</v>
      </c>
    </row>
    <row r="270" spans="1:29" ht="16.5" x14ac:dyDescent="0.15">
      <c r="A270">
        <f t="shared" si="39"/>
        <v>1011202</v>
      </c>
      <c r="B270" s="43" t="s">
        <v>459</v>
      </c>
      <c r="C270" s="35">
        <f t="shared" si="33"/>
        <v>10112</v>
      </c>
      <c r="D270">
        <v>10870</v>
      </c>
      <c r="E270" s="38" t="str">
        <f t="shared" si="34"/>
        <v>10870,10750,10630,10510,10390,10270,10150</v>
      </c>
      <c r="F270" s="39" t="s">
        <v>1401</v>
      </c>
      <c r="G270" s="39">
        <v>2</v>
      </c>
      <c r="H270" s="24" t="s">
        <v>1397</v>
      </c>
      <c r="I270" s="24" t="s">
        <v>1399</v>
      </c>
      <c r="J270" s="24" t="str">
        <f t="shared" si="35"/>
        <v>[2,[10870,10750,10630,10510,10390,10270,10150]]</v>
      </c>
      <c r="K270" s="42">
        <f t="shared" si="37"/>
        <v>2</v>
      </c>
      <c r="L270" s="39" t="s">
        <v>1401</v>
      </c>
      <c r="M270" s="39">
        <v>3</v>
      </c>
      <c r="N270" s="24" t="s">
        <v>1397</v>
      </c>
      <c r="O270" s="24" t="s">
        <v>1399</v>
      </c>
      <c r="P270" s="24">
        <f t="shared" si="36"/>
        <v>0</v>
      </c>
      <c r="Q270" s="24" t="str">
        <f t="shared" si="38"/>
        <v>[[2,[10870,10750,10630,10510,10390,10270,10150]]]</v>
      </c>
      <c r="R270" s="24" t="s">
        <v>1397</v>
      </c>
      <c r="S270" s="24" t="s">
        <v>1399</v>
      </c>
      <c r="AA270">
        <v>14317</v>
      </c>
      <c r="AB270" t="s">
        <v>957</v>
      </c>
      <c r="AC270">
        <v>14317</v>
      </c>
    </row>
    <row r="271" spans="1:29" ht="16.5" x14ac:dyDescent="0.15">
      <c r="A271">
        <f t="shared" si="39"/>
        <v>1003901</v>
      </c>
      <c r="B271" s="27" t="s">
        <v>1333</v>
      </c>
      <c r="C271" s="35">
        <f t="shared" si="33"/>
        <v>10039</v>
      </c>
      <c r="D271" s="24">
        <v>10035</v>
      </c>
      <c r="E271" s="38">
        <f t="shared" si="34"/>
        <v>10035</v>
      </c>
      <c r="F271" s="39" t="s">
        <v>1401</v>
      </c>
      <c r="G271" s="39">
        <v>2</v>
      </c>
      <c r="H271" s="24" t="s">
        <v>1397</v>
      </c>
      <c r="I271" s="24" t="s">
        <v>1399</v>
      </c>
      <c r="J271" s="24" t="str">
        <f t="shared" si="35"/>
        <v>[2,[10035]]</v>
      </c>
      <c r="K271" s="42">
        <f t="shared" si="37"/>
        <v>1</v>
      </c>
      <c r="L271" s="39" t="s">
        <v>1401</v>
      </c>
      <c r="M271" s="39">
        <v>3</v>
      </c>
      <c r="N271" s="24" t="s">
        <v>1397</v>
      </c>
      <c r="O271" s="24" t="s">
        <v>1399</v>
      </c>
      <c r="P271" s="24">
        <f t="shared" si="36"/>
        <v>0</v>
      </c>
      <c r="Q271" s="24" t="str">
        <f t="shared" si="38"/>
        <v>[[2,[10035]]]</v>
      </c>
      <c r="R271" s="24" t="s">
        <v>1397</v>
      </c>
      <c r="S271" s="24" t="s">
        <v>1399</v>
      </c>
      <c r="AA271">
        <v>14318</v>
      </c>
      <c r="AB271" t="s">
        <v>958</v>
      </c>
      <c r="AC271">
        <v>14318</v>
      </c>
    </row>
    <row r="272" spans="1:29" ht="16.5" x14ac:dyDescent="0.15">
      <c r="A272">
        <f t="shared" si="39"/>
        <v>1003901</v>
      </c>
      <c r="B272" s="27" t="s">
        <v>118</v>
      </c>
      <c r="C272" s="35">
        <f t="shared" si="33"/>
        <v>10039</v>
      </c>
      <c r="D272" s="24">
        <v>10196</v>
      </c>
      <c r="E272" s="38" t="str">
        <f t="shared" si="34"/>
        <v>10196,10035</v>
      </c>
      <c r="F272" s="39" t="s">
        <v>1401</v>
      </c>
      <c r="G272" s="39">
        <v>2</v>
      </c>
      <c r="H272" s="24" t="s">
        <v>1397</v>
      </c>
      <c r="I272" s="24" t="s">
        <v>1399</v>
      </c>
      <c r="J272" s="24" t="str">
        <f t="shared" si="35"/>
        <v>[2,[10196,10035]]</v>
      </c>
      <c r="K272" s="42">
        <f t="shared" si="37"/>
        <v>1</v>
      </c>
      <c r="L272" s="39" t="s">
        <v>1401</v>
      </c>
      <c r="M272" s="39">
        <v>3</v>
      </c>
      <c r="N272" s="24" t="s">
        <v>1397</v>
      </c>
      <c r="O272" s="24" t="s">
        <v>1399</v>
      </c>
      <c r="P272" s="24">
        <f t="shared" si="36"/>
        <v>0</v>
      </c>
      <c r="Q272" s="24" t="str">
        <f t="shared" si="38"/>
        <v>[[2,[10196,10035]]]</v>
      </c>
      <c r="R272" s="24" t="s">
        <v>1397</v>
      </c>
      <c r="S272" s="24" t="s">
        <v>1399</v>
      </c>
      <c r="AA272">
        <v>14319</v>
      </c>
      <c r="AB272" t="s">
        <v>959</v>
      </c>
      <c r="AC272">
        <v>14319</v>
      </c>
    </row>
    <row r="273" spans="1:29" ht="16.5" x14ac:dyDescent="0.15">
      <c r="A273">
        <f t="shared" si="39"/>
        <v>1003901</v>
      </c>
      <c r="B273" s="27" t="s">
        <v>118</v>
      </c>
      <c r="C273" s="35">
        <f t="shared" si="33"/>
        <v>10039</v>
      </c>
      <c r="D273" s="24">
        <v>10356</v>
      </c>
      <c r="E273" s="38" t="str">
        <f t="shared" si="34"/>
        <v>10356,10196,10035</v>
      </c>
      <c r="F273" s="39" t="s">
        <v>1401</v>
      </c>
      <c r="G273" s="39">
        <v>2</v>
      </c>
      <c r="H273" s="24" t="s">
        <v>1397</v>
      </c>
      <c r="I273" s="24" t="s">
        <v>1399</v>
      </c>
      <c r="J273" s="24" t="str">
        <f t="shared" si="35"/>
        <v>[2,[10356,10196,10035]]</v>
      </c>
      <c r="K273" s="42">
        <f t="shared" si="37"/>
        <v>1</v>
      </c>
      <c r="L273" s="39" t="s">
        <v>1401</v>
      </c>
      <c r="M273" s="39">
        <v>3</v>
      </c>
      <c r="N273" s="24" t="s">
        <v>1397</v>
      </c>
      <c r="O273" s="24" t="s">
        <v>1399</v>
      </c>
      <c r="P273" s="24">
        <f t="shared" si="36"/>
        <v>0</v>
      </c>
      <c r="Q273" s="24" t="str">
        <f t="shared" si="38"/>
        <v>[[2,[10356,10196,10035]]]</v>
      </c>
      <c r="R273" s="24" t="s">
        <v>1397</v>
      </c>
      <c r="S273" s="24" t="s">
        <v>1399</v>
      </c>
      <c r="AA273">
        <v>14320</v>
      </c>
      <c r="AB273" t="s">
        <v>960</v>
      </c>
      <c r="AC273">
        <v>14320</v>
      </c>
    </row>
    <row r="274" spans="1:29" ht="16.5" x14ac:dyDescent="0.15">
      <c r="A274">
        <f t="shared" si="39"/>
        <v>1003901</v>
      </c>
      <c r="B274" s="27" t="s">
        <v>118</v>
      </c>
      <c r="C274" s="35">
        <f t="shared" si="33"/>
        <v>10039</v>
      </c>
      <c r="D274" s="24">
        <v>10516</v>
      </c>
      <c r="E274" s="38" t="str">
        <f t="shared" si="34"/>
        <v>10516,10356,10196,10035</v>
      </c>
      <c r="F274" s="39" t="s">
        <v>1401</v>
      </c>
      <c r="G274" s="39">
        <v>2</v>
      </c>
      <c r="H274" s="24" t="s">
        <v>1397</v>
      </c>
      <c r="I274" s="24" t="s">
        <v>1399</v>
      </c>
      <c r="J274" s="24" t="str">
        <f t="shared" si="35"/>
        <v>[2,[10516,10356,10196,10035]]</v>
      </c>
      <c r="K274" s="42">
        <f t="shared" si="37"/>
        <v>1</v>
      </c>
      <c r="L274" s="39" t="s">
        <v>1401</v>
      </c>
      <c r="M274" s="39">
        <v>3</v>
      </c>
      <c r="N274" s="24" t="s">
        <v>1397</v>
      </c>
      <c r="O274" s="24" t="s">
        <v>1399</v>
      </c>
      <c r="P274" s="24">
        <f t="shared" si="36"/>
        <v>0</v>
      </c>
      <c r="Q274" s="24" t="str">
        <f t="shared" si="38"/>
        <v>[[2,[10516,10356,10196,10035]]]</v>
      </c>
      <c r="R274" s="24" t="s">
        <v>1397</v>
      </c>
      <c r="S274" s="24" t="s">
        <v>1399</v>
      </c>
      <c r="AA274">
        <v>14321</v>
      </c>
      <c r="AB274" t="s">
        <v>961</v>
      </c>
      <c r="AC274">
        <v>14321</v>
      </c>
    </row>
    <row r="275" spans="1:29" ht="16.5" x14ac:dyDescent="0.15">
      <c r="A275">
        <f t="shared" si="39"/>
        <v>1003901</v>
      </c>
      <c r="B275" s="27" t="s">
        <v>118</v>
      </c>
      <c r="C275" s="35">
        <f t="shared" si="33"/>
        <v>10039</v>
      </c>
      <c r="D275" s="24">
        <v>10676</v>
      </c>
      <c r="E275" s="38" t="str">
        <f t="shared" si="34"/>
        <v>10676,10516,10356,10196,10035</v>
      </c>
      <c r="F275" s="39" t="s">
        <v>1401</v>
      </c>
      <c r="G275" s="39">
        <v>2</v>
      </c>
      <c r="H275" s="24" t="s">
        <v>1397</v>
      </c>
      <c r="I275" s="24" t="s">
        <v>1399</v>
      </c>
      <c r="J275" s="24" t="str">
        <f t="shared" si="35"/>
        <v>[2,[10676,10516,10356,10196,10035]]</v>
      </c>
      <c r="K275" s="42">
        <f t="shared" si="37"/>
        <v>1</v>
      </c>
      <c r="L275" s="39" t="s">
        <v>1401</v>
      </c>
      <c r="M275" s="39">
        <v>3</v>
      </c>
      <c r="N275" s="24" t="s">
        <v>1397</v>
      </c>
      <c r="O275" s="24" t="s">
        <v>1399</v>
      </c>
      <c r="P275" s="24">
        <f t="shared" si="36"/>
        <v>0</v>
      </c>
      <c r="Q275" s="24" t="str">
        <f t="shared" si="38"/>
        <v>[[2,[10676,10516,10356,10196,10035]]]</v>
      </c>
      <c r="R275" s="24" t="s">
        <v>1397</v>
      </c>
      <c r="S275" s="24" t="s">
        <v>1399</v>
      </c>
      <c r="AA275">
        <v>14400</v>
      </c>
      <c r="AB275" t="s">
        <v>1372</v>
      </c>
      <c r="AC275">
        <v>14400</v>
      </c>
    </row>
    <row r="276" spans="1:29" ht="16.5" x14ac:dyDescent="0.15">
      <c r="A276">
        <f t="shared" si="39"/>
        <v>1003902</v>
      </c>
      <c r="B276" s="27" t="s">
        <v>118</v>
      </c>
      <c r="C276" s="35">
        <f t="shared" si="33"/>
        <v>10039</v>
      </c>
      <c r="D276" s="24">
        <v>10836</v>
      </c>
      <c r="E276" s="38" t="str">
        <f t="shared" si="34"/>
        <v>10836,10676,10516,10356,10196,10035</v>
      </c>
      <c r="F276" s="39" t="s">
        <v>1401</v>
      </c>
      <c r="G276" s="39">
        <v>2</v>
      </c>
      <c r="H276" s="24" t="s">
        <v>1397</v>
      </c>
      <c r="I276" s="24" t="s">
        <v>1399</v>
      </c>
      <c r="J276" s="24" t="str">
        <f t="shared" si="35"/>
        <v>[2,[10836,10676,10516,10356,10196,10035]]</v>
      </c>
      <c r="K276" s="42">
        <f t="shared" si="37"/>
        <v>2</v>
      </c>
      <c r="L276" s="39" t="s">
        <v>1401</v>
      </c>
      <c r="M276" s="39">
        <v>3</v>
      </c>
      <c r="N276" s="24" t="s">
        <v>1397</v>
      </c>
      <c r="O276" s="24" t="s">
        <v>1399</v>
      </c>
      <c r="P276" s="24">
        <f t="shared" si="36"/>
        <v>0</v>
      </c>
      <c r="Q276" s="24" t="str">
        <f t="shared" si="38"/>
        <v>[[2,[10836,10676,10516,10356,10196,10035]]]</v>
      </c>
      <c r="R276" s="24" t="s">
        <v>1397</v>
      </c>
      <c r="S276" s="24" t="s">
        <v>1399</v>
      </c>
      <c r="AA276">
        <v>14401</v>
      </c>
      <c r="AB276" t="s">
        <v>20</v>
      </c>
      <c r="AC276">
        <v>14401</v>
      </c>
    </row>
    <row r="277" spans="1:29" ht="16.5" x14ac:dyDescent="0.15">
      <c r="A277">
        <f t="shared" si="39"/>
        <v>1003401</v>
      </c>
      <c r="B277" s="27" t="s">
        <v>438</v>
      </c>
      <c r="C277" s="35">
        <f t="shared" si="33"/>
        <v>10034</v>
      </c>
      <c r="D277" s="24">
        <v>10066</v>
      </c>
      <c r="E277" s="38">
        <f t="shared" si="34"/>
        <v>10066</v>
      </c>
      <c r="F277" s="39" t="s">
        <v>1401</v>
      </c>
      <c r="G277" s="39">
        <v>2</v>
      </c>
      <c r="H277" s="24" t="s">
        <v>1397</v>
      </c>
      <c r="I277" s="24" t="s">
        <v>1399</v>
      </c>
      <c r="J277" s="24" t="str">
        <f t="shared" si="35"/>
        <v>[2,[10066]]</v>
      </c>
      <c r="K277" s="42">
        <f t="shared" si="37"/>
        <v>1</v>
      </c>
      <c r="L277" s="39" t="s">
        <v>1401</v>
      </c>
      <c r="M277" s="39">
        <v>3</v>
      </c>
      <c r="N277" s="24" t="s">
        <v>1397</v>
      </c>
      <c r="O277" s="24" t="s">
        <v>1399</v>
      </c>
      <c r="P277" s="24">
        <f t="shared" si="36"/>
        <v>0</v>
      </c>
      <c r="Q277" s="24" t="str">
        <f t="shared" si="38"/>
        <v>[[2,[10066]]]</v>
      </c>
      <c r="R277" s="24" t="s">
        <v>1397</v>
      </c>
      <c r="S277" s="24" t="s">
        <v>1399</v>
      </c>
      <c r="AA277">
        <v>14402</v>
      </c>
      <c r="AB277" t="s">
        <v>1373</v>
      </c>
      <c r="AC277">
        <v>14402</v>
      </c>
    </row>
    <row r="278" spans="1:29" ht="16.5" x14ac:dyDescent="0.15">
      <c r="A278">
        <f t="shared" si="39"/>
        <v>1003401</v>
      </c>
      <c r="B278" s="27" t="s">
        <v>438</v>
      </c>
      <c r="C278" s="35">
        <f t="shared" si="33"/>
        <v>10034</v>
      </c>
      <c r="D278" s="24">
        <v>10226</v>
      </c>
      <c r="E278" s="38" t="str">
        <f t="shared" si="34"/>
        <v>10226,10066</v>
      </c>
      <c r="F278" s="39" t="s">
        <v>1401</v>
      </c>
      <c r="G278" s="39">
        <v>2</v>
      </c>
      <c r="H278" s="24" t="s">
        <v>1397</v>
      </c>
      <c r="I278" s="24" t="s">
        <v>1399</v>
      </c>
      <c r="J278" s="24" t="str">
        <f t="shared" si="35"/>
        <v>[2,[10226,10066]]</v>
      </c>
      <c r="K278" s="42">
        <f t="shared" si="37"/>
        <v>1</v>
      </c>
      <c r="L278" s="39" t="s">
        <v>1401</v>
      </c>
      <c r="M278" s="39">
        <v>3</v>
      </c>
      <c r="N278" s="24" t="s">
        <v>1397</v>
      </c>
      <c r="O278" s="24" t="s">
        <v>1399</v>
      </c>
      <c r="P278" s="24">
        <f t="shared" si="36"/>
        <v>0</v>
      </c>
      <c r="Q278" s="24" t="str">
        <f t="shared" si="38"/>
        <v>[[2,[10226,10066]]]</v>
      </c>
      <c r="R278" s="24" t="s">
        <v>1397</v>
      </c>
      <c r="S278" s="24" t="s">
        <v>1399</v>
      </c>
      <c r="AA278">
        <v>14403</v>
      </c>
      <c r="AB278" t="s">
        <v>962</v>
      </c>
      <c r="AC278">
        <v>14403</v>
      </c>
    </row>
    <row r="279" spans="1:29" ht="16.5" x14ac:dyDescent="0.15">
      <c r="A279">
        <f t="shared" si="39"/>
        <v>1003401</v>
      </c>
      <c r="B279" s="27" t="s">
        <v>438</v>
      </c>
      <c r="C279" s="35">
        <f t="shared" si="33"/>
        <v>10034</v>
      </c>
      <c r="D279" s="24">
        <v>10386</v>
      </c>
      <c r="E279" s="38" t="str">
        <f t="shared" si="34"/>
        <v>10386,10226,10066</v>
      </c>
      <c r="F279" s="39" t="s">
        <v>1401</v>
      </c>
      <c r="G279" s="39">
        <v>2</v>
      </c>
      <c r="H279" s="24" t="s">
        <v>1397</v>
      </c>
      <c r="I279" s="24" t="s">
        <v>1399</v>
      </c>
      <c r="J279" s="24" t="str">
        <f t="shared" si="35"/>
        <v>[2,[10386,10226,10066]]</v>
      </c>
      <c r="K279" s="42">
        <f t="shared" si="37"/>
        <v>1</v>
      </c>
      <c r="L279" s="39" t="s">
        <v>1401</v>
      </c>
      <c r="M279" s="39">
        <v>3</v>
      </c>
      <c r="N279" s="24" t="s">
        <v>1397</v>
      </c>
      <c r="O279" s="24" t="s">
        <v>1399</v>
      </c>
      <c r="P279" s="24">
        <f t="shared" si="36"/>
        <v>0</v>
      </c>
      <c r="Q279" s="24" t="str">
        <f t="shared" si="38"/>
        <v>[[2,[10386,10226,10066]]]</v>
      </c>
      <c r="R279" s="24" t="s">
        <v>1397</v>
      </c>
      <c r="S279" s="24" t="s">
        <v>1399</v>
      </c>
      <c r="AA279">
        <v>14404</v>
      </c>
      <c r="AB279" t="s">
        <v>1374</v>
      </c>
      <c r="AC279">
        <v>14404</v>
      </c>
    </row>
    <row r="280" spans="1:29" ht="16.5" x14ac:dyDescent="0.15">
      <c r="A280">
        <f t="shared" si="39"/>
        <v>1003401</v>
      </c>
      <c r="B280" s="27" t="s">
        <v>438</v>
      </c>
      <c r="C280" s="35">
        <f t="shared" si="33"/>
        <v>10034</v>
      </c>
      <c r="D280" s="24">
        <v>10546</v>
      </c>
      <c r="E280" s="38" t="str">
        <f t="shared" si="34"/>
        <v>10546,10386,10226,10066</v>
      </c>
      <c r="F280" s="39" t="s">
        <v>1401</v>
      </c>
      <c r="G280" s="39">
        <v>2</v>
      </c>
      <c r="H280" s="24" t="s">
        <v>1397</v>
      </c>
      <c r="I280" s="24" t="s">
        <v>1399</v>
      </c>
      <c r="J280" s="24" t="str">
        <f t="shared" si="35"/>
        <v>[2,[10546,10386,10226,10066]]</v>
      </c>
      <c r="K280" s="42">
        <f t="shared" si="37"/>
        <v>1</v>
      </c>
      <c r="L280" s="39" t="s">
        <v>1401</v>
      </c>
      <c r="M280" s="39">
        <v>3</v>
      </c>
      <c r="N280" s="24" t="s">
        <v>1397</v>
      </c>
      <c r="O280" s="24" t="s">
        <v>1399</v>
      </c>
      <c r="P280" s="24">
        <f t="shared" si="36"/>
        <v>0</v>
      </c>
      <c r="Q280" s="24" t="str">
        <f t="shared" si="38"/>
        <v>[[2,[10546,10386,10226,10066]]]</v>
      </c>
      <c r="R280" s="24" t="s">
        <v>1397</v>
      </c>
      <c r="S280" s="24" t="s">
        <v>1399</v>
      </c>
      <c r="AA280">
        <v>14405</v>
      </c>
      <c r="AB280" t="s">
        <v>1375</v>
      </c>
      <c r="AC280">
        <v>14405</v>
      </c>
    </row>
    <row r="281" spans="1:29" ht="16.5" x14ac:dyDescent="0.15">
      <c r="A281">
        <f t="shared" si="39"/>
        <v>1003401</v>
      </c>
      <c r="B281" s="27" t="s">
        <v>438</v>
      </c>
      <c r="C281" s="35">
        <f t="shared" si="33"/>
        <v>10034</v>
      </c>
      <c r="D281" s="24">
        <v>10706</v>
      </c>
      <c r="E281" s="38" t="str">
        <f t="shared" si="34"/>
        <v>10706,10546,10386,10226,10066</v>
      </c>
      <c r="F281" s="39" t="s">
        <v>1401</v>
      </c>
      <c r="G281" s="39">
        <v>2</v>
      </c>
      <c r="H281" s="24" t="s">
        <v>1397</v>
      </c>
      <c r="I281" s="24" t="s">
        <v>1399</v>
      </c>
      <c r="J281" s="24" t="str">
        <f t="shared" si="35"/>
        <v>[2,[10706,10546,10386,10226,10066]]</v>
      </c>
      <c r="K281" s="42">
        <f t="shared" si="37"/>
        <v>1</v>
      </c>
      <c r="L281" s="39" t="s">
        <v>1401</v>
      </c>
      <c r="M281" s="39">
        <v>3</v>
      </c>
      <c r="N281" s="24" t="s">
        <v>1397</v>
      </c>
      <c r="O281" s="24" t="s">
        <v>1399</v>
      </c>
      <c r="P281" s="24">
        <f t="shared" si="36"/>
        <v>0</v>
      </c>
      <c r="Q281" s="24" t="str">
        <f t="shared" si="38"/>
        <v>[[2,[10706,10546,10386,10226,10066]]]</v>
      </c>
      <c r="R281" s="24" t="s">
        <v>1397</v>
      </c>
      <c r="S281" s="24" t="s">
        <v>1399</v>
      </c>
      <c r="AA281">
        <v>14406</v>
      </c>
      <c r="AB281" t="s">
        <v>1376</v>
      </c>
      <c r="AC281">
        <v>14406</v>
      </c>
    </row>
    <row r="282" spans="1:29" ht="16.5" x14ac:dyDescent="0.15">
      <c r="A282">
        <f t="shared" si="39"/>
        <v>1003402</v>
      </c>
      <c r="B282" s="27" t="s">
        <v>438</v>
      </c>
      <c r="C282" s="35">
        <f t="shared" si="33"/>
        <v>10034</v>
      </c>
      <c r="D282" s="24">
        <v>10866</v>
      </c>
      <c r="E282" s="38" t="str">
        <f t="shared" si="34"/>
        <v>10866,10706,10546,10386,10226,10066</v>
      </c>
      <c r="F282" s="39" t="s">
        <v>1401</v>
      </c>
      <c r="G282" s="39">
        <v>2</v>
      </c>
      <c r="H282" s="24" t="s">
        <v>1397</v>
      </c>
      <c r="I282" s="24" t="s">
        <v>1399</v>
      </c>
      <c r="J282" s="24" t="str">
        <f t="shared" si="35"/>
        <v>[2,[10866,10706,10546,10386,10226,10066]]</v>
      </c>
      <c r="K282" s="42">
        <f t="shared" si="37"/>
        <v>2</v>
      </c>
      <c r="L282" s="39" t="s">
        <v>1401</v>
      </c>
      <c r="M282" s="39">
        <v>3</v>
      </c>
      <c r="N282" s="24" t="s">
        <v>1397</v>
      </c>
      <c r="O282" s="24" t="s">
        <v>1399</v>
      </c>
      <c r="P282" s="24">
        <f t="shared" si="36"/>
        <v>0</v>
      </c>
      <c r="Q282" s="24" t="str">
        <f t="shared" si="38"/>
        <v>[[2,[10866,10706,10546,10386,10226,10066]]]</v>
      </c>
      <c r="R282" s="24" t="s">
        <v>1397</v>
      </c>
      <c r="S282" s="24" t="s">
        <v>1399</v>
      </c>
      <c r="AA282">
        <v>14407</v>
      </c>
      <c r="AB282" t="s">
        <v>1366</v>
      </c>
      <c r="AC282">
        <v>14407</v>
      </c>
    </row>
    <row r="283" spans="1:29" ht="16.5" x14ac:dyDescent="0.15">
      <c r="A283">
        <f t="shared" si="39"/>
        <v>1000901</v>
      </c>
      <c r="B283" s="43" t="s">
        <v>180</v>
      </c>
      <c r="C283" s="35">
        <f t="shared" si="33"/>
        <v>10009</v>
      </c>
      <c r="D283">
        <v>10210</v>
      </c>
      <c r="E283" s="38">
        <f t="shared" si="34"/>
        <v>10210</v>
      </c>
      <c r="F283" s="39" t="s">
        <v>1401</v>
      </c>
      <c r="G283" s="39">
        <v>2</v>
      </c>
      <c r="H283" s="24" t="s">
        <v>1397</v>
      </c>
      <c r="I283" s="24" t="s">
        <v>1399</v>
      </c>
      <c r="J283" s="24" t="str">
        <f t="shared" si="35"/>
        <v>[2,[10210]]</v>
      </c>
      <c r="K283" s="42">
        <f t="shared" si="37"/>
        <v>1</v>
      </c>
      <c r="L283" s="39" t="s">
        <v>1401</v>
      </c>
      <c r="M283" s="39">
        <v>3</v>
      </c>
      <c r="N283" s="24" t="s">
        <v>1397</v>
      </c>
      <c r="O283" s="24" t="s">
        <v>1399</v>
      </c>
      <c r="P283" s="24">
        <f t="shared" si="36"/>
        <v>10009</v>
      </c>
      <c r="Q283" s="24" t="str">
        <f t="shared" si="38"/>
        <v>[[3,[10009]],[2,[10210]]]</v>
      </c>
      <c r="R283" s="24" t="s">
        <v>1397</v>
      </c>
      <c r="S283" s="24" t="s">
        <v>1399</v>
      </c>
      <c r="AA283">
        <v>14410</v>
      </c>
      <c r="AB283" t="s">
        <v>1377</v>
      </c>
      <c r="AC283">
        <v>14410</v>
      </c>
    </row>
    <row r="284" spans="1:29" ht="16.5" x14ac:dyDescent="0.15">
      <c r="A284">
        <f t="shared" si="39"/>
        <v>1000901</v>
      </c>
      <c r="B284" s="43" t="s">
        <v>180</v>
      </c>
      <c r="C284" s="35">
        <f t="shared" si="33"/>
        <v>10009</v>
      </c>
      <c r="D284">
        <v>10330</v>
      </c>
      <c r="E284" s="38" t="str">
        <f t="shared" si="34"/>
        <v>10330,10210</v>
      </c>
      <c r="F284" s="39" t="s">
        <v>1401</v>
      </c>
      <c r="G284" s="39">
        <v>2</v>
      </c>
      <c r="H284" s="24" t="s">
        <v>1397</v>
      </c>
      <c r="I284" s="24" t="s">
        <v>1399</v>
      </c>
      <c r="J284" s="24" t="str">
        <f t="shared" si="35"/>
        <v>[2,[10330,10210]]</v>
      </c>
      <c r="K284" s="42">
        <f t="shared" si="37"/>
        <v>1</v>
      </c>
      <c r="L284" s="39" t="s">
        <v>1401</v>
      </c>
      <c r="M284" s="39">
        <v>3</v>
      </c>
      <c r="N284" s="24" t="s">
        <v>1397</v>
      </c>
      <c r="O284" s="24" t="s">
        <v>1399</v>
      </c>
      <c r="P284" s="24">
        <f t="shared" si="36"/>
        <v>10009</v>
      </c>
      <c r="Q284" s="24" t="str">
        <f t="shared" si="38"/>
        <v>[[3,[10009]],[2,[10330,10210]]]</v>
      </c>
      <c r="R284" s="24" t="s">
        <v>1397</v>
      </c>
      <c r="S284" s="24" t="s">
        <v>1399</v>
      </c>
      <c r="AA284">
        <v>14411</v>
      </c>
      <c r="AB284" t="s">
        <v>1378</v>
      </c>
      <c r="AC284">
        <v>14411</v>
      </c>
    </row>
    <row r="285" spans="1:29" ht="16.5" x14ac:dyDescent="0.15">
      <c r="A285">
        <f t="shared" si="39"/>
        <v>1000901</v>
      </c>
      <c r="B285" s="43" t="s">
        <v>180</v>
      </c>
      <c r="C285" s="35">
        <f t="shared" si="33"/>
        <v>10009</v>
      </c>
      <c r="D285">
        <v>10450</v>
      </c>
      <c r="E285" s="38" t="str">
        <f t="shared" si="34"/>
        <v>10450,10330,10210</v>
      </c>
      <c r="F285" s="39" t="s">
        <v>1401</v>
      </c>
      <c r="G285" s="39">
        <v>2</v>
      </c>
      <c r="H285" s="24" t="s">
        <v>1397</v>
      </c>
      <c r="I285" s="24" t="s">
        <v>1399</v>
      </c>
      <c r="J285" s="24" t="str">
        <f t="shared" si="35"/>
        <v>[2,[10450,10330,10210]]</v>
      </c>
      <c r="K285" s="42">
        <f t="shared" si="37"/>
        <v>1</v>
      </c>
      <c r="L285" s="39" t="s">
        <v>1401</v>
      </c>
      <c r="M285" s="39">
        <v>3</v>
      </c>
      <c r="N285" s="24" t="s">
        <v>1397</v>
      </c>
      <c r="O285" s="24" t="s">
        <v>1399</v>
      </c>
      <c r="P285" s="24">
        <f t="shared" si="36"/>
        <v>10009</v>
      </c>
      <c r="Q285" s="24" t="str">
        <f t="shared" si="38"/>
        <v>[[3,[10009]],[2,[10450,10330,10210]]]</v>
      </c>
      <c r="R285" s="24" t="s">
        <v>1397</v>
      </c>
      <c r="S285" s="24" t="s">
        <v>1399</v>
      </c>
      <c r="AA285">
        <v>14501</v>
      </c>
      <c r="AB285" t="s">
        <v>1379</v>
      </c>
      <c r="AC285">
        <v>14501</v>
      </c>
    </row>
    <row r="286" spans="1:29" ht="16.5" x14ac:dyDescent="0.15">
      <c r="A286">
        <f t="shared" si="39"/>
        <v>1000901</v>
      </c>
      <c r="B286" s="43" t="s">
        <v>180</v>
      </c>
      <c r="C286" s="35">
        <f t="shared" si="33"/>
        <v>10009</v>
      </c>
      <c r="D286">
        <v>10570</v>
      </c>
      <c r="E286" s="38" t="str">
        <f t="shared" si="34"/>
        <v>10570,10450,10330,10210</v>
      </c>
      <c r="F286" s="39" t="s">
        <v>1401</v>
      </c>
      <c r="G286" s="39">
        <v>2</v>
      </c>
      <c r="H286" s="24" t="s">
        <v>1397</v>
      </c>
      <c r="I286" s="24" t="s">
        <v>1399</v>
      </c>
      <c r="J286" s="24" t="str">
        <f t="shared" si="35"/>
        <v>[2,[10570,10450,10330,10210]]</v>
      </c>
      <c r="K286" s="42">
        <f t="shared" si="37"/>
        <v>1</v>
      </c>
      <c r="L286" s="39" t="s">
        <v>1401</v>
      </c>
      <c r="M286" s="39">
        <v>3</v>
      </c>
      <c r="N286" s="24" t="s">
        <v>1397</v>
      </c>
      <c r="O286" s="24" t="s">
        <v>1399</v>
      </c>
      <c r="P286" s="24">
        <f t="shared" si="36"/>
        <v>10009</v>
      </c>
      <c r="Q286" s="24" t="str">
        <f t="shared" si="38"/>
        <v>[[3,[10009]],[2,[10570,10450,10330,10210]]]</v>
      </c>
      <c r="R286" s="24" t="s">
        <v>1397</v>
      </c>
      <c r="S286" s="24" t="s">
        <v>1399</v>
      </c>
      <c r="AA286">
        <v>14502</v>
      </c>
      <c r="AB286" t="s">
        <v>1380</v>
      </c>
      <c r="AC286">
        <v>14502</v>
      </c>
    </row>
    <row r="287" spans="1:29" ht="16.5" x14ac:dyDescent="0.15">
      <c r="A287">
        <f t="shared" si="39"/>
        <v>1000901</v>
      </c>
      <c r="B287" s="43" t="s">
        <v>180</v>
      </c>
      <c r="C287" s="35">
        <f t="shared" si="33"/>
        <v>10009</v>
      </c>
      <c r="D287">
        <v>10690</v>
      </c>
      <c r="E287" s="38" t="str">
        <f t="shared" si="34"/>
        <v>10690,10570,10450,10330,10210</v>
      </c>
      <c r="F287" s="39" t="s">
        <v>1401</v>
      </c>
      <c r="G287" s="39">
        <v>2</v>
      </c>
      <c r="H287" s="24" t="s">
        <v>1397</v>
      </c>
      <c r="I287" s="24" t="s">
        <v>1399</v>
      </c>
      <c r="J287" s="24" t="str">
        <f t="shared" si="35"/>
        <v>[2,[10690,10570,10450,10330,10210]]</v>
      </c>
      <c r="K287" s="42">
        <f t="shared" si="37"/>
        <v>1</v>
      </c>
      <c r="L287" s="39" t="s">
        <v>1401</v>
      </c>
      <c r="M287" s="39">
        <v>3</v>
      </c>
      <c r="N287" s="24" t="s">
        <v>1397</v>
      </c>
      <c r="O287" s="24" t="s">
        <v>1399</v>
      </c>
      <c r="P287" s="24">
        <f t="shared" si="36"/>
        <v>10009</v>
      </c>
      <c r="Q287" s="24" t="str">
        <f t="shared" si="38"/>
        <v>[[3,[10009]],[2,[10690,10570,10450,10330,10210]]]</v>
      </c>
      <c r="R287" s="24" t="s">
        <v>1397</v>
      </c>
      <c r="S287" s="24" t="s">
        <v>1399</v>
      </c>
      <c r="AA287">
        <v>14503</v>
      </c>
      <c r="AB287" t="s">
        <v>1381</v>
      </c>
      <c r="AC287">
        <v>14503</v>
      </c>
    </row>
    <row r="288" spans="1:29" ht="16.5" x14ac:dyDescent="0.15">
      <c r="A288">
        <f t="shared" si="39"/>
        <v>1000902</v>
      </c>
      <c r="B288" s="43" t="s">
        <v>180</v>
      </c>
      <c r="C288" s="35">
        <f t="shared" si="33"/>
        <v>10009</v>
      </c>
      <c r="D288">
        <v>10810</v>
      </c>
      <c r="E288" s="38" t="str">
        <f t="shared" si="34"/>
        <v>10810,10690,10570,10450,10330,10210</v>
      </c>
      <c r="F288" s="39" t="s">
        <v>1401</v>
      </c>
      <c r="G288" s="39">
        <v>2</v>
      </c>
      <c r="H288" s="24" t="s">
        <v>1397</v>
      </c>
      <c r="I288" s="24" t="s">
        <v>1399</v>
      </c>
      <c r="J288" s="24" t="str">
        <f t="shared" si="35"/>
        <v>[2,[10810,10690,10570,10450,10330,10210]]</v>
      </c>
      <c r="K288" s="42">
        <f t="shared" si="37"/>
        <v>2</v>
      </c>
      <c r="L288" s="39" t="s">
        <v>1401</v>
      </c>
      <c r="M288" s="39">
        <v>3</v>
      </c>
      <c r="N288" s="24" t="s">
        <v>1397</v>
      </c>
      <c r="O288" s="24" t="s">
        <v>1399</v>
      </c>
      <c r="P288" s="24">
        <f t="shared" si="36"/>
        <v>10009</v>
      </c>
      <c r="Q288" s="24" t="str">
        <f t="shared" si="38"/>
        <v>[[3,[10009]],[2,[10810,10690,10570,10450,10330,10210]]]</v>
      </c>
      <c r="R288" s="24" t="s">
        <v>1397</v>
      </c>
      <c r="S288" s="24" t="s">
        <v>1399</v>
      </c>
      <c r="AA288">
        <v>14504</v>
      </c>
      <c r="AB288" t="s">
        <v>1382</v>
      </c>
      <c r="AC288">
        <v>14504</v>
      </c>
    </row>
    <row r="289" spans="1:29" ht="16.5" x14ac:dyDescent="0.15">
      <c r="A289">
        <f t="shared" si="39"/>
        <v>1003301</v>
      </c>
      <c r="B289" s="27" t="s">
        <v>114</v>
      </c>
      <c r="C289" s="35">
        <f t="shared" si="33"/>
        <v>10033</v>
      </c>
      <c r="D289" s="24">
        <v>10116</v>
      </c>
      <c r="E289" s="38">
        <f t="shared" si="34"/>
        <v>10116</v>
      </c>
      <c r="F289" s="39" t="s">
        <v>1401</v>
      </c>
      <c r="G289" s="39">
        <v>2</v>
      </c>
      <c r="H289" s="24" t="s">
        <v>1397</v>
      </c>
      <c r="I289" s="24" t="s">
        <v>1399</v>
      </c>
      <c r="J289" s="24" t="str">
        <f t="shared" si="35"/>
        <v>[2,[10116]]</v>
      </c>
      <c r="K289" s="42">
        <f t="shared" si="37"/>
        <v>1</v>
      </c>
      <c r="L289" s="39" t="s">
        <v>1401</v>
      </c>
      <c r="M289" s="39">
        <v>3</v>
      </c>
      <c r="N289" s="24" t="s">
        <v>1397</v>
      </c>
      <c r="O289" s="24" t="s">
        <v>1399</v>
      </c>
      <c r="P289" s="24">
        <f t="shared" si="36"/>
        <v>0</v>
      </c>
      <c r="Q289" s="24" t="str">
        <f t="shared" si="38"/>
        <v>[[2,[10116]]]</v>
      </c>
      <c r="R289" s="24" t="s">
        <v>1397</v>
      </c>
      <c r="S289" s="24" t="s">
        <v>1399</v>
      </c>
      <c r="AA289">
        <v>14505</v>
      </c>
      <c r="AB289" t="s">
        <v>1383</v>
      </c>
      <c r="AC289">
        <v>14505</v>
      </c>
    </row>
    <row r="290" spans="1:29" ht="16.5" x14ac:dyDescent="0.15">
      <c r="A290">
        <f t="shared" si="39"/>
        <v>1003301</v>
      </c>
      <c r="B290" s="27" t="s">
        <v>114</v>
      </c>
      <c r="C290" s="35">
        <f t="shared" si="33"/>
        <v>10033</v>
      </c>
      <c r="D290" s="24">
        <v>10276</v>
      </c>
      <c r="E290" s="38" t="str">
        <f t="shared" si="34"/>
        <v>10276,10116</v>
      </c>
      <c r="F290" s="39" t="s">
        <v>1401</v>
      </c>
      <c r="G290" s="39">
        <v>2</v>
      </c>
      <c r="H290" s="24" t="s">
        <v>1397</v>
      </c>
      <c r="I290" s="24" t="s">
        <v>1399</v>
      </c>
      <c r="J290" s="24" t="str">
        <f t="shared" si="35"/>
        <v>[2,[10276,10116]]</v>
      </c>
      <c r="K290" s="42">
        <f t="shared" si="37"/>
        <v>1</v>
      </c>
      <c r="L290" s="39" t="s">
        <v>1401</v>
      </c>
      <c r="M290" s="39">
        <v>3</v>
      </c>
      <c r="N290" s="24" t="s">
        <v>1397</v>
      </c>
      <c r="O290" s="24" t="s">
        <v>1399</v>
      </c>
      <c r="P290" s="24">
        <f t="shared" si="36"/>
        <v>0</v>
      </c>
      <c r="Q290" s="24" t="str">
        <f t="shared" si="38"/>
        <v>[[2,[10276,10116]]]</v>
      </c>
      <c r="R290" s="24" t="s">
        <v>1397</v>
      </c>
      <c r="S290" s="24" t="s">
        <v>1399</v>
      </c>
      <c r="AA290">
        <v>14506</v>
      </c>
      <c r="AB290" t="s">
        <v>1384</v>
      </c>
      <c r="AC290">
        <v>14506</v>
      </c>
    </row>
    <row r="291" spans="1:29" ht="16.5" x14ac:dyDescent="0.15">
      <c r="A291">
        <f t="shared" si="39"/>
        <v>1003301</v>
      </c>
      <c r="B291" s="27" t="s">
        <v>114</v>
      </c>
      <c r="C291" s="35">
        <f t="shared" si="33"/>
        <v>10033</v>
      </c>
      <c r="D291" s="24">
        <v>10436</v>
      </c>
      <c r="E291" s="38" t="str">
        <f t="shared" si="34"/>
        <v>10436,10276,10116</v>
      </c>
      <c r="F291" s="39" t="s">
        <v>1401</v>
      </c>
      <c r="G291" s="39">
        <v>2</v>
      </c>
      <c r="H291" s="24" t="s">
        <v>1397</v>
      </c>
      <c r="I291" s="24" t="s">
        <v>1399</v>
      </c>
      <c r="J291" s="24" t="str">
        <f t="shared" si="35"/>
        <v>[2,[10436,10276,10116]]</v>
      </c>
      <c r="K291" s="42">
        <f t="shared" si="37"/>
        <v>1</v>
      </c>
      <c r="L291" s="39" t="s">
        <v>1401</v>
      </c>
      <c r="M291" s="39">
        <v>3</v>
      </c>
      <c r="N291" s="24" t="s">
        <v>1397</v>
      </c>
      <c r="O291" s="24" t="s">
        <v>1399</v>
      </c>
      <c r="P291" s="24">
        <f t="shared" si="36"/>
        <v>0</v>
      </c>
      <c r="Q291" s="24" t="str">
        <f t="shared" si="38"/>
        <v>[[2,[10436,10276,10116]]]</v>
      </c>
      <c r="R291" s="24" t="s">
        <v>1397</v>
      </c>
      <c r="S291" s="24" t="s">
        <v>1399</v>
      </c>
      <c r="AA291">
        <v>14507</v>
      </c>
      <c r="AB291" t="s">
        <v>1385</v>
      </c>
      <c r="AC291">
        <v>14507</v>
      </c>
    </row>
    <row r="292" spans="1:29" ht="16.5" x14ac:dyDescent="0.15">
      <c r="A292">
        <f t="shared" si="39"/>
        <v>1003301</v>
      </c>
      <c r="B292" s="27" t="s">
        <v>114</v>
      </c>
      <c r="C292" s="35">
        <f t="shared" si="33"/>
        <v>10033</v>
      </c>
      <c r="D292" s="24">
        <v>10596</v>
      </c>
      <c r="E292" s="38" t="str">
        <f t="shared" si="34"/>
        <v>10596,10436,10276,10116</v>
      </c>
      <c r="F292" s="39" t="s">
        <v>1401</v>
      </c>
      <c r="G292" s="39">
        <v>2</v>
      </c>
      <c r="H292" s="24" t="s">
        <v>1397</v>
      </c>
      <c r="I292" s="24" t="s">
        <v>1399</v>
      </c>
      <c r="J292" s="24" t="str">
        <f t="shared" si="35"/>
        <v>[2,[10596,10436,10276,10116]]</v>
      </c>
      <c r="K292" s="42">
        <f t="shared" si="37"/>
        <v>1</v>
      </c>
      <c r="L292" s="39" t="s">
        <v>1401</v>
      </c>
      <c r="M292" s="39">
        <v>3</v>
      </c>
      <c r="N292" s="24" t="s">
        <v>1397</v>
      </c>
      <c r="O292" s="24" t="s">
        <v>1399</v>
      </c>
      <c r="P292" s="24">
        <f t="shared" si="36"/>
        <v>0</v>
      </c>
      <c r="Q292" s="24" t="str">
        <f t="shared" si="38"/>
        <v>[[2,[10596,10436,10276,10116]]]</v>
      </c>
      <c r="R292" s="24" t="s">
        <v>1397</v>
      </c>
      <c r="S292" s="24" t="s">
        <v>1399</v>
      </c>
      <c r="AA292">
        <v>14508</v>
      </c>
      <c r="AB292" t="s">
        <v>1386</v>
      </c>
      <c r="AC292">
        <v>14508</v>
      </c>
    </row>
    <row r="293" spans="1:29" ht="16.5" x14ac:dyDescent="0.15">
      <c r="A293">
        <f t="shared" si="39"/>
        <v>1003301</v>
      </c>
      <c r="B293" s="27" t="s">
        <v>114</v>
      </c>
      <c r="C293" s="35">
        <f t="shared" si="33"/>
        <v>10033</v>
      </c>
      <c r="D293" s="24">
        <v>10756</v>
      </c>
      <c r="E293" s="38" t="str">
        <f t="shared" si="34"/>
        <v>10756,10596,10436,10276,10116</v>
      </c>
      <c r="F293" s="39" t="s">
        <v>1401</v>
      </c>
      <c r="G293" s="39">
        <v>2</v>
      </c>
      <c r="H293" s="24" t="s">
        <v>1397</v>
      </c>
      <c r="I293" s="24" t="s">
        <v>1399</v>
      </c>
      <c r="J293" s="24" t="str">
        <f t="shared" si="35"/>
        <v>[2,[10756,10596,10436,10276,10116]]</v>
      </c>
      <c r="K293" s="42">
        <f t="shared" si="37"/>
        <v>1</v>
      </c>
      <c r="L293" s="39" t="s">
        <v>1401</v>
      </c>
      <c r="M293" s="39">
        <v>3</v>
      </c>
      <c r="N293" s="24" t="s">
        <v>1397</v>
      </c>
      <c r="O293" s="24" t="s">
        <v>1399</v>
      </c>
      <c r="P293" s="24">
        <f t="shared" si="36"/>
        <v>0</v>
      </c>
      <c r="Q293" s="24" t="str">
        <f t="shared" si="38"/>
        <v>[[2,[10756,10596,10436,10276,10116]]]</v>
      </c>
      <c r="R293" s="24" t="s">
        <v>1397</v>
      </c>
      <c r="S293" s="24" t="s">
        <v>1399</v>
      </c>
      <c r="AA293">
        <v>14509</v>
      </c>
      <c r="AB293" t="s">
        <v>1387</v>
      </c>
      <c r="AC293">
        <v>14509</v>
      </c>
    </row>
    <row r="294" spans="1:29" ht="16.5" x14ac:dyDescent="0.15">
      <c r="A294">
        <f t="shared" si="39"/>
        <v>1003302</v>
      </c>
      <c r="B294" s="27" t="s">
        <v>114</v>
      </c>
      <c r="C294" s="35">
        <f t="shared" si="33"/>
        <v>10033</v>
      </c>
      <c r="D294" s="24">
        <v>10059</v>
      </c>
      <c r="E294" s="38" t="str">
        <f t="shared" si="34"/>
        <v>10059,10756,10596,10436,10276,10116</v>
      </c>
      <c r="F294" s="39" t="s">
        <v>1401</v>
      </c>
      <c r="G294" s="39">
        <v>2</v>
      </c>
      <c r="H294" s="24" t="s">
        <v>1397</v>
      </c>
      <c r="I294" s="24" t="s">
        <v>1399</v>
      </c>
      <c r="J294" s="24" t="str">
        <f t="shared" si="35"/>
        <v>[2,[10059,10756,10596,10436,10276,10116]]</v>
      </c>
      <c r="K294" s="42">
        <f t="shared" si="37"/>
        <v>2</v>
      </c>
      <c r="L294" s="39" t="s">
        <v>1401</v>
      </c>
      <c r="M294" s="39">
        <v>3</v>
      </c>
      <c r="N294" s="24" t="s">
        <v>1397</v>
      </c>
      <c r="O294" s="24" t="s">
        <v>1399</v>
      </c>
      <c r="P294" s="24">
        <f t="shared" si="36"/>
        <v>0</v>
      </c>
      <c r="Q294" s="24" t="str">
        <f t="shared" si="38"/>
        <v>[[2,[10059,10756,10596,10436,10276,10116]]]</v>
      </c>
      <c r="R294" s="24" t="s">
        <v>1397</v>
      </c>
      <c r="S294" s="24" t="s">
        <v>1399</v>
      </c>
      <c r="AA294">
        <v>14510</v>
      </c>
      <c r="AB294" t="s">
        <v>1279</v>
      </c>
      <c r="AC294">
        <v>14510</v>
      </c>
    </row>
    <row r="295" spans="1:29" ht="16.5" x14ac:dyDescent="0.15">
      <c r="A295">
        <f t="shared" si="39"/>
        <v>1001701</v>
      </c>
      <c r="B295" s="31" t="s">
        <v>100</v>
      </c>
      <c r="C295" s="35">
        <f t="shared" si="33"/>
        <v>10017</v>
      </c>
      <c r="D295" s="24">
        <v>10269</v>
      </c>
      <c r="E295" s="38">
        <f t="shared" si="34"/>
        <v>10269</v>
      </c>
      <c r="F295" s="39" t="s">
        <v>1401</v>
      </c>
      <c r="G295" s="39">
        <v>2</v>
      </c>
      <c r="H295" s="24" t="s">
        <v>1397</v>
      </c>
      <c r="I295" s="24" t="s">
        <v>1399</v>
      </c>
      <c r="J295" s="24" t="str">
        <f t="shared" si="35"/>
        <v>[2,[10269]]</v>
      </c>
      <c r="K295" s="42">
        <f t="shared" si="37"/>
        <v>1</v>
      </c>
      <c r="L295" s="39" t="s">
        <v>1401</v>
      </c>
      <c r="M295" s="39">
        <v>3</v>
      </c>
      <c r="N295" s="24" t="s">
        <v>1397</v>
      </c>
      <c r="O295" s="24" t="s">
        <v>1399</v>
      </c>
      <c r="P295" s="24">
        <f t="shared" si="36"/>
        <v>0</v>
      </c>
      <c r="Q295" s="24" t="str">
        <f t="shared" si="38"/>
        <v>[[2,[10269]]]</v>
      </c>
      <c r="R295" s="24" t="s">
        <v>1397</v>
      </c>
      <c r="S295" s="24" t="s">
        <v>1399</v>
      </c>
      <c r="AA295">
        <v>14511</v>
      </c>
      <c r="AB295" t="s">
        <v>1280</v>
      </c>
      <c r="AC295">
        <v>14511</v>
      </c>
    </row>
    <row r="296" spans="1:29" ht="16.5" x14ac:dyDescent="0.15">
      <c r="A296">
        <f t="shared" si="39"/>
        <v>1001701</v>
      </c>
      <c r="B296" s="31" t="s">
        <v>100</v>
      </c>
      <c r="C296" s="35">
        <f t="shared" si="33"/>
        <v>10017</v>
      </c>
      <c r="D296" s="24">
        <v>10439</v>
      </c>
      <c r="E296" s="38" t="str">
        <f t="shared" si="34"/>
        <v>10439,10269</v>
      </c>
      <c r="F296" s="39" t="s">
        <v>1401</v>
      </c>
      <c r="G296" s="39">
        <v>2</v>
      </c>
      <c r="H296" s="24" t="s">
        <v>1397</v>
      </c>
      <c r="I296" s="24" t="s">
        <v>1399</v>
      </c>
      <c r="J296" s="24" t="str">
        <f t="shared" si="35"/>
        <v>[2,[10439,10269]]</v>
      </c>
      <c r="K296" s="42">
        <f t="shared" si="37"/>
        <v>1</v>
      </c>
      <c r="L296" s="39" t="s">
        <v>1401</v>
      </c>
      <c r="M296" s="39">
        <v>3</v>
      </c>
      <c r="N296" s="24" t="s">
        <v>1397</v>
      </c>
      <c r="O296" s="24" t="s">
        <v>1399</v>
      </c>
      <c r="P296" s="24">
        <f t="shared" si="36"/>
        <v>0</v>
      </c>
      <c r="Q296" s="24" t="str">
        <f t="shared" si="38"/>
        <v>[[2,[10439,10269]]]</v>
      </c>
      <c r="R296" s="24" t="s">
        <v>1397</v>
      </c>
      <c r="S296" s="24" t="s">
        <v>1399</v>
      </c>
      <c r="AA296">
        <v>14512</v>
      </c>
      <c r="AB296" t="s">
        <v>1281</v>
      </c>
      <c r="AC296">
        <v>14512</v>
      </c>
    </row>
    <row r="297" spans="1:29" ht="16.5" x14ac:dyDescent="0.15">
      <c r="A297">
        <f t="shared" si="39"/>
        <v>1001701</v>
      </c>
      <c r="B297" s="31" t="s">
        <v>100</v>
      </c>
      <c r="C297" s="35">
        <f t="shared" si="33"/>
        <v>10017</v>
      </c>
      <c r="D297" s="24">
        <v>10609</v>
      </c>
      <c r="E297" s="38" t="str">
        <f t="shared" si="34"/>
        <v>10609,10439,10269</v>
      </c>
      <c r="F297" s="39" t="s">
        <v>1401</v>
      </c>
      <c r="G297" s="39">
        <v>2</v>
      </c>
      <c r="H297" s="24" t="s">
        <v>1397</v>
      </c>
      <c r="I297" s="24" t="s">
        <v>1399</v>
      </c>
      <c r="J297" s="24" t="str">
        <f t="shared" si="35"/>
        <v>[2,[10609,10439,10269]]</v>
      </c>
      <c r="K297" s="42">
        <f t="shared" si="37"/>
        <v>1</v>
      </c>
      <c r="L297" s="39" t="s">
        <v>1401</v>
      </c>
      <c r="M297" s="39">
        <v>3</v>
      </c>
      <c r="N297" s="24" t="s">
        <v>1397</v>
      </c>
      <c r="O297" s="24" t="s">
        <v>1399</v>
      </c>
      <c r="P297" s="24">
        <f t="shared" si="36"/>
        <v>0</v>
      </c>
      <c r="Q297" s="24" t="str">
        <f t="shared" si="38"/>
        <v>[[2,[10609,10439,10269]]]</v>
      </c>
      <c r="R297" s="24" t="s">
        <v>1397</v>
      </c>
      <c r="S297" s="24" t="s">
        <v>1399</v>
      </c>
      <c r="AA297">
        <v>16001</v>
      </c>
      <c r="AB297" t="s">
        <v>683</v>
      </c>
      <c r="AC297">
        <v>16001</v>
      </c>
    </row>
    <row r="298" spans="1:29" ht="16.5" x14ac:dyDescent="0.15">
      <c r="A298">
        <f t="shared" si="39"/>
        <v>1001701</v>
      </c>
      <c r="B298" s="31" t="s">
        <v>100</v>
      </c>
      <c r="C298" s="35">
        <f t="shared" si="33"/>
        <v>10017</v>
      </c>
      <c r="D298" s="24">
        <v>10779</v>
      </c>
      <c r="E298" s="38" t="str">
        <f t="shared" si="34"/>
        <v>10779,10609,10439,10269</v>
      </c>
      <c r="F298" s="39" t="s">
        <v>1401</v>
      </c>
      <c r="G298" s="39">
        <v>2</v>
      </c>
      <c r="H298" s="24" t="s">
        <v>1397</v>
      </c>
      <c r="I298" s="24" t="s">
        <v>1399</v>
      </c>
      <c r="J298" s="24" t="str">
        <f t="shared" si="35"/>
        <v>[2,[10779,10609,10439,10269]]</v>
      </c>
      <c r="K298" s="42">
        <f t="shared" si="37"/>
        <v>1</v>
      </c>
      <c r="L298" s="39" t="s">
        <v>1401</v>
      </c>
      <c r="M298" s="39">
        <v>3</v>
      </c>
      <c r="N298" s="24" t="s">
        <v>1397</v>
      </c>
      <c r="O298" s="24" t="s">
        <v>1399</v>
      </c>
      <c r="P298" s="24">
        <f t="shared" si="36"/>
        <v>0</v>
      </c>
      <c r="Q298" s="24" t="str">
        <f t="shared" si="38"/>
        <v>[[2,[10779,10609,10439,10269]]]</v>
      </c>
      <c r="R298" s="24" t="s">
        <v>1397</v>
      </c>
      <c r="S298" s="24" t="s">
        <v>1399</v>
      </c>
      <c r="AA298">
        <v>16002</v>
      </c>
      <c r="AB298" t="s">
        <v>684</v>
      </c>
      <c r="AC298">
        <v>16002</v>
      </c>
    </row>
    <row r="299" spans="1:29" ht="16.5" x14ac:dyDescent="0.15">
      <c r="A299">
        <f t="shared" si="39"/>
        <v>1001702</v>
      </c>
      <c r="B299" s="31" t="s">
        <v>100</v>
      </c>
      <c r="C299" s="35">
        <f t="shared" si="33"/>
        <v>10017</v>
      </c>
      <c r="D299">
        <v>10100</v>
      </c>
      <c r="E299" s="38" t="str">
        <f t="shared" si="34"/>
        <v>10100,10779,10609,10439,10269</v>
      </c>
      <c r="F299" s="39" t="s">
        <v>1401</v>
      </c>
      <c r="G299" s="39">
        <v>2</v>
      </c>
      <c r="H299" s="24" t="s">
        <v>1397</v>
      </c>
      <c r="I299" s="24" t="s">
        <v>1399</v>
      </c>
      <c r="J299" s="24" t="str">
        <f t="shared" si="35"/>
        <v>[2,[10100,10779,10609,10439,10269]]</v>
      </c>
      <c r="K299" s="42">
        <f t="shared" si="37"/>
        <v>2</v>
      </c>
      <c r="L299" s="39" t="s">
        <v>1401</v>
      </c>
      <c r="M299" s="39">
        <v>3</v>
      </c>
      <c r="N299" s="24" t="s">
        <v>1397</v>
      </c>
      <c r="O299" s="24" t="s">
        <v>1399</v>
      </c>
      <c r="P299" s="24">
        <f t="shared" si="36"/>
        <v>0</v>
      </c>
      <c r="Q299" s="24" t="str">
        <f t="shared" si="38"/>
        <v>[[2,[10100,10779,10609,10439,10269]]]</v>
      </c>
      <c r="R299" s="24" t="s">
        <v>1397</v>
      </c>
      <c r="S299" s="24" t="s">
        <v>1399</v>
      </c>
      <c r="AA299">
        <v>16003</v>
      </c>
      <c r="AB299" t="s">
        <v>682</v>
      </c>
      <c r="AC299">
        <v>16003</v>
      </c>
    </row>
    <row r="300" spans="1:29" ht="16.5" x14ac:dyDescent="0.15">
      <c r="A300">
        <f t="shared" si="39"/>
        <v>1001401</v>
      </c>
      <c r="B300" s="31" t="s">
        <v>106</v>
      </c>
      <c r="C300" s="35">
        <f t="shared" si="33"/>
        <v>10014</v>
      </c>
      <c r="D300" s="24">
        <v>10199</v>
      </c>
      <c r="E300" s="38">
        <f t="shared" si="34"/>
        <v>10199</v>
      </c>
      <c r="F300" s="39" t="s">
        <v>1401</v>
      </c>
      <c r="G300" s="39">
        <v>2</v>
      </c>
      <c r="H300" s="24" t="s">
        <v>1397</v>
      </c>
      <c r="I300" s="24" t="s">
        <v>1399</v>
      </c>
      <c r="J300" s="24" t="str">
        <f t="shared" si="35"/>
        <v>[2,[10199]]</v>
      </c>
      <c r="K300" s="42">
        <f t="shared" si="37"/>
        <v>1</v>
      </c>
      <c r="L300" s="39" t="s">
        <v>1401</v>
      </c>
      <c r="M300" s="39">
        <v>3</v>
      </c>
      <c r="N300" s="24" t="s">
        <v>1397</v>
      </c>
      <c r="O300" s="24" t="s">
        <v>1399</v>
      </c>
      <c r="P300" s="24">
        <f t="shared" si="36"/>
        <v>0</v>
      </c>
      <c r="Q300" s="24" t="str">
        <f t="shared" si="38"/>
        <v>[[2,[10199]]]</v>
      </c>
      <c r="R300" s="24" t="s">
        <v>1397</v>
      </c>
      <c r="S300" s="24" t="s">
        <v>1399</v>
      </c>
      <c r="AA300">
        <v>16004</v>
      </c>
      <c r="AB300" t="s">
        <v>685</v>
      </c>
      <c r="AC300">
        <v>16004</v>
      </c>
    </row>
    <row r="301" spans="1:29" ht="16.5" x14ac:dyDescent="0.15">
      <c r="A301">
        <f t="shared" si="39"/>
        <v>1001401</v>
      </c>
      <c r="B301" s="31" t="s">
        <v>106</v>
      </c>
      <c r="C301" s="35">
        <f t="shared" si="33"/>
        <v>10014</v>
      </c>
      <c r="D301" s="24">
        <v>10369</v>
      </c>
      <c r="E301" s="38" t="str">
        <f t="shared" si="34"/>
        <v>10369,10199</v>
      </c>
      <c r="F301" s="39" t="s">
        <v>1401</v>
      </c>
      <c r="G301" s="39">
        <v>2</v>
      </c>
      <c r="H301" s="24" t="s">
        <v>1397</v>
      </c>
      <c r="I301" s="24" t="s">
        <v>1399</v>
      </c>
      <c r="J301" s="24" t="str">
        <f t="shared" si="35"/>
        <v>[2,[10369,10199]]</v>
      </c>
      <c r="K301" s="42">
        <f t="shared" si="37"/>
        <v>1</v>
      </c>
      <c r="L301" s="39" t="s">
        <v>1401</v>
      </c>
      <c r="M301" s="39">
        <v>3</v>
      </c>
      <c r="N301" s="24" t="s">
        <v>1397</v>
      </c>
      <c r="O301" s="24" t="s">
        <v>1399</v>
      </c>
      <c r="P301" s="24">
        <f t="shared" si="36"/>
        <v>0</v>
      </c>
      <c r="Q301" s="24" t="str">
        <f t="shared" si="38"/>
        <v>[[2,[10369,10199]]]</v>
      </c>
      <c r="R301" s="24" t="s">
        <v>1397</v>
      </c>
      <c r="S301" s="24" t="s">
        <v>1399</v>
      </c>
      <c r="AA301">
        <v>16005</v>
      </c>
      <c r="AB301" t="s">
        <v>1388</v>
      </c>
      <c r="AC301">
        <v>16005</v>
      </c>
    </row>
    <row r="302" spans="1:29" ht="16.5" x14ac:dyDescent="0.15">
      <c r="A302">
        <f t="shared" si="39"/>
        <v>1001401</v>
      </c>
      <c r="B302" s="31" t="s">
        <v>106</v>
      </c>
      <c r="C302" s="35">
        <f t="shared" si="33"/>
        <v>10014</v>
      </c>
      <c r="D302" s="24">
        <v>10539</v>
      </c>
      <c r="E302" s="38" t="str">
        <f t="shared" si="34"/>
        <v>10539,10369,10199</v>
      </c>
      <c r="F302" s="39" t="s">
        <v>1401</v>
      </c>
      <c r="G302" s="39">
        <v>2</v>
      </c>
      <c r="H302" s="24" t="s">
        <v>1397</v>
      </c>
      <c r="I302" s="24" t="s">
        <v>1399</v>
      </c>
      <c r="J302" s="24" t="str">
        <f t="shared" si="35"/>
        <v>[2,[10539,10369,10199]]</v>
      </c>
      <c r="K302" s="42">
        <f t="shared" si="37"/>
        <v>1</v>
      </c>
      <c r="L302" s="39" t="s">
        <v>1401</v>
      </c>
      <c r="M302" s="39">
        <v>3</v>
      </c>
      <c r="N302" s="24" t="s">
        <v>1397</v>
      </c>
      <c r="O302" s="24" t="s">
        <v>1399</v>
      </c>
      <c r="P302" s="24">
        <f t="shared" si="36"/>
        <v>0</v>
      </c>
      <c r="Q302" s="24" t="str">
        <f t="shared" si="38"/>
        <v>[[2,[10539,10369,10199]]]</v>
      </c>
      <c r="R302" s="24" t="s">
        <v>1397</v>
      </c>
      <c r="S302" s="24" t="s">
        <v>1399</v>
      </c>
      <c r="AA302">
        <v>16006</v>
      </c>
      <c r="AB302" t="s">
        <v>1389</v>
      </c>
      <c r="AC302">
        <v>16006</v>
      </c>
    </row>
    <row r="303" spans="1:29" ht="16.5" x14ac:dyDescent="0.15">
      <c r="A303">
        <f t="shared" si="39"/>
        <v>1001401</v>
      </c>
      <c r="B303" s="31" t="s">
        <v>106</v>
      </c>
      <c r="C303" s="35">
        <f t="shared" si="33"/>
        <v>10014</v>
      </c>
      <c r="D303" s="24">
        <v>10709</v>
      </c>
      <c r="E303" s="38" t="str">
        <f t="shared" si="34"/>
        <v>10709,10539,10369,10199</v>
      </c>
      <c r="F303" s="39" t="s">
        <v>1401</v>
      </c>
      <c r="G303" s="39">
        <v>2</v>
      </c>
      <c r="H303" s="24" t="s">
        <v>1397</v>
      </c>
      <c r="I303" s="24" t="s">
        <v>1399</v>
      </c>
      <c r="J303" s="24" t="str">
        <f t="shared" si="35"/>
        <v>[2,[10709,10539,10369,10199]]</v>
      </c>
      <c r="K303" s="42">
        <f t="shared" si="37"/>
        <v>1</v>
      </c>
      <c r="L303" s="39" t="s">
        <v>1401</v>
      </c>
      <c r="M303" s="39">
        <v>3</v>
      </c>
      <c r="N303" s="24" t="s">
        <v>1397</v>
      </c>
      <c r="O303" s="24" t="s">
        <v>1399</v>
      </c>
      <c r="P303" s="24">
        <f t="shared" si="36"/>
        <v>0</v>
      </c>
      <c r="Q303" s="24" t="str">
        <f t="shared" si="38"/>
        <v>[[2,[10709,10539,10369,10199]]]</v>
      </c>
      <c r="R303" s="24" t="s">
        <v>1397</v>
      </c>
      <c r="S303" s="24" t="s">
        <v>1399</v>
      </c>
      <c r="AA303">
        <v>16007</v>
      </c>
      <c r="AB303" t="s">
        <v>1390</v>
      </c>
      <c r="AC303">
        <v>16007</v>
      </c>
    </row>
    <row r="304" spans="1:29" ht="16.5" x14ac:dyDescent="0.15">
      <c r="A304">
        <f t="shared" si="39"/>
        <v>1001402</v>
      </c>
      <c r="B304" s="31" t="s">
        <v>106</v>
      </c>
      <c r="C304" s="35">
        <f t="shared" si="33"/>
        <v>10014</v>
      </c>
      <c r="D304" s="24">
        <v>10879</v>
      </c>
      <c r="E304" s="38" t="str">
        <f t="shared" si="34"/>
        <v>10879,10709,10539,10369,10199</v>
      </c>
      <c r="F304" s="39" t="s">
        <v>1401</v>
      </c>
      <c r="G304" s="39">
        <v>2</v>
      </c>
      <c r="H304" s="24" t="s">
        <v>1397</v>
      </c>
      <c r="I304" s="24" t="s">
        <v>1399</v>
      </c>
      <c r="J304" s="24" t="str">
        <f t="shared" si="35"/>
        <v>[2,[10879,10709,10539,10369,10199]]</v>
      </c>
      <c r="K304" s="42">
        <f t="shared" si="37"/>
        <v>2</v>
      </c>
      <c r="L304" s="39" t="s">
        <v>1401</v>
      </c>
      <c r="M304" s="39">
        <v>3</v>
      </c>
      <c r="N304" s="24" t="s">
        <v>1397</v>
      </c>
      <c r="O304" s="24" t="s">
        <v>1399</v>
      </c>
      <c r="P304" s="24">
        <f t="shared" si="36"/>
        <v>0</v>
      </c>
      <c r="Q304" s="24" t="str">
        <f t="shared" si="38"/>
        <v>[[2,[10879,10709,10539,10369,10199]]]</v>
      </c>
      <c r="R304" s="24" t="s">
        <v>1397</v>
      </c>
      <c r="S304" s="24" t="s">
        <v>1399</v>
      </c>
      <c r="AA304">
        <v>16008</v>
      </c>
      <c r="AB304" t="s">
        <v>1391</v>
      </c>
      <c r="AC304">
        <v>16008</v>
      </c>
    </row>
    <row r="305" spans="1:29" ht="16.5" x14ac:dyDescent="0.15">
      <c r="A305">
        <f t="shared" si="39"/>
        <v>1010501</v>
      </c>
      <c r="B305" s="27" t="s">
        <v>448</v>
      </c>
      <c r="C305" s="35">
        <f t="shared" si="33"/>
        <v>10105</v>
      </c>
      <c r="D305" s="24">
        <v>10106</v>
      </c>
      <c r="E305" s="38">
        <f t="shared" si="34"/>
        <v>10106</v>
      </c>
      <c r="F305" s="39" t="s">
        <v>1401</v>
      </c>
      <c r="G305" s="39">
        <v>2</v>
      </c>
      <c r="H305" s="24" t="s">
        <v>1397</v>
      </c>
      <c r="I305" s="24" t="s">
        <v>1399</v>
      </c>
      <c r="J305" s="24" t="str">
        <f t="shared" si="35"/>
        <v>[2,[10106]]</v>
      </c>
      <c r="K305" s="42">
        <f t="shared" si="37"/>
        <v>1</v>
      </c>
      <c r="L305" s="39" t="s">
        <v>1401</v>
      </c>
      <c r="M305" s="39">
        <v>3</v>
      </c>
      <c r="N305" s="24" t="s">
        <v>1397</v>
      </c>
      <c r="O305" s="24" t="s">
        <v>1399</v>
      </c>
      <c r="P305" s="24">
        <f t="shared" si="36"/>
        <v>0</v>
      </c>
      <c r="Q305" s="24" t="str">
        <f t="shared" si="38"/>
        <v>[[2,[10106]]]</v>
      </c>
      <c r="R305" s="24" t="s">
        <v>1397</v>
      </c>
      <c r="S305" s="24" t="s">
        <v>1399</v>
      </c>
      <c r="AA305">
        <v>16009</v>
      </c>
      <c r="AB305" t="s">
        <v>1392</v>
      </c>
      <c r="AC305">
        <v>16009</v>
      </c>
    </row>
    <row r="306" spans="1:29" ht="16.5" x14ac:dyDescent="0.15">
      <c r="A306">
        <f t="shared" si="39"/>
        <v>1010501</v>
      </c>
      <c r="B306" s="27" t="s">
        <v>448</v>
      </c>
      <c r="C306" s="35">
        <f t="shared" si="33"/>
        <v>10105</v>
      </c>
      <c r="D306" s="24">
        <v>10266</v>
      </c>
      <c r="E306" s="38" t="str">
        <f t="shared" si="34"/>
        <v>10266,10106</v>
      </c>
      <c r="F306" s="39" t="s">
        <v>1401</v>
      </c>
      <c r="G306" s="39">
        <v>2</v>
      </c>
      <c r="H306" s="24" t="s">
        <v>1397</v>
      </c>
      <c r="I306" s="24" t="s">
        <v>1399</v>
      </c>
      <c r="J306" s="24" t="str">
        <f t="shared" si="35"/>
        <v>[2,[10266,10106]]</v>
      </c>
      <c r="K306" s="42">
        <f t="shared" si="37"/>
        <v>1</v>
      </c>
      <c r="L306" s="39" t="s">
        <v>1401</v>
      </c>
      <c r="M306" s="39">
        <v>3</v>
      </c>
      <c r="N306" s="24" t="s">
        <v>1397</v>
      </c>
      <c r="O306" s="24" t="s">
        <v>1399</v>
      </c>
      <c r="P306" s="24">
        <f t="shared" si="36"/>
        <v>0</v>
      </c>
      <c r="Q306" s="24" t="str">
        <f t="shared" si="38"/>
        <v>[[2,[10266,10106]]]</v>
      </c>
      <c r="R306" s="24" t="s">
        <v>1397</v>
      </c>
      <c r="S306" s="24" t="s">
        <v>1399</v>
      </c>
      <c r="AA306">
        <v>16010</v>
      </c>
      <c r="AB306" t="s">
        <v>1393</v>
      </c>
      <c r="AC306">
        <v>16010</v>
      </c>
    </row>
    <row r="307" spans="1:29" ht="16.5" x14ac:dyDescent="0.15">
      <c r="A307">
        <f t="shared" si="39"/>
        <v>1010501</v>
      </c>
      <c r="B307" s="27" t="s">
        <v>448</v>
      </c>
      <c r="C307" s="35">
        <f t="shared" si="33"/>
        <v>10105</v>
      </c>
      <c r="D307" s="24">
        <v>10426</v>
      </c>
      <c r="E307" s="38" t="str">
        <f t="shared" si="34"/>
        <v>10426,10266,10106</v>
      </c>
      <c r="F307" s="39" t="s">
        <v>1401</v>
      </c>
      <c r="G307" s="39">
        <v>2</v>
      </c>
      <c r="H307" s="24" t="s">
        <v>1397</v>
      </c>
      <c r="I307" s="24" t="s">
        <v>1399</v>
      </c>
      <c r="J307" s="24" t="str">
        <f t="shared" si="35"/>
        <v>[2,[10426,10266,10106]]</v>
      </c>
      <c r="K307" s="42">
        <f t="shared" si="37"/>
        <v>1</v>
      </c>
      <c r="L307" s="39" t="s">
        <v>1401</v>
      </c>
      <c r="M307" s="39">
        <v>3</v>
      </c>
      <c r="N307" s="24" t="s">
        <v>1397</v>
      </c>
      <c r="O307" s="24" t="s">
        <v>1399</v>
      </c>
      <c r="P307" s="24">
        <f t="shared" si="36"/>
        <v>0</v>
      </c>
      <c r="Q307" s="24" t="str">
        <f t="shared" si="38"/>
        <v>[[2,[10426,10266,10106]]]</v>
      </c>
      <c r="R307" s="24" t="s">
        <v>1397</v>
      </c>
      <c r="S307" s="24" t="s">
        <v>1399</v>
      </c>
      <c r="AA307">
        <v>16501</v>
      </c>
      <c r="AB307" t="s">
        <v>680</v>
      </c>
      <c r="AC307">
        <v>16501</v>
      </c>
    </row>
    <row r="308" spans="1:29" ht="16.5" x14ac:dyDescent="0.15">
      <c r="A308">
        <f t="shared" si="39"/>
        <v>1010501</v>
      </c>
      <c r="B308" s="27" t="s">
        <v>448</v>
      </c>
      <c r="C308" s="35">
        <f t="shared" si="33"/>
        <v>10105</v>
      </c>
      <c r="D308" s="24">
        <v>10586</v>
      </c>
      <c r="E308" s="38" t="str">
        <f t="shared" si="34"/>
        <v>10586,10426,10266,10106</v>
      </c>
      <c r="F308" s="39" t="s">
        <v>1401</v>
      </c>
      <c r="G308" s="39">
        <v>2</v>
      </c>
      <c r="H308" s="24" t="s">
        <v>1397</v>
      </c>
      <c r="I308" s="24" t="s">
        <v>1399</v>
      </c>
      <c r="J308" s="24" t="str">
        <f t="shared" si="35"/>
        <v>[2,[10586,10426,10266,10106]]</v>
      </c>
      <c r="K308" s="42">
        <f t="shared" si="37"/>
        <v>1</v>
      </c>
      <c r="L308" s="39" t="s">
        <v>1401</v>
      </c>
      <c r="M308" s="39">
        <v>3</v>
      </c>
      <c r="N308" s="24" t="s">
        <v>1397</v>
      </c>
      <c r="O308" s="24" t="s">
        <v>1399</v>
      </c>
      <c r="P308" s="24">
        <f t="shared" si="36"/>
        <v>0</v>
      </c>
      <c r="Q308" s="24" t="str">
        <f t="shared" si="38"/>
        <v>[[2,[10586,10426,10266,10106]]]</v>
      </c>
      <c r="R308" s="24" t="s">
        <v>1397</v>
      </c>
      <c r="S308" s="24" t="s">
        <v>1399</v>
      </c>
      <c r="AA308">
        <v>16502</v>
      </c>
      <c r="AB308" t="s">
        <v>679</v>
      </c>
      <c r="AC308">
        <v>16502</v>
      </c>
    </row>
    <row r="309" spans="1:29" ht="16.5" x14ac:dyDescent="0.15">
      <c r="A309">
        <f t="shared" si="39"/>
        <v>1010501</v>
      </c>
      <c r="B309" s="27" t="s">
        <v>448</v>
      </c>
      <c r="C309" s="35">
        <f t="shared" ref="C309:C372" si="40">VLOOKUP(B309,AB:AC,2,FALSE)</f>
        <v>10105</v>
      </c>
      <c r="D309" s="24">
        <v>10746</v>
      </c>
      <c r="E309" s="38" t="str">
        <f t="shared" ref="E309:E372" si="41">IF(C309=C308,D309&amp;F309&amp;E308,D309)</f>
        <v>10746,10586,10426,10266,10106</v>
      </c>
      <c r="F309" s="39" t="s">
        <v>1401</v>
      </c>
      <c r="G309" s="39">
        <v>2</v>
      </c>
      <c r="H309" s="24" t="s">
        <v>1397</v>
      </c>
      <c r="I309" s="24" t="s">
        <v>1399</v>
      </c>
      <c r="J309" s="24" t="str">
        <f t="shared" ref="J309:J372" si="42">H309&amp;G309&amp;F309&amp;H309&amp;E309&amp;I309&amp;I309</f>
        <v>[2,[10746,10586,10426,10266,10106]]</v>
      </c>
      <c r="K309" s="42">
        <f t="shared" si="37"/>
        <v>1</v>
      </c>
      <c r="L309" s="39" t="s">
        <v>1401</v>
      </c>
      <c r="M309" s="39">
        <v>3</v>
      </c>
      <c r="N309" s="24" t="s">
        <v>1397</v>
      </c>
      <c r="O309" s="24" t="s">
        <v>1399</v>
      </c>
      <c r="P309" s="24">
        <f t="shared" ref="P309:P372" si="43">IFERROR(VLOOKUP(B309,AE:AK,2,FALSE),0)</f>
        <v>0</v>
      </c>
      <c r="Q309" s="24" t="str">
        <f t="shared" si="38"/>
        <v>[[2,[10746,10586,10426,10266,10106]]]</v>
      </c>
      <c r="R309" s="24" t="s">
        <v>1397</v>
      </c>
      <c r="S309" s="24" t="s">
        <v>1399</v>
      </c>
      <c r="AA309">
        <v>16503</v>
      </c>
      <c r="AB309" t="s">
        <v>681</v>
      </c>
      <c r="AC309">
        <v>16503</v>
      </c>
    </row>
    <row r="310" spans="1:29" ht="16.5" x14ac:dyDescent="0.15">
      <c r="A310">
        <f t="shared" si="39"/>
        <v>1010502</v>
      </c>
      <c r="B310" s="27" t="s">
        <v>448</v>
      </c>
      <c r="C310" s="35">
        <f t="shared" si="40"/>
        <v>10105</v>
      </c>
      <c r="D310" s="24">
        <v>10049</v>
      </c>
      <c r="E310" s="38" t="str">
        <f t="shared" si="41"/>
        <v>10049,10746,10586,10426,10266,10106</v>
      </c>
      <c r="F310" s="39" t="s">
        <v>1401</v>
      </c>
      <c r="G310" s="39">
        <v>2</v>
      </c>
      <c r="H310" s="24" t="s">
        <v>1397</v>
      </c>
      <c r="I310" s="24" t="s">
        <v>1399</v>
      </c>
      <c r="J310" s="24" t="str">
        <f t="shared" si="42"/>
        <v>[2,[10049,10746,10586,10426,10266,10106]]</v>
      </c>
      <c r="K310" s="42">
        <f t="shared" ref="K310:K373" si="44">IF(C310=C311,1,2)</f>
        <v>2</v>
      </c>
      <c r="L310" s="39" t="s">
        <v>1401</v>
      </c>
      <c r="M310" s="39">
        <v>3</v>
      </c>
      <c r="N310" s="24" t="s">
        <v>1397</v>
      </c>
      <c r="O310" s="24" t="s">
        <v>1399</v>
      </c>
      <c r="P310" s="24">
        <f t="shared" si="43"/>
        <v>0</v>
      </c>
      <c r="Q310" s="24" t="str">
        <f t="shared" ref="Q310:Q373" si="45">IF(P310=0,R310&amp;(J310)&amp;S310,R310&amp;(N310&amp;M310&amp;L310&amp;N310&amp;P310&amp;O310&amp;O310)&amp;L310&amp;(J310)&amp;S310)</f>
        <v>[[2,[10049,10746,10586,10426,10266,10106]]]</v>
      </c>
      <c r="R310" s="24" t="s">
        <v>1397</v>
      </c>
      <c r="S310" s="24" t="s">
        <v>1399</v>
      </c>
      <c r="AA310">
        <v>17000</v>
      </c>
      <c r="AB310" t="s">
        <v>1394</v>
      </c>
      <c r="AC310">
        <v>17000</v>
      </c>
    </row>
    <row r="311" spans="1:29" ht="16.5" x14ac:dyDescent="0.15">
      <c r="A311">
        <f t="shared" si="39"/>
        <v>1002701</v>
      </c>
      <c r="B311" s="43" t="s">
        <v>191</v>
      </c>
      <c r="C311" s="35">
        <f t="shared" si="40"/>
        <v>10027</v>
      </c>
      <c r="D311">
        <v>10140</v>
      </c>
      <c r="E311" s="38">
        <f t="shared" si="41"/>
        <v>10140</v>
      </c>
      <c r="F311" s="39" t="s">
        <v>1401</v>
      </c>
      <c r="G311" s="39">
        <v>2</v>
      </c>
      <c r="H311" s="24" t="s">
        <v>1397</v>
      </c>
      <c r="I311" s="24" t="s">
        <v>1399</v>
      </c>
      <c r="J311" s="24" t="str">
        <f t="shared" si="42"/>
        <v>[2,[10140]]</v>
      </c>
      <c r="K311" s="42">
        <f t="shared" si="44"/>
        <v>1</v>
      </c>
      <c r="L311" s="39" t="s">
        <v>1401</v>
      </c>
      <c r="M311" s="39">
        <v>3</v>
      </c>
      <c r="N311" s="24" t="s">
        <v>1397</v>
      </c>
      <c r="O311" s="24" t="s">
        <v>1399</v>
      </c>
      <c r="P311" s="24">
        <f t="shared" si="43"/>
        <v>10027</v>
      </c>
      <c r="Q311" s="24" t="str">
        <f t="shared" si="45"/>
        <v>[[3,[10027]],[2,[10140]]]</v>
      </c>
      <c r="R311" s="24" t="s">
        <v>1397</v>
      </c>
      <c r="S311" s="24" t="s">
        <v>1399</v>
      </c>
      <c r="AA311">
        <v>17001</v>
      </c>
      <c r="AB311" t="s">
        <v>1395</v>
      </c>
      <c r="AC311">
        <v>17001</v>
      </c>
    </row>
    <row r="312" spans="1:29" ht="16.5" x14ac:dyDescent="0.15">
      <c r="A312">
        <f t="shared" si="39"/>
        <v>1002701</v>
      </c>
      <c r="B312" s="43" t="s">
        <v>191</v>
      </c>
      <c r="C312" s="35">
        <f t="shared" si="40"/>
        <v>10027</v>
      </c>
      <c r="D312">
        <v>10260</v>
      </c>
      <c r="E312" s="38" t="str">
        <f t="shared" si="41"/>
        <v>10260,10140</v>
      </c>
      <c r="F312" s="39" t="s">
        <v>1401</v>
      </c>
      <c r="G312" s="39">
        <v>2</v>
      </c>
      <c r="H312" s="24" t="s">
        <v>1397</v>
      </c>
      <c r="I312" s="24" t="s">
        <v>1399</v>
      </c>
      <c r="J312" s="24" t="str">
        <f t="shared" si="42"/>
        <v>[2,[10260,10140]]</v>
      </c>
      <c r="K312" s="42">
        <f t="shared" si="44"/>
        <v>1</v>
      </c>
      <c r="L312" s="39" t="s">
        <v>1401</v>
      </c>
      <c r="M312" s="39">
        <v>3</v>
      </c>
      <c r="N312" s="24" t="s">
        <v>1397</v>
      </c>
      <c r="O312" s="24" t="s">
        <v>1399</v>
      </c>
      <c r="P312" s="24">
        <f t="shared" si="43"/>
        <v>10027</v>
      </c>
      <c r="Q312" s="24" t="str">
        <f t="shared" si="45"/>
        <v>[[3,[10027]],[2,[10260,10140]]]</v>
      </c>
      <c r="R312" s="24" t="s">
        <v>1397</v>
      </c>
      <c r="S312" s="24" t="s">
        <v>1399</v>
      </c>
      <c r="AA312">
        <v>17002</v>
      </c>
      <c r="AB312" t="s">
        <v>1277</v>
      </c>
      <c r="AC312">
        <v>17002</v>
      </c>
    </row>
    <row r="313" spans="1:29" ht="16.5" x14ac:dyDescent="0.15">
      <c r="A313">
        <f t="shared" si="39"/>
        <v>1002701</v>
      </c>
      <c r="B313" s="43" t="s">
        <v>191</v>
      </c>
      <c r="C313" s="35">
        <f t="shared" si="40"/>
        <v>10027</v>
      </c>
      <c r="D313">
        <v>10380</v>
      </c>
      <c r="E313" s="38" t="str">
        <f t="shared" si="41"/>
        <v>10380,10260,10140</v>
      </c>
      <c r="F313" s="39" t="s">
        <v>1401</v>
      </c>
      <c r="G313" s="39">
        <v>2</v>
      </c>
      <c r="H313" s="24" t="s">
        <v>1397</v>
      </c>
      <c r="I313" s="24" t="s">
        <v>1399</v>
      </c>
      <c r="J313" s="24" t="str">
        <f t="shared" si="42"/>
        <v>[2,[10380,10260,10140]]</v>
      </c>
      <c r="K313" s="42">
        <f t="shared" si="44"/>
        <v>1</v>
      </c>
      <c r="L313" s="39" t="s">
        <v>1401</v>
      </c>
      <c r="M313" s="39">
        <v>3</v>
      </c>
      <c r="N313" s="24" t="s">
        <v>1397</v>
      </c>
      <c r="O313" s="24" t="s">
        <v>1399</v>
      </c>
      <c r="P313" s="24">
        <f t="shared" si="43"/>
        <v>10027</v>
      </c>
      <c r="Q313" s="24" t="str">
        <f t="shared" si="45"/>
        <v>[[3,[10027]],[2,[10380,10260,10140]]]</v>
      </c>
      <c r="R313" s="24" t="s">
        <v>1397</v>
      </c>
      <c r="S313" s="24" t="s">
        <v>1399</v>
      </c>
    </row>
    <row r="314" spans="1:29" ht="16.5" x14ac:dyDescent="0.15">
      <c r="A314">
        <f t="shared" si="39"/>
        <v>1002701</v>
      </c>
      <c r="B314" s="43" t="s">
        <v>191</v>
      </c>
      <c r="C314" s="35">
        <f t="shared" si="40"/>
        <v>10027</v>
      </c>
      <c r="D314">
        <v>10500</v>
      </c>
      <c r="E314" s="38" t="str">
        <f t="shared" si="41"/>
        <v>10500,10380,10260,10140</v>
      </c>
      <c r="F314" s="39" t="s">
        <v>1401</v>
      </c>
      <c r="G314" s="39">
        <v>2</v>
      </c>
      <c r="H314" s="24" t="s">
        <v>1397</v>
      </c>
      <c r="I314" s="24" t="s">
        <v>1399</v>
      </c>
      <c r="J314" s="24" t="str">
        <f t="shared" si="42"/>
        <v>[2,[10500,10380,10260,10140]]</v>
      </c>
      <c r="K314" s="42">
        <f t="shared" si="44"/>
        <v>1</v>
      </c>
      <c r="L314" s="39" t="s">
        <v>1401</v>
      </c>
      <c r="M314" s="39">
        <v>3</v>
      </c>
      <c r="N314" s="24" t="s">
        <v>1397</v>
      </c>
      <c r="O314" s="24" t="s">
        <v>1399</v>
      </c>
      <c r="P314" s="24">
        <f t="shared" si="43"/>
        <v>10027</v>
      </c>
      <c r="Q314" s="24" t="str">
        <f t="shared" si="45"/>
        <v>[[3,[10027]],[2,[10500,10380,10260,10140]]]</v>
      </c>
      <c r="R314" s="24" t="s">
        <v>1397</v>
      </c>
      <c r="S314" s="24" t="s">
        <v>1399</v>
      </c>
    </row>
    <row r="315" spans="1:29" ht="16.5" x14ac:dyDescent="0.15">
      <c r="A315">
        <f t="shared" si="39"/>
        <v>1002701</v>
      </c>
      <c r="B315" s="43" t="s">
        <v>191</v>
      </c>
      <c r="C315" s="35">
        <f t="shared" si="40"/>
        <v>10027</v>
      </c>
      <c r="D315">
        <v>10620</v>
      </c>
      <c r="E315" s="38" t="str">
        <f t="shared" si="41"/>
        <v>10620,10500,10380,10260,10140</v>
      </c>
      <c r="F315" s="39" t="s">
        <v>1401</v>
      </c>
      <c r="G315" s="39">
        <v>2</v>
      </c>
      <c r="H315" s="24" t="s">
        <v>1397</v>
      </c>
      <c r="I315" s="24" t="s">
        <v>1399</v>
      </c>
      <c r="J315" s="24" t="str">
        <f t="shared" si="42"/>
        <v>[2,[10620,10500,10380,10260,10140]]</v>
      </c>
      <c r="K315" s="42">
        <f t="shared" si="44"/>
        <v>1</v>
      </c>
      <c r="L315" s="39" t="s">
        <v>1401</v>
      </c>
      <c r="M315" s="39">
        <v>3</v>
      </c>
      <c r="N315" s="24" t="s">
        <v>1397</v>
      </c>
      <c r="O315" s="24" t="s">
        <v>1399</v>
      </c>
      <c r="P315" s="24">
        <f t="shared" si="43"/>
        <v>10027</v>
      </c>
      <c r="Q315" s="24" t="str">
        <f t="shared" si="45"/>
        <v>[[3,[10027]],[2,[10620,10500,10380,10260,10140]]]</v>
      </c>
      <c r="R315" s="24" t="s">
        <v>1397</v>
      </c>
      <c r="S315" s="24" t="s">
        <v>1399</v>
      </c>
    </row>
    <row r="316" spans="1:29" ht="16.5" x14ac:dyDescent="0.15">
      <c r="A316">
        <f t="shared" si="39"/>
        <v>1002701</v>
      </c>
      <c r="B316" s="43" t="s">
        <v>191</v>
      </c>
      <c r="C316" s="35">
        <f t="shared" si="40"/>
        <v>10027</v>
      </c>
      <c r="D316">
        <v>10740</v>
      </c>
      <c r="E316" s="38" t="str">
        <f t="shared" si="41"/>
        <v>10740,10620,10500,10380,10260,10140</v>
      </c>
      <c r="F316" s="39" t="s">
        <v>1401</v>
      </c>
      <c r="G316" s="39">
        <v>2</v>
      </c>
      <c r="H316" s="24" t="s">
        <v>1397</v>
      </c>
      <c r="I316" s="24" t="s">
        <v>1399</v>
      </c>
      <c r="J316" s="24" t="str">
        <f t="shared" si="42"/>
        <v>[2,[10740,10620,10500,10380,10260,10140]]</v>
      </c>
      <c r="K316" s="42">
        <f t="shared" si="44"/>
        <v>1</v>
      </c>
      <c r="L316" s="39" t="s">
        <v>1401</v>
      </c>
      <c r="M316" s="39">
        <v>3</v>
      </c>
      <c r="N316" s="24" t="s">
        <v>1397</v>
      </c>
      <c r="O316" s="24" t="s">
        <v>1399</v>
      </c>
      <c r="P316" s="24">
        <f t="shared" si="43"/>
        <v>10027</v>
      </c>
      <c r="Q316" s="24" t="str">
        <f t="shared" si="45"/>
        <v>[[3,[10027]],[2,[10740,10620,10500,10380,10260,10140]]]</v>
      </c>
      <c r="R316" s="24" t="s">
        <v>1397</v>
      </c>
      <c r="S316" s="24" t="s">
        <v>1399</v>
      </c>
    </row>
    <row r="317" spans="1:29" ht="16.5" x14ac:dyDescent="0.15">
      <c r="A317">
        <f t="shared" si="39"/>
        <v>1002702</v>
      </c>
      <c r="B317" s="43" t="s">
        <v>191</v>
      </c>
      <c r="C317" s="35">
        <f t="shared" si="40"/>
        <v>10027</v>
      </c>
      <c r="D317">
        <v>10860</v>
      </c>
      <c r="E317" s="38" t="str">
        <f t="shared" si="41"/>
        <v>10860,10740,10620,10500,10380,10260,10140</v>
      </c>
      <c r="F317" s="39" t="s">
        <v>1401</v>
      </c>
      <c r="G317" s="39">
        <v>2</v>
      </c>
      <c r="H317" s="24" t="s">
        <v>1397</v>
      </c>
      <c r="I317" s="24" t="s">
        <v>1399</v>
      </c>
      <c r="J317" s="24" t="str">
        <f t="shared" si="42"/>
        <v>[2,[10860,10740,10620,10500,10380,10260,10140]]</v>
      </c>
      <c r="K317" s="42">
        <f t="shared" si="44"/>
        <v>2</v>
      </c>
      <c r="L317" s="39" t="s">
        <v>1401</v>
      </c>
      <c r="M317" s="39">
        <v>3</v>
      </c>
      <c r="N317" s="24" t="s">
        <v>1397</v>
      </c>
      <c r="O317" s="24" t="s">
        <v>1399</v>
      </c>
      <c r="P317" s="24">
        <f t="shared" si="43"/>
        <v>10027</v>
      </c>
      <c r="Q317" s="24" t="str">
        <f t="shared" si="45"/>
        <v>[[3,[10027]],[2,[10860,10740,10620,10500,10380,10260,10140]]]</v>
      </c>
      <c r="R317" s="24" t="s">
        <v>1397</v>
      </c>
      <c r="S317" s="24" t="s">
        <v>1399</v>
      </c>
    </row>
    <row r="318" spans="1:29" ht="16.5" x14ac:dyDescent="0.15">
      <c r="A318">
        <f t="shared" si="39"/>
        <v>1004001</v>
      </c>
      <c r="B318" s="27" t="s">
        <v>119</v>
      </c>
      <c r="C318" s="35">
        <f t="shared" si="40"/>
        <v>10040</v>
      </c>
      <c r="D318" s="24">
        <v>10046</v>
      </c>
      <c r="E318" s="38">
        <f t="shared" si="41"/>
        <v>10046</v>
      </c>
      <c r="F318" s="39" t="s">
        <v>1401</v>
      </c>
      <c r="G318" s="39">
        <v>2</v>
      </c>
      <c r="H318" s="24" t="s">
        <v>1397</v>
      </c>
      <c r="I318" s="24" t="s">
        <v>1399</v>
      </c>
      <c r="J318" s="24" t="str">
        <f t="shared" si="42"/>
        <v>[2,[10046]]</v>
      </c>
      <c r="K318" s="42">
        <f t="shared" si="44"/>
        <v>1</v>
      </c>
      <c r="L318" s="39" t="s">
        <v>1401</v>
      </c>
      <c r="M318" s="39">
        <v>3</v>
      </c>
      <c r="N318" s="24" t="s">
        <v>1397</v>
      </c>
      <c r="O318" s="24" t="s">
        <v>1399</v>
      </c>
      <c r="P318" s="24">
        <f t="shared" si="43"/>
        <v>0</v>
      </c>
      <c r="Q318" s="24" t="str">
        <f t="shared" si="45"/>
        <v>[[2,[10046]]]</v>
      </c>
      <c r="R318" s="24" t="s">
        <v>1397</v>
      </c>
      <c r="S318" s="24" t="s">
        <v>1399</v>
      </c>
    </row>
    <row r="319" spans="1:29" ht="16.5" x14ac:dyDescent="0.15">
      <c r="A319">
        <f t="shared" si="39"/>
        <v>1004001</v>
      </c>
      <c r="B319" s="27" t="s">
        <v>119</v>
      </c>
      <c r="C319" s="35">
        <f t="shared" si="40"/>
        <v>10040</v>
      </c>
      <c r="D319" s="24">
        <v>10206</v>
      </c>
      <c r="E319" s="38" t="str">
        <f t="shared" si="41"/>
        <v>10206,10046</v>
      </c>
      <c r="F319" s="39" t="s">
        <v>1401</v>
      </c>
      <c r="G319" s="39">
        <v>2</v>
      </c>
      <c r="H319" s="24" t="s">
        <v>1397</v>
      </c>
      <c r="I319" s="24" t="s">
        <v>1399</v>
      </c>
      <c r="J319" s="24" t="str">
        <f t="shared" si="42"/>
        <v>[2,[10206,10046]]</v>
      </c>
      <c r="K319" s="42">
        <f t="shared" si="44"/>
        <v>1</v>
      </c>
      <c r="L319" s="39" t="s">
        <v>1401</v>
      </c>
      <c r="M319" s="39">
        <v>3</v>
      </c>
      <c r="N319" s="24" t="s">
        <v>1397</v>
      </c>
      <c r="O319" s="24" t="s">
        <v>1399</v>
      </c>
      <c r="P319" s="24">
        <f t="shared" si="43"/>
        <v>0</v>
      </c>
      <c r="Q319" s="24" t="str">
        <f t="shared" si="45"/>
        <v>[[2,[10206,10046]]]</v>
      </c>
      <c r="R319" s="24" t="s">
        <v>1397</v>
      </c>
      <c r="S319" s="24" t="s">
        <v>1399</v>
      </c>
    </row>
    <row r="320" spans="1:29" ht="16.5" x14ac:dyDescent="0.15">
      <c r="A320">
        <f t="shared" si="39"/>
        <v>1004001</v>
      </c>
      <c r="B320" s="27" t="s">
        <v>119</v>
      </c>
      <c r="C320" s="35">
        <f t="shared" si="40"/>
        <v>10040</v>
      </c>
      <c r="D320" s="24">
        <v>10366</v>
      </c>
      <c r="E320" s="38" t="str">
        <f t="shared" si="41"/>
        <v>10366,10206,10046</v>
      </c>
      <c r="F320" s="39" t="s">
        <v>1401</v>
      </c>
      <c r="G320" s="39">
        <v>2</v>
      </c>
      <c r="H320" s="24" t="s">
        <v>1397</v>
      </c>
      <c r="I320" s="24" t="s">
        <v>1399</v>
      </c>
      <c r="J320" s="24" t="str">
        <f t="shared" si="42"/>
        <v>[2,[10366,10206,10046]]</v>
      </c>
      <c r="K320" s="42">
        <f t="shared" si="44"/>
        <v>1</v>
      </c>
      <c r="L320" s="39" t="s">
        <v>1401</v>
      </c>
      <c r="M320" s="39">
        <v>3</v>
      </c>
      <c r="N320" s="24" t="s">
        <v>1397</v>
      </c>
      <c r="O320" s="24" t="s">
        <v>1399</v>
      </c>
      <c r="P320" s="24">
        <f t="shared" si="43"/>
        <v>0</v>
      </c>
      <c r="Q320" s="24" t="str">
        <f t="shared" si="45"/>
        <v>[[2,[10366,10206,10046]]]</v>
      </c>
      <c r="R320" s="24" t="s">
        <v>1397</v>
      </c>
      <c r="S320" s="24" t="s">
        <v>1399</v>
      </c>
    </row>
    <row r="321" spans="1:19" ht="16.5" x14ac:dyDescent="0.15">
      <c r="A321">
        <f t="shared" si="39"/>
        <v>1004001</v>
      </c>
      <c r="B321" s="27" t="s">
        <v>119</v>
      </c>
      <c r="C321" s="35">
        <f t="shared" si="40"/>
        <v>10040</v>
      </c>
      <c r="D321" s="24">
        <v>10526</v>
      </c>
      <c r="E321" s="38" t="str">
        <f t="shared" si="41"/>
        <v>10526,10366,10206,10046</v>
      </c>
      <c r="F321" s="39" t="s">
        <v>1401</v>
      </c>
      <c r="G321" s="39">
        <v>2</v>
      </c>
      <c r="H321" s="24" t="s">
        <v>1397</v>
      </c>
      <c r="I321" s="24" t="s">
        <v>1399</v>
      </c>
      <c r="J321" s="24" t="str">
        <f t="shared" si="42"/>
        <v>[2,[10526,10366,10206,10046]]</v>
      </c>
      <c r="K321" s="42">
        <f t="shared" si="44"/>
        <v>1</v>
      </c>
      <c r="L321" s="39" t="s">
        <v>1401</v>
      </c>
      <c r="M321" s="39">
        <v>3</v>
      </c>
      <c r="N321" s="24" t="s">
        <v>1397</v>
      </c>
      <c r="O321" s="24" t="s">
        <v>1399</v>
      </c>
      <c r="P321" s="24">
        <f t="shared" si="43"/>
        <v>0</v>
      </c>
      <c r="Q321" s="24" t="str">
        <f t="shared" si="45"/>
        <v>[[2,[10526,10366,10206,10046]]]</v>
      </c>
      <c r="R321" s="24" t="s">
        <v>1397</v>
      </c>
      <c r="S321" s="24" t="s">
        <v>1399</v>
      </c>
    </row>
    <row r="322" spans="1:19" ht="16.5" x14ac:dyDescent="0.15">
      <c r="A322">
        <f t="shared" si="39"/>
        <v>1004001</v>
      </c>
      <c r="B322" s="27" t="s">
        <v>119</v>
      </c>
      <c r="C322" s="35">
        <f t="shared" si="40"/>
        <v>10040</v>
      </c>
      <c r="D322" s="24">
        <v>10686</v>
      </c>
      <c r="E322" s="38" t="str">
        <f t="shared" si="41"/>
        <v>10686,10526,10366,10206,10046</v>
      </c>
      <c r="F322" s="39" t="s">
        <v>1401</v>
      </c>
      <c r="G322" s="39">
        <v>2</v>
      </c>
      <c r="H322" s="24" t="s">
        <v>1397</v>
      </c>
      <c r="I322" s="24" t="s">
        <v>1399</v>
      </c>
      <c r="J322" s="24" t="str">
        <f t="shared" si="42"/>
        <v>[2,[10686,10526,10366,10206,10046]]</v>
      </c>
      <c r="K322" s="42">
        <f t="shared" si="44"/>
        <v>1</v>
      </c>
      <c r="L322" s="39" t="s">
        <v>1401</v>
      </c>
      <c r="M322" s="39">
        <v>3</v>
      </c>
      <c r="N322" s="24" t="s">
        <v>1397</v>
      </c>
      <c r="O322" s="24" t="s">
        <v>1399</v>
      </c>
      <c r="P322" s="24">
        <f t="shared" si="43"/>
        <v>0</v>
      </c>
      <c r="Q322" s="24" t="str">
        <f t="shared" si="45"/>
        <v>[[2,[10686,10526,10366,10206,10046]]]</v>
      </c>
      <c r="R322" s="24" t="s">
        <v>1397</v>
      </c>
      <c r="S322" s="24" t="s">
        <v>1399</v>
      </c>
    </row>
    <row r="323" spans="1:19" ht="16.5" x14ac:dyDescent="0.15">
      <c r="A323">
        <f t="shared" si="39"/>
        <v>1004002</v>
      </c>
      <c r="B323" s="27" t="s">
        <v>119</v>
      </c>
      <c r="C323" s="35">
        <f t="shared" si="40"/>
        <v>10040</v>
      </c>
      <c r="D323" s="24">
        <v>10846</v>
      </c>
      <c r="E323" s="38" t="str">
        <f t="shared" si="41"/>
        <v>10846,10686,10526,10366,10206,10046</v>
      </c>
      <c r="F323" s="39" t="s">
        <v>1401</v>
      </c>
      <c r="G323" s="39">
        <v>2</v>
      </c>
      <c r="H323" s="24" t="s">
        <v>1397</v>
      </c>
      <c r="I323" s="24" t="s">
        <v>1399</v>
      </c>
      <c r="J323" s="24" t="str">
        <f t="shared" si="42"/>
        <v>[2,[10846,10686,10526,10366,10206,10046]]</v>
      </c>
      <c r="K323" s="42">
        <f t="shared" si="44"/>
        <v>2</v>
      </c>
      <c r="L323" s="39" t="s">
        <v>1401</v>
      </c>
      <c r="M323" s="39">
        <v>3</v>
      </c>
      <c r="N323" s="24" t="s">
        <v>1397</v>
      </c>
      <c r="O323" s="24" t="s">
        <v>1399</v>
      </c>
      <c r="P323" s="24">
        <f t="shared" si="43"/>
        <v>0</v>
      </c>
      <c r="Q323" s="24" t="str">
        <f t="shared" si="45"/>
        <v>[[2,[10846,10686,10526,10366,10206,10046]]]</v>
      </c>
      <c r="R323" s="24" t="s">
        <v>1397</v>
      </c>
      <c r="S323" s="24" t="s">
        <v>1399</v>
      </c>
    </row>
    <row r="324" spans="1:19" ht="16.5" x14ac:dyDescent="0.15">
      <c r="A324">
        <f t="shared" si="39"/>
        <v>1010601</v>
      </c>
      <c r="B324" s="27" t="s">
        <v>450</v>
      </c>
      <c r="C324" s="35">
        <f t="shared" si="40"/>
        <v>10106</v>
      </c>
      <c r="D324" s="24">
        <v>10076</v>
      </c>
      <c r="E324" s="38">
        <f t="shared" si="41"/>
        <v>10076</v>
      </c>
      <c r="F324" s="39" t="s">
        <v>1401</v>
      </c>
      <c r="G324" s="39">
        <v>2</v>
      </c>
      <c r="H324" s="24" t="s">
        <v>1397</v>
      </c>
      <c r="I324" s="24" t="s">
        <v>1399</v>
      </c>
      <c r="J324" s="24" t="str">
        <f t="shared" si="42"/>
        <v>[2,[10076]]</v>
      </c>
      <c r="K324" s="42">
        <f t="shared" si="44"/>
        <v>1</v>
      </c>
      <c r="L324" s="39" t="s">
        <v>1401</v>
      </c>
      <c r="M324" s="39">
        <v>3</v>
      </c>
      <c r="N324" s="24" t="s">
        <v>1397</v>
      </c>
      <c r="O324" s="24" t="s">
        <v>1399</v>
      </c>
      <c r="P324" s="24">
        <f t="shared" si="43"/>
        <v>0</v>
      </c>
      <c r="Q324" s="24" t="str">
        <f t="shared" si="45"/>
        <v>[[2,[10076]]]</v>
      </c>
      <c r="R324" s="24" t="s">
        <v>1397</v>
      </c>
      <c r="S324" s="24" t="s">
        <v>1399</v>
      </c>
    </row>
    <row r="325" spans="1:19" ht="16.5" x14ac:dyDescent="0.15">
      <c r="A325">
        <f t="shared" si="39"/>
        <v>1010601</v>
      </c>
      <c r="B325" s="27" t="s">
        <v>450</v>
      </c>
      <c r="C325" s="35">
        <f t="shared" si="40"/>
        <v>10106</v>
      </c>
      <c r="D325" s="24">
        <v>10236</v>
      </c>
      <c r="E325" s="38" t="str">
        <f t="shared" si="41"/>
        <v>10236,10076</v>
      </c>
      <c r="F325" s="39" t="s">
        <v>1401</v>
      </c>
      <c r="G325" s="39">
        <v>2</v>
      </c>
      <c r="H325" s="24" t="s">
        <v>1397</v>
      </c>
      <c r="I325" s="24" t="s">
        <v>1399</v>
      </c>
      <c r="J325" s="24" t="str">
        <f t="shared" si="42"/>
        <v>[2,[10236,10076]]</v>
      </c>
      <c r="K325" s="42">
        <f t="shared" si="44"/>
        <v>1</v>
      </c>
      <c r="L325" s="39" t="s">
        <v>1401</v>
      </c>
      <c r="M325" s="39">
        <v>3</v>
      </c>
      <c r="N325" s="24" t="s">
        <v>1397</v>
      </c>
      <c r="O325" s="24" t="s">
        <v>1399</v>
      </c>
      <c r="P325" s="24">
        <f t="shared" si="43"/>
        <v>0</v>
      </c>
      <c r="Q325" s="24" t="str">
        <f t="shared" si="45"/>
        <v>[[2,[10236,10076]]]</v>
      </c>
      <c r="R325" s="24" t="s">
        <v>1397</v>
      </c>
      <c r="S325" s="24" t="s">
        <v>1399</v>
      </c>
    </row>
    <row r="326" spans="1:19" ht="16.5" x14ac:dyDescent="0.15">
      <c r="A326">
        <f t="shared" si="39"/>
        <v>1010601</v>
      </c>
      <c r="B326" s="27" t="s">
        <v>450</v>
      </c>
      <c r="C326" s="35">
        <f t="shared" si="40"/>
        <v>10106</v>
      </c>
      <c r="D326" s="24">
        <v>10396</v>
      </c>
      <c r="E326" s="38" t="str">
        <f t="shared" si="41"/>
        <v>10396,10236,10076</v>
      </c>
      <c r="F326" s="39" t="s">
        <v>1401</v>
      </c>
      <c r="G326" s="39">
        <v>2</v>
      </c>
      <c r="H326" s="24" t="s">
        <v>1397</v>
      </c>
      <c r="I326" s="24" t="s">
        <v>1399</v>
      </c>
      <c r="J326" s="24" t="str">
        <f t="shared" si="42"/>
        <v>[2,[10396,10236,10076]]</v>
      </c>
      <c r="K326" s="42">
        <f t="shared" si="44"/>
        <v>1</v>
      </c>
      <c r="L326" s="39" t="s">
        <v>1401</v>
      </c>
      <c r="M326" s="39">
        <v>3</v>
      </c>
      <c r="N326" s="24" t="s">
        <v>1397</v>
      </c>
      <c r="O326" s="24" t="s">
        <v>1399</v>
      </c>
      <c r="P326" s="24">
        <f t="shared" si="43"/>
        <v>0</v>
      </c>
      <c r="Q326" s="24" t="str">
        <f t="shared" si="45"/>
        <v>[[2,[10396,10236,10076]]]</v>
      </c>
      <c r="R326" s="24" t="s">
        <v>1397</v>
      </c>
      <c r="S326" s="24" t="s">
        <v>1399</v>
      </c>
    </row>
    <row r="327" spans="1:19" ht="16.5" x14ac:dyDescent="0.15">
      <c r="A327">
        <f t="shared" si="39"/>
        <v>1010601</v>
      </c>
      <c r="B327" s="27" t="s">
        <v>450</v>
      </c>
      <c r="C327" s="35">
        <f t="shared" si="40"/>
        <v>10106</v>
      </c>
      <c r="D327" s="24">
        <v>10556</v>
      </c>
      <c r="E327" s="38" t="str">
        <f t="shared" si="41"/>
        <v>10556,10396,10236,10076</v>
      </c>
      <c r="F327" s="39" t="s">
        <v>1401</v>
      </c>
      <c r="G327" s="39">
        <v>2</v>
      </c>
      <c r="H327" s="24" t="s">
        <v>1397</v>
      </c>
      <c r="I327" s="24" t="s">
        <v>1399</v>
      </c>
      <c r="J327" s="24" t="str">
        <f t="shared" si="42"/>
        <v>[2,[10556,10396,10236,10076]]</v>
      </c>
      <c r="K327" s="42">
        <f t="shared" si="44"/>
        <v>1</v>
      </c>
      <c r="L327" s="39" t="s">
        <v>1401</v>
      </c>
      <c r="M327" s="39">
        <v>3</v>
      </c>
      <c r="N327" s="24" t="s">
        <v>1397</v>
      </c>
      <c r="O327" s="24" t="s">
        <v>1399</v>
      </c>
      <c r="P327" s="24">
        <f t="shared" si="43"/>
        <v>0</v>
      </c>
      <c r="Q327" s="24" t="str">
        <f t="shared" si="45"/>
        <v>[[2,[10556,10396,10236,10076]]]</v>
      </c>
      <c r="R327" s="24" t="s">
        <v>1397</v>
      </c>
      <c r="S327" s="24" t="s">
        <v>1399</v>
      </c>
    </row>
    <row r="328" spans="1:19" ht="16.5" x14ac:dyDescent="0.15">
      <c r="A328">
        <f t="shared" si="39"/>
        <v>1010601</v>
      </c>
      <c r="B328" s="27" t="s">
        <v>450</v>
      </c>
      <c r="C328" s="35">
        <f t="shared" si="40"/>
        <v>10106</v>
      </c>
      <c r="D328" s="24">
        <v>10716</v>
      </c>
      <c r="E328" s="38" t="str">
        <f t="shared" si="41"/>
        <v>10716,10556,10396,10236,10076</v>
      </c>
      <c r="F328" s="39" t="s">
        <v>1401</v>
      </c>
      <c r="G328" s="39">
        <v>2</v>
      </c>
      <c r="H328" s="24" t="s">
        <v>1397</v>
      </c>
      <c r="I328" s="24" t="s">
        <v>1399</v>
      </c>
      <c r="J328" s="24" t="str">
        <f t="shared" si="42"/>
        <v>[2,[10716,10556,10396,10236,10076]]</v>
      </c>
      <c r="K328" s="42">
        <f t="shared" si="44"/>
        <v>1</v>
      </c>
      <c r="L328" s="39" t="s">
        <v>1401</v>
      </c>
      <c r="M328" s="39">
        <v>3</v>
      </c>
      <c r="N328" s="24" t="s">
        <v>1397</v>
      </c>
      <c r="O328" s="24" t="s">
        <v>1399</v>
      </c>
      <c r="P328" s="24">
        <f t="shared" si="43"/>
        <v>0</v>
      </c>
      <c r="Q328" s="24" t="str">
        <f t="shared" si="45"/>
        <v>[[2,[10716,10556,10396,10236,10076]]]</v>
      </c>
      <c r="R328" s="24" t="s">
        <v>1397</v>
      </c>
      <c r="S328" s="24" t="s">
        <v>1399</v>
      </c>
    </row>
    <row r="329" spans="1:19" ht="16.5" x14ac:dyDescent="0.15">
      <c r="A329">
        <f t="shared" si="39"/>
        <v>1010602</v>
      </c>
      <c r="B329" s="27" t="s">
        <v>450</v>
      </c>
      <c r="C329" s="35">
        <f t="shared" si="40"/>
        <v>10106</v>
      </c>
      <c r="D329" s="24">
        <v>10876</v>
      </c>
      <c r="E329" s="38" t="str">
        <f t="shared" si="41"/>
        <v>10876,10716,10556,10396,10236,10076</v>
      </c>
      <c r="F329" s="39" t="s">
        <v>1401</v>
      </c>
      <c r="G329" s="39">
        <v>2</v>
      </c>
      <c r="H329" s="24" t="s">
        <v>1397</v>
      </c>
      <c r="I329" s="24" t="s">
        <v>1399</v>
      </c>
      <c r="J329" s="24" t="str">
        <f t="shared" si="42"/>
        <v>[2,[10876,10716,10556,10396,10236,10076]]</v>
      </c>
      <c r="K329" s="42">
        <f t="shared" si="44"/>
        <v>2</v>
      </c>
      <c r="L329" s="39" t="s">
        <v>1401</v>
      </c>
      <c r="M329" s="39">
        <v>3</v>
      </c>
      <c r="N329" s="24" t="s">
        <v>1397</v>
      </c>
      <c r="O329" s="24" t="s">
        <v>1399</v>
      </c>
      <c r="P329" s="24">
        <f t="shared" si="43"/>
        <v>0</v>
      </c>
      <c r="Q329" s="24" t="str">
        <f t="shared" si="45"/>
        <v>[[2,[10876,10716,10556,10396,10236,10076]]]</v>
      </c>
      <c r="R329" s="24" t="s">
        <v>1397</v>
      </c>
      <c r="S329" s="24" t="s">
        <v>1399</v>
      </c>
    </row>
    <row r="330" spans="1:19" ht="16.5" x14ac:dyDescent="0.15">
      <c r="A330">
        <f t="shared" si="39"/>
        <v>1011601</v>
      </c>
      <c r="B330" s="31" t="s">
        <v>467</v>
      </c>
      <c r="C330" s="35">
        <f t="shared" si="40"/>
        <v>10116</v>
      </c>
      <c r="D330" s="24">
        <v>10139</v>
      </c>
      <c r="E330" s="38">
        <f t="shared" si="41"/>
        <v>10139</v>
      </c>
      <c r="F330" s="39" t="s">
        <v>1401</v>
      </c>
      <c r="G330" s="39">
        <v>2</v>
      </c>
      <c r="H330" s="24" t="s">
        <v>1397</v>
      </c>
      <c r="I330" s="24" t="s">
        <v>1399</v>
      </c>
      <c r="J330" s="24" t="str">
        <f t="shared" si="42"/>
        <v>[2,[10139]]</v>
      </c>
      <c r="K330" s="42">
        <f t="shared" si="44"/>
        <v>1</v>
      </c>
      <c r="L330" s="39" t="s">
        <v>1401</v>
      </c>
      <c r="M330" s="39">
        <v>3</v>
      </c>
      <c r="N330" s="24" t="s">
        <v>1397</v>
      </c>
      <c r="O330" s="24" t="s">
        <v>1399</v>
      </c>
      <c r="P330" s="24">
        <f t="shared" si="43"/>
        <v>0</v>
      </c>
      <c r="Q330" s="24" t="str">
        <f t="shared" si="45"/>
        <v>[[2,[10139]]]</v>
      </c>
      <c r="R330" s="24" t="s">
        <v>1397</v>
      </c>
      <c r="S330" s="24" t="s">
        <v>1399</v>
      </c>
    </row>
    <row r="331" spans="1:19" ht="16.5" x14ac:dyDescent="0.15">
      <c r="A331">
        <f t="shared" ref="A331:A394" si="46">C331*100+K331</f>
        <v>1011601</v>
      </c>
      <c r="B331" s="31" t="s">
        <v>467</v>
      </c>
      <c r="C331" s="35">
        <f t="shared" si="40"/>
        <v>10116</v>
      </c>
      <c r="D331" s="24">
        <v>10309</v>
      </c>
      <c r="E331" s="38" t="str">
        <f t="shared" si="41"/>
        <v>10309,10139</v>
      </c>
      <c r="F331" s="39" t="s">
        <v>1401</v>
      </c>
      <c r="G331" s="39">
        <v>2</v>
      </c>
      <c r="H331" s="24" t="s">
        <v>1397</v>
      </c>
      <c r="I331" s="24" t="s">
        <v>1399</v>
      </c>
      <c r="J331" s="24" t="str">
        <f t="shared" si="42"/>
        <v>[2,[10309,10139]]</v>
      </c>
      <c r="K331" s="42">
        <f t="shared" si="44"/>
        <v>1</v>
      </c>
      <c r="L331" s="39" t="s">
        <v>1401</v>
      </c>
      <c r="M331" s="39">
        <v>3</v>
      </c>
      <c r="N331" s="24" t="s">
        <v>1397</v>
      </c>
      <c r="O331" s="24" t="s">
        <v>1399</v>
      </c>
      <c r="P331" s="24">
        <f t="shared" si="43"/>
        <v>0</v>
      </c>
      <c r="Q331" s="24" t="str">
        <f t="shared" si="45"/>
        <v>[[2,[10309,10139]]]</v>
      </c>
      <c r="R331" s="24" t="s">
        <v>1397</v>
      </c>
      <c r="S331" s="24" t="s">
        <v>1399</v>
      </c>
    </row>
    <row r="332" spans="1:19" ht="16.5" x14ac:dyDescent="0.15">
      <c r="A332">
        <f t="shared" si="46"/>
        <v>1011601</v>
      </c>
      <c r="B332" s="31" t="s">
        <v>467</v>
      </c>
      <c r="C332" s="35">
        <f t="shared" si="40"/>
        <v>10116</v>
      </c>
      <c r="D332" s="24">
        <v>10479</v>
      </c>
      <c r="E332" s="38" t="str">
        <f t="shared" si="41"/>
        <v>10479,10309,10139</v>
      </c>
      <c r="F332" s="39" t="s">
        <v>1401</v>
      </c>
      <c r="G332" s="39">
        <v>2</v>
      </c>
      <c r="H332" s="24" t="s">
        <v>1397</v>
      </c>
      <c r="I332" s="24" t="s">
        <v>1399</v>
      </c>
      <c r="J332" s="24" t="str">
        <f t="shared" si="42"/>
        <v>[2,[10479,10309,10139]]</v>
      </c>
      <c r="K332" s="42">
        <f t="shared" si="44"/>
        <v>1</v>
      </c>
      <c r="L332" s="39" t="s">
        <v>1401</v>
      </c>
      <c r="M332" s="39">
        <v>3</v>
      </c>
      <c r="N332" s="24" t="s">
        <v>1397</v>
      </c>
      <c r="O332" s="24" t="s">
        <v>1399</v>
      </c>
      <c r="P332" s="24">
        <f t="shared" si="43"/>
        <v>0</v>
      </c>
      <c r="Q332" s="24" t="str">
        <f t="shared" si="45"/>
        <v>[[2,[10479,10309,10139]]]</v>
      </c>
      <c r="R332" s="24" t="s">
        <v>1397</v>
      </c>
      <c r="S332" s="24" t="s">
        <v>1399</v>
      </c>
    </row>
    <row r="333" spans="1:19" ht="16.5" x14ac:dyDescent="0.15">
      <c r="A333">
        <f t="shared" si="46"/>
        <v>1011601</v>
      </c>
      <c r="B333" s="31" t="s">
        <v>467</v>
      </c>
      <c r="C333" s="35">
        <f t="shared" si="40"/>
        <v>10116</v>
      </c>
      <c r="D333" s="24">
        <v>10649</v>
      </c>
      <c r="E333" s="38" t="str">
        <f t="shared" si="41"/>
        <v>10649,10479,10309,10139</v>
      </c>
      <c r="F333" s="39" t="s">
        <v>1401</v>
      </c>
      <c r="G333" s="39">
        <v>2</v>
      </c>
      <c r="H333" s="24" t="s">
        <v>1397</v>
      </c>
      <c r="I333" s="24" t="s">
        <v>1399</v>
      </c>
      <c r="J333" s="24" t="str">
        <f t="shared" si="42"/>
        <v>[2,[10649,10479,10309,10139]]</v>
      </c>
      <c r="K333" s="42">
        <f t="shared" si="44"/>
        <v>1</v>
      </c>
      <c r="L333" s="39" t="s">
        <v>1401</v>
      </c>
      <c r="M333" s="39">
        <v>3</v>
      </c>
      <c r="N333" s="24" t="s">
        <v>1397</v>
      </c>
      <c r="O333" s="24" t="s">
        <v>1399</v>
      </c>
      <c r="P333" s="24">
        <f t="shared" si="43"/>
        <v>0</v>
      </c>
      <c r="Q333" s="24" t="str">
        <f t="shared" si="45"/>
        <v>[[2,[10649,10479,10309,10139]]]</v>
      </c>
      <c r="R333" s="24" t="s">
        <v>1397</v>
      </c>
      <c r="S333" s="24" t="s">
        <v>1399</v>
      </c>
    </row>
    <row r="334" spans="1:19" ht="16.5" x14ac:dyDescent="0.15">
      <c r="A334">
        <f t="shared" si="46"/>
        <v>1011602</v>
      </c>
      <c r="B334" s="31" t="s">
        <v>467</v>
      </c>
      <c r="C334" s="35">
        <f t="shared" si="40"/>
        <v>10116</v>
      </c>
      <c r="D334" s="24">
        <v>10819</v>
      </c>
      <c r="E334" s="38" t="str">
        <f t="shared" si="41"/>
        <v>10819,10649,10479,10309,10139</v>
      </c>
      <c r="F334" s="39" t="s">
        <v>1401</v>
      </c>
      <c r="G334" s="39">
        <v>2</v>
      </c>
      <c r="H334" s="24" t="s">
        <v>1397</v>
      </c>
      <c r="I334" s="24" t="s">
        <v>1399</v>
      </c>
      <c r="J334" s="24" t="str">
        <f t="shared" si="42"/>
        <v>[2,[10819,10649,10479,10309,10139]]</v>
      </c>
      <c r="K334" s="42">
        <f t="shared" si="44"/>
        <v>2</v>
      </c>
      <c r="L334" s="39" t="s">
        <v>1401</v>
      </c>
      <c r="M334" s="39">
        <v>3</v>
      </c>
      <c r="N334" s="24" t="s">
        <v>1397</v>
      </c>
      <c r="O334" s="24" t="s">
        <v>1399</v>
      </c>
      <c r="P334" s="24">
        <f t="shared" si="43"/>
        <v>0</v>
      </c>
      <c r="Q334" s="24" t="str">
        <f t="shared" si="45"/>
        <v>[[2,[10819,10649,10479,10309,10139]]]</v>
      </c>
      <c r="R334" s="24" t="s">
        <v>1397</v>
      </c>
      <c r="S334" s="24" t="s">
        <v>1399</v>
      </c>
    </row>
    <row r="335" spans="1:19" ht="16.5" x14ac:dyDescent="0.15">
      <c r="A335">
        <f t="shared" si="46"/>
        <v>1010201</v>
      </c>
      <c r="B335" s="31" t="s">
        <v>444</v>
      </c>
      <c r="C335" s="35">
        <f t="shared" si="40"/>
        <v>10102</v>
      </c>
      <c r="D335" s="24">
        <v>10249</v>
      </c>
      <c r="E335" s="38">
        <f t="shared" si="41"/>
        <v>10249</v>
      </c>
      <c r="F335" s="39" t="s">
        <v>1401</v>
      </c>
      <c r="G335" s="39">
        <v>2</v>
      </c>
      <c r="H335" s="24" t="s">
        <v>1397</v>
      </c>
      <c r="I335" s="24" t="s">
        <v>1399</v>
      </c>
      <c r="J335" s="24" t="str">
        <f t="shared" si="42"/>
        <v>[2,[10249]]</v>
      </c>
      <c r="K335" s="42">
        <f t="shared" si="44"/>
        <v>1</v>
      </c>
      <c r="L335" s="39" t="s">
        <v>1401</v>
      </c>
      <c r="M335" s="39">
        <v>3</v>
      </c>
      <c r="N335" s="24" t="s">
        <v>1397</v>
      </c>
      <c r="O335" s="24" t="s">
        <v>1399</v>
      </c>
      <c r="P335" s="24">
        <f t="shared" si="43"/>
        <v>0</v>
      </c>
      <c r="Q335" s="24" t="str">
        <f t="shared" si="45"/>
        <v>[[2,[10249]]]</v>
      </c>
      <c r="R335" s="24" t="s">
        <v>1397</v>
      </c>
      <c r="S335" s="24" t="s">
        <v>1399</v>
      </c>
    </row>
    <row r="336" spans="1:19" ht="16.5" x14ac:dyDescent="0.15">
      <c r="A336">
        <f t="shared" si="46"/>
        <v>1010201</v>
      </c>
      <c r="B336" s="31" t="s">
        <v>444</v>
      </c>
      <c r="C336" s="35">
        <f t="shared" si="40"/>
        <v>10102</v>
      </c>
      <c r="D336" s="24">
        <v>10419</v>
      </c>
      <c r="E336" s="38" t="str">
        <f t="shared" si="41"/>
        <v>10419,10249</v>
      </c>
      <c r="F336" s="39" t="s">
        <v>1401</v>
      </c>
      <c r="G336" s="39">
        <v>2</v>
      </c>
      <c r="H336" s="24" t="s">
        <v>1397</v>
      </c>
      <c r="I336" s="24" t="s">
        <v>1399</v>
      </c>
      <c r="J336" s="24" t="str">
        <f t="shared" si="42"/>
        <v>[2,[10419,10249]]</v>
      </c>
      <c r="K336" s="42">
        <f t="shared" si="44"/>
        <v>1</v>
      </c>
      <c r="L336" s="39" t="s">
        <v>1401</v>
      </c>
      <c r="M336" s="39">
        <v>3</v>
      </c>
      <c r="N336" s="24" t="s">
        <v>1397</v>
      </c>
      <c r="O336" s="24" t="s">
        <v>1399</v>
      </c>
      <c r="P336" s="24">
        <f t="shared" si="43"/>
        <v>0</v>
      </c>
      <c r="Q336" s="24" t="str">
        <f t="shared" si="45"/>
        <v>[[2,[10419,10249]]]</v>
      </c>
      <c r="R336" s="24" t="s">
        <v>1397</v>
      </c>
      <c r="S336" s="24" t="s">
        <v>1399</v>
      </c>
    </row>
    <row r="337" spans="1:19" ht="16.5" x14ac:dyDescent="0.15">
      <c r="A337">
        <f t="shared" si="46"/>
        <v>1010201</v>
      </c>
      <c r="B337" s="31" t="s">
        <v>444</v>
      </c>
      <c r="C337" s="35">
        <f t="shared" si="40"/>
        <v>10102</v>
      </c>
      <c r="D337" s="24">
        <v>10589</v>
      </c>
      <c r="E337" s="38" t="str">
        <f t="shared" si="41"/>
        <v>10589,10419,10249</v>
      </c>
      <c r="F337" s="39" t="s">
        <v>1401</v>
      </c>
      <c r="G337" s="39">
        <v>2</v>
      </c>
      <c r="H337" s="24" t="s">
        <v>1397</v>
      </c>
      <c r="I337" s="24" t="s">
        <v>1399</v>
      </c>
      <c r="J337" s="24" t="str">
        <f t="shared" si="42"/>
        <v>[2,[10589,10419,10249]]</v>
      </c>
      <c r="K337" s="42">
        <f t="shared" si="44"/>
        <v>1</v>
      </c>
      <c r="L337" s="39" t="s">
        <v>1401</v>
      </c>
      <c r="M337" s="39">
        <v>3</v>
      </c>
      <c r="N337" s="24" t="s">
        <v>1397</v>
      </c>
      <c r="O337" s="24" t="s">
        <v>1399</v>
      </c>
      <c r="P337" s="24">
        <f t="shared" si="43"/>
        <v>0</v>
      </c>
      <c r="Q337" s="24" t="str">
        <f t="shared" si="45"/>
        <v>[[2,[10589,10419,10249]]]</v>
      </c>
      <c r="R337" s="24" t="s">
        <v>1397</v>
      </c>
      <c r="S337" s="24" t="s">
        <v>1399</v>
      </c>
    </row>
    <row r="338" spans="1:19" ht="16.5" x14ac:dyDescent="0.15">
      <c r="A338">
        <f t="shared" si="46"/>
        <v>1010201</v>
      </c>
      <c r="B338" s="31" t="s">
        <v>444</v>
      </c>
      <c r="C338" s="35">
        <f t="shared" si="40"/>
        <v>10102</v>
      </c>
      <c r="D338" s="24">
        <v>10759</v>
      </c>
      <c r="E338" s="38" t="str">
        <f t="shared" si="41"/>
        <v>10759,10589,10419,10249</v>
      </c>
      <c r="F338" s="39" t="s">
        <v>1401</v>
      </c>
      <c r="G338" s="39">
        <v>2</v>
      </c>
      <c r="H338" s="24" t="s">
        <v>1397</v>
      </c>
      <c r="I338" s="24" t="s">
        <v>1399</v>
      </c>
      <c r="J338" s="24" t="str">
        <f t="shared" si="42"/>
        <v>[2,[10759,10589,10419,10249]]</v>
      </c>
      <c r="K338" s="42">
        <f t="shared" si="44"/>
        <v>1</v>
      </c>
      <c r="L338" s="39" t="s">
        <v>1401</v>
      </c>
      <c r="M338" s="39">
        <v>3</v>
      </c>
      <c r="N338" s="24" t="s">
        <v>1397</v>
      </c>
      <c r="O338" s="24" t="s">
        <v>1399</v>
      </c>
      <c r="P338" s="24">
        <f t="shared" si="43"/>
        <v>0</v>
      </c>
      <c r="Q338" s="24" t="str">
        <f t="shared" si="45"/>
        <v>[[2,[10759,10589,10419,10249]]]</v>
      </c>
      <c r="R338" s="24" t="s">
        <v>1397</v>
      </c>
      <c r="S338" s="24" t="s">
        <v>1399</v>
      </c>
    </row>
    <row r="339" spans="1:19" ht="16.5" x14ac:dyDescent="0.15">
      <c r="A339">
        <f t="shared" si="46"/>
        <v>1010202</v>
      </c>
      <c r="B339" s="31" t="s">
        <v>1334</v>
      </c>
      <c r="C339" s="35">
        <f t="shared" si="40"/>
        <v>10102</v>
      </c>
      <c r="D339">
        <v>10080</v>
      </c>
      <c r="E339" s="38" t="str">
        <f t="shared" si="41"/>
        <v>10080,10759,10589,10419,10249</v>
      </c>
      <c r="F339" s="39" t="s">
        <v>1401</v>
      </c>
      <c r="G339" s="39">
        <v>2</v>
      </c>
      <c r="H339" s="24" t="s">
        <v>1397</v>
      </c>
      <c r="I339" s="24" t="s">
        <v>1399</v>
      </c>
      <c r="J339" s="24" t="str">
        <f t="shared" si="42"/>
        <v>[2,[10080,10759,10589,10419,10249]]</v>
      </c>
      <c r="K339" s="42">
        <f t="shared" si="44"/>
        <v>2</v>
      </c>
      <c r="L339" s="39" t="s">
        <v>1401</v>
      </c>
      <c r="M339" s="39">
        <v>3</v>
      </c>
      <c r="N339" s="24" t="s">
        <v>1397</v>
      </c>
      <c r="O339" s="24" t="s">
        <v>1399</v>
      </c>
      <c r="P339" s="24">
        <f t="shared" si="43"/>
        <v>0</v>
      </c>
      <c r="Q339" s="24" t="str">
        <f t="shared" si="45"/>
        <v>[[2,[10080,10759,10589,10419,10249]]]</v>
      </c>
      <c r="R339" s="24" t="s">
        <v>1397</v>
      </c>
      <c r="S339" s="24" t="s">
        <v>1399</v>
      </c>
    </row>
    <row r="340" spans="1:19" ht="16.5" x14ac:dyDescent="0.15">
      <c r="A340">
        <f t="shared" si="46"/>
        <v>1002801</v>
      </c>
      <c r="B340" s="27" t="s">
        <v>109</v>
      </c>
      <c r="C340" s="35">
        <f t="shared" si="40"/>
        <v>10028</v>
      </c>
      <c r="D340" s="24">
        <v>10136</v>
      </c>
      <c r="E340" s="38">
        <f t="shared" si="41"/>
        <v>10136</v>
      </c>
      <c r="F340" s="39" t="s">
        <v>1401</v>
      </c>
      <c r="G340" s="39">
        <v>2</v>
      </c>
      <c r="H340" s="24" t="s">
        <v>1397</v>
      </c>
      <c r="I340" s="24" t="s">
        <v>1399</v>
      </c>
      <c r="J340" s="24" t="str">
        <f t="shared" si="42"/>
        <v>[2,[10136]]</v>
      </c>
      <c r="K340" s="42">
        <f t="shared" si="44"/>
        <v>1</v>
      </c>
      <c r="L340" s="39" t="s">
        <v>1401</v>
      </c>
      <c r="M340" s="39">
        <v>3</v>
      </c>
      <c r="N340" s="24" t="s">
        <v>1397</v>
      </c>
      <c r="O340" s="24" t="s">
        <v>1399</v>
      </c>
      <c r="P340" s="24">
        <f t="shared" si="43"/>
        <v>0</v>
      </c>
      <c r="Q340" s="24" t="str">
        <f t="shared" si="45"/>
        <v>[[2,[10136]]]</v>
      </c>
      <c r="R340" s="24" t="s">
        <v>1397</v>
      </c>
      <c r="S340" s="24" t="s">
        <v>1399</v>
      </c>
    </row>
    <row r="341" spans="1:19" ht="16.5" x14ac:dyDescent="0.15">
      <c r="A341">
        <f t="shared" si="46"/>
        <v>1002801</v>
      </c>
      <c r="B341" s="27" t="s">
        <v>109</v>
      </c>
      <c r="C341" s="35">
        <f t="shared" si="40"/>
        <v>10028</v>
      </c>
      <c r="D341" s="24">
        <v>10296</v>
      </c>
      <c r="E341" s="38" t="str">
        <f t="shared" si="41"/>
        <v>10296,10136</v>
      </c>
      <c r="F341" s="39" t="s">
        <v>1401</v>
      </c>
      <c r="G341" s="39">
        <v>2</v>
      </c>
      <c r="H341" s="24" t="s">
        <v>1397</v>
      </c>
      <c r="I341" s="24" t="s">
        <v>1399</v>
      </c>
      <c r="J341" s="24" t="str">
        <f t="shared" si="42"/>
        <v>[2,[10296,10136]]</v>
      </c>
      <c r="K341" s="42">
        <f t="shared" si="44"/>
        <v>1</v>
      </c>
      <c r="L341" s="39" t="s">
        <v>1401</v>
      </c>
      <c r="M341" s="39">
        <v>3</v>
      </c>
      <c r="N341" s="24" t="s">
        <v>1397</v>
      </c>
      <c r="O341" s="24" t="s">
        <v>1399</v>
      </c>
      <c r="P341" s="24">
        <f t="shared" si="43"/>
        <v>0</v>
      </c>
      <c r="Q341" s="24" t="str">
        <f t="shared" si="45"/>
        <v>[[2,[10296,10136]]]</v>
      </c>
      <c r="R341" s="24" t="s">
        <v>1397</v>
      </c>
      <c r="S341" s="24" t="s">
        <v>1399</v>
      </c>
    </row>
    <row r="342" spans="1:19" ht="16.5" x14ac:dyDescent="0.15">
      <c r="A342">
        <f t="shared" si="46"/>
        <v>1002801</v>
      </c>
      <c r="B342" s="27" t="s">
        <v>109</v>
      </c>
      <c r="C342" s="35">
        <f t="shared" si="40"/>
        <v>10028</v>
      </c>
      <c r="D342" s="24">
        <v>10456</v>
      </c>
      <c r="E342" s="38" t="str">
        <f t="shared" si="41"/>
        <v>10456,10296,10136</v>
      </c>
      <c r="F342" s="39" t="s">
        <v>1401</v>
      </c>
      <c r="G342" s="39">
        <v>2</v>
      </c>
      <c r="H342" s="24" t="s">
        <v>1397</v>
      </c>
      <c r="I342" s="24" t="s">
        <v>1399</v>
      </c>
      <c r="J342" s="24" t="str">
        <f t="shared" si="42"/>
        <v>[2,[10456,10296,10136]]</v>
      </c>
      <c r="K342" s="42">
        <f t="shared" si="44"/>
        <v>1</v>
      </c>
      <c r="L342" s="39" t="s">
        <v>1401</v>
      </c>
      <c r="M342" s="39">
        <v>3</v>
      </c>
      <c r="N342" s="24" t="s">
        <v>1397</v>
      </c>
      <c r="O342" s="24" t="s">
        <v>1399</v>
      </c>
      <c r="P342" s="24">
        <f t="shared" si="43"/>
        <v>0</v>
      </c>
      <c r="Q342" s="24" t="str">
        <f t="shared" si="45"/>
        <v>[[2,[10456,10296,10136]]]</v>
      </c>
      <c r="R342" s="24" t="s">
        <v>1397</v>
      </c>
      <c r="S342" s="24" t="s">
        <v>1399</v>
      </c>
    </row>
    <row r="343" spans="1:19" ht="16.5" x14ac:dyDescent="0.15">
      <c r="A343">
        <f t="shared" si="46"/>
        <v>1002801</v>
      </c>
      <c r="B343" s="27" t="s">
        <v>109</v>
      </c>
      <c r="C343" s="35">
        <f t="shared" si="40"/>
        <v>10028</v>
      </c>
      <c r="D343" s="24">
        <v>10616</v>
      </c>
      <c r="E343" s="38" t="str">
        <f t="shared" si="41"/>
        <v>10616,10456,10296,10136</v>
      </c>
      <c r="F343" s="39" t="s">
        <v>1401</v>
      </c>
      <c r="G343" s="39">
        <v>2</v>
      </c>
      <c r="H343" s="24" t="s">
        <v>1397</v>
      </c>
      <c r="I343" s="24" t="s">
        <v>1399</v>
      </c>
      <c r="J343" s="24" t="str">
        <f t="shared" si="42"/>
        <v>[2,[10616,10456,10296,10136]]</v>
      </c>
      <c r="K343" s="42">
        <f t="shared" si="44"/>
        <v>1</v>
      </c>
      <c r="L343" s="39" t="s">
        <v>1401</v>
      </c>
      <c r="M343" s="39">
        <v>3</v>
      </c>
      <c r="N343" s="24" t="s">
        <v>1397</v>
      </c>
      <c r="O343" s="24" t="s">
        <v>1399</v>
      </c>
      <c r="P343" s="24">
        <f t="shared" si="43"/>
        <v>0</v>
      </c>
      <c r="Q343" s="24" t="str">
        <f t="shared" si="45"/>
        <v>[[2,[10616,10456,10296,10136]]]</v>
      </c>
      <c r="R343" s="24" t="s">
        <v>1397</v>
      </c>
      <c r="S343" s="24" t="s">
        <v>1399</v>
      </c>
    </row>
    <row r="344" spans="1:19" ht="16.5" x14ac:dyDescent="0.15">
      <c r="A344">
        <f t="shared" si="46"/>
        <v>1002801</v>
      </c>
      <c r="B344" s="27" t="s">
        <v>109</v>
      </c>
      <c r="C344" s="35">
        <f t="shared" si="40"/>
        <v>10028</v>
      </c>
      <c r="D344" s="24">
        <v>10776</v>
      </c>
      <c r="E344" s="38" t="str">
        <f t="shared" si="41"/>
        <v>10776,10616,10456,10296,10136</v>
      </c>
      <c r="F344" s="39" t="s">
        <v>1401</v>
      </c>
      <c r="G344" s="39">
        <v>2</v>
      </c>
      <c r="H344" s="24" t="s">
        <v>1397</v>
      </c>
      <c r="I344" s="24" t="s">
        <v>1399</v>
      </c>
      <c r="J344" s="24" t="str">
        <f t="shared" si="42"/>
        <v>[2,[10776,10616,10456,10296,10136]]</v>
      </c>
      <c r="K344" s="42">
        <f t="shared" si="44"/>
        <v>1</v>
      </c>
      <c r="L344" s="39" t="s">
        <v>1401</v>
      </c>
      <c r="M344" s="39">
        <v>3</v>
      </c>
      <c r="N344" s="24" t="s">
        <v>1397</v>
      </c>
      <c r="O344" s="24" t="s">
        <v>1399</v>
      </c>
      <c r="P344" s="24">
        <f t="shared" si="43"/>
        <v>0</v>
      </c>
      <c r="Q344" s="24" t="str">
        <f t="shared" si="45"/>
        <v>[[2,[10776,10616,10456,10296,10136]]]</v>
      </c>
      <c r="R344" s="24" t="s">
        <v>1397</v>
      </c>
      <c r="S344" s="24" t="s">
        <v>1399</v>
      </c>
    </row>
    <row r="345" spans="1:19" ht="16.5" x14ac:dyDescent="0.15">
      <c r="A345">
        <f t="shared" si="46"/>
        <v>1002802</v>
      </c>
      <c r="B345" s="27" t="s">
        <v>109</v>
      </c>
      <c r="C345" s="35">
        <f t="shared" si="40"/>
        <v>10028</v>
      </c>
      <c r="D345" s="24">
        <v>10079</v>
      </c>
      <c r="E345" s="38" t="str">
        <f t="shared" si="41"/>
        <v>10079,10776,10616,10456,10296,10136</v>
      </c>
      <c r="F345" s="39" t="s">
        <v>1401</v>
      </c>
      <c r="G345" s="39">
        <v>2</v>
      </c>
      <c r="H345" s="24" t="s">
        <v>1397</v>
      </c>
      <c r="I345" s="24" t="s">
        <v>1399</v>
      </c>
      <c r="J345" s="24" t="str">
        <f t="shared" si="42"/>
        <v>[2,[10079,10776,10616,10456,10296,10136]]</v>
      </c>
      <c r="K345" s="42">
        <f t="shared" si="44"/>
        <v>2</v>
      </c>
      <c r="L345" s="39" t="s">
        <v>1401</v>
      </c>
      <c r="M345" s="39">
        <v>3</v>
      </c>
      <c r="N345" s="24" t="s">
        <v>1397</v>
      </c>
      <c r="O345" s="24" t="s">
        <v>1399</v>
      </c>
      <c r="P345" s="24">
        <f t="shared" si="43"/>
        <v>0</v>
      </c>
      <c r="Q345" s="24" t="str">
        <f t="shared" si="45"/>
        <v>[[2,[10079,10776,10616,10456,10296,10136]]]</v>
      </c>
      <c r="R345" s="24" t="s">
        <v>1397</v>
      </c>
      <c r="S345" s="24" t="s">
        <v>1399</v>
      </c>
    </row>
    <row r="346" spans="1:19" ht="16.5" x14ac:dyDescent="0.15">
      <c r="A346">
        <f t="shared" si="46"/>
        <v>1002401</v>
      </c>
      <c r="B346" s="43" t="s">
        <v>99</v>
      </c>
      <c r="C346" s="35">
        <f t="shared" si="40"/>
        <v>10024</v>
      </c>
      <c r="D346">
        <v>10180</v>
      </c>
      <c r="E346" s="38">
        <f t="shared" si="41"/>
        <v>10180</v>
      </c>
      <c r="F346" s="39" t="s">
        <v>1401</v>
      </c>
      <c r="G346" s="39">
        <v>2</v>
      </c>
      <c r="H346" s="24" t="s">
        <v>1397</v>
      </c>
      <c r="I346" s="24" t="s">
        <v>1399</v>
      </c>
      <c r="J346" s="24" t="str">
        <f t="shared" si="42"/>
        <v>[2,[10180]]</v>
      </c>
      <c r="K346" s="42">
        <f t="shared" si="44"/>
        <v>1</v>
      </c>
      <c r="L346" s="39" t="s">
        <v>1401</v>
      </c>
      <c r="M346" s="39">
        <v>3</v>
      </c>
      <c r="N346" s="24" t="s">
        <v>1397</v>
      </c>
      <c r="O346" s="24" t="s">
        <v>1399</v>
      </c>
      <c r="P346" s="24">
        <f t="shared" si="43"/>
        <v>10024</v>
      </c>
      <c r="Q346" s="24" t="str">
        <f t="shared" si="45"/>
        <v>[[3,[10024]],[2,[10180]]]</v>
      </c>
      <c r="R346" s="24" t="s">
        <v>1397</v>
      </c>
      <c r="S346" s="24" t="s">
        <v>1399</v>
      </c>
    </row>
    <row r="347" spans="1:19" ht="16.5" x14ac:dyDescent="0.15">
      <c r="A347">
        <f t="shared" si="46"/>
        <v>1002401</v>
      </c>
      <c r="B347" s="43" t="s">
        <v>99</v>
      </c>
      <c r="C347" s="35">
        <f t="shared" si="40"/>
        <v>10024</v>
      </c>
      <c r="D347">
        <v>10300</v>
      </c>
      <c r="E347" s="38" t="str">
        <f t="shared" si="41"/>
        <v>10300,10180</v>
      </c>
      <c r="F347" s="39" t="s">
        <v>1401</v>
      </c>
      <c r="G347" s="39">
        <v>2</v>
      </c>
      <c r="H347" s="24" t="s">
        <v>1397</v>
      </c>
      <c r="I347" s="24" t="s">
        <v>1399</v>
      </c>
      <c r="J347" s="24" t="str">
        <f t="shared" si="42"/>
        <v>[2,[10300,10180]]</v>
      </c>
      <c r="K347" s="42">
        <f t="shared" si="44"/>
        <v>1</v>
      </c>
      <c r="L347" s="39" t="s">
        <v>1401</v>
      </c>
      <c r="M347" s="39">
        <v>3</v>
      </c>
      <c r="N347" s="24" t="s">
        <v>1397</v>
      </c>
      <c r="O347" s="24" t="s">
        <v>1399</v>
      </c>
      <c r="P347" s="24">
        <f t="shared" si="43"/>
        <v>10024</v>
      </c>
      <c r="Q347" s="24" t="str">
        <f t="shared" si="45"/>
        <v>[[3,[10024]],[2,[10300,10180]]]</v>
      </c>
      <c r="R347" s="24" t="s">
        <v>1397</v>
      </c>
      <c r="S347" s="24" t="s">
        <v>1399</v>
      </c>
    </row>
    <row r="348" spans="1:19" ht="16.5" x14ac:dyDescent="0.15">
      <c r="A348">
        <f t="shared" si="46"/>
        <v>1002401</v>
      </c>
      <c r="B348" s="43" t="s">
        <v>99</v>
      </c>
      <c r="C348" s="35">
        <f t="shared" si="40"/>
        <v>10024</v>
      </c>
      <c r="D348">
        <v>10420</v>
      </c>
      <c r="E348" s="38" t="str">
        <f t="shared" si="41"/>
        <v>10420,10300,10180</v>
      </c>
      <c r="F348" s="39" t="s">
        <v>1401</v>
      </c>
      <c r="G348" s="39">
        <v>2</v>
      </c>
      <c r="H348" s="24" t="s">
        <v>1397</v>
      </c>
      <c r="I348" s="24" t="s">
        <v>1399</v>
      </c>
      <c r="J348" s="24" t="str">
        <f t="shared" si="42"/>
        <v>[2,[10420,10300,10180]]</v>
      </c>
      <c r="K348" s="42">
        <f t="shared" si="44"/>
        <v>1</v>
      </c>
      <c r="L348" s="39" t="s">
        <v>1401</v>
      </c>
      <c r="M348" s="39">
        <v>3</v>
      </c>
      <c r="N348" s="24" t="s">
        <v>1397</v>
      </c>
      <c r="O348" s="24" t="s">
        <v>1399</v>
      </c>
      <c r="P348" s="24">
        <f t="shared" si="43"/>
        <v>10024</v>
      </c>
      <c r="Q348" s="24" t="str">
        <f t="shared" si="45"/>
        <v>[[3,[10024]],[2,[10420,10300,10180]]]</v>
      </c>
      <c r="R348" s="24" t="s">
        <v>1397</v>
      </c>
      <c r="S348" s="24" t="s">
        <v>1399</v>
      </c>
    </row>
    <row r="349" spans="1:19" ht="16.5" x14ac:dyDescent="0.15">
      <c r="A349">
        <f t="shared" si="46"/>
        <v>1002401</v>
      </c>
      <c r="B349" s="43" t="s">
        <v>99</v>
      </c>
      <c r="C349" s="35">
        <f t="shared" si="40"/>
        <v>10024</v>
      </c>
      <c r="D349">
        <v>10540</v>
      </c>
      <c r="E349" s="38" t="str">
        <f t="shared" si="41"/>
        <v>10540,10420,10300,10180</v>
      </c>
      <c r="F349" s="39" t="s">
        <v>1401</v>
      </c>
      <c r="G349" s="39">
        <v>2</v>
      </c>
      <c r="H349" s="24" t="s">
        <v>1397</v>
      </c>
      <c r="I349" s="24" t="s">
        <v>1399</v>
      </c>
      <c r="J349" s="24" t="str">
        <f t="shared" si="42"/>
        <v>[2,[10540,10420,10300,10180]]</v>
      </c>
      <c r="K349" s="42">
        <f t="shared" si="44"/>
        <v>1</v>
      </c>
      <c r="L349" s="39" t="s">
        <v>1401</v>
      </c>
      <c r="M349" s="39">
        <v>3</v>
      </c>
      <c r="N349" s="24" t="s">
        <v>1397</v>
      </c>
      <c r="O349" s="24" t="s">
        <v>1399</v>
      </c>
      <c r="P349" s="24">
        <f t="shared" si="43"/>
        <v>10024</v>
      </c>
      <c r="Q349" s="24" t="str">
        <f t="shared" si="45"/>
        <v>[[3,[10024]],[2,[10540,10420,10300,10180]]]</v>
      </c>
      <c r="R349" s="24" t="s">
        <v>1397</v>
      </c>
      <c r="S349" s="24" t="s">
        <v>1399</v>
      </c>
    </row>
    <row r="350" spans="1:19" ht="16.5" x14ac:dyDescent="0.15">
      <c r="A350">
        <f t="shared" si="46"/>
        <v>1002401</v>
      </c>
      <c r="B350" s="43" t="s">
        <v>99</v>
      </c>
      <c r="C350" s="35">
        <f t="shared" si="40"/>
        <v>10024</v>
      </c>
      <c r="D350">
        <v>10660</v>
      </c>
      <c r="E350" s="38" t="str">
        <f t="shared" si="41"/>
        <v>10660,10540,10420,10300,10180</v>
      </c>
      <c r="F350" s="39" t="s">
        <v>1401</v>
      </c>
      <c r="G350" s="39">
        <v>2</v>
      </c>
      <c r="H350" s="24" t="s">
        <v>1397</v>
      </c>
      <c r="I350" s="24" t="s">
        <v>1399</v>
      </c>
      <c r="J350" s="24" t="str">
        <f t="shared" si="42"/>
        <v>[2,[10660,10540,10420,10300,10180]]</v>
      </c>
      <c r="K350" s="42">
        <f t="shared" si="44"/>
        <v>1</v>
      </c>
      <c r="L350" s="39" t="s">
        <v>1401</v>
      </c>
      <c r="M350" s="39">
        <v>3</v>
      </c>
      <c r="N350" s="24" t="s">
        <v>1397</v>
      </c>
      <c r="O350" s="24" t="s">
        <v>1399</v>
      </c>
      <c r="P350" s="24">
        <f t="shared" si="43"/>
        <v>10024</v>
      </c>
      <c r="Q350" s="24" t="str">
        <f t="shared" si="45"/>
        <v>[[3,[10024]],[2,[10660,10540,10420,10300,10180]]]</v>
      </c>
      <c r="R350" s="24" t="s">
        <v>1397</v>
      </c>
      <c r="S350" s="24" t="s">
        <v>1399</v>
      </c>
    </row>
    <row r="351" spans="1:19" ht="16.5" x14ac:dyDescent="0.15">
      <c r="A351">
        <f t="shared" si="46"/>
        <v>1002402</v>
      </c>
      <c r="B351" s="43" t="s">
        <v>99</v>
      </c>
      <c r="C351" s="35">
        <f t="shared" si="40"/>
        <v>10024</v>
      </c>
      <c r="D351">
        <v>10780</v>
      </c>
      <c r="E351" s="38" t="str">
        <f t="shared" si="41"/>
        <v>10780,10660,10540,10420,10300,10180</v>
      </c>
      <c r="F351" s="39" t="s">
        <v>1401</v>
      </c>
      <c r="G351" s="39">
        <v>2</v>
      </c>
      <c r="H351" s="24" t="s">
        <v>1397</v>
      </c>
      <c r="I351" s="24" t="s">
        <v>1399</v>
      </c>
      <c r="J351" s="24" t="str">
        <f t="shared" si="42"/>
        <v>[2,[10780,10660,10540,10420,10300,10180]]</v>
      </c>
      <c r="K351" s="42">
        <f t="shared" si="44"/>
        <v>2</v>
      </c>
      <c r="L351" s="39" t="s">
        <v>1401</v>
      </c>
      <c r="M351" s="39">
        <v>3</v>
      </c>
      <c r="N351" s="24" t="s">
        <v>1397</v>
      </c>
      <c r="O351" s="24" t="s">
        <v>1399</v>
      </c>
      <c r="P351" s="24">
        <f t="shared" si="43"/>
        <v>10024</v>
      </c>
      <c r="Q351" s="24" t="str">
        <f t="shared" si="45"/>
        <v>[[3,[10024]],[2,[10780,10660,10540,10420,10300,10180]]]</v>
      </c>
      <c r="R351" s="24" t="s">
        <v>1397</v>
      </c>
      <c r="S351" s="24" t="s">
        <v>1399</v>
      </c>
    </row>
    <row r="352" spans="1:19" ht="16.5" x14ac:dyDescent="0.15">
      <c r="A352">
        <f t="shared" si="46"/>
        <v>1012601</v>
      </c>
      <c r="B352" s="27" t="s">
        <v>1335</v>
      </c>
      <c r="C352" s="35">
        <f t="shared" si="40"/>
        <v>10126</v>
      </c>
      <c r="D352" s="24">
        <v>10186</v>
      </c>
      <c r="E352" s="38">
        <f t="shared" si="41"/>
        <v>10186</v>
      </c>
      <c r="F352" s="39" t="s">
        <v>1401</v>
      </c>
      <c r="G352" s="39">
        <v>2</v>
      </c>
      <c r="H352" s="24" t="s">
        <v>1397</v>
      </c>
      <c r="I352" s="24" t="s">
        <v>1399</v>
      </c>
      <c r="J352" s="24" t="str">
        <f t="shared" si="42"/>
        <v>[2,[10186]]</v>
      </c>
      <c r="K352" s="42">
        <f t="shared" si="44"/>
        <v>1</v>
      </c>
      <c r="L352" s="39" t="s">
        <v>1401</v>
      </c>
      <c r="M352" s="39">
        <v>3</v>
      </c>
      <c r="N352" s="24" t="s">
        <v>1397</v>
      </c>
      <c r="O352" s="24" t="s">
        <v>1399</v>
      </c>
      <c r="P352" s="24">
        <f t="shared" si="43"/>
        <v>0</v>
      </c>
      <c r="Q352" s="24" t="str">
        <f t="shared" si="45"/>
        <v>[[2,[10186]]]</v>
      </c>
      <c r="R352" s="24" t="s">
        <v>1397</v>
      </c>
      <c r="S352" s="24" t="s">
        <v>1399</v>
      </c>
    </row>
    <row r="353" spans="1:19" ht="16.5" x14ac:dyDescent="0.15">
      <c r="A353">
        <f t="shared" si="46"/>
        <v>1012601</v>
      </c>
      <c r="B353" s="27" t="s">
        <v>1036</v>
      </c>
      <c r="C353" s="35">
        <f t="shared" si="40"/>
        <v>10126</v>
      </c>
      <c r="D353" s="24">
        <v>10346</v>
      </c>
      <c r="E353" s="38" t="str">
        <f t="shared" si="41"/>
        <v>10346,10186</v>
      </c>
      <c r="F353" s="39" t="s">
        <v>1401</v>
      </c>
      <c r="G353" s="39">
        <v>2</v>
      </c>
      <c r="H353" s="24" t="s">
        <v>1397</v>
      </c>
      <c r="I353" s="24" t="s">
        <v>1399</v>
      </c>
      <c r="J353" s="24" t="str">
        <f t="shared" si="42"/>
        <v>[2,[10346,10186]]</v>
      </c>
      <c r="K353" s="42">
        <f t="shared" si="44"/>
        <v>1</v>
      </c>
      <c r="L353" s="39" t="s">
        <v>1401</v>
      </c>
      <c r="M353" s="39">
        <v>3</v>
      </c>
      <c r="N353" s="24" t="s">
        <v>1397</v>
      </c>
      <c r="O353" s="24" t="s">
        <v>1399</v>
      </c>
      <c r="P353" s="24">
        <f t="shared" si="43"/>
        <v>0</v>
      </c>
      <c r="Q353" s="24" t="str">
        <f t="shared" si="45"/>
        <v>[[2,[10346,10186]]]</v>
      </c>
      <c r="R353" s="24" t="s">
        <v>1397</v>
      </c>
      <c r="S353" s="24" t="s">
        <v>1399</v>
      </c>
    </row>
    <row r="354" spans="1:19" ht="16.5" x14ac:dyDescent="0.15">
      <c r="A354">
        <f t="shared" si="46"/>
        <v>1012601</v>
      </c>
      <c r="B354" s="27" t="s">
        <v>1036</v>
      </c>
      <c r="C354" s="35">
        <f t="shared" si="40"/>
        <v>10126</v>
      </c>
      <c r="D354" s="24">
        <v>10506</v>
      </c>
      <c r="E354" s="38" t="str">
        <f t="shared" si="41"/>
        <v>10506,10346,10186</v>
      </c>
      <c r="F354" s="39" t="s">
        <v>1401</v>
      </c>
      <c r="G354" s="39">
        <v>2</v>
      </c>
      <c r="H354" s="24" t="s">
        <v>1397</v>
      </c>
      <c r="I354" s="24" t="s">
        <v>1399</v>
      </c>
      <c r="J354" s="24" t="str">
        <f t="shared" si="42"/>
        <v>[2,[10506,10346,10186]]</v>
      </c>
      <c r="K354" s="42">
        <f t="shared" si="44"/>
        <v>1</v>
      </c>
      <c r="L354" s="39" t="s">
        <v>1401</v>
      </c>
      <c r="M354" s="39">
        <v>3</v>
      </c>
      <c r="N354" s="24" t="s">
        <v>1397</v>
      </c>
      <c r="O354" s="24" t="s">
        <v>1399</v>
      </c>
      <c r="P354" s="24">
        <f t="shared" si="43"/>
        <v>0</v>
      </c>
      <c r="Q354" s="24" t="str">
        <f t="shared" si="45"/>
        <v>[[2,[10506,10346,10186]]]</v>
      </c>
      <c r="R354" s="24" t="s">
        <v>1397</v>
      </c>
      <c r="S354" s="24" t="s">
        <v>1399</v>
      </c>
    </row>
    <row r="355" spans="1:19" ht="16.5" x14ac:dyDescent="0.15">
      <c r="A355">
        <f t="shared" si="46"/>
        <v>1012601</v>
      </c>
      <c r="B355" s="33" t="s">
        <v>1036</v>
      </c>
      <c r="C355" s="35">
        <f t="shared" si="40"/>
        <v>10126</v>
      </c>
      <c r="D355" s="24">
        <v>10666</v>
      </c>
      <c r="E355" s="38" t="str">
        <f t="shared" si="41"/>
        <v>10666,10506,10346,10186</v>
      </c>
      <c r="F355" s="39" t="s">
        <v>1401</v>
      </c>
      <c r="G355" s="39">
        <v>2</v>
      </c>
      <c r="H355" s="24" t="s">
        <v>1397</v>
      </c>
      <c r="I355" s="24" t="s">
        <v>1399</v>
      </c>
      <c r="J355" s="24" t="str">
        <f t="shared" si="42"/>
        <v>[2,[10666,10506,10346,10186]]</v>
      </c>
      <c r="K355" s="42">
        <f t="shared" si="44"/>
        <v>1</v>
      </c>
      <c r="L355" s="39" t="s">
        <v>1401</v>
      </c>
      <c r="M355" s="39">
        <v>3</v>
      </c>
      <c r="N355" s="24" t="s">
        <v>1397</v>
      </c>
      <c r="O355" s="24" t="s">
        <v>1399</v>
      </c>
      <c r="P355" s="24">
        <f t="shared" si="43"/>
        <v>0</v>
      </c>
      <c r="Q355" s="24" t="str">
        <f t="shared" si="45"/>
        <v>[[2,[10666,10506,10346,10186]]]</v>
      </c>
      <c r="R355" s="24" t="s">
        <v>1397</v>
      </c>
      <c r="S355" s="24" t="s">
        <v>1399</v>
      </c>
    </row>
    <row r="356" spans="1:19" ht="16.5" x14ac:dyDescent="0.15">
      <c r="A356">
        <f t="shared" si="46"/>
        <v>1012602</v>
      </c>
      <c r="B356" s="33" t="s">
        <v>1036</v>
      </c>
      <c r="C356" s="35">
        <f t="shared" si="40"/>
        <v>10126</v>
      </c>
      <c r="D356" s="24">
        <v>10826</v>
      </c>
      <c r="E356" s="38" t="str">
        <f t="shared" si="41"/>
        <v>10826,10666,10506,10346,10186</v>
      </c>
      <c r="F356" s="39" t="s">
        <v>1401</v>
      </c>
      <c r="G356" s="39">
        <v>2</v>
      </c>
      <c r="H356" s="24" t="s">
        <v>1397</v>
      </c>
      <c r="I356" s="24" t="s">
        <v>1399</v>
      </c>
      <c r="J356" s="24" t="str">
        <f t="shared" si="42"/>
        <v>[2,[10826,10666,10506,10346,10186]]</v>
      </c>
      <c r="K356" s="42">
        <f t="shared" si="44"/>
        <v>2</v>
      </c>
      <c r="L356" s="39" t="s">
        <v>1401</v>
      </c>
      <c r="M356" s="39">
        <v>3</v>
      </c>
      <c r="N356" s="24" t="s">
        <v>1397</v>
      </c>
      <c r="O356" s="24" t="s">
        <v>1399</v>
      </c>
      <c r="P356" s="24">
        <f t="shared" si="43"/>
        <v>0</v>
      </c>
      <c r="Q356" s="24" t="str">
        <f t="shared" si="45"/>
        <v>[[2,[10826,10666,10506,10346,10186]]]</v>
      </c>
      <c r="R356" s="24" t="s">
        <v>1397</v>
      </c>
      <c r="S356" s="24" t="s">
        <v>1399</v>
      </c>
    </row>
    <row r="357" spans="1:19" ht="16.5" x14ac:dyDescent="0.15">
      <c r="A357">
        <f t="shared" si="46"/>
        <v>1000601</v>
      </c>
      <c r="B357" s="28" t="s">
        <v>175</v>
      </c>
      <c r="C357" s="35">
        <f t="shared" si="40"/>
        <v>10006</v>
      </c>
      <c r="D357" s="24">
        <v>10149</v>
      </c>
      <c r="E357" s="38">
        <f t="shared" si="41"/>
        <v>10149</v>
      </c>
      <c r="F357" s="39" t="s">
        <v>1401</v>
      </c>
      <c r="G357" s="39">
        <v>2</v>
      </c>
      <c r="H357" s="24" t="s">
        <v>1397</v>
      </c>
      <c r="I357" s="24" t="s">
        <v>1399</v>
      </c>
      <c r="J357" s="24" t="str">
        <f t="shared" si="42"/>
        <v>[2,[10149]]</v>
      </c>
      <c r="K357" s="42">
        <f t="shared" si="44"/>
        <v>1</v>
      </c>
      <c r="L357" s="39" t="s">
        <v>1401</v>
      </c>
      <c r="M357" s="39">
        <v>3</v>
      </c>
      <c r="N357" s="24" t="s">
        <v>1397</v>
      </c>
      <c r="O357" s="24" t="s">
        <v>1399</v>
      </c>
      <c r="P357" s="24">
        <f t="shared" si="43"/>
        <v>0</v>
      </c>
      <c r="Q357" s="24" t="str">
        <f t="shared" si="45"/>
        <v>[[2,[10149]]]</v>
      </c>
      <c r="R357" s="24" t="s">
        <v>1397</v>
      </c>
      <c r="S357" s="24" t="s">
        <v>1399</v>
      </c>
    </row>
    <row r="358" spans="1:19" ht="16.5" x14ac:dyDescent="0.15">
      <c r="A358">
        <f t="shared" si="46"/>
        <v>1000601</v>
      </c>
      <c r="B358" s="28" t="s">
        <v>175</v>
      </c>
      <c r="C358" s="35">
        <f t="shared" si="40"/>
        <v>10006</v>
      </c>
      <c r="D358" s="24">
        <v>10319</v>
      </c>
      <c r="E358" s="38" t="str">
        <f t="shared" si="41"/>
        <v>10319,10149</v>
      </c>
      <c r="F358" s="39" t="s">
        <v>1401</v>
      </c>
      <c r="G358" s="39">
        <v>2</v>
      </c>
      <c r="H358" s="24" t="s">
        <v>1397</v>
      </c>
      <c r="I358" s="24" t="s">
        <v>1399</v>
      </c>
      <c r="J358" s="24" t="str">
        <f t="shared" si="42"/>
        <v>[2,[10319,10149]]</v>
      </c>
      <c r="K358" s="42">
        <f t="shared" si="44"/>
        <v>1</v>
      </c>
      <c r="L358" s="39" t="s">
        <v>1401</v>
      </c>
      <c r="M358" s="39">
        <v>3</v>
      </c>
      <c r="N358" s="24" t="s">
        <v>1397</v>
      </c>
      <c r="O358" s="24" t="s">
        <v>1399</v>
      </c>
      <c r="P358" s="24">
        <f t="shared" si="43"/>
        <v>0</v>
      </c>
      <c r="Q358" s="24" t="str">
        <f t="shared" si="45"/>
        <v>[[2,[10319,10149]]]</v>
      </c>
      <c r="R358" s="24" t="s">
        <v>1397</v>
      </c>
      <c r="S358" s="24" t="s">
        <v>1399</v>
      </c>
    </row>
    <row r="359" spans="1:19" ht="16.5" x14ac:dyDescent="0.15">
      <c r="A359">
        <f t="shared" si="46"/>
        <v>1000601</v>
      </c>
      <c r="B359" s="28" t="s">
        <v>175</v>
      </c>
      <c r="C359" s="35">
        <f t="shared" si="40"/>
        <v>10006</v>
      </c>
      <c r="D359" s="24">
        <v>10489</v>
      </c>
      <c r="E359" s="38" t="str">
        <f t="shared" si="41"/>
        <v>10489,10319,10149</v>
      </c>
      <c r="F359" s="39" t="s">
        <v>1401</v>
      </c>
      <c r="G359" s="39">
        <v>2</v>
      </c>
      <c r="H359" s="24" t="s">
        <v>1397</v>
      </c>
      <c r="I359" s="24" t="s">
        <v>1399</v>
      </c>
      <c r="J359" s="24" t="str">
        <f t="shared" si="42"/>
        <v>[2,[10489,10319,10149]]</v>
      </c>
      <c r="K359" s="42">
        <f t="shared" si="44"/>
        <v>1</v>
      </c>
      <c r="L359" s="39" t="s">
        <v>1401</v>
      </c>
      <c r="M359" s="39">
        <v>3</v>
      </c>
      <c r="N359" s="24" t="s">
        <v>1397</v>
      </c>
      <c r="O359" s="24" t="s">
        <v>1399</v>
      </c>
      <c r="P359" s="24">
        <f t="shared" si="43"/>
        <v>0</v>
      </c>
      <c r="Q359" s="24" t="str">
        <f t="shared" si="45"/>
        <v>[[2,[10489,10319,10149]]]</v>
      </c>
      <c r="R359" s="24" t="s">
        <v>1397</v>
      </c>
      <c r="S359" s="24" t="s">
        <v>1399</v>
      </c>
    </row>
    <row r="360" spans="1:19" ht="16.5" x14ac:dyDescent="0.15">
      <c r="A360">
        <f t="shared" si="46"/>
        <v>1000601</v>
      </c>
      <c r="B360" s="28" t="s">
        <v>175</v>
      </c>
      <c r="C360" s="35">
        <f t="shared" si="40"/>
        <v>10006</v>
      </c>
      <c r="D360" s="24">
        <v>10659</v>
      </c>
      <c r="E360" s="38" t="str">
        <f t="shared" si="41"/>
        <v>10659,10489,10319,10149</v>
      </c>
      <c r="F360" s="39" t="s">
        <v>1401</v>
      </c>
      <c r="G360" s="39">
        <v>2</v>
      </c>
      <c r="H360" s="24" t="s">
        <v>1397</v>
      </c>
      <c r="I360" s="24" t="s">
        <v>1399</v>
      </c>
      <c r="J360" s="24" t="str">
        <f t="shared" si="42"/>
        <v>[2,[10659,10489,10319,10149]]</v>
      </c>
      <c r="K360" s="42">
        <f t="shared" si="44"/>
        <v>1</v>
      </c>
      <c r="L360" s="39" t="s">
        <v>1401</v>
      </c>
      <c r="M360" s="39">
        <v>3</v>
      </c>
      <c r="N360" s="24" t="s">
        <v>1397</v>
      </c>
      <c r="O360" s="24" t="s">
        <v>1399</v>
      </c>
      <c r="P360" s="24">
        <f t="shared" si="43"/>
        <v>0</v>
      </c>
      <c r="Q360" s="24" t="str">
        <f t="shared" si="45"/>
        <v>[[2,[10659,10489,10319,10149]]]</v>
      </c>
      <c r="R360" s="24" t="s">
        <v>1397</v>
      </c>
      <c r="S360" s="24" t="s">
        <v>1399</v>
      </c>
    </row>
    <row r="361" spans="1:19" ht="16.5" x14ac:dyDescent="0.15">
      <c r="A361">
        <f t="shared" si="46"/>
        <v>1000602</v>
      </c>
      <c r="B361" s="28" t="s">
        <v>175</v>
      </c>
      <c r="C361" s="35">
        <f t="shared" si="40"/>
        <v>10006</v>
      </c>
      <c r="D361" s="24">
        <v>10829</v>
      </c>
      <c r="E361" s="38" t="str">
        <f t="shared" si="41"/>
        <v>10829,10659,10489,10319,10149</v>
      </c>
      <c r="F361" s="39" t="s">
        <v>1401</v>
      </c>
      <c r="G361" s="39">
        <v>2</v>
      </c>
      <c r="H361" s="24" t="s">
        <v>1397</v>
      </c>
      <c r="I361" s="24" t="s">
        <v>1399</v>
      </c>
      <c r="J361" s="24" t="str">
        <f t="shared" si="42"/>
        <v>[2,[10829,10659,10489,10319,10149]]</v>
      </c>
      <c r="K361" s="42">
        <f t="shared" si="44"/>
        <v>2</v>
      </c>
      <c r="L361" s="39" t="s">
        <v>1401</v>
      </c>
      <c r="M361" s="39">
        <v>3</v>
      </c>
      <c r="N361" s="24" t="s">
        <v>1397</v>
      </c>
      <c r="O361" s="24" t="s">
        <v>1399</v>
      </c>
      <c r="P361" s="24">
        <f t="shared" si="43"/>
        <v>0</v>
      </c>
      <c r="Q361" s="24" t="str">
        <f t="shared" si="45"/>
        <v>[[2,[10829,10659,10489,10319,10149]]]</v>
      </c>
      <c r="R361" s="24" t="s">
        <v>1397</v>
      </c>
      <c r="S361" s="24" t="s">
        <v>1399</v>
      </c>
    </row>
    <row r="362" spans="1:19" ht="16.5" x14ac:dyDescent="0.15">
      <c r="A362">
        <f t="shared" si="46"/>
        <v>1002201</v>
      </c>
      <c r="B362" s="28" t="s">
        <v>98</v>
      </c>
      <c r="C362" s="35">
        <f t="shared" si="40"/>
        <v>10022</v>
      </c>
      <c r="D362" s="24">
        <v>10179</v>
      </c>
      <c r="E362" s="38">
        <f t="shared" si="41"/>
        <v>10179</v>
      </c>
      <c r="F362" s="39" t="s">
        <v>1401</v>
      </c>
      <c r="G362" s="39">
        <v>2</v>
      </c>
      <c r="H362" s="24" t="s">
        <v>1397</v>
      </c>
      <c r="I362" s="24" t="s">
        <v>1399</v>
      </c>
      <c r="J362" s="24" t="str">
        <f t="shared" si="42"/>
        <v>[2,[10179]]</v>
      </c>
      <c r="K362" s="42">
        <f t="shared" si="44"/>
        <v>1</v>
      </c>
      <c r="L362" s="39" t="s">
        <v>1401</v>
      </c>
      <c r="M362" s="39">
        <v>3</v>
      </c>
      <c r="N362" s="24" t="s">
        <v>1397</v>
      </c>
      <c r="O362" s="24" t="s">
        <v>1399</v>
      </c>
      <c r="P362" s="24">
        <f t="shared" si="43"/>
        <v>0</v>
      </c>
      <c r="Q362" s="24" t="str">
        <f t="shared" si="45"/>
        <v>[[2,[10179]]]</v>
      </c>
      <c r="R362" s="24" t="s">
        <v>1397</v>
      </c>
      <c r="S362" s="24" t="s">
        <v>1399</v>
      </c>
    </row>
    <row r="363" spans="1:19" ht="16.5" x14ac:dyDescent="0.15">
      <c r="A363">
        <f t="shared" si="46"/>
        <v>1002201</v>
      </c>
      <c r="B363" s="28" t="s">
        <v>98</v>
      </c>
      <c r="C363" s="35">
        <f t="shared" si="40"/>
        <v>10022</v>
      </c>
      <c r="D363" s="24">
        <v>10349</v>
      </c>
      <c r="E363" s="38" t="str">
        <f t="shared" si="41"/>
        <v>10349,10179</v>
      </c>
      <c r="F363" s="39" t="s">
        <v>1401</v>
      </c>
      <c r="G363" s="39">
        <v>2</v>
      </c>
      <c r="H363" s="24" t="s">
        <v>1397</v>
      </c>
      <c r="I363" s="24" t="s">
        <v>1399</v>
      </c>
      <c r="J363" s="24" t="str">
        <f t="shared" si="42"/>
        <v>[2,[10349,10179]]</v>
      </c>
      <c r="K363" s="42">
        <f t="shared" si="44"/>
        <v>1</v>
      </c>
      <c r="L363" s="39" t="s">
        <v>1401</v>
      </c>
      <c r="M363" s="39">
        <v>3</v>
      </c>
      <c r="N363" s="24" t="s">
        <v>1397</v>
      </c>
      <c r="O363" s="24" t="s">
        <v>1399</v>
      </c>
      <c r="P363" s="24">
        <f t="shared" si="43"/>
        <v>0</v>
      </c>
      <c r="Q363" s="24" t="str">
        <f t="shared" si="45"/>
        <v>[[2,[10349,10179]]]</v>
      </c>
      <c r="R363" s="24" t="s">
        <v>1397</v>
      </c>
      <c r="S363" s="24" t="s">
        <v>1399</v>
      </c>
    </row>
    <row r="364" spans="1:19" ht="16.5" x14ac:dyDescent="0.15">
      <c r="A364">
        <f t="shared" si="46"/>
        <v>1002201</v>
      </c>
      <c r="B364" s="28" t="s">
        <v>98</v>
      </c>
      <c r="C364" s="35">
        <f t="shared" si="40"/>
        <v>10022</v>
      </c>
      <c r="D364" s="24">
        <v>10519</v>
      </c>
      <c r="E364" s="38" t="str">
        <f t="shared" si="41"/>
        <v>10519,10349,10179</v>
      </c>
      <c r="F364" s="39" t="s">
        <v>1401</v>
      </c>
      <c r="G364" s="39">
        <v>2</v>
      </c>
      <c r="H364" s="24" t="s">
        <v>1397</v>
      </c>
      <c r="I364" s="24" t="s">
        <v>1399</v>
      </c>
      <c r="J364" s="24" t="str">
        <f t="shared" si="42"/>
        <v>[2,[10519,10349,10179]]</v>
      </c>
      <c r="K364" s="42">
        <f t="shared" si="44"/>
        <v>1</v>
      </c>
      <c r="L364" s="39" t="s">
        <v>1401</v>
      </c>
      <c r="M364" s="39">
        <v>3</v>
      </c>
      <c r="N364" s="24" t="s">
        <v>1397</v>
      </c>
      <c r="O364" s="24" t="s">
        <v>1399</v>
      </c>
      <c r="P364" s="24">
        <f t="shared" si="43"/>
        <v>0</v>
      </c>
      <c r="Q364" s="24" t="str">
        <f t="shared" si="45"/>
        <v>[[2,[10519,10349,10179]]]</v>
      </c>
      <c r="R364" s="24" t="s">
        <v>1397</v>
      </c>
      <c r="S364" s="24" t="s">
        <v>1399</v>
      </c>
    </row>
    <row r="365" spans="1:19" ht="16.5" x14ac:dyDescent="0.15">
      <c r="A365">
        <f t="shared" si="46"/>
        <v>1002201</v>
      </c>
      <c r="B365" s="28" t="s">
        <v>98</v>
      </c>
      <c r="C365" s="35">
        <f t="shared" si="40"/>
        <v>10022</v>
      </c>
      <c r="D365" s="24">
        <v>10689</v>
      </c>
      <c r="E365" s="38" t="str">
        <f t="shared" si="41"/>
        <v>10689,10519,10349,10179</v>
      </c>
      <c r="F365" s="39" t="s">
        <v>1401</v>
      </c>
      <c r="G365" s="39">
        <v>2</v>
      </c>
      <c r="H365" s="24" t="s">
        <v>1397</v>
      </c>
      <c r="I365" s="24" t="s">
        <v>1399</v>
      </c>
      <c r="J365" s="24" t="str">
        <f t="shared" si="42"/>
        <v>[2,[10689,10519,10349,10179]]</v>
      </c>
      <c r="K365" s="42">
        <f t="shared" si="44"/>
        <v>1</v>
      </c>
      <c r="L365" s="39" t="s">
        <v>1401</v>
      </c>
      <c r="M365" s="39">
        <v>3</v>
      </c>
      <c r="N365" s="24" t="s">
        <v>1397</v>
      </c>
      <c r="O365" s="24" t="s">
        <v>1399</v>
      </c>
      <c r="P365" s="24">
        <f t="shared" si="43"/>
        <v>0</v>
      </c>
      <c r="Q365" s="24" t="str">
        <f t="shared" si="45"/>
        <v>[[2,[10689,10519,10349,10179]]]</v>
      </c>
      <c r="R365" s="24" t="s">
        <v>1397</v>
      </c>
      <c r="S365" s="24" t="s">
        <v>1399</v>
      </c>
    </row>
    <row r="366" spans="1:19" ht="16.5" x14ac:dyDescent="0.15">
      <c r="A366">
        <f t="shared" si="46"/>
        <v>1002202</v>
      </c>
      <c r="B366" s="28" t="s">
        <v>98</v>
      </c>
      <c r="C366" s="35">
        <f t="shared" si="40"/>
        <v>10022</v>
      </c>
      <c r="D366" s="24">
        <v>10859</v>
      </c>
      <c r="E366" s="38" t="str">
        <f t="shared" si="41"/>
        <v>10859,10689,10519,10349,10179</v>
      </c>
      <c r="F366" s="39" t="s">
        <v>1401</v>
      </c>
      <c r="G366" s="39">
        <v>2</v>
      </c>
      <c r="H366" s="24" t="s">
        <v>1397</v>
      </c>
      <c r="I366" s="24" t="s">
        <v>1399</v>
      </c>
      <c r="J366" s="24" t="str">
        <f t="shared" si="42"/>
        <v>[2,[10859,10689,10519,10349,10179]]</v>
      </c>
      <c r="K366" s="42">
        <f t="shared" si="44"/>
        <v>2</v>
      </c>
      <c r="L366" s="39" t="s">
        <v>1401</v>
      </c>
      <c r="M366" s="39">
        <v>3</v>
      </c>
      <c r="N366" s="24" t="s">
        <v>1397</v>
      </c>
      <c r="O366" s="24" t="s">
        <v>1399</v>
      </c>
      <c r="P366" s="24">
        <f t="shared" si="43"/>
        <v>0</v>
      </c>
      <c r="Q366" s="24" t="str">
        <f t="shared" si="45"/>
        <v>[[2,[10859,10689,10519,10349,10179]]]</v>
      </c>
      <c r="R366" s="24" t="s">
        <v>1397</v>
      </c>
      <c r="S366" s="24" t="s">
        <v>1399</v>
      </c>
    </row>
    <row r="367" spans="1:19" ht="16.5" x14ac:dyDescent="0.15">
      <c r="A367">
        <f t="shared" si="46"/>
        <v>1001101</v>
      </c>
      <c r="B367" s="32" t="s">
        <v>107</v>
      </c>
      <c r="C367" s="35">
        <f t="shared" si="40"/>
        <v>10011</v>
      </c>
      <c r="D367">
        <v>10220</v>
      </c>
      <c r="E367" s="38">
        <f t="shared" si="41"/>
        <v>10220</v>
      </c>
      <c r="F367" s="39" t="s">
        <v>1401</v>
      </c>
      <c r="G367" s="39">
        <v>2</v>
      </c>
      <c r="H367" s="24" t="s">
        <v>1397</v>
      </c>
      <c r="I367" s="24" t="s">
        <v>1399</v>
      </c>
      <c r="J367" s="24" t="str">
        <f t="shared" si="42"/>
        <v>[2,[10220]]</v>
      </c>
      <c r="K367" s="42">
        <f t="shared" si="44"/>
        <v>1</v>
      </c>
      <c r="L367" s="39" t="s">
        <v>1401</v>
      </c>
      <c r="M367" s="39">
        <v>3</v>
      </c>
      <c r="N367" s="24" t="s">
        <v>1397</v>
      </c>
      <c r="O367" s="24" t="s">
        <v>1399</v>
      </c>
      <c r="P367" s="24">
        <f t="shared" si="43"/>
        <v>10011</v>
      </c>
      <c r="Q367" s="24" t="str">
        <f t="shared" si="45"/>
        <v>[[3,[10011]],[2,[10220]]]</v>
      </c>
      <c r="R367" s="24" t="s">
        <v>1397</v>
      </c>
      <c r="S367" s="24" t="s">
        <v>1399</v>
      </c>
    </row>
    <row r="368" spans="1:19" ht="16.5" x14ac:dyDescent="0.15">
      <c r="A368">
        <f t="shared" si="46"/>
        <v>1001101</v>
      </c>
      <c r="B368" s="32" t="s">
        <v>107</v>
      </c>
      <c r="C368" s="35">
        <f t="shared" si="40"/>
        <v>10011</v>
      </c>
      <c r="D368">
        <v>10340</v>
      </c>
      <c r="E368" s="38" t="str">
        <f t="shared" si="41"/>
        <v>10340,10220</v>
      </c>
      <c r="F368" s="39" t="s">
        <v>1401</v>
      </c>
      <c r="G368" s="39">
        <v>2</v>
      </c>
      <c r="H368" s="24" t="s">
        <v>1397</v>
      </c>
      <c r="I368" s="24" t="s">
        <v>1399</v>
      </c>
      <c r="J368" s="24" t="str">
        <f t="shared" si="42"/>
        <v>[2,[10340,10220]]</v>
      </c>
      <c r="K368" s="42">
        <f t="shared" si="44"/>
        <v>1</v>
      </c>
      <c r="L368" s="39" t="s">
        <v>1401</v>
      </c>
      <c r="M368" s="39">
        <v>3</v>
      </c>
      <c r="N368" s="24" t="s">
        <v>1397</v>
      </c>
      <c r="O368" s="24" t="s">
        <v>1399</v>
      </c>
      <c r="P368" s="24">
        <f t="shared" si="43"/>
        <v>10011</v>
      </c>
      <c r="Q368" s="24" t="str">
        <f t="shared" si="45"/>
        <v>[[3,[10011]],[2,[10340,10220]]]</v>
      </c>
      <c r="R368" s="24" t="s">
        <v>1397</v>
      </c>
      <c r="S368" s="24" t="s">
        <v>1399</v>
      </c>
    </row>
    <row r="369" spans="1:19" ht="16.5" x14ac:dyDescent="0.15">
      <c r="A369">
        <f t="shared" si="46"/>
        <v>1001101</v>
      </c>
      <c r="B369" s="32" t="s">
        <v>107</v>
      </c>
      <c r="C369" s="35">
        <f t="shared" si="40"/>
        <v>10011</v>
      </c>
      <c r="D369">
        <v>10460</v>
      </c>
      <c r="E369" s="38" t="str">
        <f t="shared" si="41"/>
        <v>10460,10340,10220</v>
      </c>
      <c r="F369" s="39" t="s">
        <v>1401</v>
      </c>
      <c r="G369" s="39">
        <v>2</v>
      </c>
      <c r="H369" s="24" t="s">
        <v>1397</v>
      </c>
      <c r="I369" s="24" t="s">
        <v>1399</v>
      </c>
      <c r="J369" s="24" t="str">
        <f t="shared" si="42"/>
        <v>[2,[10460,10340,10220]]</v>
      </c>
      <c r="K369" s="42">
        <f t="shared" si="44"/>
        <v>1</v>
      </c>
      <c r="L369" s="39" t="s">
        <v>1401</v>
      </c>
      <c r="M369" s="39">
        <v>3</v>
      </c>
      <c r="N369" s="24" t="s">
        <v>1397</v>
      </c>
      <c r="O369" s="24" t="s">
        <v>1399</v>
      </c>
      <c r="P369" s="24">
        <f t="shared" si="43"/>
        <v>10011</v>
      </c>
      <c r="Q369" s="24" t="str">
        <f t="shared" si="45"/>
        <v>[[3,[10011]],[2,[10460,10340,10220]]]</v>
      </c>
      <c r="R369" s="24" t="s">
        <v>1397</v>
      </c>
      <c r="S369" s="24" t="s">
        <v>1399</v>
      </c>
    </row>
    <row r="370" spans="1:19" ht="16.5" x14ac:dyDescent="0.15">
      <c r="A370">
        <f t="shared" si="46"/>
        <v>1001101</v>
      </c>
      <c r="B370" s="32" t="s">
        <v>107</v>
      </c>
      <c r="C370" s="35">
        <f t="shared" si="40"/>
        <v>10011</v>
      </c>
      <c r="D370">
        <v>10580</v>
      </c>
      <c r="E370" s="38" t="str">
        <f t="shared" si="41"/>
        <v>10580,10460,10340,10220</v>
      </c>
      <c r="F370" s="39" t="s">
        <v>1401</v>
      </c>
      <c r="G370" s="39">
        <v>2</v>
      </c>
      <c r="H370" s="24" t="s">
        <v>1397</v>
      </c>
      <c r="I370" s="24" t="s">
        <v>1399</v>
      </c>
      <c r="J370" s="24" t="str">
        <f t="shared" si="42"/>
        <v>[2,[10580,10460,10340,10220]]</v>
      </c>
      <c r="K370" s="42">
        <f t="shared" si="44"/>
        <v>1</v>
      </c>
      <c r="L370" s="39" t="s">
        <v>1401</v>
      </c>
      <c r="M370" s="39">
        <v>3</v>
      </c>
      <c r="N370" s="24" t="s">
        <v>1397</v>
      </c>
      <c r="O370" s="24" t="s">
        <v>1399</v>
      </c>
      <c r="P370" s="24">
        <f t="shared" si="43"/>
        <v>10011</v>
      </c>
      <c r="Q370" s="24" t="str">
        <f t="shared" si="45"/>
        <v>[[3,[10011]],[2,[10580,10460,10340,10220]]]</v>
      </c>
      <c r="R370" s="24" t="s">
        <v>1397</v>
      </c>
      <c r="S370" s="24" t="s">
        <v>1399</v>
      </c>
    </row>
    <row r="371" spans="1:19" ht="16.5" x14ac:dyDescent="0.15">
      <c r="A371">
        <f t="shared" si="46"/>
        <v>1001101</v>
      </c>
      <c r="B371" s="32" t="s">
        <v>107</v>
      </c>
      <c r="C371" s="35">
        <f t="shared" si="40"/>
        <v>10011</v>
      </c>
      <c r="D371">
        <v>10700</v>
      </c>
      <c r="E371" s="38" t="str">
        <f t="shared" si="41"/>
        <v>10700,10580,10460,10340,10220</v>
      </c>
      <c r="F371" s="39" t="s">
        <v>1401</v>
      </c>
      <c r="G371" s="39">
        <v>2</v>
      </c>
      <c r="H371" s="24" t="s">
        <v>1397</v>
      </c>
      <c r="I371" s="24" t="s">
        <v>1399</v>
      </c>
      <c r="J371" s="24" t="str">
        <f t="shared" si="42"/>
        <v>[2,[10700,10580,10460,10340,10220]]</v>
      </c>
      <c r="K371" s="42">
        <f t="shared" si="44"/>
        <v>1</v>
      </c>
      <c r="L371" s="39" t="s">
        <v>1401</v>
      </c>
      <c r="M371" s="39">
        <v>3</v>
      </c>
      <c r="N371" s="24" t="s">
        <v>1397</v>
      </c>
      <c r="O371" s="24" t="s">
        <v>1399</v>
      </c>
      <c r="P371" s="24">
        <f t="shared" si="43"/>
        <v>10011</v>
      </c>
      <c r="Q371" s="24" t="str">
        <f t="shared" si="45"/>
        <v>[[3,[10011]],[2,[10700,10580,10460,10340,10220]]]</v>
      </c>
      <c r="R371" s="24" t="s">
        <v>1397</v>
      </c>
      <c r="S371" s="24" t="s">
        <v>1399</v>
      </c>
    </row>
    <row r="372" spans="1:19" ht="16.5" x14ac:dyDescent="0.15">
      <c r="A372">
        <f t="shared" si="46"/>
        <v>1001102</v>
      </c>
      <c r="B372" s="32" t="s">
        <v>107</v>
      </c>
      <c r="C372" s="35">
        <f t="shared" si="40"/>
        <v>10011</v>
      </c>
      <c r="D372">
        <v>10820</v>
      </c>
      <c r="E372" s="38" t="str">
        <f t="shared" si="41"/>
        <v>10820,10700,10580,10460,10340,10220</v>
      </c>
      <c r="F372" s="39" t="s">
        <v>1401</v>
      </c>
      <c r="G372" s="39">
        <v>2</v>
      </c>
      <c r="H372" s="24" t="s">
        <v>1397</v>
      </c>
      <c r="I372" s="24" t="s">
        <v>1399</v>
      </c>
      <c r="J372" s="24" t="str">
        <f t="shared" si="42"/>
        <v>[2,[10820,10700,10580,10460,10340,10220]]</v>
      </c>
      <c r="K372" s="42">
        <f t="shared" si="44"/>
        <v>2</v>
      </c>
      <c r="L372" s="39" t="s">
        <v>1401</v>
      </c>
      <c r="M372" s="39">
        <v>3</v>
      </c>
      <c r="N372" s="24" t="s">
        <v>1397</v>
      </c>
      <c r="O372" s="24" t="s">
        <v>1399</v>
      </c>
      <c r="P372" s="24">
        <f t="shared" si="43"/>
        <v>10011</v>
      </c>
      <c r="Q372" s="24" t="str">
        <f t="shared" si="45"/>
        <v>[[3,[10011]],[2,[10820,10700,10580,10460,10340,10220]]]</v>
      </c>
      <c r="R372" s="24" t="s">
        <v>1397</v>
      </c>
      <c r="S372" s="24" t="s">
        <v>1399</v>
      </c>
    </row>
    <row r="373" spans="1:19" ht="16.5" x14ac:dyDescent="0.15">
      <c r="A373">
        <f t="shared" si="46"/>
        <v>1000501</v>
      </c>
      <c r="B373" s="32" t="s">
        <v>437</v>
      </c>
      <c r="C373" s="35">
        <f t="shared" ref="C373:C436" si="47">VLOOKUP(B373,AB:AC,2,FALSE)</f>
        <v>10005</v>
      </c>
      <c r="D373">
        <v>10160</v>
      </c>
      <c r="E373" s="38">
        <f t="shared" ref="E373:E436" si="48">IF(C373=C372,D373&amp;F373&amp;E372,D373)</f>
        <v>10160</v>
      </c>
      <c r="F373" s="39" t="s">
        <v>1401</v>
      </c>
      <c r="G373" s="39">
        <v>2</v>
      </c>
      <c r="H373" s="24" t="s">
        <v>1397</v>
      </c>
      <c r="I373" s="24" t="s">
        <v>1399</v>
      </c>
      <c r="J373" s="24" t="str">
        <f t="shared" ref="J373:J436" si="49">H373&amp;G373&amp;F373&amp;H373&amp;E373&amp;I373&amp;I373</f>
        <v>[2,[10160]]</v>
      </c>
      <c r="K373" s="42">
        <f t="shared" si="44"/>
        <v>1</v>
      </c>
      <c r="L373" s="39" t="s">
        <v>1401</v>
      </c>
      <c r="M373" s="39">
        <v>3</v>
      </c>
      <c r="N373" s="24" t="s">
        <v>1397</v>
      </c>
      <c r="O373" s="24" t="s">
        <v>1399</v>
      </c>
      <c r="P373" s="24">
        <f t="shared" ref="P373:P439" si="50">IFERROR(VLOOKUP(B373,AE:AK,2,FALSE),0)</f>
        <v>10005</v>
      </c>
      <c r="Q373" s="24" t="str">
        <f t="shared" si="45"/>
        <v>[[3,[10005]],[2,[10160]]]</v>
      </c>
      <c r="R373" s="24" t="s">
        <v>1397</v>
      </c>
      <c r="S373" s="24" t="s">
        <v>1399</v>
      </c>
    </row>
    <row r="374" spans="1:19" ht="16.5" x14ac:dyDescent="0.15">
      <c r="A374">
        <f t="shared" si="46"/>
        <v>1000501</v>
      </c>
      <c r="B374" s="32" t="s">
        <v>437</v>
      </c>
      <c r="C374" s="35">
        <f t="shared" si="47"/>
        <v>10005</v>
      </c>
      <c r="D374">
        <v>10280</v>
      </c>
      <c r="E374" s="38" t="str">
        <f t="shared" si="48"/>
        <v>10280,10160</v>
      </c>
      <c r="F374" s="39" t="s">
        <v>1401</v>
      </c>
      <c r="G374" s="39">
        <v>2</v>
      </c>
      <c r="H374" s="24" t="s">
        <v>1397</v>
      </c>
      <c r="I374" s="24" t="s">
        <v>1399</v>
      </c>
      <c r="J374" s="24" t="str">
        <f t="shared" si="49"/>
        <v>[2,[10280,10160]]</v>
      </c>
      <c r="K374" s="42">
        <f t="shared" ref="K374:K437" si="51">IF(C374=C375,1,2)</f>
        <v>1</v>
      </c>
      <c r="L374" s="39" t="s">
        <v>1401</v>
      </c>
      <c r="M374" s="39">
        <v>3</v>
      </c>
      <c r="N374" s="24" t="s">
        <v>1397</v>
      </c>
      <c r="O374" s="24" t="s">
        <v>1399</v>
      </c>
      <c r="P374" s="24">
        <f t="shared" si="50"/>
        <v>10005</v>
      </c>
      <c r="Q374" s="24" t="str">
        <f t="shared" ref="Q374:Q437" si="52">IF(P374=0,R374&amp;(J374)&amp;S374,R374&amp;(N374&amp;M374&amp;L374&amp;N374&amp;P374&amp;O374&amp;O374)&amp;L374&amp;(J374)&amp;S374)</f>
        <v>[[3,[10005]],[2,[10280,10160]]]</v>
      </c>
      <c r="R374" s="24" t="s">
        <v>1397</v>
      </c>
      <c r="S374" s="24" t="s">
        <v>1399</v>
      </c>
    </row>
    <row r="375" spans="1:19" ht="16.5" x14ac:dyDescent="0.15">
      <c r="A375">
        <f t="shared" si="46"/>
        <v>1000501</v>
      </c>
      <c r="B375" s="32" t="s">
        <v>437</v>
      </c>
      <c r="C375" s="35">
        <f t="shared" si="47"/>
        <v>10005</v>
      </c>
      <c r="D375">
        <v>10400</v>
      </c>
      <c r="E375" s="38" t="str">
        <f t="shared" si="48"/>
        <v>10400,10280,10160</v>
      </c>
      <c r="F375" s="39" t="s">
        <v>1401</v>
      </c>
      <c r="G375" s="39">
        <v>2</v>
      </c>
      <c r="H375" s="24" t="s">
        <v>1397</v>
      </c>
      <c r="I375" s="24" t="s">
        <v>1399</v>
      </c>
      <c r="J375" s="24" t="str">
        <f t="shared" si="49"/>
        <v>[2,[10400,10280,10160]]</v>
      </c>
      <c r="K375" s="42">
        <f t="shared" si="51"/>
        <v>1</v>
      </c>
      <c r="L375" s="39" t="s">
        <v>1401</v>
      </c>
      <c r="M375" s="39">
        <v>3</v>
      </c>
      <c r="N375" s="24" t="s">
        <v>1397</v>
      </c>
      <c r="O375" s="24" t="s">
        <v>1399</v>
      </c>
      <c r="P375" s="24">
        <f t="shared" si="50"/>
        <v>10005</v>
      </c>
      <c r="Q375" s="24" t="str">
        <f t="shared" si="52"/>
        <v>[[3,[10005]],[2,[10400,10280,10160]]]</v>
      </c>
      <c r="R375" s="24" t="s">
        <v>1397</v>
      </c>
      <c r="S375" s="24" t="s">
        <v>1399</v>
      </c>
    </row>
    <row r="376" spans="1:19" ht="16.5" x14ac:dyDescent="0.15">
      <c r="A376">
        <f t="shared" si="46"/>
        <v>1000501</v>
      </c>
      <c r="B376" s="32" t="s">
        <v>437</v>
      </c>
      <c r="C376" s="35">
        <f t="shared" si="47"/>
        <v>10005</v>
      </c>
      <c r="D376">
        <v>10520</v>
      </c>
      <c r="E376" s="38" t="str">
        <f t="shared" si="48"/>
        <v>10520,10400,10280,10160</v>
      </c>
      <c r="F376" s="39" t="s">
        <v>1401</v>
      </c>
      <c r="G376" s="39">
        <v>2</v>
      </c>
      <c r="H376" s="24" t="s">
        <v>1397</v>
      </c>
      <c r="I376" s="24" t="s">
        <v>1399</v>
      </c>
      <c r="J376" s="24" t="str">
        <f t="shared" si="49"/>
        <v>[2,[10520,10400,10280,10160]]</v>
      </c>
      <c r="K376" s="42">
        <f t="shared" si="51"/>
        <v>1</v>
      </c>
      <c r="L376" s="39" t="s">
        <v>1401</v>
      </c>
      <c r="M376" s="39">
        <v>3</v>
      </c>
      <c r="N376" s="24" t="s">
        <v>1397</v>
      </c>
      <c r="O376" s="24" t="s">
        <v>1399</v>
      </c>
      <c r="P376" s="24">
        <f t="shared" si="50"/>
        <v>10005</v>
      </c>
      <c r="Q376" s="24" t="str">
        <f t="shared" si="52"/>
        <v>[[3,[10005]],[2,[10520,10400,10280,10160]]]</v>
      </c>
      <c r="R376" s="24" t="s">
        <v>1397</v>
      </c>
      <c r="S376" s="24" t="s">
        <v>1399</v>
      </c>
    </row>
    <row r="377" spans="1:19" ht="16.5" x14ac:dyDescent="0.15">
      <c r="A377">
        <f t="shared" si="46"/>
        <v>1000501</v>
      </c>
      <c r="B377" s="32" t="s">
        <v>437</v>
      </c>
      <c r="C377" s="35">
        <f t="shared" si="47"/>
        <v>10005</v>
      </c>
      <c r="D377">
        <v>10640</v>
      </c>
      <c r="E377" s="38" t="str">
        <f t="shared" si="48"/>
        <v>10640,10520,10400,10280,10160</v>
      </c>
      <c r="F377" s="39" t="s">
        <v>1401</v>
      </c>
      <c r="G377" s="39">
        <v>2</v>
      </c>
      <c r="H377" s="24" t="s">
        <v>1397</v>
      </c>
      <c r="I377" s="24" t="s">
        <v>1399</v>
      </c>
      <c r="J377" s="24" t="str">
        <f t="shared" si="49"/>
        <v>[2,[10640,10520,10400,10280,10160]]</v>
      </c>
      <c r="K377" s="42">
        <f t="shared" si="51"/>
        <v>1</v>
      </c>
      <c r="L377" s="39" t="s">
        <v>1401</v>
      </c>
      <c r="M377" s="39">
        <v>3</v>
      </c>
      <c r="N377" s="24" t="s">
        <v>1397</v>
      </c>
      <c r="O377" s="24" t="s">
        <v>1399</v>
      </c>
      <c r="P377" s="24">
        <f t="shared" si="50"/>
        <v>10005</v>
      </c>
      <c r="Q377" s="24" t="str">
        <f t="shared" si="52"/>
        <v>[[3,[10005]],[2,[10640,10520,10400,10280,10160]]]</v>
      </c>
      <c r="R377" s="24" t="s">
        <v>1397</v>
      </c>
      <c r="S377" s="24" t="s">
        <v>1399</v>
      </c>
    </row>
    <row r="378" spans="1:19" ht="16.5" x14ac:dyDescent="0.15">
      <c r="A378">
        <f t="shared" si="46"/>
        <v>1000501</v>
      </c>
      <c r="B378" s="32" t="s">
        <v>437</v>
      </c>
      <c r="C378" s="35">
        <f t="shared" si="47"/>
        <v>10005</v>
      </c>
      <c r="D378">
        <v>10760</v>
      </c>
      <c r="E378" s="38" t="str">
        <f t="shared" si="48"/>
        <v>10760,10640,10520,10400,10280,10160</v>
      </c>
      <c r="F378" s="39" t="s">
        <v>1401</v>
      </c>
      <c r="G378" s="39">
        <v>2</v>
      </c>
      <c r="H378" s="24" t="s">
        <v>1397</v>
      </c>
      <c r="I378" s="24" t="s">
        <v>1399</v>
      </c>
      <c r="J378" s="24" t="str">
        <f t="shared" si="49"/>
        <v>[2,[10760,10640,10520,10400,10280,10160]]</v>
      </c>
      <c r="K378" s="42">
        <f t="shared" si="51"/>
        <v>1</v>
      </c>
      <c r="L378" s="39" t="s">
        <v>1401</v>
      </c>
      <c r="M378" s="39">
        <v>3</v>
      </c>
      <c r="N378" s="24" t="s">
        <v>1397</v>
      </c>
      <c r="O378" s="24" t="s">
        <v>1399</v>
      </c>
      <c r="P378" s="24">
        <f t="shared" si="50"/>
        <v>10005</v>
      </c>
      <c r="Q378" s="24" t="str">
        <f t="shared" si="52"/>
        <v>[[3,[10005]],[2,[10760,10640,10520,10400,10280,10160]]]</v>
      </c>
      <c r="R378" s="24" t="s">
        <v>1397</v>
      </c>
      <c r="S378" s="24" t="s">
        <v>1399</v>
      </c>
    </row>
    <row r="379" spans="1:19" ht="16.5" x14ac:dyDescent="0.15">
      <c r="A379">
        <f t="shared" si="46"/>
        <v>1000502</v>
      </c>
      <c r="B379" s="32" t="s">
        <v>437</v>
      </c>
      <c r="C379" s="35">
        <f t="shared" si="47"/>
        <v>10005</v>
      </c>
      <c r="D379">
        <v>10880</v>
      </c>
      <c r="E379" s="38" t="str">
        <f t="shared" si="48"/>
        <v>10880,10760,10640,10520,10400,10280,10160</v>
      </c>
      <c r="F379" s="39" t="s">
        <v>1401</v>
      </c>
      <c r="G379" s="39">
        <v>2</v>
      </c>
      <c r="H379" s="24" t="s">
        <v>1397</v>
      </c>
      <c r="I379" s="24" t="s">
        <v>1399</v>
      </c>
      <c r="J379" s="24" t="str">
        <f t="shared" si="49"/>
        <v>[2,[10880,10760,10640,10520,10400,10280,10160]]</v>
      </c>
      <c r="K379" s="42">
        <f t="shared" si="51"/>
        <v>2</v>
      </c>
      <c r="L379" s="39" t="s">
        <v>1401</v>
      </c>
      <c r="M379" s="39">
        <v>3</v>
      </c>
      <c r="N379" s="24" t="s">
        <v>1397</v>
      </c>
      <c r="O379" s="24" t="s">
        <v>1399</v>
      </c>
      <c r="P379" s="24">
        <f t="shared" si="50"/>
        <v>10005</v>
      </c>
      <c r="Q379" s="24" t="str">
        <f t="shared" si="52"/>
        <v>[[3,[10005]],[2,[10880,10760,10640,10520,10400,10280,10160]]]</v>
      </c>
      <c r="R379" s="24" t="s">
        <v>1397</v>
      </c>
      <c r="S379" s="24" t="s">
        <v>1399</v>
      </c>
    </row>
    <row r="380" spans="1:19" ht="16.5" x14ac:dyDescent="0.15">
      <c r="A380">
        <f t="shared" si="46"/>
        <v>1002601</v>
      </c>
      <c r="B380" s="32" t="s">
        <v>189</v>
      </c>
      <c r="C380" s="35">
        <f t="shared" si="47"/>
        <v>10026</v>
      </c>
      <c r="D380">
        <v>10190</v>
      </c>
      <c r="E380" s="38">
        <f t="shared" si="48"/>
        <v>10190</v>
      </c>
      <c r="F380" s="39" t="s">
        <v>1401</v>
      </c>
      <c r="G380" s="39">
        <v>2</v>
      </c>
      <c r="H380" s="24" t="s">
        <v>1397</v>
      </c>
      <c r="I380" s="24" t="s">
        <v>1399</v>
      </c>
      <c r="J380" s="24" t="str">
        <f t="shared" si="49"/>
        <v>[2,[10190]]</v>
      </c>
      <c r="K380" s="42">
        <f t="shared" si="51"/>
        <v>1</v>
      </c>
      <c r="L380" s="39" t="s">
        <v>1401</v>
      </c>
      <c r="M380" s="39">
        <v>3</v>
      </c>
      <c r="N380" s="24" t="s">
        <v>1397</v>
      </c>
      <c r="O380" s="24" t="s">
        <v>1399</v>
      </c>
      <c r="P380" s="24">
        <f t="shared" si="50"/>
        <v>10026</v>
      </c>
      <c r="Q380" s="24" t="str">
        <f t="shared" si="52"/>
        <v>[[3,[10026]],[2,[10190]]]</v>
      </c>
      <c r="R380" s="24" t="s">
        <v>1397</v>
      </c>
      <c r="S380" s="24" t="s">
        <v>1399</v>
      </c>
    </row>
    <row r="381" spans="1:19" ht="16.5" x14ac:dyDescent="0.15">
      <c r="A381">
        <f t="shared" si="46"/>
        <v>1002601</v>
      </c>
      <c r="B381" s="32" t="s">
        <v>189</v>
      </c>
      <c r="C381" s="35">
        <f t="shared" si="47"/>
        <v>10026</v>
      </c>
      <c r="D381">
        <v>10310</v>
      </c>
      <c r="E381" s="38" t="str">
        <f t="shared" si="48"/>
        <v>10310,10190</v>
      </c>
      <c r="F381" s="39" t="s">
        <v>1401</v>
      </c>
      <c r="G381" s="39">
        <v>2</v>
      </c>
      <c r="H381" s="24" t="s">
        <v>1397</v>
      </c>
      <c r="I381" s="24" t="s">
        <v>1399</v>
      </c>
      <c r="J381" s="24" t="str">
        <f t="shared" si="49"/>
        <v>[2,[10310,10190]]</v>
      </c>
      <c r="K381" s="42">
        <f t="shared" si="51"/>
        <v>1</v>
      </c>
      <c r="L381" s="39" t="s">
        <v>1401</v>
      </c>
      <c r="M381" s="39">
        <v>3</v>
      </c>
      <c r="N381" s="24" t="s">
        <v>1397</v>
      </c>
      <c r="O381" s="24" t="s">
        <v>1399</v>
      </c>
      <c r="P381" s="24">
        <f t="shared" si="50"/>
        <v>10026</v>
      </c>
      <c r="Q381" s="24" t="str">
        <f t="shared" si="52"/>
        <v>[[3,[10026]],[2,[10310,10190]]]</v>
      </c>
      <c r="R381" s="24" t="s">
        <v>1397</v>
      </c>
      <c r="S381" s="24" t="s">
        <v>1399</v>
      </c>
    </row>
    <row r="382" spans="1:19" ht="16.5" x14ac:dyDescent="0.15">
      <c r="A382">
        <f t="shared" si="46"/>
        <v>1002601</v>
      </c>
      <c r="B382" s="32" t="s">
        <v>189</v>
      </c>
      <c r="C382" s="35">
        <f t="shared" si="47"/>
        <v>10026</v>
      </c>
      <c r="D382">
        <v>10430</v>
      </c>
      <c r="E382" s="38" t="str">
        <f t="shared" si="48"/>
        <v>10430,10310,10190</v>
      </c>
      <c r="F382" s="39" t="s">
        <v>1401</v>
      </c>
      <c r="G382" s="39">
        <v>2</v>
      </c>
      <c r="H382" s="24" t="s">
        <v>1397</v>
      </c>
      <c r="I382" s="24" t="s">
        <v>1399</v>
      </c>
      <c r="J382" s="24" t="str">
        <f t="shared" si="49"/>
        <v>[2,[10430,10310,10190]]</v>
      </c>
      <c r="K382" s="42">
        <f t="shared" si="51"/>
        <v>1</v>
      </c>
      <c r="L382" s="39" t="s">
        <v>1401</v>
      </c>
      <c r="M382" s="39">
        <v>3</v>
      </c>
      <c r="N382" s="24" t="s">
        <v>1397</v>
      </c>
      <c r="O382" s="24" t="s">
        <v>1399</v>
      </c>
      <c r="P382" s="24">
        <f t="shared" si="50"/>
        <v>10026</v>
      </c>
      <c r="Q382" s="24" t="str">
        <f t="shared" si="52"/>
        <v>[[3,[10026]],[2,[10430,10310,10190]]]</v>
      </c>
      <c r="R382" s="24" t="s">
        <v>1397</v>
      </c>
      <c r="S382" s="24" t="s">
        <v>1399</v>
      </c>
    </row>
    <row r="383" spans="1:19" ht="16.5" x14ac:dyDescent="0.15">
      <c r="A383">
        <f t="shared" si="46"/>
        <v>1002601</v>
      </c>
      <c r="B383" s="32" t="s">
        <v>189</v>
      </c>
      <c r="C383" s="35">
        <f t="shared" si="47"/>
        <v>10026</v>
      </c>
      <c r="D383">
        <v>10550</v>
      </c>
      <c r="E383" s="38" t="str">
        <f t="shared" si="48"/>
        <v>10550,10430,10310,10190</v>
      </c>
      <c r="F383" s="39" t="s">
        <v>1401</v>
      </c>
      <c r="G383" s="39">
        <v>2</v>
      </c>
      <c r="H383" s="24" t="s">
        <v>1397</v>
      </c>
      <c r="I383" s="24" t="s">
        <v>1399</v>
      </c>
      <c r="J383" s="24" t="str">
        <f t="shared" si="49"/>
        <v>[2,[10550,10430,10310,10190]]</v>
      </c>
      <c r="K383" s="42">
        <f t="shared" si="51"/>
        <v>1</v>
      </c>
      <c r="L383" s="39" t="s">
        <v>1401</v>
      </c>
      <c r="M383" s="39">
        <v>3</v>
      </c>
      <c r="N383" s="24" t="s">
        <v>1397</v>
      </c>
      <c r="O383" s="24" t="s">
        <v>1399</v>
      </c>
      <c r="P383" s="24">
        <f t="shared" si="50"/>
        <v>10026</v>
      </c>
      <c r="Q383" s="24" t="str">
        <f t="shared" si="52"/>
        <v>[[3,[10026]],[2,[10550,10430,10310,10190]]]</v>
      </c>
      <c r="R383" s="24" t="s">
        <v>1397</v>
      </c>
      <c r="S383" s="24" t="s">
        <v>1399</v>
      </c>
    </row>
    <row r="384" spans="1:19" ht="16.5" x14ac:dyDescent="0.15">
      <c r="A384">
        <f t="shared" si="46"/>
        <v>1002601</v>
      </c>
      <c r="B384" s="32" t="s">
        <v>189</v>
      </c>
      <c r="C384" s="35">
        <f t="shared" si="47"/>
        <v>10026</v>
      </c>
      <c r="D384">
        <v>10670</v>
      </c>
      <c r="E384" s="38" t="str">
        <f t="shared" si="48"/>
        <v>10670,10550,10430,10310,10190</v>
      </c>
      <c r="F384" s="39" t="s">
        <v>1401</v>
      </c>
      <c r="G384" s="39">
        <v>2</v>
      </c>
      <c r="H384" s="24" t="s">
        <v>1397</v>
      </c>
      <c r="I384" s="24" t="s">
        <v>1399</v>
      </c>
      <c r="J384" s="24" t="str">
        <f t="shared" si="49"/>
        <v>[2,[10670,10550,10430,10310,10190]]</v>
      </c>
      <c r="K384" s="42">
        <f t="shared" si="51"/>
        <v>1</v>
      </c>
      <c r="L384" s="39" t="s">
        <v>1401</v>
      </c>
      <c r="M384" s="39">
        <v>3</v>
      </c>
      <c r="N384" s="24" t="s">
        <v>1397</v>
      </c>
      <c r="O384" s="24" t="s">
        <v>1399</v>
      </c>
      <c r="P384" s="24">
        <f t="shared" si="50"/>
        <v>10026</v>
      </c>
      <c r="Q384" s="24" t="str">
        <f t="shared" si="52"/>
        <v>[[3,[10026]],[2,[10670,10550,10430,10310,10190]]]</v>
      </c>
      <c r="R384" s="24" t="s">
        <v>1397</v>
      </c>
      <c r="S384" s="24" t="s">
        <v>1399</v>
      </c>
    </row>
    <row r="385" spans="1:19" ht="16.5" x14ac:dyDescent="0.15">
      <c r="A385">
        <f t="shared" si="46"/>
        <v>1002602</v>
      </c>
      <c r="B385" s="32" t="s">
        <v>189</v>
      </c>
      <c r="C385" s="35">
        <f t="shared" si="47"/>
        <v>10026</v>
      </c>
      <c r="D385">
        <v>10790</v>
      </c>
      <c r="E385" s="38" t="str">
        <f t="shared" si="48"/>
        <v>10790,10670,10550,10430,10310,10190</v>
      </c>
      <c r="F385" s="39" t="s">
        <v>1401</v>
      </c>
      <c r="G385" s="39">
        <v>2</v>
      </c>
      <c r="H385" s="24" t="s">
        <v>1397</v>
      </c>
      <c r="I385" s="24" t="s">
        <v>1399</v>
      </c>
      <c r="J385" s="24" t="str">
        <f t="shared" si="49"/>
        <v>[2,[10790,10670,10550,10430,10310,10190]]</v>
      </c>
      <c r="K385" s="42">
        <f t="shared" si="51"/>
        <v>2</v>
      </c>
      <c r="L385" s="39" t="s">
        <v>1401</v>
      </c>
      <c r="M385" s="39">
        <v>3</v>
      </c>
      <c r="N385" s="24" t="s">
        <v>1397</v>
      </c>
      <c r="O385" s="24" t="s">
        <v>1399</v>
      </c>
      <c r="P385" s="24">
        <f t="shared" si="50"/>
        <v>10026</v>
      </c>
      <c r="Q385" s="24" t="str">
        <f t="shared" si="52"/>
        <v>[[3,[10026]],[2,[10790,10670,10550,10430,10310,10190]]]</v>
      </c>
      <c r="R385" s="24" t="s">
        <v>1397</v>
      </c>
      <c r="S385" s="24" t="s">
        <v>1399</v>
      </c>
    </row>
    <row r="386" spans="1:19" ht="16.5" x14ac:dyDescent="0.15">
      <c r="A386">
        <f t="shared" si="46"/>
        <v>1002301</v>
      </c>
      <c r="B386" s="28" t="s">
        <v>103</v>
      </c>
      <c r="C386" s="35">
        <f t="shared" si="47"/>
        <v>10023</v>
      </c>
      <c r="D386" s="24">
        <v>10259</v>
      </c>
      <c r="E386" s="38">
        <f t="shared" si="48"/>
        <v>10259</v>
      </c>
      <c r="F386" s="39" t="s">
        <v>1401</v>
      </c>
      <c r="G386" s="39">
        <v>2</v>
      </c>
      <c r="H386" s="24" t="s">
        <v>1397</v>
      </c>
      <c r="I386" s="24" t="s">
        <v>1399</v>
      </c>
      <c r="J386" s="24" t="str">
        <f t="shared" si="49"/>
        <v>[2,[10259]]</v>
      </c>
      <c r="K386" s="42">
        <f t="shared" si="51"/>
        <v>1</v>
      </c>
      <c r="L386" s="39" t="s">
        <v>1401</v>
      </c>
      <c r="M386" s="39">
        <v>3</v>
      </c>
      <c r="N386" s="24" t="s">
        <v>1397</v>
      </c>
      <c r="O386" s="24" t="s">
        <v>1399</v>
      </c>
      <c r="P386" s="24">
        <f t="shared" si="50"/>
        <v>0</v>
      </c>
      <c r="Q386" s="24" t="str">
        <f t="shared" si="52"/>
        <v>[[2,[10259]]]</v>
      </c>
      <c r="R386" s="24" t="s">
        <v>1397</v>
      </c>
      <c r="S386" s="24" t="s">
        <v>1399</v>
      </c>
    </row>
    <row r="387" spans="1:19" ht="16.5" x14ac:dyDescent="0.15">
      <c r="A387">
        <f t="shared" si="46"/>
        <v>1002301</v>
      </c>
      <c r="B387" s="28" t="s">
        <v>103</v>
      </c>
      <c r="C387" s="35">
        <f t="shared" si="47"/>
        <v>10023</v>
      </c>
      <c r="D387" s="24">
        <v>10429</v>
      </c>
      <c r="E387" s="38" t="str">
        <f t="shared" si="48"/>
        <v>10429,10259</v>
      </c>
      <c r="F387" s="39" t="s">
        <v>1401</v>
      </c>
      <c r="G387" s="39">
        <v>2</v>
      </c>
      <c r="H387" s="24" t="s">
        <v>1397</v>
      </c>
      <c r="I387" s="24" t="s">
        <v>1399</v>
      </c>
      <c r="J387" s="24" t="str">
        <f t="shared" si="49"/>
        <v>[2,[10429,10259]]</v>
      </c>
      <c r="K387" s="42">
        <f t="shared" si="51"/>
        <v>1</v>
      </c>
      <c r="L387" s="39" t="s">
        <v>1401</v>
      </c>
      <c r="M387" s="39">
        <v>3</v>
      </c>
      <c r="N387" s="24" t="s">
        <v>1397</v>
      </c>
      <c r="O387" s="24" t="s">
        <v>1399</v>
      </c>
      <c r="P387" s="24">
        <f t="shared" si="50"/>
        <v>0</v>
      </c>
      <c r="Q387" s="24" t="str">
        <f t="shared" si="52"/>
        <v>[[2,[10429,10259]]]</v>
      </c>
      <c r="R387" s="24" t="s">
        <v>1397</v>
      </c>
      <c r="S387" s="24" t="s">
        <v>1399</v>
      </c>
    </row>
    <row r="388" spans="1:19" ht="16.5" x14ac:dyDescent="0.15">
      <c r="A388">
        <f t="shared" si="46"/>
        <v>1002301</v>
      </c>
      <c r="B388" s="28" t="s">
        <v>103</v>
      </c>
      <c r="C388" s="35">
        <f t="shared" si="47"/>
        <v>10023</v>
      </c>
      <c r="D388" s="24">
        <v>10599</v>
      </c>
      <c r="E388" s="38" t="str">
        <f t="shared" si="48"/>
        <v>10599,10429,10259</v>
      </c>
      <c r="F388" s="39" t="s">
        <v>1401</v>
      </c>
      <c r="G388" s="39">
        <v>2</v>
      </c>
      <c r="H388" s="24" t="s">
        <v>1397</v>
      </c>
      <c r="I388" s="24" t="s">
        <v>1399</v>
      </c>
      <c r="J388" s="24" t="str">
        <f t="shared" si="49"/>
        <v>[2,[10599,10429,10259]]</v>
      </c>
      <c r="K388" s="42">
        <f t="shared" si="51"/>
        <v>1</v>
      </c>
      <c r="L388" s="39" t="s">
        <v>1401</v>
      </c>
      <c r="M388" s="39">
        <v>3</v>
      </c>
      <c r="N388" s="24" t="s">
        <v>1397</v>
      </c>
      <c r="O388" s="24" t="s">
        <v>1399</v>
      </c>
      <c r="P388" s="24">
        <f t="shared" si="50"/>
        <v>0</v>
      </c>
      <c r="Q388" s="24" t="str">
        <f t="shared" si="52"/>
        <v>[[2,[10599,10429,10259]]]</v>
      </c>
      <c r="R388" s="24" t="s">
        <v>1397</v>
      </c>
      <c r="S388" s="24" t="s">
        <v>1399</v>
      </c>
    </row>
    <row r="389" spans="1:19" ht="16.5" x14ac:dyDescent="0.15">
      <c r="A389">
        <f t="shared" si="46"/>
        <v>1002301</v>
      </c>
      <c r="B389" s="28" t="s">
        <v>103</v>
      </c>
      <c r="C389" s="35">
        <f t="shared" si="47"/>
        <v>10023</v>
      </c>
      <c r="D389" s="24">
        <v>10769</v>
      </c>
      <c r="E389" s="38" t="str">
        <f t="shared" si="48"/>
        <v>10769,10599,10429,10259</v>
      </c>
      <c r="F389" s="39" t="s">
        <v>1401</v>
      </c>
      <c r="G389" s="39">
        <v>2</v>
      </c>
      <c r="H389" s="24" t="s">
        <v>1397</v>
      </c>
      <c r="I389" s="24" t="s">
        <v>1399</v>
      </c>
      <c r="J389" s="24" t="str">
        <f t="shared" si="49"/>
        <v>[2,[10769,10599,10429,10259]]</v>
      </c>
      <c r="K389" s="42">
        <f t="shared" si="51"/>
        <v>1</v>
      </c>
      <c r="L389" s="39" t="s">
        <v>1401</v>
      </c>
      <c r="M389" s="39">
        <v>3</v>
      </c>
      <c r="N389" s="24" t="s">
        <v>1397</v>
      </c>
      <c r="O389" s="24" t="s">
        <v>1399</v>
      </c>
      <c r="P389" s="24">
        <f t="shared" si="50"/>
        <v>0</v>
      </c>
      <c r="Q389" s="24" t="str">
        <f t="shared" si="52"/>
        <v>[[2,[10769,10599,10429,10259]]]</v>
      </c>
      <c r="R389" s="24" t="s">
        <v>1397</v>
      </c>
      <c r="S389" s="24" t="s">
        <v>1399</v>
      </c>
    </row>
    <row r="390" spans="1:19" ht="16.5" x14ac:dyDescent="0.15">
      <c r="A390">
        <f t="shared" si="46"/>
        <v>1002302</v>
      </c>
      <c r="B390" s="28" t="s">
        <v>103</v>
      </c>
      <c r="C390" s="35">
        <f t="shared" si="47"/>
        <v>10023</v>
      </c>
      <c r="D390">
        <v>10090</v>
      </c>
      <c r="E390" s="38" t="str">
        <f t="shared" si="48"/>
        <v>10090,10769,10599,10429,10259</v>
      </c>
      <c r="F390" s="39" t="s">
        <v>1401</v>
      </c>
      <c r="G390" s="39">
        <v>2</v>
      </c>
      <c r="H390" s="24" t="s">
        <v>1397</v>
      </c>
      <c r="I390" s="24" t="s">
        <v>1399</v>
      </c>
      <c r="J390" s="24" t="str">
        <f t="shared" si="49"/>
        <v>[2,[10090,10769,10599,10429,10259]]</v>
      </c>
      <c r="K390" s="42">
        <f t="shared" si="51"/>
        <v>2</v>
      </c>
      <c r="L390" s="39" t="s">
        <v>1401</v>
      </c>
      <c r="M390" s="39">
        <v>3</v>
      </c>
      <c r="N390" s="24" t="s">
        <v>1397</v>
      </c>
      <c r="O390" s="24" t="s">
        <v>1399</v>
      </c>
      <c r="P390" s="24">
        <f t="shared" si="50"/>
        <v>0</v>
      </c>
      <c r="Q390" s="24" t="str">
        <f t="shared" si="52"/>
        <v>[[2,[10090,10769,10599,10429,10259]]]</v>
      </c>
      <c r="R390" s="24" t="s">
        <v>1397</v>
      </c>
      <c r="S390" s="24" t="s">
        <v>1399</v>
      </c>
    </row>
    <row r="391" spans="1:19" ht="16.5" x14ac:dyDescent="0.15">
      <c r="A391">
        <f t="shared" si="46"/>
        <v>1003101</v>
      </c>
      <c r="B391" s="28" t="s">
        <v>112</v>
      </c>
      <c r="C391" s="35">
        <f t="shared" si="47"/>
        <v>10031</v>
      </c>
      <c r="D391" s="24">
        <v>10289</v>
      </c>
      <c r="E391" s="38">
        <f t="shared" si="48"/>
        <v>10289</v>
      </c>
      <c r="F391" s="39" t="s">
        <v>1401</v>
      </c>
      <c r="G391" s="39">
        <v>2</v>
      </c>
      <c r="H391" s="24" t="s">
        <v>1397</v>
      </c>
      <c r="I391" s="24" t="s">
        <v>1399</v>
      </c>
      <c r="J391" s="24" t="str">
        <f t="shared" si="49"/>
        <v>[2,[10289]]</v>
      </c>
      <c r="K391" s="42">
        <f t="shared" si="51"/>
        <v>1</v>
      </c>
      <c r="L391" s="39" t="s">
        <v>1401</v>
      </c>
      <c r="M391" s="39">
        <v>3</v>
      </c>
      <c r="N391" s="24" t="s">
        <v>1397</v>
      </c>
      <c r="O391" s="24" t="s">
        <v>1399</v>
      </c>
      <c r="P391" s="24">
        <f t="shared" si="50"/>
        <v>0</v>
      </c>
      <c r="Q391" s="24" t="str">
        <f t="shared" si="52"/>
        <v>[[2,[10289]]]</v>
      </c>
      <c r="R391" s="24" t="s">
        <v>1397</v>
      </c>
      <c r="S391" s="24" t="s">
        <v>1399</v>
      </c>
    </row>
    <row r="392" spans="1:19" ht="16.5" x14ac:dyDescent="0.15">
      <c r="A392">
        <f t="shared" si="46"/>
        <v>1003101</v>
      </c>
      <c r="B392" s="28" t="s">
        <v>112</v>
      </c>
      <c r="C392" s="35">
        <f t="shared" si="47"/>
        <v>10031</v>
      </c>
      <c r="D392" s="24">
        <v>10459</v>
      </c>
      <c r="E392" s="38" t="str">
        <f t="shared" si="48"/>
        <v>10459,10289</v>
      </c>
      <c r="F392" s="39" t="s">
        <v>1401</v>
      </c>
      <c r="G392" s="39">
        <v>2</v>
      </c>
      <c r="H392" s="24" t="s">
        <v>1397</v>
      </c>
      <c r="I392" s="24" t="s">
        <v>1399</v>
      </c>
      <c r="J392" s="24" t="str">
        <f t="shared" si="49"/>
        <v>[2,[10459,10289]]</v>
      </c>
      <c r="K392" s="42">
        <f t="shared" si="51"/>
        <v>1</v>
      </c>
      <c r="L392" s="39" t="s">
        <v>1401</v>
      </c>
      <c r="M392" s="39">
        <v>3</v>
      </c>
      <c r="N392" s="24" t="s">
        <v>1397</v>
      </c>
      <c r="O392" s="24" t="s">
        <v>1399</v>
      </c>
      <c r="P392" s="24">
        <f t="shared" si="50"/>
        <v>0</v>
      </c>
      <c r="Q392" s="24" t="str">
        <f t="shared" si="52"/>
        <v>[[2,[10459,10289]]]</v>
      </c>
      <c r="R392" s="24" t="s">
        <v>1397</v>
      </c>
      <c r="S392" s="24" t="s">
        <v>1399</v>
      </c>
    </row>
    <row r="393" spans="1:19" ht="16.5" x14ac:dyDescent="0.15">
      <c r="A393">
        <f t="shared" si="46"/>
        <v>1003101</v>
      </c>
      <c r="B393" s="28" t="s">
        <v>112</v>
      </c>
      <c r="C393" s="35">
        <f t="shared" si="47"/>
        <v>10031</v>
      </c>
      <c r="D393" s="24">
        <v>10629</v>
      </c>
      <c r="E393" s="38" t="str">
        <f t="shared" si="48"/>
        <v>10629,10459,10289</v>
      </c>
      <c r="F393" s="39" t="s">
        <v>1401</v>
      </c>
      <c r="G393" s="39">
        <v>2</v>
      </c>
      <c r="H393" s="24" t="s">
        <v>1397</v>
      </c>
      <c r="I393" s="24" t="s">
        <v>1399</v>
      </c>
      <c r="J393" s="24" t="str">
        <f t="shared" si="49"/>
        <v>[2,[10629,10459,10289]]</v>
      </c>
      <c r="K393" s="42">
        <f t="shared" si="51"/>
        <v>1</v>
      </c>
      <c r="L393" s="39" t="s">
        <v>1401</v>
      </c>
      <c r="M393" s="39">
        <v>3</v>
      </c>
      <c r="N393" s="24" t="s">
        <v>1397</v>
      </c>
      <c r="O393" s="24" t="s">
        <v>1399</v>
      </c>
      <c r="P393" s="24">
        <f t="shared" si="50"/>
        <v>0</v>
      </c>
      <c r="Q393" s="24" t="str">
        <f t="shared" si="52"/>
        <v>[[2,[10629,10459,10289]]]</v>
      </c>
      <c r="R393" s="24" t="s">
        <v>1397</v>
      </c>
      <c r="S393" s="24" t="s">
        <v>1399</v>
      </c>
    </row>
    <row r="394" spans="1:19" ht="16.5" x14ac:dyDescent="0.15">
      <c r="A394">
        <f t="shared" si="46"/>
        <v>1003101</v>
      </c>
      <c r="B394" s="28" t="s">
        <v>112</v>
      </c>
      <c r="C394" s="35">
        <f t="shared" si="47"/>
        <v>10031</v>
      </c>
      <c r="D394" s="24">
        <v>10799</v>
      </c>
      <c r="E394" s="38" t="str">
        <f t="shared" si="48"/>
        <v>10799,10629,10459,10289</v>
      </c>
      <c r="F394" s="39" t="s">
        <v>1401</v>
      </c>
      <c r="G394" s="39">
        <v>2</v>
      </c>
      <c r="H394" s="24" t="s">
        <v>1397</v>
      </c>
      <c r="I394" s="24" t="s">
        <v>1399</v>
      </c>
      <c r="J394" s="24" t="str">
        <f t="shared" si="49"/>
        <v>[2,[10799,10629,10459,10289]]</v>
      </c>
      <c r="K394" s="42">
        <f t="shared" si="51"/>
        <v>1</v>
      </c>
      <c r="L394" s="39" t="s">
        <v>1401</v>
      </c>
      <c r="M394" s="39">
        <v>3</v>
      </c>
      <c r="N394" s="24" t="s">
        <v>1397</v>
      </c>
      <c r="O394" s="24" t="s">
        <v>1399</v>
      </c>
      <c r="P394" s="24">
        <f t="shared" si="50"/>
        <v>0</v>
      </c>
      <c r="Q394" s="24" t="str">
        <f t="shared" si="52"/>
        <v>[[2,[10799,10629,10459,10289]]]</v>
      </c>
      <c r="R394" s="24" t="s">
        <v>1397</v>
      </c>
      <c r="S394" s="24" t="s">
        <v>1399</v>
      </c>
    </row>
    <row r="395" spans="1:19" ht="16.5" x14ac:dyDescent="0.15">
      <c r="A395">
        <f t="shared" ref="A395:A449" si="53">C395*100+K395</f>
        <v>1003102</v>
      </c>
      <c r="B395" s="28" t="s">
        <v>112</v>
      </c>
      <c r="C395" s="35">
        <f t="shared" si="47"/>
        <v>10031</v>
      </c>
      <c r="D395">
        <v>10120</v>
      </c>
      <c r="E395" s="38" t="str">
        <f t="shared" si="48"/>
        <v>10120,10799,10629,10459,10289</v>
      </c>
      <c r="F395" s="39" t="s">
        <v>1401</v>
      </c>
      <c r="G395" s="39">
        <v>2</v>
      </c>
      <c r="H395" s="24" t="s">
        <v>1397</v>
      </c>
      <c r="I395" s="24" t="s">
        <v>1399</v>
      </c>
      <c r="J395" s="24" t="str">
        <f t="shared" si="49"/>
        <v>[2,[10120,10799,10629,10459,10289]]</v>
      </c>
      <c r="K395" s="42">
        <f t="shared" si="51"/>
        <v>2</v>
      </c>
      <c r="L395" s="39" t="s">
        <v>1401</v>
      </c>
      <c r="M395" s="39">
        <v>3</v>
      </c>
      <c r="N395" s="24" t="s">
        <v>1397</v>
      </c>
      <c r="O395" s="24" t="s">
        <v>1399</v>
      </c>
      <c r="P395" s="24">
        <f t="shared" si="50"/>
        <v>0</v>
      </c>
      <c r="Q395" s="24" t="str">
        <f t="shared" si="52"/>
        <v>[[2,[10120,10799,10629,10459,10289]]]</v>
      </c>
      <c r="R395" s="24" t="s">
        <v>1397</v>
      </c>
      <c r="S395" s="24" t="s">
        <v>1399</v>
      </c>
    </row>
    <row r="396" spans="1:19" ht="16.5" x14ac:dyDescent="0.15">
      <c r="A396">
        <f t="shared" si="53"/>
        <v>1010101</v>
      </c>
      <c r="B396" s="28" t="s">
        <v>110</v>
      </c>
      <c r="C396" s="35">
        <f t="shared" si="47"/>
        <v>10101</v>
      </c>
      <c r="D396" s="24">
        <v>10279</v>
      </c>
      <c r="E396" s="38">
        <f t="shared" si="48"/>
        <v>10279</v>
      </c>
      <c r="F396" s="39" t="s">
        <v>1401</v>
      </c>
      <c r="G396" s="39">
        <v>2</v>
      </c>
      <c r="H396" s="24" t="s">
        <v>1397</v>
      </c>
      <c r="I396" s="24" t="s">
        <v>1399</v>
      </c>
      <c r="J396" s="24" t="str">
        <f t="shared" si="49"/>
        <v>[2,[10279]]</v>
      </c>
      <c r="K396" s="42">
        <f t="shared" si="51"/>
        <v>1</v>
      </c>
      <c r="L396" s="39" t="s">
        <v>1401</v>
      </c>
      <c r="M396" s="39">
        <v>3</v>
      </c>
      <c r="N396" s="24" t="s">
        <v>1397</v>
      </c>
      <c r="O396" s="24" t="s">
        <v>1399</v>
      </c>
      <c r="P396" s="24">
        <f t="shared" si="50"/>
        <v>0</v>
      </c>
      <c r="Q396" s="24" t="str">
        <f t="shared" si="52"/>
        <v>[[2,[10279]]]</v>
      </c>
      <c r="R396" s="24" t="s">
        <v>1397</v>
      </c>
      <c r="S396" s="24" t="s">
        <v>1399</v>
      </c>
    </row>
    <row r="397" spans="1:19" ht="16.5" x14ac:dyDescent="0.15">
      <c r="A397">
        <f t="shared" si="53"/>
        <v>1010101</v>
      </c>
      <c r="B397" s="28" t="s">
        <v>110</v>
      </c>
      <c r="C397" s="35">
        <f t="shared" si="47"/>
        <v>10101</v>
      </c>
      <c r="D397" s="24">
        <v>10449</v>
      </c>
      <c r="E397" s="38" t="str">
        <f t="shared" si="48"/>
        <v>10449,10279</v>
      </c>
      <c r="F397" s="39" t="s">
        <v>1401</v>
      </c>
      <c r="G397" s="39">
        <v>2</v>
      </c>
      <c r="H397" s="24" t="s">
        <v>1397</v>
      </c>
      <c r="I397" s="24" t="s">
        <v>1399</v>
      </c>
      <c r="J397" s="24" t="str">
        <f t="shared" si="49"/>
        <v>[2,[10449,10279]]</v>
      </c>
      <c r="K397" s="42">
        <f t="shared" si="51"/>
        <v>1</v>
      </c>
      <c r="L397" s="39" t="s">
        <v>1401</v>
      </c>
      <c r="M397" s="39">
        <v>3</v>
      </c>
      <c r="N397" s="24" t="s">
        <v>1397</v>
      </c>
      <c r="O397" s="24" t="s">
        <v>1399</v>
      </c>
      <c r="P397" s="24">
        <f t="shared" si="50"/>
        <v>0</v>
      </c>
      <c r="Q397" s="24" t="str">
        <f t="shared" si="52"/>
        <v>[[2,[10449,10279]]]</v>
      </c>
      <c r="R397" s="24" t="s">
        <v>1397</v>
      </c>
      <c r="S397" s="24" t="s">
        <v>1399</v>
      </c>
    </row>
    <row r="398" spans="1:19" ht="16.5" x14ac:dyDescent="0.15">
      <c r="A398">
        <f t="shared" si="53"/>
        <v>1010101</v>
      </c>
      <c r="B398" s="28" t="s">
        <v>110</v>
      </c>
      <c r="C398" s="35">
        <f t="shared" si="47"/>
        <v>10101</v>
      </c>
      <c r="D398" s="24">
        <v>10619</v>
      </c>
      <c r="E398" s="38" t="str">
        <f t="shared" si="48"/>
        <v>10619,10449,10279</v>
      </c>
      <c r="F398" s="39" t="s">
        <v>1401</v>
      </c>
      <c r="G398" s="39">
        <v>2</v>
      </c>
      <c r="H398" s="24" t="s">
        <v>1397</v>
      </c>
      <c r="I398" s="24" t="s">
        <v>1399</v>
      </c>
      <c r="J398" s="24" t="str">
        <f t="shared" si="49"/>
        <v>[2,[10619,10449,10279]]</v>
      </c>
      <c r="K398" s="42">
        <f t="shared" si="51"/>
        <v>1</v>
      </c>
      <c r="L398" s="39" t="s">
        <v>1401</v>
      </c>
      <c r="M398" s="39">
        <v>3</v>
      </c>
      <c r="N398" s="24" t="s">
        <v>1397</v>
      </c>
      <c r="O398" s="24" t="s">
        <v>1399</v>
      </c>
      <c r="P398" s="24">
        <f t="shared" si="50"/>
        <v>0</v>
      </c>
      <c r="Q398" s="24" t="str">
        <f t="shared" si="52"/>
        <v>[[2,[10619,10449,10279]]]</v>
      </c>
      <c r="R398" s="24" t="s">
        <v>1397</v>
      </c>
      <c r="S398" s="24" t="s">
        <v>1399</v>
      </c>
    </row>
    <row r="399" spans="1:19" ht="16.5" x14ac:dyDescent="0.15">
      <c r="A399">
        <f t="shared" si="53"/>
        <v>1010101</v>
      </c>
      <c r="B399" s="28" t="s">
        <v>110</v>
      </c>
      <c r="C399" s="35">
        <f t="shared" si="47"/>
        <v>10101</v>
      </c>
      <c r="D399" s="24">
        <v>10789</v>
      </c>
      <c r="E399" s="38" t="str">
        <f t="shared" si="48"/>
        <v>10789,10619,10449,10279</v>
      </c>
      <c r="F399" s="39" t="s">
        <v>1401</v>
      </c>
      <c r="G399" s="39">
        <v>2</v>
      </c>
      <c r="H399" s="24" t="s">
        <v>1397</v>
      </c>
      <c r="I399" s="24" t="s">
        <v>1399</v>
      </c>
      <c r="J399" s="24" t="str">
        <f t="shared" si="49"/>
        <v>[2,[10789,10619,10449,10279]]</v>
      </c>
      <c r="K399" s="42">
        <f t="shared" si="51"/>
        <v>1</v>
      </c>
      <c r="L399" s="39" t="s">
        <v>1401</v>
      </c>
      <c r="M399" s="39">
        <v>3</v>
      </c>
      <c r="N399" s="24" t="s">
        <v>1397</v>
      </c>
      <c r="O399" s="24" t="s">
        <v>1399</v>
      </c>
      <c r="P399" s="24">
        <f t="shared" si="50"/>
        <v>0</v>
      </c>
      <c r="Q399" s="24" t="str">
        <f t="shared" si="52"/>
        <v>[[2,[10789,10619,10449,10279]]]</v>
      </c>
      <c r="R399" s="24" t="s">
        <v>1397</v>
      </c>
      <c r="S399" s="24" t="s">
        <v>1399</v>
      </c>
    </row>
    <row r="400" spans="1:19" ht="16.5" x14ac:dyDescent="0.15">
      <c r="A400">
        <f t="shared" si="53"/>
        <v>1010102</v>
      </c>
      <c r="B400" s="28" t="s">
        <v>110</v>
      </c>
      <c r="C400" s="35">
        <f t="shared" si="47"/>
        <v>10101</v>
      </c>
      <c r="D400">
        <v>10110</v>
      </c>
      <c r="E400" s="38" t="str">
        <f t="shared" si="48"/>
        <v>10110,10789,10619,10449,10279</v>
      </c>
      <c r="F400" s="39" t="s">
        <v>1401</v>
      </c>
      <c r="G400" s="39">
        <v>2</v>
      </c>
      <c r="H400" s="24" t="s">
        <v>1397</v>
      </c>
      <c r="I400" s="24" t="s">
        <v>1399</v>
      </c>
      <c r="J400" s="24" t="str">
        <f t="shared" si="49"/>
        <v>[2,[10110,10789,10619,10449,10279]]</v>
      </c>
      <c r="K400" s="42">
        <f t="shared" si="51"/>
        <v>2</v>
      </c>
      <c r="L400" s="39" t="s">
        <v>1401</v>
      </c>
      <c r="M400" s="39">
        <v>3</v>
      </c>
      <c r="N400" s="24" t="s">
        <v>1397</v>
      </c>
      <c r="O400" s="24" t="s">
        <v>1399</v>
      </c>
      <c r="P400" s="24">
        <f t="shared" si="50"/>
        <v>0</v>
      </c>
      <c r="Q400" s="24" t="str">
        <f t="shared" si="52"/>
        <v>[[2,[10110,10789,10619,10449,10279]]]</v>
      </c>
      <c r="R400" s="24" t="s">
        <v>1397</v>
      </c>
      <c r="S400" s="24" t="s">
        <v>1399</v>
      </c>
    </row>
    <row r="401" spans="1:19" ht="16.5" x14ac:dyDescent="0.15">
      <c r="A401">
        <f t="shared" si="53"/>
        <v>1001501</v>
      </c>
      <c r="B401" s="28" t="s">
        <v>104</v>
      </c>
      <c r="C401" s="35">
        <f t="shared" si="47"/>
        <v>10015</v>
      </c>
      <c r="D401" s="24">
        <v>10159</v>
      </c>
      <c r="E401" s="38">
        <f t="shared" si="48"/>
        <v>10159</v>
      </c>
      <c r="F401" s="39" t="s">
        <v>1401</v>
      </c>
      <c r="G401" s="39">
        <v>2</v>
      </c>
      <c r="H401" s="24" t="s">
        <v>1397</v>
      </c>
      <c r="I401" s="24" t="s">
        <v>1399</v>
      </c>
      <c r="J401" s="24" t="str">
        <f t="shared" si="49"/>
        <v>[2,[10159]]</v>
      </c>
      <c r="K401" s="42">
        <f t="shared" si="51"/>
        <v>1</v>
      </c>
      <c r="L401" s="39" t="s">
        <v>1401</v>
      </c>
      <c r="M401" s="39">
        <v>3</v>
      </c>
      <c r="N401" s="24" t="s">
        <v>1397</v>
      </c>
      <c r="O401" s="24" t="s">
        <v>1399</v>
      </c>
      <c r="P401" s="24">
        <f t="shared" si="50"/>
        <v>0</v>
      </c>
      <c r="Q401" s="24" t="str">
        <f t="shared" si="52"/>
        <v>[[2,[10159]]]</v>
      </c>
      <c r="R401" s="24" t="s">
        <v>1397</v>
      </c>
      <c r="S401" s="24" t="s">
        <v>1399</v>
      </c>
    </row>
    <row r="402" spans="1:19" ht="16.5" x14ac:dyDescent="0.15">
      <c r="A402">
        <f t="shared" si="53"/>
        <v>1001501</v>
      </c>
      <c r="B402" s="28" t="s">
        <v>104</v>
      </c>
      <c r="C402" s="35">
        <f t="shared" si="47"/>
        <v>10015</v>
      </c>
      <c r="D402" s="24">
        <v>10329</v>
      </c>
      <c r="E402" s="38" t="str">
        <f t="shared" si="48"/>
        <v>10329,10159</v>
      </c>
      <c r="F402" s="39" t="s">
        <v>1401</v>
      </c>
      <c r="G402" s="39">
        <v>2</v>
      </c>
      <c r="H402" s="24" t="s">
        <v>1397</v>
      </c>
      <c r="I402" s="24" t="s">
        <v>1399</v>
      </c>
      <c r="J402" s="24" t="str">
        <f t="shared" si="49"/>
        <v>[2,[10329,10159]]</v>
      </c>
      <c r="K402" s="42">
        <f t="shared" si="51"/>
        <v>1</v>
      </c>
      <c r="L402" s="39" t="s">
        <v>1401</v>
      </c>
      <c r="M402" s="39">
        <v>3</v>
      </c>
      <c r="N402" s="24" t="s">
        <v>1397</v>
      </c>
      <c r="O402" s="24" t="s">
        <v>1399</v>
      </c>
      <c r="P402" s="24">
        <f t="shared" si="50"/>
        <v>0</v>
      </c>
      <c r="Q402" s="24" t="str">
        <f t="shared" si="52"/>
        <v>[[2,[10329,10159]]]</v>
      </c>
      <c r="R402" s="24" t="s">
        <v>1397</v>
      </c>
      <c r="S402" s="24" t="s">
        <v>1399</v>
      </c>
    </row>
    <row r="403" spans="1:19" ht="16.5" x14ac:dyDescent="0.15">
      <c r="A403">
        <f t="shared" si="53"/>
        <v>1001501</v>
      </c>
      <c r="B403" s="28" t="s">
        <v>104</v>
      </c>
      <c r="C403" s="35">
        <f t="shared" si="47"/>
        <v>10015</v>
      </c>
      <c r="D403" s="24">
        <v>10499</v>
      </c>
      <c r="E403" s="38" t="str">
        <f t="shared" si="48"/>
        <v>10499,10329,10159</v>
      </c>
      <c r="F403" s="39" t="s">
        <v>1401</v>
      </c>
      <c r="G403" s="39">
        <v>2</v>
      </c>
      <c r="H403" s="24" t="s">
        <v>1397</v>
      </c>
      <c r="I403" s="24" t="s">
        <v>1399</v>
      </c>
      <c r="J403" s="24" t="str">
        <f t="shared" si="49"/>
        <v>[2,[10499,10329,10159]]</v>
      </c>
      <c r="K403" s="42">
        <f t="shared" si="51"/>
        <v>1</v>
      </c>
      <c r="L403" s="39" t="s">
        <v>1401</v>
      </c>
      <c r="M403" s="39">
        <v>3</v>
      </c>
      <c r="N403" s="24" t="s">
        <v>1397</v>
      </c>
      <c r="O403" s="24" t="s">
        <v>1399</v>
      </c>
      <c r="P403" s="24">
        <f t="shared" si="50"/>
        <v>0</v>
      </c>
      <c r="Q403" s="24" t="str">
        <f t="shared" si="52"/>
        <v>[[2,[10499,10329,10159]]]</v>
      </c>
      <c r="R403" s="24" t="s">
        <v>1397</v>
      </c>
      <c r="S403" s="24" t="s">
        <v>1399</v>
      </c>
    </row>
    <row r="404" spans="1:19" ht="16.5" x14ac:dyDescent="0.15">
      <c r="A404">
        <f t="shared" si="53"/>
        <v>1001501</v>
      </c>
      <c r="B404" s="28" t="s">
        <v>104</v>
      </c>
      <c r="C404" s="35">
        <f t="shared" si="47"/>
        <v>10015</v>
      </c>
      <c r="D404" s="24">
        <v>10669</v>
      </c>
      <c r="E404" s="38" t="str">
        <f t="shared" si="48"/>
        <v>10669,10499,10329,10159</v>
      </c>
      <c r="F404" s="39" t="s">
        <v>1401</v>
      </c>
      <c r="G404" s="39">
        <v>2</v>
      </c>
      <c r="H404" s="24" t="s">
        <v>1397</v>
      </c>
      <c r="I404" s="24" t="s">
        <v>1399</v>
      </c>
      <c r="J404" s="24" t="str">
        <f t="shared" si="49"/>
        <v>[2,[10669,10499,10329,10159]]</v>
      </c>
      <c r="K404" s="42">
        <f t="shared" si="51"/>
        <v>1</v>
      </c>
      <c r="L404" s="39" t="s">
        <v>1401</v>
      </c>
      <c r="M404" s="39">
        <v>3</v>
      </c>
      <c r="N404" s="24" t="s">
        <v>1397</v>
      </c>
      <c r="O404" s="24" t="s">
        <v>1399</v>
      </c>
      <c r="P404" s="24">
        <f t="shared" si="50"/>
        <v>0</v>
      </c>
      <c r="Q404" s="24" t="str">
        <f t="shared" si="52"/>
        <v>[[2,[10669,10499,10329,10159]]]</v>
      </c>
      <c r="R404" s="24" t="s">
        <v>1397</v>
      </c>
      <c r="S404" s="24" t="s">
        <v>1399</v>
      </c>
    </row>
    <row r="405" spans="1:19" ht="16.5" x14ac:dyDescent="0.15">
      <c r="A405">
        <f t="shared" si="53"/>
        <v>1001502</v>
      </c>
      <c r="B405" s="28" t="s">
        <v>104</v>
      </c>
      <c r="C405" s="35">
        <f t="shared" si="47"/>
        <v>10015</v>
      </c>
      <c r="D405" s="24">
        <v>10839</v>
      </c>
      <c r="E405" s="38" t="str">
        <f t="shared" si="48"/>
        <v>10839,10669,10499,10329,10159</v>
      </c>
      <c r="F405" s="39" t="s">
        <v>1401</v>
      </c>
      <c r="G405" s="39">
        <v>2</v>
      </c>
      <c r="H405" s="24" t="s">
        <v>1397</v>
      </c>
      <c r="I405" s="24" t="s">
        <v>1399</v>
      </c>
      <c r="J405" s="24" t="str">
        <f t="shared" si="49"/>
        <v>[2,[10839,10669,10499,10329,10159]]</v>
      </c>
      <c r="K405" s="42">
        <f t="shared" si="51"/>
        <v>2</v>
      </c>
      <c r="L405" s="39" t="s">
        <v>1401</v>
      </c>
      <c r="M405" s="39">
        <v>3</v>
      </c>
      <c r="N405" s="24" t="s">
        <v>1397</v>
      </c>
      <c r="O405" s="24" t="s">
        <v>1399</v>
      </c>
      <c r="P405" s="24">
        <f t="shared" si="50"/>
        <v>0</v>
      </c>
      <c r="Q405" s="24" t="str">
        <f t="shared" si="52"/>
        <v>[[2,[10839,10669,10499,10329,10159]]]</v>
      </c>
      <c r="R405" s="24" t="s">
        <v>1397</v>
      </c>
      <c r="S405" s="24" t="s">
        <v>1399</v>
      </c>
    </row>
    <row r="406" spans="1:19" ht="16.5" x14ac:dyDescent="0.15">
      <c r="A406">
        <f t="shared" si="53"/>
        <v>1010701</v>
      </c>
      <c r="B406" s="28" t="s">
        <v>452</v>
      </c>
      <c r="C406" s="35">
        <f t="shared" si="47"/>
        <v>10107</v>
      </c>
      <c r="D406" s="24">
        <v>10189</v>
      </c>
      <c r="E406" s="38">
        <f t="shared" si="48"/>
        <v>10189</v>
      </c>
      <c r="F406" s="39" t="s">
        <v>1401</v>
      </c>
      <c r="G406" s="39">
        <v>2</v>
      </c>
      <c r="H406" s="24" t="s">
        <v>1397</v>
      </c>
      <c r="I406" s="24" t="s">
        <v>1399</v>
      </c>
      <c r="J406" s="24" t="str">
        <f t="shared" si="49"/>
        <v>[2,[10189]]</v>
      </c>
      <c r="K406" s="42">
        <f t="shared" si="51"/>
        <v>1</v>
      </c>
      <c r="L406" s="39" t="s">
        <v>1401</v>
      </c>
      <c r="M406" s="39">
        <v>3</v>
      </c>
      <c r="N406" s="24" t="s">
        <v>1397</v>
      </c>
      <c r="O406" s="24" t="s">
        <v>1399</v>
      </c>
      <c r="P406" s="24">
        <f t="shared" si="50"/>
        <v>0</v>
      </c>
      <c r="Q406" s="24" t="str">
        <f t="shared" si="52"/>
        <v>[[2,[10189]]]</v>
      </c>
      <c r="R406" s="24" t="s">
        <v>1397</v>
      </c>
      <c r="S406" s="24" t="s">
        <v>1399</v>
      </c>
    </row>
    <row r="407" spans="1:19" ht="16.5" x14ac:dyDescent="0.15">
      <c r="A407">
        <f t="shared" si="53"/>
        <v>1010701</v>
      </c>
      <c r="B407" s="28" t="s">
        <v>452</v>
      </c>
      <c r="C407" s="35">
        <f t="shared" si="47"/>
        <v>10107</v>
      </c>
      <c r="D407" s="24">
        <v>10359</v>
      </c>
      <c r="E407" s="38" t="str">
        <f t="shared" si="48"/>
        <v>10359,10189</v>
      </c>
      <c r="F407" s="39" t="s">
        <v>1401</v>
      </c>
      <c r="G407" s="39">
        <v>2</v>
      </c>
      <c r="H407" s="24" t="s">
        <v>1397</v>
      </c>
      <c r="I407" s="24" t="s">
        <v>1399</v>
      </c>
      <c r="J407" s="24" t="str">
        <f t="shared" si="49"/>
        <v>[2,[10359,10189]]</v>
      </c>
      <c r="K407" s="42">
        <f t="shared" si="51"/>
        <v>1</v>
      </c>
      <c r="L407" s="39" t="s">
        <v>1401</v>
      </c>
      <c r="M407" s="39">
        <v>3</v>
      </c>
      <c r="N407" s="24" t="s">
        <v>1397</v>
      </c>
      <c r="O407" s="24" t="s">
        <v>1399</v>
      </c>
      <c r="P407" s="24">
        <f t="shared" si="50"/>
        <v>0</v>
      </c>
      <c r="Q407" s="24" t="str">
        <f t="shared" si="52"/>
        <v>[[2,[10359,10189]]]</v>
      </c>
      <c r="R407" s="24" t="s">
        <v>1397</v>
      </c>
      <c r="S407" s="24" t="s">
        <v>1399</v>
      </c>
    </row>
    <row r="408" spans="1:19" ht="16.5" x14ac:dyDescent="0.15">
      <c r="A408">
        <f t="shared" si="53"/>
        <v>1010701</v>
      </c>
      <c r="B408" s="28" t="s">
        <v>452</v>
      </c>
      <c r="C408" s="35">
        <f t="shared" si="47"/>
        <v>10107</v>
      </c>
      <c r="D408" s="24">
        <v>10529</v>
      </c>
      <c r="E408" s="38" t="str">
        <f t="shared" si="48"/>
        <v>10529,10359,10189</v>
      </c>
      <c r="F408" s="39" t="s">
        <v>1401</v>
      </c>
      <c r="G408" s="39">
        <v>2</v>
      </c>
      <c r="H408" s="24" t="s">
        <v>1397</v>
      </c>
      <c r="I408" s="24" t="s">
        <v>1399</v>
      </c>
      <c r="J408" s="24" t="str">
        <f t="shared" si="49"/>
        <v>[2,[10529,10359,10189]]</v>
      </c>
      <c r="K408" s="42">
        <f t="shared" si="51"/>
        <v>1</v>
      </c>
      <c r="L408" s="39" t="s">
        <v>1401</v>
      </c>
      <c r="M408" s="39">
        <v>3</v>
      </c>
      <c r="N408" s="24" t="s">
        <v>1397</v>
      </c>
      <c r="O408" s="24" t="s">
        <v>1399</v>
      </c>
      <c r="P408" s="24">
        <f t="shared" si="50"/>
        <v>0</v>
      </c>
      <c r="Q408" s="24" t="str">
        <f t="shared" si="52"/>
        <v>[[2,[10529,10359,10189]]]</v>
      </c>
      <c r="R408" s="24" t="s">
        <v>1397</v>
      </c>
      <c r="S408" s="24" t="s">
        <v>1399</v>
      </c>
    </row>
    <row r="409" spans="1:19" ht="16.5" x14ac:dyDescent="0.15">
      <c r="A409">
        <f t="shared" si="53"/>
        <v>1010701</v>
      </c>
      <c r="B409" s="28" t="s">
        <v>452</v>
      </c>
      <c r="C409" s="35">
        <f t="shared" si="47"/>
        <v>10107</v>
      </c>
      <c r="D409" s="24">
        <v>10699</v>
      </c>
      <c r="E409" s="38" t="str">
        <f t="shared" si="48"/>
        <v>10699,10529,10359,10189</v>
      </c>
      <c r="F409" s="39" t="s">
        <v>1401</v>
      </c>
      <c r="G409" s="39">
        <v>2</v>
      </c>
      <c r="H409" s="24" t="s">
        <v>1397</v>
      </c>
      <c r="I409" s="24" t="s">
        <v>1399</v>
      </c>
      <c r="J409" s="24" t="str">
        <f t="shared" si="49"/>
        <v>[2,[10699,10529,10359,10189]]</v>
      </c>
      <c r="K409" s="42">
        <f t="shared" si="51"/>
        <v>1</v>
      </c>
      <c r="L409" s="39" t="s">
        <v>1401</v>
      </c>
      <c r="M409" s="39">
        <v>3</v>
      </c>
      <c r="N409" s="24" t="s">
        <v>1397</v>
      </c>
      <c r="O409" s="24" t="s">
        <v>1399</v>
      </c>
      <c r="P409" s="24">
        <f t="shared" si="50"/>
        <v>0</v>
      </c>
      <c r="Q409" s="24" t="str">
        <f t="shared" si="52"/>
        <v>[[2,[10699,10529,10359,10189]]]</v>
      </c>
      <c r="R409" s="24" t="s">
        <v>1397</v>
      </c>
      <c r="S409" s="24" t="s">
        <v>1399</v>
      </c>
    </row>
    <row r="410" spans="1:19" ht="16.5" x14ac:dyDescent="0.15">
      <c r="A410">
        <f t="shared" si="53"/>
        <v>1010702</v>
      </c>
      <c r="B410" s="28" t="s">
        <v>452</v>
      </c>
      <c r="C410" s="35">
        <f t="shared" si="47"/>
        <v>10107</v>
      </c>
      <c r="D410" s="24">
        <v>10869</v>
      </c>
      <c r="E410" s="38" t="str">
        <f t="shared" si="48"/>
        <v>10869,10699,10529,10359,10189</v>
      </c>
      <c r="F410" s="39" t="s">
        <v>1401</v>
      </c>
      <c r="G410" s="39">
        <v>2</v>
      </c>
      <c r="H410" s="24" t="s">
        <v>1397</v>
      </c>
      <c r="I410" s="24" t="s">
        <v>1399</v>
      </c>
      <c r="J410" s="24" t="str">
        <f t="shared" si="49"/>
        <v>[2,[10869,10699,10529,10359,10189]]</v>
      </c>
      <c r="K410" s="42">
        <f t="shared" si="51"/>
        <v>2</v>
      </c>
      <c r="L410" s="39" t="s">
        <v>1401</v>
      </c>
      <c r="M410" s="39">
        <v>3</v>
      </c>
      <c r="N410" s="24" t="s">
        <v>1397</v>
      </c>
      <c r="O410" s="24" t="s">
        <v>1399</v>
      </c>
      <c r="P410" s="24">
        <f t="shared" si="50"/>
        <v>0</v>
      </c>
      <c r="Q410" s="24" t="str">
        <f t="shared" si="52"/>
        <v>[[2,[10869,10699,10529,10359,10189]]]</v>
      </c>
      <c r="R410" s="24" t="s">
        <v>1397</v>
      </c>
      <c r="S410" s="24" t="s">
        <v>1399</v>
      </c>
    </row>
    <row r="411" spans="1:19" ht="16.5" x14ac:dyDescent="0.15">
      <c r="A411">
        <f t="shared" si="53"/>
        <v>1000401</v>
      </c>
      <c r="B411" s="28" t="s">
        <v>436</v>
      </c>
      <c r="C411" s="35">
        <f t="shared" si="47"/>
        <v>10004</v>
      </c>
      <c r="D411" s="24">
        <v>10219</v>
      </c>
      <c r="E411" s="38">
        <f t="shared" si="48"/>
        <v>10219</v>
      </c>
      <c r="F411" s="39" t="s">
        <v>1401</v>
      </c>
      <c r="G411" s="39">
        <v>2</v>
      </c>
      <c r="H411" s="24" t="s">
        <v>1397</v>
      </c>
      <c r="I411" s="24" t="s">
        <v>1399</v>
      </c>
      <c r="J411" s="24" t="str">
        <f t="shared" si="49"/>
        <v>[2,[10219]]</v>
      </c>
      <c r="K411" s="42">
        <f t="shared" si="51"/>
        <v>1</v>
      </c>
      <c r="L411" s="39" t="s">
        <v>1401</v>
      </c>
      <c r="M411" s="39">
        <v>3</v>
      </c>
      <c r="N411" s="24" t="s">
        <v>1397</v>
      </c>
      <c r="O411" s="24" t="s">
        <v>1399</v>
      </c>
      <c r="P411" s="24">
        <f t="shared" si="50"/>
        <v>0</v>
      </c>
      <c r="Q411" s="24" t="str">
        <f t="shared" si="52"/>
        <v>[[2,[10219]]]</v>
      </c>
      <c r="R411" s="24" t="s">
        <v>1397</v>
      </c>
      <c r="S411" s="24" t="s">
        <v>1399</v>
      </c>
    </row>
    <row r="412" spans="1:19" ht="16.5" x14ac:dyDescent="0.15">
      <c r="A412">
        <f t="shared" si="53"/>
        <v>1000401</v>
      </c>
      <c r="B412" s="28" t="s">
        <v>436</v>
      </c>
      <c r="C412" s="35">
        <f t="shared" si="47"/>
        <v>10004</v>
      </c>
      <c r="D412" s="24">
        <v>10389</v>
      </c>
      <c r="E412" s="38" t="str">
        <f t="shared" si="48"/>
        <v>10389,10219</v>
      </c>
      <c r="F412" s="39" t="s">
        <v>1401</v>
      </c>
      <c r="G412" s="39">
        <v>2</v>
      </c>
      <c r="H412" s="24" t="s">
        <v>1397</v>
      </c>
      <c r="I412" s="24" t="s">
        <v>1399</v>
      </c>
      <c r="J412" s="24" t="str">
        <f t="shared" si="49"/>
        <v>[2,[10389,10219]]</v>
      </c>
      <c r="K412" s="42">
        <f t="shared" si="51"/>
        <v>1</v>
      </c>
      <c r="L412" s="39" t="s">
        <v>1401</v>
      </c>
      <c r="M412" s="39">
        <v>3</v>
      </c>
      <c r="N412" s="24" t="s">
        <v>1397</v>
      </c>
      <c r="O412" s="24" t="s">
        <v>1399</v>
      </c>
      <c r="P412" s="24">
        <f t="shared" si="50"/>
        <v>0</v>
      </c>
      <c r="Q412" s="24" t="str">
        <f t="shared" si="52"/>
        <v>[[2,[10389,10219]]]</v>
      </c>
      <c r="R412" s="24" t="s">
        <v>1397</v>
      </c>
      <c r="S412" s="24" t="s">
        <v>1399</v>
      </c>
    </row>
    <row r="413" spans="1:19" ht="16.5" x14ac:dyDescent="0.15">
      <c r="A413">
        <f t="shared" si="53"/>
        <v>1000401</v>
      </c>
      <c r="B413" s="28" t="s">
        <v>436</v>
      </c>
      <c r="C413" s="35">
        <f t="shared" si="47"/>
        <v>10004</v>
      </c>
      <c r="D413" s="24">
        <v>10559</v>
      </c>
      <c r="E413" s="38" t="str">
        <f t="shared" si="48"/>
        <v>10559,10389,10219</v>
      </c>
      <c r="F413" s="39" t="s">
        <v>1401</v>
      </c>
      <c r="G413" s="39">
        <v>2</v>
      </c>
      <c r="H413" s="24" t="s">
        <v>1397</v>
      </c>
      <c r="I413" s="24" t="s">
        <v>1399</v>
      </c>
      <c r="J413" s="24" t="str">
        <f t="shared" si="49"/>
        <v>[2,[10559,10389,10219]]</v>
      </c>
      <c r="K413" s="42">
        <f t="shared" si="51"/>
        <v>1</v>
      </c>
      <c r="L413" s="39" t="s">
        <v>1401</v>
      </c>
      <c r="M413" s="39">
        <v>3</v>
      </c>
      <c r="N413" s="24" t="s">
        <v>1397</v>
      </c>
      <c r="O413" s="24" t="s">
        <v>1399</v>
      </c>
      <c r="P413" s="24">
        <f t="shared" si="50"/>
        <v>0</v>
      </c>
      <c r="Q413" s="24" t="str">
        <f t="shared" si="52"/>
        <v>[[2,[10559,10389,10219]]]</v>
      </c>
      <c r="R413" s="24" t="s">
        <v>1397</v>
      </c>
      <c r="S413" s="24" t="s">
        <v>1399</v>
      </c>
    </row>
    <row r="414" spans="1:19" ht="16.5" x14ac:dyDescent="0.15">
      <c r="A414">
        <f t="shared" si="53"/>
        <v>1000401</v>
      </c>
      <c r="B414" s="28" t="s">
        <v>436</v>
      </c>
      <c r="C414" s="35">
        <f t="shared" si="47"/>
        <v>10004</v>
      </c>
      <c r="D414" s="24">
        <v>10729</v>
      </c>
      <c r="E414" s="38" t="str">
        <f t="shared" si="48"/>
        <v>10729,10559,10389,10219</v>
      </c>
      <c r="F414" s="39" t="s">
        <v>1401</v>
      </c>
      <c r="G414" s="39">
        <v>2</v>
      </c>
      <c r="H414" s="24" t="s">
        <v>1397</v>
      </c>
      <c r="I414" s="24" t="s">
        <v>1399</v>
      </c>
      <c r="J414" s="24" t="str">
        <f t="shared" si="49"/>
        <v>[2,[10729,10559,10389,10219]]</v>
      </c>
      <c r="K414" s="42">
        <f t="shared" si="51"/>
        <v>1</v>
      </c>
      <c r="L414" s="39" t="s">
        <v>1401</v>
      </c>
      <c r="M414" s="39">
        <v>3</v>
      </c>
      <c r="N414" s="24" t="s">
        <v>1397</v>
      </c>
      <c r="O414" s="24" t="s">
        <v>1399</v>
      </c>
      <c r="P414" s="24">
        <f t="shared" si="50"/>
        <v>0</v>
      </c>
      <c r="Q414" s="24" t="str">
        <f t="shared" si="52"/>
        <v>[[2,[10729,10559,10389,10219]]]</v>
      </c>
      <c r="R414" s="24" t="s">
        <v>1397</v>
      </c>
      <c r="S414" s="24" t="s">
        <v>1399</v>
      </c>
    </row>
    <row r="415" spans="1:19" ht="16.5" x14ac:dyDescent="0.15">
      <c r="A415">
        <f t="shared" si="53"/>
        <v>1000401</v>
      </c>
      <c r="B415" s="28" t="s">
        <v>436</v>
      </c>
      <c r="C415" s="35">
        <f t="shared" si="47"/>
        <v>10004</v>
      </c>
      <c r="D415" s="24">
        <v>10899</v>
      </c>
      <c r="E415" s="38" t="str">
        <f t="shared" si="48"/>
        <v>10899,10729,10559,10389,10219</v>
      </c>
      <c r="F415" s="39" t="s">
        <v>1401</v>
      </c>
      <c r="G415" s="39">
        <v>2</v>
      </c>
      <c r="H415" s="24" t="s">
        <v>1397</v>
      </c>
      <c r="I415" s="24" t="s">
        <v>1399</v>
      </c>
      <c r="J415" s="24" t="str">
        <f t="shared" si="49"/>
        <v>[2,[10899,10729,10559,10389,10219]]</v>
      </c>
      <c r="K415" s="42">
        <f t="shared" si="51"/>
        <v>1</v>
      </c>
      <c r="L415" s="39" t="s">
        <v>1401</v>
      </c>
      <c r="M415" s="39">
        <v>3</v>
      </c>
      <c r="N415" s="24" t="s">
        <v>1397</v>
      </c>
      <c r="O415" s="24" t="s">
        <v>1399</v>
      </c>
      <c r="P415" s="24">
        <f t="shared" si="50"/>
        <v>0</v>
      </c>
      <c r="Q415" s="24" t="str">
        <f t="shared" si="52"/>
        <v>[[2,[10899,10729,10559,10389,10219]]]</v>
      </c>
      <c r="R415" s="24" t="s">
        <v>1397</v>
      </c>
      <c r="S415" s="24" t="s">
        <v>1399</v>
      </c>
    </row>
    <row r="416" spans="1:19" ht="16.5" x14ac:dyDescent="0.15">
      <c r="A416">
        <f t="shared" si="53"/>
        <v>1000402</v>
      </c>
      <c r="B416" s="28" t="s">
        <v>436</v>
      </c>
      <c r="C416" s="35">
        <f t="shared" si="47"/>
        <v>10004</v>
      </c>
      <c r="D416">
        <v>10050</v>
      </c>
      <c r="E416" s="38" t="str">
        <f t="shared" si="48"/>
        <v>10050,10899,10729,10559,10389,10219</v>
      </c>
      <c r="F416" s="39" t="s">
        <v>1401</v>
      </c>
      <c r="G416" s="39">
        <v>2</v>
      </c>
      <c r="H416" s="24" t="s">
        <v>1397</v>
      </c>
      <c r="I416" s="24" t="s">
        <v>1399</v>
      </c>
      <c r="J416" s="24" t="str">
        <f t="shared" si="49"/>
        <v>[2,[10050,10899,10729,10559,10389,10219]]</v>
      </c>
      <c r="K416" s="42">
        <f t="shared" si="51"/>
        <v>2</v>
      </c>
      <c r="L416" s="39" t="s">
        <v>1401</v>
      </c>
      <c r="M416" s="39">
        <v>3</v>
      </c>
      <c r="N416" s="24" t="s">
        <v>1397</v>
      </c>
      <c r="O416" s="24" t="s">
        <v>1399</v>
      </c>
      <c r="P416" s="24">
        <f t="shared" si="50"/>
        <v>0</v>
      </c>
      <c r="Q416" s="24" t="str">
        <f t="shared" si="52"/>
        <v>[[2,[10050,10899,10729,10559,10389,10219]]]</v>
      </c>
      <c r="R416" s="24" t="s">
        <v>1397</v>
      </c>
      <c r="S416" s="24" t="s">
        <v>1399</v>
      </c>
    </row>
    <row r="417" spans="1:19" ht="16.5" x14ac:dyDescent="0.15">
      <c r="A417">
        <f t="shared" si="53"/>
        <v>1003801</v>
      </c>
      <c r="B417" s="33" t="s">
        <v>117</v>
      </c>
      <c r="C417" s="35">
        <f t="shared" si="47"/>
        <v>10038</v>
      </c>
      <c r="D417" s="24">
        <v>10176</v>
      </c>
      <c r="E417" s="38">
        <f t="shared" si="48"/>
        <v>10176</v>
      </c>
      <c r="F417" s="39" t="s">
        <v>1401</v>
      </c>
      <c r="G417" s="39">
        <v>2</v>
      </c>
      <c r="H417" s="24" t="s">
        <v>1397</v>
      </c>
      <c r="I417" s="24" t="s">
        <v>1399</v>
      </c>
      <c r="J417" s="24" t="str">
        <f t="shared" si="49"/>
        <v>[2,[10176]]</v>
      </c>
      <c r="K417" s="42">
        <f t="shared" si="51"/>
        <v>1</v>
      </c>
      <c r="L417" s="39" t="s">
        <v>1401</v>
      </c>
      <c r="M417" s="39">
        <v>3</v>
      </c>
      <c r="N417" s="24" t="s">
        <v>1397</v>
      </c>
      <c r="O417" s="24" t="s">
        <v>1399</v>
      </c>
      <c r="P417" s="24">
        <f t="shared" si="50"/>
        <v>0</v>
      </c>
      <c r="Q417" s="24" t="str">
        <f t="shared" si="52"/>
        <v>[[2,[10176]]]</v>
      </c>
      <c r="R417" s="24" t="s">
        <v>1397</v>
      </c>
      <c r="S417" s="24" t="s">
        <v>1399</v>
      </c>
    </row>
    <row r="418" spans="1:19" ht="16.5" x14ac:dyDescent="0.15">
      <c r="A418">
        <f t="shared" si="53"/>
        <v>1003801</v>
      </c>
      <c r="B418" s="33" t="s">
        <v>117</v>
      </c>
      <c r="C418" s="35">
        <f t="shared" si="47"/>
        <v>10038</v>
      </c>
      <c r="D418" s="24">
        <v>10336</v>
      </c>
      <c r="E418" s="38" t="str">
        <f t="shared" si="48"/>
        <v>10336,10176</v>
      </c>
      <c r="F418" s="39" t="s">
        <v>1401</v>
      </c>
      <c r="G418" s="39">
        <v>2</v>
      </c>
      <c r="H418" s="24" t="s">
        <v>1397</v>
      </c>
      <c r="I418" s="24" t="s">
        <v>1399</v>
      </c>
      <c r="J418" s="24" t="str">
        <f t="shared" si="49"/>
        <v>[2,[10336,10176]]</v>
      </c>
      <c r="K418" s="42">
        <f t="shared" si="51"/>
        <v>1</v>
      </c>
      <c r="L418" s="39" t="s">
        <v>1401</v>
      </c>
      <c r="M418" s="39">
        <v>3</v>
      </c>
      <c r="N418" s="24" t="s">
        <v>1397</v>
      </c>
      <c r="O418" s="24" t="s">
        <v>1399</v>
      </c>
      <c r="P418" s="24">
        <f t="shared" si="50"/>
        <v>0</v>
      </c>
      <c r="Q418" s="24" t="str">
        <f t="shared" si="52"/>
        <v>[[2,[10336,10176]]]</v>
      </c>
      <c r="R418" s="24" t="s">
        <v>1397</v>
      </c>
      <c r="S418" s="24" t="s">
        <v>1399</v>
      </c>
    </row>
    <row r="419" spans="1:19" ht="16.5" x14ac:dyDescent="0.15">
      <c r="A419">
        <f t="shared" si="53"/>
        <v>1003801</v>
      </c>
      <c r="B419" s="33" t="s">
        <v>117</v>
      </c>
      <c r="C419" s="35">
        <f t="shared" si="47"/>
        <v>10038</v>
      </c>
      <c r="D419" s="24">
        <v>10496</v>
      </c>
      <c r="E419" s="38" t="str">
        <f t="shared" si="48"/>
        <v>10496,10336,10176</v>
      </c>
      <c r="F419" s="39" t="s">
        <v>1401</v>
      </c>
      <c r="G419" s="39">
        <v>2</v>
      </c>
      <c r="H419" s="24" t="s">
        <v>1397</v>
      </c>
      <c r="I419" s="24" t="s">
        <v>1399</v>
      </c>
      <c r="J419" s="24" t="str">
        <f t="shared" si="49"/>
        <v>[2,[10496,10336,10176]]</v>
      </c>
      <c r="K419" s="42">
        <f t="shared" si="51"/>
        <v>1</v>
      </c>
      <c r="L419" s="39" t="s">
        <v>1401</v>
      </c>
      <c r="M419" s="39">
        <v>3</v>
      </c>
      <c r="N419" s="24" t="s">
        <v>1397</v>
      </c>
      <c r="O419" s="24" t="s">
        <v>1399</v>
      </c>
      <c r="P419" s="24">
        <f t="shared" si="50"/>
        <v>0</v>
      </c>
      <c r="Q419" s="24" t="str">
        <f t="shared" si="52"/>
        <v>[[2,[10496,10336,10176]]]</v>
      </c>
      <c r="R419" s="24" t="s">
        <v>1397</v>
      </c>
      <c r="S419" s="24" t="s">
        <v>1399</v>
      </c>
    </row>
    <row r="420" spans="1:19" ht="16.5" x14ac:dyDescent="0.15">
      <c r="A420">
        <f t="shared" si="53"/>
        <v>1003801</v>
      </c>
      <c r="B420" s="33" t="s">
        <v>117</v>
      </c>
      <c r="C420" s="35">
        <f t="shared" si="47"/>
        <v>10038</v>
      </c>
      <c r="D420" s="24">
        <v>10656</v>
      </c>
      <c r="E420" s="38" t="str">
        <f t="shared" si="48"/>
        <v>10656,10496,10336,10176</v>
      </c>
      <c r="F420" s="39" t="s">
        <v>1401</v>
      </c>
      <c r="G420" s="39">
        <v>2</v>
      </c>
      <c r="H420" s="24" t="s">
        <v>1397</v>
      </c>
      <c r="I420" s="24" t="s">
        <v>1399</v>
      </c>
      <c r="J420" s="24" t="str">
        <f t="shared" si="49"/>
        <v>[2,[10656,10496,10336,10176]]</v>
      </c>
      <c r="K420" s="42">
        <f t="shared" si="51"/>
        <v>1</v>
      </c>
      <c r="L420" s="39" t="s">
        <v>1401</v>
      </c>
      <c r="M420" s="39">
        <v>3</v>
      </c>
      <c r="N420" s="24" t="s">
        <v>1397</v>
      </c>
      <c r="O420" s="24" t="s">
        <v>1399</v>
      </c>
      <c r="P420" s="24">
        <f t="shared" si="50"/>
        <v>0</v>
      </c>
      <c r="Q420" s="24" t="str">
        <f t="shared" si="52"/>
        <v>[[2,[10656,10496,10336,10176]]]</v>
      </c>
      <c r="R420" s="24" t="s">
        <v>1397</v>
      </c>
      <c r="S420" s="24" t="s">
        <v>1399</v>
      </c>
    </row>
    <row r="421" spans="1:19" ht="16.5" x14ac:dyDescent="0.15">
      <c r="A421">
        <f t="shared" si="53"/>
        <v>1003801</v>
      </c>
      <c r="B421" s="33" t="s">
        <v>117</v>
      </c>
      <c r="C421" s="35">
        <f t="shared" si="47"/>
        <v>10038</v>
      </c>
      <c r="D421" s="24">
        <v>10816</v>
      </c>
      <c r="E421" s="38" t="str">
        <f t="shared" si="48"/>
        <v>10816,10656,10496,10336,10176</v>
      </c>
      <c r="F421" s="39" t="s">
        <v>1401</v>
      </c>
      <c r="G421" s="39">
        <v>2</v>
      </c>
      <c r="H421" s="24" t="s">
        <v>1397</v>
      </c>
      <c r="I421" s="24" t="s">
        <v>1399</v>
      </c>
      <c r="J421" s="24" t="str">
        <f t="shared" si="49"/>
        <v>[2,[10816,10656,10496,10336,10176]]</v>
      </c>
      <c r="K421" s="42">
        <f t="shared" si="51"/>
        <v>1</v>
      </c>
      <c r="L421" s="39" t="s">
        <v>1401</v>
      </c>
      <c r="M421" s="39">
        <v>3</v>
      </c>
      <c r="N421" s="24" t="s">
        <v>1397</v>
      </c>
      <c r="O421" s="24" t="s">
        <v>1399</v>
      </c>
      <c r="P421" s="24">
        <f t="shared" si="50"/>
        <v>0</v>
      </c>
      <c r="Q421" s="24" t="str">
        <f t="shared" si="52"/>
        <v>[[2,[10816,10656,10496,10336,10176]]]</v>
      </c>
      <c r="R421" s="24" t="s">
        <v>1397</v>
      </c>
      <c r="S421" s="24" t="s">
        <v>1399</v>
      </c>
    </row>
    <row r="422" spans="1:19" ht="16.5" x14ac:dyDescent="0.15">
      <c r="A422">
        <f t="shared" si="53"/>
        <v>1003802</v>
      </c>
      <c r="B422" s="33" t="s">
        <v>117</v>
      </c>
      <c r="C422" s="35">
        <f t="shared" si="47"/>
        <v>10038</v>
      </c>
      <c r="D422" s="24">
        <v>10119</v>
      </c>
      <c r="E422" s="38" t="str">
        <f t="shared" si="48"/>
        <v>10119,10816,10656,10496,10336,10176</v>
      </c>
      <c r="F422" s="39" t="s">
        <v>1401</v>
      </c>
      <c r="G422" s="39">
        <v>2</v>
      </c>
      <c r="H422" s="24" t="s">
        <v>1397</v>
      </c>
      <c r="I422" s="24" t="s">
        <v>1399</v>
      </c>
      <c r="J422" s="24" t="str">
        <f t="shared" si="49"/>
        <v>[2,[10119,10816,10656,10496,10336,10176]]</v>
      </c>
      <c r="K422" s="42">
        <f t="shared" si="51"/>
        <v>2</v>
      </c>
      <c r="L422" s="39" t="s">
        <v>1401</v>
      </c>
      <c r="M422" s="39">
        <v>3</v>
      </c>
      <c r="N422" s="24" t="s">
        <v>1397</v>
      </c>
      <c r="O422" s="24" t="s">
        <v>1399</v>
      </c>
      <c r="P422" s="24">
        <f t="shared" si="50"/>
        <v>0</v>
      </c>
      <c r="Q422" s="24" t="str">
        <f t="shared" si="52"/>
        <v>[[2,[10119,10816,10656,10496,10336,10176]]]</v>
      </c>
      <c r="R422" s="24" t="s">
        <v>1397</v>
      </c>
      <c r="S422" s="24" t="s">
        <v>1399</v>
      </c>
    </row>
    <row r="423" spans="1:19" ht="16.5" x14ac:dyDescent="0.15">
      <c r="A423">
        <f t="shared" si="53"/>
        <v>1004101</v>
      </c>
      <c r="B423" s="33" t="s">
        <v>986</v>
      </c>
      <c r="C423" s="35">
        <f t="shared" si="47"/>
        <v>10041</v>
      </c>
      <c r="D423" s="24">
        <v>10166</v>
      </c>
      <c r="E423" s="38">
        <f t="shared" si="48"/>
        <v>10166</v>
      </c>
      <c r="F423" s="39" t="s">
        <v>1401</v>
      </c>
      <c r="G423" s="39">
        <v>2</v>
      </c>
      <c r="H423" s="24" t="s">
        <v>1397</v>
      </c>
      <c r="I423" s="24" t="s">
        <v>1399</v>
      </c>
      <c r="J423" s="24" t="str">
        <f t="shared" si="49"/>
        <v>[2,[10166]]</v>
      </c>
      <c r="K423" s="42">
        <f t="shared" si="51"/>
        <v>1</v>
      </c>
      <c r="L423" s="39" t="s">
        <v>1401</v>
      </c>
      <c r="M423" s="39">
        <v>3</v>
      </c>
      <c r="N423" s="24" t="s">
        <v>1397</v>
      </c>
      <c r="O423" s="24" t="s">
        <v>1399</v>
      </c>
      <c r="P423" s="24">
        <f t="shared" si="50"/>
        <v>0</v>
      </c>
      <c r="Q423" s="24" t="str">
        <f t="shared" si="52"/>
        <v>[[2,[10166]]]</v>
      </c>
      <c r="R423" s="24" t="s">
        <v>1397</v>
      </c>
      <c r="S423" s="24" t="s">
        <v>1399</v>
      </c>
    </row>
    <row r="424" spans="1:19" ht="16.5" x14ac:dyDescent="0.15">
      <c r="A424">
        <f t="shared" si="53"/>
        <v>1004101</v>
      </c>
      <c r="B424" s="33" t="s">
        <v>986</v>
      </c>
      <c r="C424" s="35">
        <f t="shared" si="47"/>
        <v>10041</v>
      </c>
      <c r="D424" s="24">
        <v>10326</v>
      </c>
      <c r="E424" s="38" t="str">
        <f t="shared" si="48"/>
        <v>10326,10166</v>
      </c>
      <c r="F424" s="39" t="s">
        <v>1401</v>
      </c>
      <c r="G424" s="39">
        <v>2</v>
      </c>
      <c r="H424" s="24" t="s">
        <v>1397</v>
      </c>
      <c r="I424" s="24" t="s">
        <v>1399</v>
      </c>
      <c r="J424" s="24" t="str">
        <f t="shared" si="49"/>
        <v>[2,[10326,10166]]</v>
      </c>
      <c r="K424" s="42">
        <f t="shared" si="51"/>
        <v>1</v>
      </c>
      <c r="L424" s="39" t="s">
        <v>1401</v>
      </c>
      <c r="M424" s="39">
        <v>3</v>
      </c>
      <c r="N424" s="24" t="s">
        <v>1397</v>
      </c>
      <c r="O424" s="24" t="s">
        <v>1399</v>
      </c>
      <c r="P424" s="24">
        <f t="shared" si="50"/>
        <v>0</v>
      </c>
      <c r="Q424" s="24" t="str">
        <f t="shared" si="52"/>
        <v>[[2,[10326,10166]]]</v>
      </c>
      <c r="R424" s="24" t="s">
        <v>1397</v>
      </c>
      <c r="S424" s="24" t="s">
        <v>1399</v>
      </c>
    </row>
    <row r="425" spans="1:19" ht="16.5" x14ac:dyDescent="0.15">
      <c r="A425">
        <f t="shared" si="53"/>
        <v>1004101</v>
      </c>
      <c r="B425" s="33" t="s">
        <v>986</v>
      </c>
      <c r="C425" s="35">
        <f t="shared" si="47"/>
        <v>10041</v>
      </c>
      <c r="D425" s="24">
        <v>10486</v>
      </c>
      <c r="E425" s="38" t="str">
        <f t="shared" si="48"/>
        <v>10486,10326,10166</v>
      </c>
      <c r="F425" s="39" t="s">
        <v>1401</v>
      </c>
      <c r="G425" s="39">
        <v>2</v>
      </c>
      <c r="H425" s="24" t="s">
        <v>1397</v>
      </c>
      <c r="I425" s="24" t="s">
        <v>1399</v>
      </c>
      <c r="J425" s="24" t="str">
        <f t="shared" si="49"/>
        <v>[2,[10486,10326,10166]]</v>
      </c>
      <c r="K425" s="42">
        <f t="shared" si="51"/>
        <v>1</v>
      </c>
      <c r="L425" s="39" t="s">
        <v>1401</v>
      </c>
      <c r="M425" s="39">
        <v>3</v>
      </c>
      <c r="N425" s="24" t="s">
        <v>1397</v>
      </c>
      <c r="O425" s="24" t="s">
        <v>1399</v>
      </c>
      <c r="P425" s="24">
        <f t="shared" si="50"/>
        <v>0</v>
      </c>
      <c r="Q425" s="24" t="str">
        <f t="shared" si="52"/>
        <v>[[2,[10486,10326,10166]]]</v>
      </c>
      <c r="R425" s="24" t="s">
        <v>1397</v>
      </c>
      <c r="S425" s="24" t="s">
        <v>1399</v>
      </c>
    </row>
    <row r="426" spans="1:19" ht="16.5" x14ac:dyDescent="0.15">
      <c r="A426">
        <f t="shared" si="53"/>
        <v>1004101</v>
      </c>
      <c r="B426" s="33" t="s">
        <v>986</v>
      </c>
      <c r="C426" s="35">
        <f t="shared" si="47"/>
        <v>10041</v>
      </c>
      <c r="D426" s="24">
        <v>10646</v>
      </c>
      <c r="E426" s="38" t="str">
        <f t="shared" si="48"/>
        <v>10646,10486,10326,10166</v>
      </c>
      <c r="F426" s="39" t="s">
        <v>1401</v>
      </c>
      <c r="G426" s="39">
        <v>2</v>
      </c>
      <c r="H426" s="24" t="s">
        <v>1397</v>
      </c>
      <c r="I426" s="24" t="s">
        <v>1399</v>
      </c>
      <c r="J426" s="24" t="str">
        <f t="shared" si="49"/>
        <v>[2,[10646,10486,10326,10166]]</v>
      </c>
      <c r="K426" s="42">
        <f t="shared" si="51"/>
        <v>1</v>
      </c>
      <c r="L426" s="39" t="s">
        <v>1401</v>
      </c>
      <c r="M426" s="39">
        <v>3</v>
      </c>
      <c r="N426" s="24" t="s">
        <v>1397</v>
      </c>
      <c r="O426" s="24" t="s">
        <v>1399</v>
      </c>
      <c r="P426" s="24">
        <f t="shared" si="50"/>
        <v>0</v>
      </c>
      <c r="Q426" s="24" t="str">
        <f t="shared" si="52"/>
        <v>[[2,[10646,10486,10326,10166]]]</v>
      </c>
      <c r="R426" s="24" t="s">
        <v>1397</v>
      </c>
      <c r="S426" s="24" t="s">
        <v>1399</v>
      </c>
    </row>
    <row r="427" spans="1:19" ht="16.5" x14ac:dyDescent="0.15">
      <c r="A427">
        <f t="shared" si="53"/>
        <v>1004101</v>
      </c>
      <c r="B427" s="33" t="s">
        <v>986</v>
      </c>
      <c r="C427" s="35">
        <f t="shared" si="47"/>
        <v>10041</v>
      </c>
      <c r="D427" s="24">
        <v>10806</v>
      </c>
      <c r="E427" s="38" t="str">
        <f t="shared" si="48"/>
        <v>10806,10646,10486,10326,10166</v>
      </c>
      <c r="F427" s="39" t="s">
        <v>1401</v>
      </c>
      <c r="G427" s="39">
        <v>2</v>
      </c>
      <c r="H427" s="24" t="s">
        <v>1397</v>
      </c>
      <c r="I427" s="24" t="s">
        <v>1399</v>
      </c>
      <c r="J427" s="24" t="str">
        <f t="shared" si="49"/>
        <v>[2,[10806,10646,10486,10326,10166]]</v>
      </c>
      <c r="K427" s="42">
        <f t="shared" si="51"/>
        <v>1</v>
      </c>
      <c r="L427" s="39" t="s">
        <v>1401</v>
      </c>
      <c r="M427" s="39">
        <v>3</v>
      </c>
      <c r="N427" s="24" t="s">
        <v>1397</v>
      </c>
      <c r="O427" s="24" t="s">
        <v>1399</v>
      </c>
      <c r="P427" s="24">
        <f t="shared" si="50"/>
        <v>0</v>
      </c>
      <c r="Q427" s="24" t="str">
        <f t="shared" si="52"/>
        <v>[[2,[10806,10646,10486,10326,10166]]]</v>
      </c>
      <c r="R427" s="24" t="s">
        <v>1397</v>
      </c>
      <c r="S427" s="24" t="s">
        <v>1399</v>
      </c>
    </row>
    <row r="428" spans="1:19" ht="16.5" x14ac:dyDescent="0.15">
      <c r="A428">
        <f t="shared" si="53"/>
        <v>1004102</v>
      </c>
      <c r="B428" s="33" t="s">
        <v>986</v>
      </c>
      <c r="C428" s="35">
        <f t="shared" si="47"/>
        <v>10041</v>
      </c>
      <c r="D428" s="24">
        <v>10109</v>
      </c>
      <c r="E428" s="38" t="str">
        <f t="shared" si="48"/>
        <v>10109,10806,10646,10486,10326,10166</v>
      </c>
      <c r="F428" s="39" t="s">
        <v>1401</v>
      </c>
      <c r="G428" s="39">
        <v>2</v>
      </c>
      <c r="H428" s="24" t="s">
        <v>1397</v>
      </c>
      <c r="I428" s="24" t="s">
        <v>1399</v>
      </c>
      <c r="J428" s="24" t="str">
        <f t="shared" si="49"/>
        <v>[2,[10109,10806,10646,10486,10326,10166]]</v>
      </c>
      <c r="K428" s="42">
        <f t="shared" si="51"/>
        <v>2</v>
      </c>
      <c r="L428" s="39" t="s">
        <v>1401</v>
      </c>
      <c r="M428" s="39">
        <v>3</v>
      </c>
      <c r="N428" s="24" t="s">
        <v>1397</v>
      </c>
      <c r="O428" s="24" t="s">
        <v>1399</v>
      </c>
      <c r="P428" s="24">
        <f t="shared" si="50"/>
        <v>0</v>
      </c>
      <c r="Q428" s="24" t="str">
        <f t="shared" si="52"/>
        <v>[[2,[10109,10806,10646,10486,10326,10166]]]</v>
      </c>
      <c r="R428" s="24" t="s">
        <v>1397</v>
      </c>
      <c r="S428" s="24" t="s">
        <v>1399</v>
      </c>
    </row>
    <row r="429" spans="1:19" ht="16.5" x14ac:dyDescent="0.15">
      <c r="A429">
        <f t="shared" si="53"/>
        <v>1003701</v>
      </c>
      <c r="B429" s="28" t="s">
        <v>193</v>
      </c>
      <c r="C429" s="35">
        <f t="shared" si="47"/>
        <v>10037</v>
      </c>
      <c r="D429" s="24">
        <v>10129</v>
      </c>
      <c r="E429" s="38">
        <f t="shared" si="48"/>
        <v>10129</v>
      </c>
      <c r="F429" s="39" t="s">
        <v>1401</v>
      </c>
      <c r="G429" s="39">
        <v>2</v>
      </c>
      <c r="H429" s="24" t="s">
        <v>1397</v>
      </c>
      <c r="I429" s="24" t="s">
        <v>1399</v>
      </c>
      <c r="J429" s="24" t="str">
        <f t="shared" si="49"/>
        <v>[2,[10129]]</v>
      </c>
      <c r="K429" s="42">
        <f t="shared" si="51"/>
        <v>1</v>
      </c>
      <c r="L429" s="39" t="s">
        <v>1401</v>
      </c>
      <c r="M429" s="39">
        <v>3</v>
      </c>
      <c r="N429" s="24" t="s">
        <v>1397</v>
      </c>
      <c r="O429" s="24" t="s">
        <v>1399</v>
      </c>
      <c r="P429" s="24">
        <f t="shared" si="50"/>
        <v>0</v>
      </c>
      <c r="Q429" s="24" t="str">
        <f t="shared" si="52"/>
        <v>[[2,[10129]]]</v>
      </c>
      <c r="R429" s="24" t="s">
        <v>1397</v>
      </c>
      <c r="S429" s="24" t="s">
        <v>1399</v>
      </c>
    </row>
    <row r="430" spans="1:19" ht="16.5" x14ac:dyDescent="0.15">
      <c r="A430">
        <f t="shared" si="53"/>
        <v>1003701</v>
      </c>
      <c r="B430" s="28" t="s">
        <v>193</v>
      </c>
      <c r="C430" s="35">
        <f t="shared" si="47"/>
        <v>10037</v>
      </c>
      <c r="D430" s="24">
        <v>10299</v>
      </c>
      <c r="E430" s="38" t="str">
        <f t="shared" si="48"/>
        <v>10299,10129</v>
      </c>
      <c r="F430" s="39" t="s">
        <v>1401</v>
      </c>
      <c r="G430" s="39">
        <v>2</v>
      </c>
      <c r="H430" s="24" t="s">
        <v>1397</v>
      </c>
      <c r="I430" s="24" t="s">
        <v>1399</v>
      </c>
      <c r="J430" s="24" t="str">
        <f t="shared" si="49"/>
        <v>[2,[10299,10129]]</v>
      </c>
      <c r="K430" s="42">
        <f t="shared" si="51"/>
        <v>1</v>
      </c>
      <c r="L430" s="39" t="s">
        <v>1401</v>
      </c>
      <c r="M430" s="39">
        <v>3</v>
      </c>
      <c r="N430" s="24" t="s">
        <v>1397</v>
      </c>
      <c r="O430" s="24" t="s">
        <v>1399</v>
      </c>
      <c r="P430" s="24">
        <f t="shared" si="50"/>
        <v>0</v>
      </c>
      <c r="Q430" s="24" t="str">
        <f t="shared" si="52"/>
        <v>[[2,[10299,10129]]]</v>
      </c>
      <c r="R430" s="24" t="s">
        <v>1397</v>
      </c>
      <c r="S430" s="24" t="s">
        <v>1399</v>
      </c>
    </row>
    <row r="431" spans="1:19" ht="16.5" x14ac:dyDescent="0.15">
      <c r="A431">
        <f t="shared" si="53"/>
        <v>1003701</v>
      </c>
      <c r="B431" s="28" t="s">
        <v>193</v>
      </c>
      <c r="C431" s="35">
        <f t="shared" si="47"/>
        <v>10037</v>
      </c>
      <c r="D431" s="24">
        <v>10469</v>
      </c>
      <c r="E431" s="38" t="str">
        <f t="shared" si="48"/>
        <v>10469,10299,10129</v>
      </c>
      <c r="F431" s="39" t="s">
        <v>1401</v>
      </c>
      <c r="G431" s="39">
        <v>2</v>
      </c>
      <c r="H431" s="24" t="s">
        <v>1397</v>
      </c>
      <c r="I431" s="24" t="s">
        <v>1399</v>
      </c>
      <c r="J431" s="24" t="str">
        <f t="shared" si="49"/>
        <v>[2,[10469,10299,10129]]</v>
      </c>
      <c r="K431" s="42">
        <f t="shared" si="51"/>
        <v>1</v>
      </c>
      <c r="L431" s="39" t="s">
        <v>1401</v>
      </c>
      <c r="M431" s="39">
        <v>3</v>
      </c>
      <c r="N431" s="24" t="s">
        <v>1397</v>
      </c>
      <c r="O431" s="24" t="s">
        <v>1399</v>
      </c>
      <c r="P431" s="24">
        <f t="shared" si="50"/>
        <v>0</v>
      </c>
      <c r="Q431" s="24" t="str">
        <f t="shared" si="52"/>
        <v>[[2,[10469,10299,10129]]]</v>
      </c>
      <c r="R431" s="24" t="s">
        <v>1397</v>
      </c>
      <c r="S431" s="24" t="s">
        <v>1399</v>
      </c>
    </row>
    <row r="432" spans="1:19" ht="16.5" x14ac:dyDescent="0.15">
      <c r="A432">
        <f t="shared" si="53"/>
        <v>1003701</v>
      </c>
      <c r="B432" s="28" t="s">
        <v>193</v>
      </c>
      <c r="C432" s="35">
        <f t="shared" si="47"/>
        <v>10037</v>
      </c>
      <c r="D432" s="24">
        <v>10639</v>
      </c>
      <c r="E432" s="38" t="str">
        <f t="shared" si="48"/>
        <v>10639,10469,10299,10129</v>
      </c>
      <c r="F432" s="39" t="s">
        <v>1401</v>
      </c>
      <c r="G432" s="39">
        <v>2</v>
      </c>
      <c r="H432" s="24" t="s">
        <v>1397</v>
      </c>
      <c r="I432" s="24" t="s">
        <v>1399</v>
      </c>
      <c r="J432" s="24" t="str">
        <f t="shared" si="49"/>
        <v>[2,[10639,10469,10299,10129]]</v>
      </c>
      <c r="K432" s="42">
        <f t="shared" si="51"/>
        <v>1</v>
      </c>
      <c r="L432" s="39" t="s">
        <v>1401</v>
      </c>
      <c r="M432" s="39">
        <v>3</v>
      </c>
      <c r="N432" s="24" t="s">
        <v>1397</v>
      </c>
      <c r="O432" s="24" t="s">
        <v>1399</v>
      </c>
      <c r="P432" s="24">
        <f t="shared" si="50"/>
        <v>0</v>
      </c>
      <c r="Q432" s="24" t="str">
        <f t="shared" si="52"/>
        <v>[[2,[10639,10469,10299,10129]]]</v>
      </c>
      <c r="R432" s="24" t="s">
        <v>1397</v>
      </c>
      <c r="S432" s="24" t="s">
        <v>1399</v>
      </c>
    </row>
    <row r="433" spans="1:19" ht="16.5" x14ac:dyDescent="0.15">
      <c r="A433">
        <f t="shared" si="53"/>
        <v>1003702</v>
      </c>
      <c r="B433" s="28" t="s">
        <v>193</v>
      </c>
      <c r="C433" s="35">
        <f t="shared" si="47"/>
        <v>10037</v>
      </c>
      <c r="D433" s="24">
        <v>10809</v>
      </c>
      <c r="E433" s="38" t="str">
        <f t="shared" si="48"/>
        <v>10809,10639,10469,10299,10129</v>
      </c>
      <c r="F433" s="39" t="s">
        <v>1401</v>
      </c>
      <c r="G433" s="39">
        <v>2</v>
      </c>
      <c r="H433" s="24" t="s">
        <v>1397</v>
      </c>
      <c r="I433" s="24" t="s">
        <v>1399</v>
      </c>
      <c r="J433" s="24" t="str">
        <f t="shared" si="49"/>
        <v>[2,[10809,10639,10469,10299,10129]]</v>
      </c>
      <c r="K433" s="42">
        <f t="shared" si="51"/>
        <v>2</v>
      </c>
      <c r="L433" s="39" t="s">
        <v>1401</v>
      </c>
      <c r="M433" s="39">
        <v>3</v>
      </c>
      <c r="N433" s="24" t="s">
        <v>1397</v>
      </c>
      <c r="O433" s="24" t="s">
        <v>1399</v>
      </c>
      <c r="P433" s="24">
        <f t="shared" si="50"/>
        <v>0</v>
      </c>
      <c r="Q433" s="24" t="str">
        <f t="shared" si="52"/>
        <v>[[2,[10809,10639,10469,10299,10129]]]</v>
      </c>
      <c r="R433" s="24" t="s">
        <v>1397</v>
      </c>
      <c r="S433" s="24" t="s">
        <v>1399</v>
      </c>
    </row>
    <row r="434" spans="1:19" ht="16.5" x14ac:dyDescent="0.15">
      <c r="A434">
        <f t="shared" si="53"/>
        <v>1002101</v>
      </c>
      <c r="B434" s="32" t="s">
        <v>97</v>
      </c>
      <c r="C434" s="35">
        <f t="shared" si="47"/>
        <v>10021</v>
      </c>
      <c r="D434">
        <v>10240</v>
      </c>
      <c r="E434" s="38">
        <f t="shared" si="48"/>
        <v>10240</v>
      </c>
      <c r="F434" s="39" t="s">
        <v>1401</v>
      </c>
      <c r="G434" s="39">
        <v>2</v>
      </c>
      <c r="H434" s="24" t="s">
        <v>1397</v>
      </c>
      <c r="I434" s="24" t="s">
        <v>1399</v>
      </c>
      <c r="J434" s="24" t="str">
        <f t="shared" si="49"/>
        <v>[2,[10240]]</v>
      </c>
      <c r="K434" s="42">
        <f t="shared" si="51"/>
        <v>1</v>
      </c>
      <c r="L434" s="39" t="s">
        <v>1401</v>
      </c>
      <c r="M434" s="39">
        <v>3</v>
      </c>
      <c r="N434" s="24" t="s">
        <v>1397</v>
      </c>
      <c r="O434" s="24" t="s">
        <v>1399</v>
      </c>
      <c r="P434" s="24">
        <f t="shared" si="50"/>
        <v>10021</v>
      </c>
      <c r="Q434" s="24" t="str">
        <f t="shared" si="52"/>
        <v>[[3,[10021]],[2,[10240]]]</v>
      </c>
      <c r="R434" s="24" t="s">
        <v>1397</v>
      </c>
      <c r="S434" s="24" t="s">
        <v>1399</v>
      </c>
    </row>
    <row r="435" spans="1:19" ht="16.5" x14ac:dyDescent="0.15">
      <c r="A435">
        <f t="shared" si="53"/>
        <v>1002101</v>
      </c>
      <c r="B435" s="32" t="s">
        <v>97</v>
      </c>
      <c r="C435" s="35">
        <f t="shared" si="47"/>
        <v>10021</v>
      </c>
      <c r="D435">
        <v>10360</v>
      </c>
      <c r="E435" s="38" t="str">
        <f t="shared" si="48"/>
        <v>10360,10240</v>
      </c>
      <c r="F435" s="39" t="s">
        <v>1401</v>
      </c>
      <c r="G435" s="39">
        <v>2</v>
      </c>
      <c r="H435" s="24" t="s">
        <v>1397</v>
      </c>
      <c r="I435" s="24" t="s">
        <v>1399</v>
      </c>
      <c r="J435" s="24" t="str">
        <f t="shared" si="49"/>
        <v>[2,[10360,10240]]</v>
      </c>
      <c r="K435" s="42">
        <f t="shared" si="51"/>
        <v>1</v>
      </c>
      <c r="L435" s="39" t="s">
        <v>1401</v>
      </c>
      <c r="M435" s="39">
        <v>3</v>
      </c>
      <c r="N435" s="24" t="s">
        <v>1397</v>
      </c>
      <c r="O435" s="24" t="s">
        <v>1399</v>
      </c>
      <c r="P435" s="24">
        <f t="shared" si="50"/>
        <v>10021</v>
      </c>
      <c r="Q435" s="24" t="str">
        <f t="shared" si="52"/>
        <v>[[3,[10021]],[2,[10360,10240]]]</v>
      </c>
      <c r="R435" s="24" t="s">
        <v>1397</v>
      </c>
      <c r="S435" s="24" t="s">
        <v>1399</v>
      </c>
    </row>
    <row r="436" spans="1:19" ht="16.5" x14ac:dyDescent="0.15">
      <c r="A436">
        <f t="shared" si="53"/>
        <v>1002101</v>
      </c>
      <c r="B436" s="32" t="s">
        <v>97</v>
      </c>
      <c r="C436" s="35">
        <f t="shared" si="47"/>
        <v>10021</v>
      </c>
      <c r="D436">
        <v>10480</v>
      </c>
      <c r="E436" s="38" t="str">
        <f t="shared" si="48"/>
        <v>10480,10360,10240</v>
      </c>
      <c r="F436" s="39" t="s">
        <v>1401</v>
      </c>
      <c r="G436" s="39">
        <v>2</v>
      </c>
      <c r="H436" s="24" t="s">
        <v>1397</v>
      </c>
      <c r="I436" s="24" t="s">
        <v>1399</v>
      </c>
      <c r="J436" s="24" t="str">
        <f t="shared" si="49"/>
        <v>[2,[10480,10360,10240]]</v>
      </c>
      <c r="K436" s="42">
        <f t="shared" si="51"/>
        <v>1</v>
      </c>
      <c r="L436" s="39" t="s">
        <v>1401</v>
      </c>
      <c r="M436" s="39">
        <v>3</v>
      </c>
      <c r="N436" s="24" t="s">
        <v>1397</v>
      </c>
      <c r="O436" s="24" t="s">
        <v>1399</v>
      </c>
      <c r="P436" s="24">
        <f t="shared" si="50"/>
        <v>10021</v>
      </c>
      <c r="Q436" s="24" t="str">
        <f t="shared" si="52"/>
        <v>[[3,[10021]],[2,[10480,10360,10240]]]</v>
      </c>
      <c r="R436" s="24" t="s">
        <v>1397</v>
      </c>
      <c r="S436" s="24" t="s">
        <v>1399</v>
      </c>
    </row>
    <row r="437" spans="1:19" ht="16.5" x14ac:dyDescent="0.15">
      <c r="A437">
        <f t="shared" si="53"/>
        <v>1002101</v>
      </c>
      <c r="B437" s="32" t="s">
        <v>97</v>
      </c>
      <c r="C437" s="35">
        <f t="shared" ref="C437:C439" si="54">VLOOKUP(B437,AB:AC,2,FALSE)</f>
        <v>10021</v>
      </c>
      <c r="D437">
        <v>10600</v>
      </c>
      <c r="E437" s="38" t="str">
        <f t="shared" ref="E437:E439" si="55">IF(C437=C436,D437&amp;F437&amp;E436,D437)</f>
        <v>10600,10480,10360,10240</v>
      </c>
      <c r="F437" s="39" t="s">
        <v>1401</v>
      </c>
      <c r="G437" s="39">
        <v>2</v>
      </c>
      <c r="H437" s="24" t="s">
        <v>1397</v>
      </c>
      <c r="I437" s="24" t="s">
        <v>1399</v>
      </c>
      <c r="J437" s="24" t="str">
        <f t="shared" ref="J437:J439" si="56">H437&amp;G437&amp;F437&amp;H437&amp;E437&amp;I437&amp;I437</f>
        <v>[2,[10600,10480,10360,10240]]</v>
      </c>
      <c r="K437" s="42">
        <f t="shared" si="51"/>
        <v>1</v>
      </c>
      <c r="L437" s="39" t="s">
        <v>1401</v>
      </c>
      <c r="M437" s="39">
        <v>3</v>
      </c>
      <c r="N437" s="24" t="s">
        <v>1397</v>
      </c>
      <c r="O437" s="24" t="s">
        <v>1399</v>
      </c>
      <c r="P437" s="24">
        <f t="shared" si="50"/>
        <v>10021</v>
      </c>
      <c r="Q437" s="24" t="str">
        <f t="shared" si="52"/>
        <v>[[3,[10021]],[2,[10600,10480,10360,10240]]]</v>
      </c>
      <c r="R437" s="24" t="s">
        <v>1397</v>
      </c>
      <c r="S437" s="24" t="s">
        <v>1399</v>
      </c>
    </row>
    <row r="438" spans="1:19" ht="16.5" x14ac:dyDescent="0.15">
      <c r="A438">
        <f t="shared" si="53"/>
        <v>1002101</v>
      </c>
      <c r="B438" s="32" t="s">
        <v>97</v>
      </c>
      <c r="C438" s="35">
        <f t="shared" si="54"/>
        <v>10021</v>
      </c>
      <c r="D438">
        <v>10720</v>
      </c>
      <c r="E438" s="38" t="str">
        <f t="shared" si="55"/>
        <v>10720,10600,10480,10360,10240</v>
      </c>
      <c r="F438" s="39" t="s">
        <v>1401</v>
      </c>
      <c r="G438" s="39">
        <v>2</v>
      </c>
      <c r="H438" s="24" t="s">
        <v>1397</v>
      </c>
      <c r="I438" s="24" t="s">
        <v>1399</v>
      </c>
      <c r="J438" s="24" t="str">
        <f t="shared" si="56"/>
        <v>[2,[10720,10600,10480,10360,10240]]</v>
      </c>
      <c r="K438" s="42">
        <f t="shared" ref="K438:K439" si="57">IF(C438=C439,1,2)</f>
        <v>1</v>
      </c>
      <c r="L438" s="39" t="s">
        <v>1401</v>
      </c>
      <c r="M438" s="39">
        <v>3</v>
      </c>
      <c r="N438" s="24" t="s">
        <v>1397</v>
      </c>
      <c r="O438" s="24" t="s">
        <v>1399</v>
      </c>
      <c r="P438" s="24">
        <f t="shared" si="50"/>
        <v>10021</v>
      </c>
      <c r="Q438" s="24" t="str">
        <f t="shared" ref="Q438:Q439" si="58">IF(P438=0,R438&amp;(J438)&amp;S438,R438&amp;(N438&amp;M438&amp;L438&amp;N438&amp;P438&amp;O438&amp;O438)&amp;L438&amp;(J438)&amp;S438)</f>
        <v>[[3,[10021]],[2,[10720,10600,10480,10360,10240]]]</v>
      </c>
      <c r="R438" s="24" t="s">
        <v>1397</v>
      </c>
      <c r="S438" s="24" t="s">
        <v>1399</v>
      </c>
    </row>
    <row r="439" spans="1:19" ht="16.5" x14ac:dyDescent="0.15">
      <c r="A439">
        <f t="shared" si="53"/>
        <v>1002102</v>
      </c>
      <c r="B439" s="32" t="s">
        <v>97</v>
      </c>
      <c r="C439" s="35">
        <f t="shared" si="54"/>
        <v>10021</v>
      </c>
      <c r="D439">
        <v>10840</v>
      </c>
      <c r="E439" s="38" t="str">
        <f t="shared" si="55"/>
        <v>10840,10720,10600,10480,10360,10240</v>
      </c>
      <c r="F439" s="39" t="s">
        <v>1401</v>
      </c>
      <c r="G439" s="39">
        <v>2</v>
      </c>
      <c r="H439" s="24" t="s">
        <v>1397</v>
      </c>
      <c r="I439" s="24" t="s">
        <v>1399</v>
      </c>
      <c r="J439" s="24" t="str">
        <f t="shared" si="56"/>
        <v>[2,[10840,10720,10600,10480,10360,10240]]</v>
      </c>
      <c r="K439" s="42">
        <f t="shared" si="57"/>
        <v>2</v>
      </c>
      <c r="L439" s="39" t="s">
        <v>1401</v>
      </c>
      <c r="M439" s="39">
        <v>3</v>
      </c>
      <c r="N439" s="24" t="s">
        <v>1397</v>
      </c>
      <c r="O439" s="24" t="s">
        <v>1399</v>
      </c>
      <c r="P439" s="24">
        <f t="shared" si="50"/>
        <v>10021</v>
      </c>
      <c r="Q439" s="24" t="str">
        <f t="shared" si="58"/>
        <v>[[3,[10021]],[2,[10840,10720,10600,10480,10360,10240]]]</v>
      </c>
      <c r="R439" s="24" t="s">
        <v>1397</v>
      </c>
      <c r="S439" s="24" t="s">
        <v>1399</v>
      </c>
    </row>
    <row r="440" spans="1:19" x14ac:dyDescent="0.15">
      <c r="A440">
        <f t="shared" si="53"/>
        <v>1000802</v>
      </c>
      <c r="B440" t="s">
        <v>96</v>
      </c>
      <c r="C440">
        <v>10008</v>
      </c>
      <c r="K440" s="41">
        <v>2</v>
      </c>
      <c r="Q440" t="s">
        <v>1421</v>
      </c>
    </row>
    <row r="441" spans="1:19" x14ac:dyDescent="0.15">
      <c r="A441">
        <f t="shared" si="53"/>
        <v>1002002</v>
      </c>
      <c r="B441" t="s">
        <v>94</v>
      </c>
      <c r="C441">
        <v>10020</v>
      </c>
      <c r="K441" s="41">
        <v>2</v>
      </c>
      <c r="Q441" t="s">
        <v>1421</v>
      </c>
    </row>
    <row r="442" spans="1:19" x14ac:dyDescent="0.15">
      <c r="A442">
        <f t="shared" si="53"/>
        <v>1011302</v>
      </c>
      <c r="B442" t="s">
        <v>461</v>
      </c>
      <c r="C442">
        <v>10113</v>
      </c>
      <c r="K442" s="41">
        <v>2</v>
      </c>
      <c r="Q442" t="s">
        <v>1421</v>
      </c>
    </row>
    <row r="443" spans="1:19" x14ac:dyDescent="0.15">
      <c r="A443">
        <f t="shared" si="53"/>
        <v>1000102</v>
      </c>
      <c r="B443" t="s">
        <v>1066</v>
      </c>
      <c r="C443">
        <v>10001</v>
      </c>
      <c r="K443" s="41">
        <v>2</v>
      </c>
      <c r="Q443" t="s">
        <v>1422</v>
      </c>
    </row>
    <row r="444" spans="1:19" x14ac:dyDescent="0.15">
      <c r="A444">
        <f t="shared" si="53"/>
        <v>1011102</v>
      </c>
      <c r="B444" t="s">
        <v>457</v>
      </c>
      <c r="C444">
        <v>10111</v>
      </c>
      <c r="K444" s="41">
        <v>2</v>
      </c>
      <c r="Q444" t="s">
        <v>1422</v>
      </c>
    </row>
    <row r="445" spans="1:19" x14ac:dyDescent="0.15">
      <c r="A445">
        <f t="shared" si="53"/>
        <v>1001202</v>
      </c>
      <c r="B445" t="s">
        <v>95</v>
      </c>
      <c r="C445">
        <v>10012</v>
      </c>
      <c r="K445" s="41">
        <v>2</v>
      </c>
      <c r="Q445" t="s">
        <v>1422</v>
      </c>
    </row>
    <row r="446" spans="1:19" x14ac:dyDescent="0.15">
      <c r="A446">
        <f t="shared" si="53"/>
        <v>1000202</v>
      </c>
      <c r="B446" t="s">
        <v>92</v>
      </c>
      <c r="C446">
        <v>10002</v>
      </c>
      <c r="K446" s="41">
        <v>2</v>
      </c>
      <c r="Q446" t="s">
        <v>1423</v>
      </c>
    </row>
    <row r="447" spans="1:19" x14ac:dyDescent="0.15">
      <c r="A447">
        <f t="shared" si="53"/>
        <v>1011402</v>
      </c>
      <c r="B447" t="s">
        <v>463</v>
      </c>
      <c r="C447">
        <v>10114</v>
      </c>
      <c r="K447" s="41">
        <v>2</v>
      </c>
      <c r="Q447" t="s">
        <v>1423</v>
      </c>
    </row>
    <row r="448" spans="1:19" x14ac:dyDescent="0.15">
      <c r="A448">
        <f t="shared" si="53"/>
        <v>1001902</v>
      </c>
      <c r="B448" t="s">
        <v>1085</v>
      </c>
      <c r="C448">
        <v>10019</v>
      </c>
      <c r="K448" s="41">
        <v>2</v>
      </c>
      <c r="Q448" t="s">
        <v>1423</v>
      </c>
    </row>
    <row r="449" spans="1:11" x14ac:dyDescent="0.15">
      <c r="A449">
        <f t="shared" si="53"/>
        <v>2</v>
      </c>
      <c r="K449" s="41">
        <v>2</v>
      </c>
    </row>
  </sheetData>
  <phoneticPr fontId="15" type="noConversion"/>
  <conditionalFormatting sqref="AE19:AJ1048576 AE1:AF18">
    <cfRule type="duplicateValues" dxfId="0" priority="2"/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57"/>
  <sheetViews>
    <sheetView topLeftCell="A16" workbookViewId="0">
      <selection activeCell="I42" sqref="I42"/>
    </sheetView>
  </sheetViews>
  <sheetFormatPr defaultRowHeight="16.5" x14ac:dyDescent="0.3"/>
  <cols>
    <col min="1" max="1" width="36" style="1" bestFit="1" customWidth="1"/>
    <col min="2" max="2" width="7.375" style="1" bestFit="1" customWidth="1"/>
    <col min="8" max="8" width="36" style="1" bestFit="1" customWidth="1"/>
  </cols>
  <sheetData>
    <row r="1" spans="1:10" x14ac:dyDescent="0.3">
      <c r="A1" s="5" t="s">
        <v>23</v>
      </c>
      <c r="B1" s="12">
        <v>14001</v>
      </c>
      <c r="H1" s="5" t="s">
        <v>23</v>
      </c>
      <c r="I1">
        <f>VLOOKUP($H1,$A:$B,2,0)</f>
        <v>14001</v>
      </c>
      <c r="J1" t="str">
        <f>I1&amp;".png,"&amp;H1&amp;".png"</f>
        <v>14001.png,jyys_chuji.png</v>
      </c>
    </row>
    <row r="2" spans="1:10" x14ac:dyDescent="0.3">
      <c r="A2" s="5" t="s">
        <v>27</v>
      </c>
      <c r="B2" s="6">
        <v>14002</v>
      </c>
      <c r="H2" s="5" t="s">
        <v>27</v>
      </c>
      <c r="I2">
        <f t="shared" ref="I2:I37" si="0">VLOOKUP($H2,$A:$B,2,0)</f>
        <v>14002</v>
      </c>
      <c r="J2" t="str">
        <f t="shared" ref="J2:J37" si="1">I2&amp;".png,"&amp;H2&amp;".png"</f>
        <v>14002.png,jyys_zhongji.png</v>
      </c>
    </row>
    <row r="3" spans="1:10" x14ac:dyDescent="0.3">
      <c r="A3" s="5" t="s">
        <v>28</v>
      </c>
      <c r="B3" s="10">
        <v>14003</v>
      </c>
      <c r="H3" s="5" t="s">
        <v>28</v>
      </c>
      <c r="I3">
        <f t="shared" si="0"/>
        <v>14003</v>
      </c>
      <c r="J3" t="str">
        <f t="shared" si="1"/>
        <v>14003.png,jyys_gaoji.png</v>
      </c>
    </row>
    <row r="4" spans="1:10" x14ac:dyDescent="0.3">
      <c r="A4" s="5" t="s">
        <v>29</v>
      </c>
      <c r="B4" s="9">
        <v>14004</v>
      </c>
      <c r="H4" s="5" t="s">
        <v>29</v>
      </c>
      <c r="I4">
        <f t="shared" si="0"/>
        <v>14004</v>
      </c>
      <c r="J4" t="str">
        <f t="shared" si="1"/>
        <v>14004.png,jyys_shenqi.png</v>
      </c>
    </row>
    <row r="5" spans="1:10" x14ac:dyDescent="0.3">
      <c r="A5" s="5" t="s">
        <v>323</v>
      </c>
      <c r="B5" s="10">
        <v>14005</v>
      </c>
      <c r="H5" s="5" t="s">
        <v>323</v>
      </c>
      <c r="I5">
        <f t="shared" si="0"/>
        <v>14005</v>
      </c>
      <c r="J5" t="str">
        <f t="shared" si="1"/>
        <v>14005.png,xunxianling.png</v>
      </c>
    </row>
    <row r="6" spans="1:10" x14ac:dyDescent="0.3">
      <c r="A6" s="5" t="s">
        <v>324</v>
      </c>
      <c r="B6" s="9">
        <v>14006</v>
      </c>
      <c r="H6" s="5" t="s">
        <v>324</v>
      </c>
      <c r="I6">
        <f t="shared" si="0"/>
        <v>14006</v>
      </c>
      <c r="J6" t="str">
        <f t="shared" si="1"/>
        <v>14006.png,gjxunxianling.png</v>
      </c>
    </row>
    <row r="7" spans="1:10" x14ac:dyDescent="0.3">
      <c r="A7" s="5" t="s">
        <v>34</v>
      </c>
      <c r="B7" s="10">
        <v>14101</v>
      </c>
      <c r="H7" s="5" t="s">
        <v>34</v>
      </c>
      <c r="I7">
        <f t="shared" si="0"/>
        <v>14101</v>
      </c>
      <c r="J7" t="str">
        <f t="shared" si="1"/>
        <v>14101.png,tilidan.png</v>
      </c>
    </row>
    <row r="8" spans="1:10" x14ac:dyDescent="0.3">
      <c r="A8" s="5" t="s">
        <v>45</v>
      </c>
      <c r="B8" s="10">
        <v>14102</v>
      </c>
      <c r="H8" s="5" t="s">
        <v>45</v>
      </c>
      <c r="I8">
        <f t="shared" si="0"/>
        <v>14102</v>
      </c>
      <c r="J8" t="str">
        <f t="shared" si="1"/>
        <v>14102.png,shuaxinfu.png</v>
      </c>
    </row>
    <row r="9" spans="1:10" x14ac:dyDescent="0.3">
      <c r="A9" s="16" t="s">
        <v>46</v>
      </c>
      <c r="B9" s="18">
        <v>14104</v>
      </c>
      <c r="H9" s="16" t="s">
        <v>46</v>
      </c>
      <c r="I9">
        <f t="shared" si="0"/>
        <v>14104</v>
      </c>
      <c r="J9" t="str">
        <f t="shared" si="1"/>
        <v>14104.png,jinengjuanzhou.png</v>
      </c>
    </row>
    <row r="10" spans="1:10" x14ac:dyDescent="0.3">
      <c r="A10" s="5" t="s">
        <v>49</v>
      </c>
      <c r="B10" s="10">
        <v>14106</v>
      </c>
      <c r="H10" s="5" t="s">
        <v>49</v>
      </c>
      <c r="I10">
        <f t="shared" si="0"/>
        <v>14106</v>
      </c>
      <c r="J10" t="str">
        <f t="shared" si="1"/>
        <v>14106.png,peiyangdan.png</v>
      </c>
    </row>
    <row r="11" spans="1:10" x14ac:dyDescent="0.3">
      <c r="A11" s="5" t="s">
        <v>325</v>
      </c>
      <c r="B11" s="10">
        <v>14107</v>
      </c>
      <c r="H11" s="5" t="s">
        <v>325</v>
      </c>
      <c r="I11">
        <f t="shared" si="0"/>
        <v>14107</v>
      </c>
      <c r="J11" t="str">
        <f t="shared" si="1"/>
        <v>14107.png,yuanlingjinshi.png</v>
      </c>
    </row>
    <row r="12" spans="1:10" x14ac:dyDescent="0.3">
      <c r="A12" s="5" t="s">
        <v>134</v>
      </c>
      <c r="B12" s="10">
        <v>14108</v>
      </c>
      <c r="H12" s="5" t="s">
        <v>134</v>
      </c>
      <c r="I12">
        <f t="shared" si="0"/>
        <v>14108</v>
      </c>
      <c r="J12" t="str">
        <f t="shared" si="1"/>
        <v>14108.png,daoju_jinli.png</v>
      </c>
    </row>
    <row r="13" spans="1:10" x14ac:dyDescent="0.3">
      <c r="A13" s="5" t="s">
        <v>1478</v>
      </c>
      <c r="B13" s="6">
        <v>14110</v>
      </c>
      <c r="H13" s="5" t="s">
        <v>1478</v>
      </c>
      <c r="I13">
        <f t="shared" si="0"/>
        <v>14110</v>
      </c>
      <c r="J13" t="str">
        <f t="shared" si="1"/>
        <v>14110.png,yupai.png</v>
      </c>
    </row>
    <row r="14" spans="1:10" x14ac:dyDescent="0.3">
      <c r="A14" s="5" t="s">
        <v>47</v>
      </c>
      <c r="B14" s="6">
        <v>14201</v>
      </c>
      <c r="H14" s="5" t="s">
        <v>47</v>
      </c>
      <c r="I14">
        <f t="shared" si="0"/>
        <v>14201</v>
      </c>
      <c r="J14" t="str">
        <f t="shared" si="1"/>
        <v>14201.png,fabaojinglianshi.png</v>
      </c>
    </row>
    <row r="15" spans="1:10" x14ac:dyDescent="0.3">
      <c r="A15" s="16" t="s">
        <v>357</v>
      </c>
      <c r="B15" s="44">
        <v>14208</v>
      </c>
      <c r="H15" s="16" t="s">
        <v>357</v>
      </c>
      <c r="I15">
        <f t="shared" si="0"/>
        <v>14208</v>
      </c>
      <c r="J15" t="str">
        <f t="shared" si="1"/>
        <v>14208.png,jinbi2.png</v>
      </c>
    </row>
    <row r="16" spans="1:10" x14ac:dyDescent="0.3">
      <c r="A16" s="16" t="s">
        <v>625</v>
      </c>
      <c r="B16" s="19">
        <v>14209</v>
      </c>
      <c r="H16" s="16" t="s">
        <v>625</v>
      </c>
      <c r="I16">
        <f t="shared" si="0"/>
        <v>14209</v>
      </c>
      <c r="J16" t="str">
        <f t="shared" si="1"/>
        <v>14209.png,xuantie2.png</v>
      </c>
    </row>
    <row r="17" spans="1:10" x14ac:dyDescent="0.3">
      <c r="A17" s="5" t="s">
        <v>764</v>
      </c>
      <c r="B17" s="6">
        <v>14210</v>
      </c>
      <c r="H17" s="5" t="s">
        <v>764</v>
      </c>
      <c r="I17">
        <f t="shared" si="0"/>
        <v>14210</v>
      </c>
      <c r="J17" t="str">
        <f t="shared" si="1"/>
        <v>14210.png,chengsezhuangbeisuipianbaoxiang.png</v>
      </c>
    </row>
    <row r="18" spans="1:10" x14ac:dyDescent="0.3">
      <c r="A18" s="5" t="s">
        <v>1478</v>
      </c>
      <c r="B18" s="10">
        <v>14211</v>
      </c>
      <c r="H18" s="5" t="s">
        <v>63</v>
      </c>
      <c r="I18">
        <f t="shared" si="0"/>
        <v>14299</v>
      </c>
      <c r="J18" t="str">
        <f t="shared" si="1"/>
        <v>14299.png,zisezhuangbeisuipianbaoxiang.png</v>
      </c>
    </row>
    <row r="19" spans="1:10" x14ac:dyDescent="0.3">
      <c r="A19" s="5" t="s">
        <v>63</v>
      </c>
      <c r="B19" s="7">
        <v>14299</v>
      </c>
      <c r="H19" s="5" t="s">
        <v>200</v>
      </c>
      <c r="I19">
        <f t="shared" si="0"/>
        <v>14301</v>
      </c>
      <c r="J19" t="str">
        <f t="shared" si="1"/>
        <v>14301.png,lansezhuangbeisuipianbaoxiang.png</v>
      </c>
    </row>
    <row r="20" spans="1:10" x14ac:dyDescent="0.3">
      <c r="A20" s="5" t="s">
        <v>63</v>
      </c>
      <c r="B20" s="7">
        <v>14300</v>
      </c>
      <c r="H20" s="5" t="s">
        <v>65</v>
      </c>
      <c r="I20">
        <f t="shared" si="0"/>
        <v>14305</v>
      </c>
      <c r="J20" t="str">
        <f t="shared" si="1"/>
        <v>14305.png,zisefabaosuipianbaoxiang.png</v>
      </c>
    </row>
    <row r="21" spans="1:10" x14ac:dyDescent="0.3">
      <c r="A21" s="5" t="s">
        <v>200</v>
      </c>
      <c r="B21" s="8">
        <v>14301</v>
      </c>
      <c r="H21" s="5" t="s">
        <v>201</v>
      </c>
      <c r="I21">
        <f t="shared" si="0"/>
        <v>14306</v>
      </c>
      <c r="J21" t="str">
        <f t="shared" si="1"/>
        <v>14306.png,chengsefabaosuipianbaoxiang.png</v>
      </c>
    </row>
    <row r="22" spans="1:10" x14ac:dyDescent="0.3">
      <c r="A22" s="5" t="s">
        <v>63</v>
      </c>
      <c r="B22" s="10">
        <v>14302</v>
      </c>
      <c r="H22" s="5" t="s">
        <v>768</v>
      </c>
      <c r="I22">
        <f t="shared" si="0"/>
        <v>14307</v>
      </c>
      <c r="J22" t="str">
        <f t="shared" si="1"/>
        <v>14307.png,lansehuobansuipianbaoxiang.png</v>
      </c>
    </row>
    <row r="23" spans="1:10" x14ac:dyDescent="0.3">
      <c r="A23" s="5" t="s">
        <v>64</v>
      </c>
      <c r="B23" s="11">
        <v>14303</v>
      </c>
      <c r="H23" s="5" t="s">
        <v>66</v>
      </c>
      <c r="I23">
        <f t="shared" si="0"/>
        <v>14308</v>
      </c>
      <c r="J23" t="str">
        <f t="shared" si="1"/>
        <v>14308.png,zisehuobansuipianbaoxiang.png</v>
      </c>
    </row>
    <row r="24" spans="1:10" x14ac:dyDescent="0.3">
      <c r="A24" s="16" t="s">
        <v>634</v>
      </c>
      <c r="B24" s="15">
        <v>14304</v>
      </c>
      <c r="H24" s="5" t="s">
        <v>67</v>
      </c>
      <c r="I24">
        <f t="shared" si="0"/>
        <v>14309</v>
      </c>
      <c r="J24" t="str">
        <f t="shared" si="1"/>
        <v>14309.png,chengsehuobansuipianbaoxiang.png</v>
      </c>
    </row>
    <row r="25" spans="1:10" x14ac:dyDescent="0.3">
      <c r="A25" s="5" t="s">
        <v>65</v>
      </c>
      <c r="B25" s="10">
        <v>14305</v>
      </c>
      <c r="H25" s="5" t="s">
        <v>68</v>
      </c>
      <c r="I25">
        <f t="shared" si="0"/>
        <v>14401</v>
      </c>
      <c r="J25" t="str">
        <f t="shared" si="1"/>
        <v>14401.png,mohunbaoxiang.png</v>
      </c>
    </row>
    <row r="26" spans="1:10" x14ac:dyDescent="0.3">
      <c r="A26" s="5" t="s">
        <v>201</v>
      </c>
      <c r="B26" s="11">
        <v>14306</v>
      </c>
      <c r="H26" s="5" t="s">
        <v>352</v>
      </c>
      <c r="I26">
        <f t="shared" si="0"/>
        <v>14405</v>
      </c>
      <c r="J26" t="str">
        <f t="shared" si="1"/>
        <v>14405.png,task_vip.png</v>
      </c>
    </row>
    <row r="27" spans="1:10" x14ac:dyDescent="0.3">
      <c r="A27" s="5" t="s">
        <v>768</v>
      </c>
      <c r="B27" s="6">
        <v>14307</v>
      </c>
      <c r="H27" s="5" t="s">
        <v>353</v>
      </c>
      <c r="I27">
        <f t="shared" si="0"/>
        <v>14406</v>
      </c>
      <c r="J27" t="str">
        <f t="shared" si="1"/>
        <v>14406.png,task_exp.png</v>
      </c>
    </row>
    <row r="28" spans="1:10" x14ac:dyDescent="0.3">
      <c r="A28" s="5" t="s">
        <v>66</v>
      </c>
      <c r="B28" s="10">
        <v>14308</v>
      </c>
      <c r="H28" s="16" t="s">
        <v>673</v>
      </c>
      <c r="I28">
        <f t="shared" si="0"/>
        <v>16001</v>
      </c>
      <c r="J28" t="str">
        <f t="shared" si="1"/>
        <v>16001.png,bailianyunshi.png</v>
      </c>
    </row>
    <row r="29" spans="1:10" x14ac:dyDescent="0.3">
      <c r="A29" s="5" t="s">
        <v>67</v>
      </c>
      <c r="B29" s="11">
        <v>14309</v>
      </c>
      <c r="H29" s="16" t="s">
        <v>675</v>
      </c>
      <c r="I29">
        <f t="shared" si="0"/>
        <v>16002</v>
      </c>
      <c r="J29" t="str">
        <f t="shared" si="1"/>
        <v>16002.png,fulingyushi.png</v>
      </c>
    </row>
    <row r="30" spans="1:10" x14ac:dyDescent="0.3">
      <c r="A30" s="5" t="s">
        <v>67</v>
      </c>
      <c r="B30" s="14">
        <v>14310</v>
      </c>
      <c r="H30" s="16" t="s">
        <v>671</v>
      </c>
      <c r="I30">
        <f t="shared" si="0"/>
        <v>16003</v>
      </c>
      <c r="J30" t="str">
        <f t="shared" si="1"/>
        <v>16003.png,jiutianjingshi.png</v>
      </c>
    </row>
    <row r="31" spans="1:10" x14ac:dyDescent="0.3">
      <c r="A31" s="5" t="s">
        <v>67</v>
      </c>
      <c r="B31" s="9">
        <v>14311</v>
      </c>
      <c r="H31" s="16" t="s">
        <v>674</v>
      </c>
      <c r="I31">
        <f t="shared" si="0"/>
        <v>16004</v>
      </c>
      <c r="J31" t="str">
        <f t="shared" si="1"/>
        <v>16004.png,feixinglingshi.png</v>
      </c>
    </row>
    <row r="32" spans="1:10" x14ac:dyDescent="0.3">
      <c r="A32" s="5" t="s">
        <v>201</v>
      </c>
      <c r="B32" s="14">
        <v>14312</v>
      </c>
      <c r="H32" s="5" t="s">
        <v>864</v>
      </c>
      <c r="I32">
        <f t="shared" si="0"/>
        <v>16005</v>
      </c>
      <c r="J32" t="str">
        <f t="shared" si="1"/>
        <v>16005.png,jinglianzhutie.png</v>
      </c>
    </row>
    <row r="33" spans="1:10" x14ac:dyDescent="0.3">
      <c r="A33" s="5" t="s">
        <v>201</v>
      </c>
      <c r="B33" s="14">
        <v>14313</v>
      </c>
      <c r="H33" s="16" t="s">
        <v>672</v>
      </c>
      <c r="I33">
        <f t="shared" si="0"/>
        <v>16006</v>
      </c>
      <c r="J33" t="str">
        <f t="shared" si="1"/>
        <v>16006.png,shanggulingyu.png</v>
      </c>
    </row>
    <row r="34" spans="1:10" x14ac:dyDescent="0.3">
      <c r="A34" s="5" t="s">
        <v>63</v>
      </c>
      <c r="B34" s="10">
        <v>14314</v>
      </c>
      <c r="H34" s="5" t="s">
        <v>1475</v>
      </c>
      <c r="I34">
        <f t="shared" si="0"/>
        <v>16011</v>
      </c>
      <c r="J34" t="str">
        <f t="shared" si="1"/>
        <v>16011.png,tianleifu.png</v>
      </c>
    </row>
    <row r="35" spans="1:10" x14ac:dyDescent="0.3">
      <c r="A35" s="5" t="s">
        <v>64</v>
      </c>
      <c r="B35" s="9">
        <v>14315</v>
      </c>
      <c r="H35" s="16" t="s">
        <v>677</v>
      </c>
      <c r="I35">
        <f t="shared" si="0"/>
        <v>16501</v>
      </c>
      <c r="J35" t="str">
        <f t="shared" si="1"/>
        <v>16501.png,xisuidan.png</v>
      </c>
    </row>
    <row r="36" spans="1:10" x14ac:dyDescent="0.3">
      <c r="A36" s="5" t="s">
        <v>65</v>
      </c>
      <c r="B36" s="6">
        <v>14316</v>
      </c>
      <c r="H36" s="16" t="s">
        <v>678</v>
      </c>
      <c r="I36">
        <f t="shared" si="0"/>
        <v>16502</v>
      </c>
      <c r="J36" t="str">
        <f t="shared" si="1"/>
        <v>16502.png,yijingdan.png</v>
      </c>
    </row>
    <row r="37" spans="1:10" x14ac:dyDescent="0.3">
      <c r="A37" s="5" t="s">
        <v>65</v>
      </c>
      <c r="B37" s="10">
        <v>14317</v>
      </c>
      <c r="H37" s="16" t="s">
        <v>676</v>
      </c>
      <c r="I37">
        <f t="shared" si="0"/>
        <v>16503</v>
      </c>
      <c r="J37" t="str">
        <f t="shared" si="1"/>
        <v>16503.png,wushenzhenyuan.png</v>
      </c>
    </row>
    <row r="38" spans="1:10" x14ac:dyDescent="0.3">
      <c r="A38" s="5" t="s">
        <v>201</v>
      </c>
      <c r="B38" s="9">
        <v>14318</v>
      </c>
      <c r="H38"/>
    </row>
    <row r="39" spans="1:10" x14ac:dyDescent="0.3">
      <c r="A39" s="5" t="s">
        <v>65</v>
      </c>
      <c r="B39" s="6">
        <v>14319</v>
      </c>
      <c r="H39" t="s">
        <v>1577</v>
      </c>
    </row>
    <row r="40" spans="1:10" x14ac:dyDescent="0.3">
      <c r="A40" s="5" t="s">
        <v>65</v>
      </c>
      <c r="B40" s="10">
        <v>14320</v>
      </c>
      <c r="H40" t="s">
        <v>1578</v>
      </c>
    </row>
    <row r="41" spans="1:10" x14ac:dyDescent="0.3">
      <c r="A41" s="5" t="s">
        <v>201</v>
      </c>
      <c r="B41" s="9">
        <v>14321</v>
      </c>
      <c r="H41" t="s">
        <v>1579</v>
      </c>
    </row>
    <row r="42" spans="1:10" x14ac:dyDescent="0.3">
      <c r="A42" s="5" t="s">
        <v>767</v>
      </c>
      <c r="B42" s="13">
        <v>14400</v>
      </c>
      <c r="H42" t="s">
        <v>1580</v>
      </c>
    </row>
    <row r="43" spans="1:10" x14ac:dyDescent="0.3">
      <c r="A43" s="5" t="s">
        <v>68</v>
      </c>
      <c r="B43" s="10">
        <v>14401</v>
      </c>
      <c r="H43" t="s">
        <v>1581</v>
      </c>
    </row>
    <row r="44" spans="1:10" x14ac:dyDescent="0.3">
      <c r="A44" s="5" t="s">
        <v>68</v>
      </c>
      <c r="B44" s="6">
        <v>14402</v>
      </c>
      <c r="H44" t="s">
        <v>1582</v>
      </c>
    </row>
    <row r="45" spans="1:10" x14ac:dyDescent="0.3">
      <c r="A45" s="5" t="s">
        <v>68</v>
      </c>
      <c r="B45" s="10">
        <v>14403</v>
      </c>
      <c r="H45" t="s">
        <v>1583</v>
      </c>
    </row>
    <row r="46" spans="1:10" x14ac:dyDescent="0.3">
      <c r="A46" s="5" t="s">
        <v>68</v>
      </c>
      <c r="B46" s="10">
        <v>14404</v>
      </c>
      <c r="H46" t="s">
        <v>1584</v>
      </c>
    </row>
    <row r="47" spans="1:10" x14ac:dyDescent="0.3">
      <c r="A47" s="5" t="s">
        <v>352</v>
      </c>
      <c r="B47" s="14">
        <v>14405</v>
      </c>
      <c r="H47" t="s">
        <v>1585</v>
      </c>
    </row>
    <row r="48" spans="1:10" x14ac:dyDescent="0.3">
      <c r="A48" s="5" t="s">
        <v>353</v>
      </c>
      <c r="B48" s="17">
        <v>14406</v>
      </c>
      <c r="H48" t="s">
        <v>1586</v>
      </c>
    </row>
    <row r="49" spans="1:8" x14ac:dyDescent="0.3">
      <c r="A49" s="5" t="s">
        <v>68</v>
      </c>
      <c r="B49" s="10">
        <v>14407</v>
      </c>
      <c r="H49" t="s">
        <v>1587</v>
      </c>
    </row>
    <row r="50" spans="1:8" x14ac:dyDescent="0.3">
      <c r="A50" s="16" t="s">
        <v>68</v>
      </c>
      <c r="B50" s="20">
        <v>14410</v>
      </c>
      <c r="H50" t="s">
        <v>1588</v>
      </c>
    </row>
    <row r="51" spans="1:8" x14ac:dyDescent="0.3">
      <c r="A51" s="16" t="s">
        <v>68</v>
      </c>
      <c r="B51" s="15">
        <v>14411</v>
      </c>
      <c r="H51" t="s">
        <v>1589</v>
      </c>
    </row>
    <row r="52" spans="1:8" x14ac:dyDescent="0.3">
      <c r="A52" s="5" t="s">
        <v>66</v>
      </c>
      <c r="B52" s="10">
        <v>14501</v>
      </c>
      <c r="H52" t="s">
        <v>1590</v>
      </c>
    </row>
    <row r="53" spans="1:8" x14ac:dyDescent="0.3">
      <c r="A53" s="5" t="s">
        <v>67</v>
      </c>
      <c r="B53" s="9">
        <v>14502</v>
      </c>
      <c r="H53" t="s">
        <v>1591</v>
      </c>
    </row>
    <row r="54" spans="1:8" x14ac:dyDescent="0.3">
      <c r="A54" s="5" t="s">
        <v>67</v>
      </c>
      <c r="B54" s="14">
        <v>14503</v>
      </c>
      <c r="H54" t="s">
        <v>1592</v>
      </c>
    </row>
    <row r="55" spans="1:8" x14ac:dyDescent="0.3">
      <c r="A55" s="5" t="s">
        <v>200</v>
      </c>
      <c r="B55" s="8">
        <v>14504</v>
      </c>
    </row>
    <row r="56" spans="1:8" x14ac:dyDescent="0.3">
      <c r="A56" s="5" t="s">
        <v>67</v>
      </c>
      <c r="B56" s="14">
        <v>14505</v>
      </c>
      <c r="H56"/>
    </row>
    <row r="57" spans="1:8" x14ac:dyDescent="0.3">
      <c r="A57" s="5" t="s">
        <v>67</v>
      </c>
      <c r="B57" s="22">
        <v>14506</v>
      </c>
      <c r="H57"/>
    </row>
    <row r="58" spans="1:8" x14ac:dyDescent="0.3">
      <c r="A58" s="5" t="s">
        <v>67</v>
      </c>
      <c r="B58" s="14">
        <v>14507</v>
      </c>
      <c r="H58"/>
    </row>
    <row r="59" spans="1:8" x14ac:dyDescent="0.3">
      <c r="A59" s="5" t="s">
        <v>67</v>
      </c>
      <c r="B59" s="14">
        <v>14508</v>
      </c>
      <c r="H59"/>
    </row>
    <row r="60" spans="1:8" x14ac:dyDescent="0.3">
      <c r="A60" s="5" t="s">
        <v>67</v>
      </c>
      <c r="B60" s="14">
        <v>14509</v>
      </c>
      <c r="H60"/>
    </row>
    <row r="61" spans="1:8" x14ac:dyDescent="0.3">
      <c r="A61" s="5" t="s">
        <v>67</v>
      </c>
      <c r="B61" s="21">
        <v>14510</v>
      </c>
      <c r="H61"/>
    </row>
    <row r="62" spans="1:8" x14ac:dyDescent="0.3">
      <c r="A62" s="5" t="s">
        <v>67</v>
      </c>
      <c r="B62" s="21">
        <v>14511</v>
      </c>
      <c r="H62"/>
    </row>
    <row r="63" spans="1:8" x14ac:dyDescent="0.3">
      <c r="A63" s="5" t="s">
        <v>67</v>
      </c>
      <c r="B63" s="21">
        <v>14512</v>
      </c>
      <c r="H63"/>
    </row>
    <row r="64" spans="1:8" x14ac:dyDescent="0.3">
      <c r="A64" s="16" t="s">
        <v>673</v>
      </c>
      <c r="B64" s="18">
        <v>16001</v>
      </c>
      <c r="H64"/>
    </row>
    <row r="65" spans="1:8" x14ac:dyDescent="0.3">
      <c r="A65" s="16" t="s">
        <v>675</v>
      </c>
      <c r="B65" s="18">
        <v>16002</v>
      </c>
      <c r="H65"/>
    </row>
    <row r="66" spans="1:8" x14ac:dyDescent="0.3">
      <c r="A66" s="16" t="s">
        <v>671</v>
      </c>
      <c r="B66" s="18">
        <v>16003</v>
      </c>
      <c r="H66"/>
    </row>
    <row r="67" spans="1:8" x14ac:dyDescent="0.3">
      <c r="A67" s="16" t="s">
        <v>674</v>
      </c>
      <c r="B67" s="18">
        <v>16004</v>
      </c>
      <c r="H67"/>
    </row>
    <row r="68" spans="1:8" x14ac:dyDescent="0.3">
      <c r="A68" s="5" t="s">
        <v>864</v>
      </c>
      <c r="B68" s="10">
        <v>16005</v>
      </c>
      <c r="H68"/>
    </row>
    <row r="69" spans="1:8" x14ac:dyDescent="0.3">
      <c r="A69" s="16" t="s">
        <v>672</v>
      </c>
      <c r="B69" s="18">
        <v>16006</v>
      </c>
      <c r="H69"/>
    </row>
    <row r="70" spans="1:8" x14ac:dyDescent="0.3">
      <c r="A70" s="16" t="s">
        <v>617</v>
      </c>
      <c r="B70" s="18">
        <v>16007</v>
      </c>
      <c r="H70"/>
    </row>
    <row r="71" spans="1:8" x14ac:dyDescent="0.3">
      <c r="A71" s="16" t="s">
        <v>617</v>
      </c>
      <c r="B71" s="18">
        <v>16008</v>
      </c>
      <c r="H71"/>
    </row>
    <row r="72" spans="1:8" x14ac:dyDescent="0.3">
      <c r="A72" s="16" t="s">
        <v>617</v>
      </c>
      <c r="B72" s="18">
        <v>16009</v>
      </c>
      <c r="H72"/>
    </row>
    <row r="73" spans="1:8" x14ac:dyDescent="0.3">
      <c r="A73" s="5" t="s">
        <v>672</v>
      </c>
      <c r="B73" s="6">
        <v>16010</v>
      </c>
      <c r="H73"/>
    </row>
    <row r="74" spans="1:8" x14ac:dyDescent="0.3">
      <c r="A74" s="5" t="s">
        <v>1475</v>
      </c>
      <c r="B74" s="6">
        <v>16011</v>
      </c>
      <c r="H74"/>
    </row>
    <row r="75" spans="1:8" x14ac:dyDescent="0.3">
      <c r="A75" s="16" t="s">
        <v>677</v>
      </c>
      <c r="B75" s="19">
        <v>16501</v>
      </c>
      <c r="H75"/>
    </row>
    <row r="76" spans="1:8" x14ac:dyDescent="0.3">
      <c r="A76" s="16" t="s">
        <v>678</v>
      </c>
      <c r="B76" s="19">
        <v>16502</v>
      </c>
      <c r="H76"/>
    </row>
    <row r="77" spans="1:8" x14ac:dyDescent="0.3">
      <c r="A77" s="16" t="s">
        <v>676</v>
      </c>
      <c r="B77" s="18">
        <v>16503</v>
      </c>
      <c r="H77"/>
    </row>
    <row r="78" spans="1:8" x14ac:dyDescent="0.3">
      <c r="A78" s="5" t="s">
        <v>767</v>
      </c>
      <c r="B78" s="13">
        <v>16600</v>
      </c>
      <c r="H78"/>
    </row>
    <row r="79" spans="1:8" x14ac:dyDescent="0.3">
      <c r="A79" s="5" t="s">
        <v>767</v>
      </c>
      <c r="B79" s="13">
        <v>16601</v>
      </c>
      <c r="H79"/>
    </row>
    <row r="80" spans="1:8" x14ac:dyDescent="0.3">
      <c r="A80" s="5" t="s">
        <v>767</v>
      </c>
      <c r="B80" s="13">
        <v>16602</v>
      </c>
      <c r="H80"/>
    </row>
    <row r="81" spans="1:8" x14ac:dyDescent="0.3">
      <c r="A81" s="5" t="s">
        <v>767</v>
      </c>
      <c r="B81" s="13">
        <v>16603</v>
      </c>
      <c r="H81"/>
    </row>
    <row r="82" spans="1:8" x14ac:dyDescent="0.3">
      <c r="A82" s="5" t="s">
        <v>767</v>
      </c>
      <c r="B82" s="13">
        <v>16604</v>
      </c>
      <c r="H82"/>
    </row>
    <row r="83" spans="1:8" x14ac:dyDescent="0.3">
      <c r="A83" s="5" t="s">
        <v>767</v>
      </c>
      <c r="B83" s="13">
        <v>16605</v>
      </c>
      <c r="H83"/>
    </row>
    <row r="84" spans="1:8" x14ac:dyDescent="0.3">
      <c r="A84" s="5" t="s">
        <v>767</v>
      </c>
      <c r="B84" s="13">
        <v>16606</v>
      </c>
      <c r="H84"/>
    </row>
    <row r="85" spans="1:8" x14ac:dyDescent="0.3">
      <c r="A85" s="5" t="s">
        <v>767</v>
      </c>
      <c r="B85" s="13">
        <v>16607</v>
      </c>
      <c r="H85"/>
    </row>
    <row r="86" spans="1:8" x14ac:dyDescent="0.3">
      <c r="A86" s="5" t="s">
        <v>767</v>
      </c>
      <c r="B86" s="13">
        <v>16608</v>
      </c>
      <c r="H86"/>
    </row>
    <row r="87" spans="1:8" x14ac:dyDescent="0.3">
      <c r="A87" s="5" t="s">
        <v>767</v>
      </c>
      <c r="B87" s="13">
        <v>16609</v>
      </c>
      <c r="H87"/>
    </row>
    <row r="88" spans="1:8" x14ac:dyDescent="0.3">
      <c r="A88" s="5" t="s">
        <v>767</v>
      </c>
      <c r="B88" s="13">
        <v>16610</v>
      </c>
      <c r="H88"/>
    </row>
    <row r="89" spans="1:8" x14ac:dyDescent="0.3">
      <c r="A89" s="5" t="s">
        <v>767</v>
      </c>
      <c r="B89" s="13">
        <v>16611</v>
      </c>
      <c r="H89"/>
    </row>
    <row r="90" spans="1:8" x14ac:dyDescent="0.3">
      <c r="A90" s="5" t="s">
        <v>767</v>
      </c>
      <c r="B90" s="13">
        <v>16612</v>
      </c>
      <c r="H90"/>
    </row>
    <row r="91" spans="1:8" x14ac:dyDescent="0.3">
      <c r="A91" s="5" t="s">
        <v>767</v>
      </c>
      <c r="B91" s="13">
        <v>16613</v>
      </c>
      <c r="H91"/>
    </row>
    <row r="92" spans="1:8" x14ac:dyDescent="0.3">
      <c r="A92" s="5" t="s">
        <v>767</v>
      </c>
      <c r="B92" s="13">
        <v>16614</v>
      </c>
      <c r="H92"/>
    </row>
    <row r="93" spans="1:8" x14ac:dyDescent="0.3">
      <c r="A93" s="5" t="s">
        <v>767</v>
      </c>
      <c r="B93" s="13">
        <v>16615</v>
      </c>
      <c r="H93"/>
    </row>
    <row r="94" spans="1:8" x14ac:dyDescent="0.3">
      <c r="A94" s="5" t="s">
        <v>864</v>
      </c>
      <c r="B94" s="6">
        <v>17000</v>
      </c>
      <c r="H94"/>
    </row>
    <row r="95" spans="1:8" x14ac:dyDescent="0.3">
      <c r="A95" s="5" t="s">
        <v>672</v>
      </c>
      <c r="B95" s="10">
        <v>17001</v>
      </c>
      <c r="H95"/>
    </row>
    <row r="96" spans="1:8" x14ac:dyDescent="0.3">
      <c r="A96" s="5" t="s">
        <v>672</v>
      </c>
      <c r="B96" s="14">
        <v>17002</v>
      </c>
      <c r="H96"/>
    </row>
    <row r="97" spans="1:8" x14ac:dyDescent="0.3">
      <c r="A97" s="23" t="s">
        <v>767</v>
      </c>
      <c r="B97" s="23">
        <v>13001</v>
      </c>
      <c r="H97"/>
    </row>
    <row r="98" spans="1:8" x14ac:dyDescent="0.3">
      <c r="A98" s="23" t="s">
        <v>767</v>
      </c>
      <c r="B98" s="23">
        <v>13002</v>
      </c>
      <c r="H98"/>
    </row>
    <row r="99" spans="1:8" x14ac:dyDescent="0.3">
      <c r="A99" s="23" t="s">
        <v>767</v>
      </c>
      <c r="B99" s="23">
        <v>13003</v>
      </c>
      <c r="H99"/>
    </row>
    <row r="100" spans="1:8" x14ac:dyDescent="0.3">
      <c r="A100" s="23" t="s">
        <v>767</v>
      </c>
      <c r="B100" s="23">
        <v>13004</v>
      </c>
      <c r="H100"/>
    </row>
    <row r="101" spans="1:8" x14ac:dyDescent="0.3">
      <c r="A101" s="23" t="s">
        <v>767</v>
      </c>
      <c r="B101" s="23">
        <v>13005</v>
      </c>
      <c r="H101"/>
    </row>
    <row r="102" spans="1:8" x14ac:dyDescent="0.3">
      <c r="A102" s="23" t="s">
        <v>767</v>
      </c>
      <c r="B102" s="23">
        <v>13006</v>
      </c>
      <c r="H102"/>
    </row>
    <row r="103" spans="1:8" x14ac:dyDescent="0.3">
      <c r="A103" s="23" t="s">
        <v>767</v>
      </c>
      <c r="B103" s="23">
        <v>13007</v>
      </c>
      <c r="H103"/>
    </row>
    <row r="104" spans="1:8" x14ac:dyDescent="0.3">
      <c r="A104" s="23" t="s">
        <v>767</v>
      </c>
      <c r="B104" s="23">
        <v>13008</v>
      </c>
      <c r="H104"/>
    </row>
    <row r="105" spans="1:8" x14ac:dyDescent="0.3">
      <c r="A105" s="23" t="s">
        <v>767</v>
      </c>
      <c r="B105" s="23">
        <v>13009</v>
      </c>
      <c r="H105"/>
    </row>
    <row r="106" spans="1:8" x14ac:dyDescent="0.3">
      <c r="A106" s="23" t="s">
        <v>767</v>
      </c>
      <c r="B106" s="23">
        <v>13010</v>
      </c>
      <c r="H106"/>
    </row>
    <row r="107" spans="1:8" x14ac:dyDescent="0.3">
      <c r="A107" s="23" t="s">
        <v>767</v>
      </c>
      <c r="B107" s="23">
        <v>13011</v>
      </c>
      <c r="H107"/>
    </row>
    <row r="108" spans="1:8" x14ac:dyDescent="0.3">
      <c r="A108" s="23" t="s">
        <v>767</v>
      </c>
      <c r="B108" s="23">
        <v>13012</v>
      </c>
      <c r="H108"/>
    </row>
    <row r="109" spans="1:8" x14ac:dyDescent="0.3">
      <c r="A109" s="23" t="s">
        <v>767</v>
      </c>
      <c r="B109" s="23">
        <v>14007</v>
      </c>
      <c r="H109"/>
    </row>
    <row r="110" spans="1:8" x14ac:dyDescent="0.3">
      <c r="A110" s="23" t="s">
        <v>767</v>
      </c>
      <c r="B110" s="23">
        <v>14008</v>
      </c>
      <c r="H110"/>
    </row>
    <row r="111" spans="1:8" x14ac:dyDescent="0.3">
      <c r="A111" s="23" t="s">
        <v>767</v>
      </c>
      <c r="B111" s="23">
        <v>14009</v>
      </c>
      <c r="H111"/>
    </row>
    <row r="112" spans="1:8" x14ac:dyDescent="0.3">
      <c r="A112" s="23" t="s">
        <v>767</v>
      </c>
      <c r="B112" s="23">
        <v>14103</v>
      </c>
      <c r="H112"/>
    </row>
    <row r="113" spans="1:8" x14ac:dyDescent="0.3">
      <c r="A113" s="23" t="s">
        <v>767</v>
      </c>
      <c r="B113" s="23">
        <v>14109</v>
      </c>
      <c r="H113"/>
    </row>
    <row r="114" spans="1:8" x14ac:dyDescent="0.3">
      <c r="A114" s="23" t="s">
        <v>767</v>
      </c>
      <c r="B114" s="23">
        <v>14202</v>
      </c>
      <c r="H114"/>
    </row>
    <row r="115" spans="1:8" x14ac:dyDescent="0.3">
      <c r="A115" s="23" t="s">
        <v>767</v>
      </c>
      <c r="B115" s="23">
        <v>14203</v>
      </c>
      <c r="H115"/>
    </row>
    <row r="116" spans="1:8" x14ac:dyDescent="0.3">
      <c r="A116" s="23" t="s">
        <v>767</v>
      </c>
      <c r="B116" s="23">
        <v>14204</v>
      </c>
      <c r="H116"/>
    </row>
    <row r="117" spans="1:8" x14ac:dyDescent="0.3">
      <c r="A117" s="23" t="s">
        <v>767</v>
      </c>
      <c r="B117" s="23">
        <v>14205</v>
      </c>
      <c r="H117"/>
    </row>
    <row r="118" spans="1:8" x14ac:dyDescent="0.3">
      <c r="A118" s="23" t="s">
        <v>767</v>
      </c>
      <c r="B118" s="23">
        <v>14206</v>
      </c>
      <c r="H118"/>
    </row>
    <row r="119" spans="1:8" x14ac:dyDescent="0.3">
      <c r="A119" s="23" t="s">
        <v>767</v>
      </c>
      <c r="B119" s="23">
        <v>14207</v>
      </c>
      <c r="H119"/>
    </row>
    <row r="120" spans="1:8" x14ac:dyDescent="0.3">
      <c r="A120" s="23" t="s">
        <v>767</v>
      </c>
      <c r="B120" s="23">
        <v>15001</v>
      </c>
      <c r="H120"/>
    </row>
    <row r="121" spans="1:8" x14ac:dyDescent="0.3">
      <c r="A121" s="23" t="s">
        <v>767</v>
      </c>
      <c r="B121" s="23">
        <v>15002</v>
      </c>
      <c r="H121"/>
    </row>
    <row r="122" spans="1:8" x14ac:dyDescent="0.3">
      <c r="A122" s="23" t="s">
        <v>767</v>
      </c>
      <c r="B122" s="23">
        <v>15003</v>
      </c>
      <c r="H122"/>
    </row>
    <row r="123" spans="1:8" x14ac:dyDescent="0.3">
      <c r="A123" s="23" t="s">
        <v>767</v>
      </c>
      <c r="B123" s="23">
        <v>15004</v>
      </c>
      <c r="H123"/>
    </row>
    <row r="124" spans="1:8" x14ac:dyDescent="0.3">
      <c r="H124"/>
    </row>
    <row r="125" spans="1:8" ht="13.5" x14ac:dyDescent="0.15">
      <c r="A125"/>
      <c r="B125"/>
      <c r="H125"/>
    </row>
    <row r="126" spans="1:8" ht="13.5" x14ac:dyDescent="0.15">
      <c r="A126"/>
      <c r="B126"/>
      <c r="H126"/>
    </row>
    <row r="127" spans="1:8" ht="13.5" x14ac:dyDescent="0.15">
      <c r="A127"/>
      <c r="B127"/>
      <c r="H127"/>
    </row>
    <row r="128" spans="1:8" ht="13.5" x14ac:dyDescent="0.15">
      <c r="A128"/>
      <c r="B128"/>
      <c r="H128"/>
    </row>
    <row r="129" spans="1:8" ht="13.5" x14ac:dyDescent="0.15">
      <c r="A129"/>
      <c r="B129"/>
      <c r="H129"/>
    </row>
    <row r="130" spans="1:8" ht="13.5" x14ac:dyDescent="0.15">
      <c r="A130"/>
      <c r="B130"/>
      <c r="H130"/>
    </row>
    <row r="131" spans="1:8" ht="13.5" x14ac:dyDescent="0.15">
      <c r="A131"/>
      <c r="B131"/>
      <c r="H131"/>
    </row>
    <row r="132" spans="1:8" ht="13.5" x14ac:dyDescent="0.15">
      <c r="A132"/>
      <c r="B132"/>
      <c r="H132"/>
    </row>
    <row r="133" spans="1:8" ht="13.5" x14ac:dyDescent="0.15">
      <c r="A133"/>
      <c r="B133"/>
      <c r="H133"/>
    </row>
    <row r="134" spans="1:8" ht="13.5" x14ac:dyDescent="0.15">
      <c r="A134"/>
      <c r="B134"/>
      <c r="H134"/>
    </row>
    <row r="135" spans="1:8" ht="13.5" x14ac:dyDescent="0.15">
      <c r="A135"/>
      <c r="B135"/>
      <c r="H135"/>
    </row>
    <row r="136" spans="1:8" ht="13.5" x14ac:dyDescent="0.15">
      <c r="A136"/>
      <c r="B136"/>
      <c r="H136"/>
    </row>
    <row r="137" spans="1:8" ht="13.5" x14ac:dyDescent="0.15">
      <c r="A137"/>
      <c r="B137"/>
      <c r="H137"/>
    </row>
    <row r="138" spans="1:8" ht="13.5" x14ac:dyDescent="0.15">
      <c r="A138"/>
      <c r="B138"/>
      <c r="H138"/>
    </row>
    <row r="139" spans="1:8" ht="13.5" x14ac:dyDescent="0.15">
      <c r="A139"/>
      <c r="B139"/>
      <c r="H139"/>
    </row>
    <row r="140" spans="1:8" ht="13.5" x14ac:dyDescent="0.15">
      <c r="A140"/>
      <c r="B140"/>
      <c r="H140"/>
    </row>
    <row r="141" spans="1:8" ht="13.5" x14ac:dyDescent="0.15">
      <c r="A141"/>
      <c r="B141"/>
      <c r="H141"/>
    </row>
    <row r="142" spans="1:8" ht="13.5" x14ac:dyDescent="0.15">
      <c r="A142"/>
      <c r="B142"/>
      <c r="H142"/>
    </row>
    <row r="143" spans="1:8" ht="13.5" x14ac:dyDescent="0.15">
      <c r="A143"/>
      <c r="B143"/>
      <c r="H143"/>
    </row>
    <row r="144" spans="1:8" ht="13.5" x14ac:dyDescent="0.15">
      <c r="A144"/>
      <c r="B144"/>
      <c r="H144"/>
    </row>
    <row r="145" spans="1:8" ht="13.5" x14ac:dyDescent="0.15">
      <c r="A145"/>
      <c r="B145"/>
      <c r="H145"/>
    </row>
    <row r="146" spans="1:8" ht="13.5" x14ac:dyDescent="0.15">
      <c r="A146"/>
      <c r="B146"/>
      <c r="H146"/>
    </row>
    <row r="147" spans="1:8" ht="13.5" x14ac:dyDescent="0.15">
      <c r="A147"/>
      <c r="B147"/>
      <c r="H147"/>
    </row>
    <row r="148" spans="1:8" ht="13.5" x14ac:dyDescent="0.15">
      <c r="A148"/>
      <c r="B148"/>
      <c r="H148"/>
    </row>
    <row r="149" spans="1:8" ht="13.5" x14ac:dyDescent="0.15">
      <c r="A149"/>
      <c r="B149"/>
      <c r="H149"/>
    </row>
    <row r="150" spans="1:8" ht="13.5" x14ac:dyDescent="0.15">
      <c r="A150"/>
      <c r="B150"/>
      <c r="H150"/>
    </row>
    <row r="151" spans="1:8" ht="13.5" x14ac:dyDescent="0.15">
      <c r="A151"/>
      <c r="B151"/>
      <c r="H151"/>
    </row>
    <row r="152" spans="1:8" ht="13.5" x14ac:dyDescent="0.15">
      <c r="A152"/>
      <c r="B152"/>
      <c r="H152"/>
    </row>
    <row r="153" spans="1:8" ht="13.5" x14ac:dyDescent="0.15">
      <c r="A153"/>
      <c r="B153"/>
      <c r="H153"/>
    </row>
    <row r="154" spans="1:8" ht="13.5" x14ac:dyDescent="0.15">
      <c r="A154"/>
      <c r="B154"/>
      <c r="H154"/>
    </row>
    <row r="155" spans="1:8" ht="13.5" x14ac:dyDescent="0.15">
      <c r="A155"/>
      <c r="B155"/>
      <c r="H155"/>
    </row>
    <row r="156" spans="1:8" ht="13.5" x14ac:dyDescent="0.15">
      <c r="A156"/>
      <c r="B156"/>
      <c r="H156"/>
    </row>
    <row r="157" spans="1:8" ht="13.5" x14ac:dyDescent="0.15">
      <c r="A157"/>
      <c r="B157"/>
      <c r="H157"/>
    </row>
    <row r="158" spans="1:8" ht="13.5" x14ac:dyDescent="0.15">
      <c r="A158"/>
      <c r="B158"/>
      <c r="H158"/>
    </row>
    <row r="159" spans="1:8" ht="13.5" x14ac:dyDescent="0.15">
      <c r="A159"/>
      <c r="B159"/>
      <c r="H159"/>
    </row>
    <row r="160" spans="1:8" ht="13.5" x14ac:dyDescent="0.15">
      <c r="A160"/>
      <c r="B160"/>
      <c r="H160"/>
    </row>
    <row r="161" spans="1:8" ht="13.5" x14ac:dyDescent="0.15">
      <c r="A161"/>
      <c r="B161"/>
      <c r="H161"/>
    </row>
    <row r="162" spans="1:8" ht="13.5" x14ac:dyDescent="0.15">
      <c r="A162"/>
      <c r="B162"/>
      <c r="H162"/>
    </row>
    <row r="163" spans="1:8" ht="13.5" x14ac:dyDescent="0.15">
      <c r="A163"/>
      <c r="B163"/>
      <c r="H163"/>
    </row>
    <row r="164" spans="1:8" ht="13.5" x14ac:dyDescent="0.15">
      <c r="A164"/>
      <c r="B164"/>
      <c r="H164"/>
    </row>
    <row r="165" spans="1:8" ht="13.5" x14ac:dyDescent="0.15">
      <c r="A165"/>
      <c r="B165"/>
      <c r="H165"/>
    </row>
    <row r="166" spans="1:8" ht="13.5" x14ac:dyDescent="0.15">
      <c r="A166"/>
      <c r="B166"/>
      <c r="H166"/>
    </row>
    <row r="167" spans="1:8" ht="13.5" x14ac:dyDescent="0.15">
      <c r="A167"/>
      <c r="B167"/>
      <c r="H167"/>
    </row>
    <row r="168" spans="1:8" ht="13.5" x14ac:dyDescent="0.15">
      <c r="A168"/>
      <c r="B168"/>
      <c r="H168"/>
    </row>
    <row r="169" spans="1:8" ht="13.5" x14ac:dyDescent="0.15">
      <c r="A169"/>
      <c r="B169"/>
      <c r="H169"/>
    </row>
    <row r="170" spans="1:8" ht="13.5" x14ac:dyDescent="0.15">
      <c r="A170"/>
      <c r="B170"/>
      <c r="H170"/>
    </row>
    <row r="171" spans="1:8" ht="13.5" x14ac:dyDescent="0.15">
      <c r="A171"/>
      <c r="B171"/>
      <c r="H171"/>
    </row>
    <row r="172" spans="1:8" ht="13.5" x14ac:dyDescent="0.15">
      <c r="A172"/>
      <c r="B172"/>
      <c r="H172"/>
    </row>
    <row r="173" spans="1:8" ht="13.5" x14ac:dyDescent="0.15">
      <c r="A173"/>
      <c r="B173"/>
      <c r="H173"/>
    </row>
    <row r="174" spans="1:8" ht="13.5" x14ac:dyDescent="0.15">
      <c r="A174"/>
      <c r="B174"/>
      <c r="H174"/>
    </row>
    <row r="175" spans="1:8" ht="13.5" x14ac:dyDescent="0.15">
      <c r="A175"/>
      <c r="B175"/>
      <c r="H175"/>
    </row>
    <row r="176" spans="1:8" ht="13.5" x14ac:dyDescent="0.15">
      <c r="A176"/>
      <c r="B176"/>
      <c r="H176"/>
    </row>
    <row r="177" spans="1:8" ht="13.5" x14ac:dyDescent="0.15">
      <c r="A177"/>
      <c r="B177"/>
      <c r="H177"/>
    </row>
    <row r="178" spans="1:8" ht="13.5" x14ac:dyDescent="0.15">
      <c r="A178"/>
      <c r="B178"/>
      <c r="H178"/>
    </row>
    <row r="179" spans="1:8" ht="13.5" x14ac:dyDescent="0.15">
      <c r="A179"/>
      <c r="B179"/>
      <c r="H179"/>
    </row>
    <row r="180" spans="1:8" ht="13.5" x14ac:dyDescent="0.15">
      <c r="A180"/>
      <c r="B180"/>
      <c r="H180"/>
    </row>
    <row r="181" spans="1:8" ht="13.5" x14ac:dyDescent="0.15">
      <c r="A181"/>
      <c r="B181"/>
      <c r="H181"/>
    </row>
    <row r="182" spans="1:8" ht="13.5" x14ac:dyDescent="0.15">
      <c r="A182"/>
      <c r="B182"/>
      <c r="H182"/>
    </row>
    <row r="183" spans="1:8" ht="13.5" x14ac:dyDescent="0.15">
      <c r="A183"/>
      <c r="B183"/>
      <c r="H183"/>
    </row>
    <row r="184" spans="1:8" ht="13.5" x14ac:dyDescent="0.15">
      <c r="A184"/>
      <c r="B184"/>
      <c r="H184"/>
    </row>
    <row r="185" spans="1:8" ht="13.5" x14ac:dyDescent="0.15">
      <c r="A185"/>
      <c r="B185"/>
      <c r="H185"/>
    </row>
    <row r="186" spans="1:8" ht="13.5" x14ac:dyDescent="0.15">
      <c r="A186"/>
      <c r="B186"/>
      <c r="H186"/>
    </row>
    <row r="187" spans="1:8" ht="13.5" x14ac:dyDescent="0.15">
      <c r="A187"/>
      <c r="B187"/>
      <c r="H187"/>
    </row>
    <row r="188" spans="1:8" ht="13.5" x14ac:dyDescent="0.15">
      <c r="A188"/>
      <c r="B188"/>
      <c r="H188"/>
    </row>
    <row r="189" spans="1:8" ht="13.5" x14ac:dyDescent="0.15">
      <c r="A189"/>
      <c r="B189"/>
      <c r="H189"/>
    </row>
    <row r="190" spans="1:8" ht="13.5" x14ac:dyDescent="0.15">
      <c r="A190"/>
      <c r="B190"/>
      <c r="H190"/>
    </row>
    <row r="191" spans="1:8" ht="13.5" x14ac:dyDescent="0.15">
      <c r="A191"/>
      <c r="B191"/>
      <c r="H191"/>
    </row>
    <row r="192" spans="1:8" ht="13.5" x14ac:dyDescent="0.15">
      <c r="A192"/>
      <c r="B192"/>
      <c r="H192"/>
    </row>
    <row r="193" spans="1:8" ht="13.5" x14ac:dyDescent="0.15">
      <c r="A193"/>
      <c r="B193"/>
      <c r="H193"/>
    </row>
    <row r="194" spans="1:8" ht="13.5" x14ac:dyDescent="0.15">
      <c r="A194"/>
      <c r="B194"/>
      <c r="H194"/>
    </row>
    <row r="195" spans="1:8" ht="13.5" x14ac:dyDescent="0.15">
      <c r="A195"/>
      <c r="B195"/>
      <c r="H195"/>
    </row>
    <row r="196" spans="1:8" ht="13.5" x14ac:dyDescent="0.15">
      <c r="A196"/>
      <c r="B196"/>
      <c r="H196"/>
    </row>
    <row r="197" spans="1:8" ht="13.5" x14ac:dyDescent="0.15">
      <c r="A197"/>
      <c r="B197"/>
      <c r="H197"/>
    </row>
    <row r="198" spans="1:8" ht="13.5" x14ac:dyDescent="0.15">
      <c r="A198"/>
      <c r="B198"/>
      <c r="H198"/>
    </row>
    <row r="199" spans="1:8" ht="13.5" x14ac:dyDescent="0.15">
      <c r="A199"/>
      <c r="B199"/>
      <c r="H199"/>
    </row>
    <row r="200" spans="1:8" ht="13.5" x14ac:dyDescent="0.15">
      <c r="A200"/>
      <c r="B200"/>
      <c r="H200"/>
    </row>
    <row r="201" spans="1:8" ht="13.5" x14ac:dyDescent="0.15">
      <c r="A201"/>
      <c r="B201"/>
      <c r="H201"/>
    </row>
    <row r="202" spans="1:8" ht="13.5" x14ac:dyDescent="0.15">
      <c r="A202"/>
      <c r="B202"/>
      <c r="H202"/>
    </row>
    <row r="203" spans="1:8" ht="13.5" x14ac:dyDescent="0.15">
      <c r="A203"/>
      <c r="B203"/>
      <c r="H203"/>
    </row>
    <row r="204" spans="1:8" ht="13.5" x14ac:dyDescent="0.15">
      <c r="A204"/>
      <c r="B204"/>
      <c r="H204"/>
    </row>
    <row r="205" spans="1:8" ht="13.5" x14ac:dyDescent="0.15">
      <c r="A205"/>
      <c r="B205"/>
      <c r="H205"/>
    </row>
    <row r="206" spans="1:8" ht="13.5" x14ac:dyDescent="0.15">
      <c r="A206"/>
      <c r="B206"/>
      <c r="H206"/>
    </row>
    <row r="207" spans="1:8" ht="13.5" x14ac:dyDescent="0.15">
      <c r="A207"/>
      <c r="B207"/>
      <c r="H207"/>
    </row>
    <row r="208" spans="1:8" ht="13.5" x14ac:dyDescent="0.15">
      <c r="A208"/>
      <c r="B208"/>
      <c r="H208"/>
    </row>
    <row r="209" spans="1:8" ht="13.5" x14ac:dyDescent="0.15">
      <c r="A209"/>
      <c r="B209"/>
      <c r="H209"/>
    </row>
    <row r="210" spans="1:8" ht="13.5" x14ac:dyDescent="0.15">
      <c r="A210"/>
      <c r="B210"/>
      <c r="H210"/>
    </row>
    <row r="211" spans="1:8" ht="13.5" x14ac:dyDescent="0.15">
      <c r="A211"/>
      <c r="B211"/>
      <c r="H211"/>
    </row>
    <row r="212" spans="1:8" ht="13.5" x14ac:dyDescent="0.15">
      <c r="A212"/>
      <c r="B212"/>
      <c r="H212"/>
    </row>
    <row r="213" spans="1:8" ht="13.5" x14ac:dyDescent="0.15">
      <c r="A213"/>
      <c r="B213"/>
      <c r="H213"/>
    </row>
    <row r="214" spans="1:8" ht="13.5" x14ac:dyDescent="0.15">
      <c r="A214"/>
      <c r="B214"/>
      <c r="H214"/>
    </row>
    <row r="215" spans="1:8" ht="13.5" x14ac:dyDescent="0.15">
      <c r="A215"/>
      <c r="B215"/>
      <c r="H215"/>
    </row>
    <row r="216" spans="1:8" ht="13.5" x14ac:dyDescent="0.15">
      <c r="A216"/>
      <c r="B216"/>
      <c r="H216"/>
    </row>
    <row r="217" spans="1:8" ht="13.5" x14ac:dyDescent="0.15">
      <c r="A217"/>
      <c r="B217"/>
      <c r="H217"/>
    </row>
    <row r="218" spans="1:8" ht="13.5" x14ac:dyDescent="0.15">
      <c r="A218"/>
      <c r="B218"/>
      <c r="H218"/>
    </row>
    <row r="219" spans="1:8" ht="13.5" x14ac:dyDescent="0.15">
      <c r="A219"/>
      <c r="B219"/>
      <c r="H219"/>
    </row>
    <row r="220" spans="1:8" ht="13.5" x14ac:dyDescent="0.15">
      <c r="A220"/>
      <c r="B220"/>
      <c r="H220"/>
    </row>
    <row r="221" spans="1:8" ht="13.5" x14ac:dyDescent="0.15">
      <c r="A221"/>
      <c r="B221"/>
      <c r="H221"/>
    </row>
    <row r="222" spans="1:8" ht="13.5" x14ac:dyDescent="0.15">
      <c r="A222"/>
      <c r="B222"/>
      <c r="H222"/>
    </row>
    <row r="223" spans="1:8" ht="13.5" x14ac:dyDescent="0.15">
      <c r="A223"/>
      <c r="B223"/>
      <c r="H223"/>
    </row>
    <row r="224" spans="1:8" ht="13.5" x14ac:dyDescent="0.15">
      <c r="A224"/>
      <c r="B224"/>
      <c r="H224"/>
    </row>
    <row r="225" spans="1:8" ht="13.5" x14ac:dyDescent="0.15">
      <c r="A225"/>
      <c r="B225"/>
      <c r="H225"/>
    </row>
    <row r="226" spans="1:8" ht="13.5" x14ac:dyDescent="0.15">
      <c r="A226"/>
      <c r="B226"/>
      <c r="H226"/>
    </row>
    <row r="227" spans="1:8" ht="13.5" x14ac:dyDescent="0.15">
      <c r="A227"/>
      <c r="B227"/>
      <c r="H227"/>
    </row>
    <row r="228" spans="1:8" ht="13.5" x14ac:dyDescent="0.15">
      <c r="A228"/>
      <c r="B228"/>
      <c r="H228"/>
    </row>
    <row r="229" spans="1:8" ht="13.5" x14ac:dyDescent="0.15">
      <c r="A229"/>
      <c r="B229"/>
      <c r="H229"/>
    </row>
    <row r="230" spans="1:8" ht="13.5" x14ac:dyDescent="0.15">
      <c r="A230"/>
      <c r="B230"/>
      <c r="H230"/>
    </row>
    <row r="231" spans="1:8" ht="13.5" x14ac:dyDescent="0.15">
      <c r="A231"/>
      <c r="B231"/>
      <c r="H231"/>
    </row>
    <row r="232" spans="1:8" ht="13.5" x14ac:dyDescent="0.15">
      <c r="A232"/>
      <c r="B232"/>
      <c r="H232"/>
    </row>
    <row r="233" spans="1:8" ht="13.5" x14ac:dyDescent="0.15">
      <c r="A233"/>
      <c r="B233"/>
      <c r="H233"/>
    </row>
    <row r="234" spans="1:8" ht="13.5" x14ac:dyDescent="0.15">
      <c r="A234"/>
      <c r="B234"/>
      <c r="H234"/>
    </row>
    <row r="235" spans="1:8" ht="13.5" x14ac:dyDescent="0.15">
      <c r="A235"/>
      <c r="B235"/>
      <c r="H235"/>
    </row>
    <row r="236" spans="1:8" ht="13.5" x14ac:dyDescent="0.15">
      <c r="A236"/>
      <c r="B236"/>
      <c r="H236"/>
    </row>
    <row r="237" spans="1:8" ht="13.5" x14ac:dyDescent="0.15">
      <c r="A237"/>
      <c r="B237"/>
      <c r="H237"/>
    </row>
    <row r="238" spans="1:8" ht="13.5" x14ac:dyDescent="0.15">
      <c r="A238"/>
      <c r="B238"/>
      <c r="H238"/>
    </row>
    <row r="239" spans="1:8" ht="13.5" x14ac:dyDescent="0.15">
      <c r="A239"/>
      <c r="B239"/>
      <c r="H239"/>
    </row>
    <row r="240" spans="1:8" ht="13.5" x14ac:dyDescent="0.15">
      <c r="A240"/>
      <c r="B240"/>
      <c r="H240"/>
    </row>
    <row r="241" spans="1:8" ht="13.5" x14ac:dyDescent="0.15">
      <c r="A241"/>
      <c r="B241"/>
      <c r="H241"/>
    </row>
    <row r="242" spans="1:8" ht="13.5" x14ac:dyDescent="0.15">
      <c r="A242"/>
      <c r="B242"/>
      <c r="H242"/>
    </row>
    <row r="243" spans="1:8" ht="13.5" x14ac:dyDescent="0.15">
      <c r="A243"/>
      <c r="B243"/>
      <c r="H243"/>
    </row>
    <row r="244" spans="1:8" ht="13.5" x14ac:dyDescent="0.15">
      <c r="A244"/>
      <c r="B244"/>
      <c r="H244"/>
    </row>
    <row r="245" spans="1:8" ht="13.5" x14ac:dyDescent="0.15">
      <c r="A245"/>
      <c r="B245"/>
      <c r="H245"/>
    </row>
    <row r="246" spans="1:8" ht="13.5" x14ac:dyDescent="0.15">
      <c r="A246"/>
      <c r="B246"/>
      <c r="H246"/>
    </row>
    <row r="247" spans="1:8" ht="13.5" x14ac:dyDescent="0.15">
      <c r="A247"/>
      <c r="B247"/>
      <c r="H247"/>
    </row>
    <row r="248" spans="1:8" ht="13.5" x14ac:dyDescent="0.15">
      <c r="A248"/>
      <c r="B248"/>
      <c r="H248"/>
    </row>
    <row r="249" spans="1:8" ht="13.5" x14ac:dyDescent="0.15">
      <c r="A249"/>
      <c r="B249"/>
      <c r="H249"/>
    </row>
    <row r="250" spans="1:8" ht="13.5" x14ac:dyDescent="0.15">
      <c r="A250"/>
      <c r="B250"/>
      <c r="H250"/>
    </row>
    <row r="251" spans="1:8" ht="13.5" x14ac:dyDescent="0.15">
      <c r="A251"/>
      <c r="B251"/>
      <c r="H251"/>
    </row>
    <row r="252" spans="1:8" ht="13.5" x14ac:dyDescent="0.15">
      <c r="A252"/>
      <c r="B252"/>
      <c r="H252"/>
    </row>
    <row r="253" spans="1:8" ht="13.5" x14ac:dyDescent="0.15">
      <c r="A253"/>
      <c r="B253"/>
      <c r="H253"/>
    </row>
    <row r="254" spans="1:8" ht="13.5" x14ac:dyDescent="0.15">
      <c r="A254"/>
      <c r="B254"/>
      <c r="H254"/>
    </row>
    <row r="255" spans="1:8" ht="13.5" x14ac:dyDescent="0.15">
      <c r="A255"/>
      <c r="B255"/>
      <c r="H255"/>
    </row>
    <row r="256" spans="1:8" ht="13.5" x14ac:dyDescent="0.15">
      <c r="A256"/>
      <c r="B256"/>
      <c r="H256"/>
    </row>
    <row r="257" spans="1:8" ht="13.5" x14ac:dyDescent="0.15">
      <c r="A257"/>
      <c r="B257"/>
      <c r="H257"/>
    </row>
    <row r="258" spans="1:8" ht="13.5" x14ac:dyDescent="0.15">
      <c r="A258"/>
      <c r="B258"/>
      <c r="H258"/>
    </row>
    <row r="259" spans="1:8" ht="13.5" x14ac:dyDescent="0.15">
      <c r="A259"/>
      <c r="B259"/>
      <c r="H259"/>
    </row>
    <row r="260" spans="1:8" ht="13.5" x14ac:dyDescent="0.15">
      <c r="A260"/>
      <c r="B260"/>
      <c r="H260"/>
    </row>
    <row r="261" spans="1:8" ht="13.5" x14ac:dyDescent="0.15">
      <c r="A261"/>
      <c r="B261"/>
      <c r="H261"/>
    </row>
    <row r="262" spans="1:8" ht="13.5" x14ac:dyDescent="0.15">
      <c r="A262"/>
      <c r="B262"/>
      <c r="H262"/>
    </row>
    <row r="263" spans="1:8" ht="13.5" x14ac:dyDescent="0.15">
      <c r="A263"/>
      <c r="B263"/>
      <c r="H263"/>
    </row>
    <row r="264" spans="1:8" ht="13.5" x14ac:dyDescent="0.15">
      <c r="A264"/>
      <c r="B264"/>
      <c r="H264"/>
    </row>
    <row r="265" spans="1:8" ht="13.5" x14ac:dyDescent="0.15">
      <c r="A265"/>
      <c r="B265"/>
      <c r="H265"/>
    </row>
    <row r="266" spans="1:8" ht="13.5" x14ac:dyDescent="0.15">
      <c r="A266"/>
      <c r="B266"/>
      <c r="H266"/>
    </row>
    <row r="267" spans="1:8" ht="13.5" x14ac:dyDescent="0.15">
      <c r="A267"/>
      <c r="B267"/>
      <c r="H267"/>
    </row>
    <row r="268" spans="1:8" ht="13.5" x14ac:dyDescent="0.15">
      <c r="A268"/>
      <c r="B268"/>
      <c r="H268"/>
    </row>
    <row r="269" spans="1:8" ht="13.5" x14ac:dyDescent="0.15">
      <c r="A269"/>
      <c r="B269"/>
      <c r="H269"/>
    </row>
    <row r="270" spans="1:8" ht="13.5" x14ac:dyDescent="0.15">
      <c r="A270"/>
      <c r="B270"/>
      <c r="H270"/>
    </row>
    <row r="271" spans="1:8" ht="13.5" x14ac:dyDescent="0.15">
      <c r="A271"/>
      <c r="B271"/>
      <c r="H271"/>
    </row>
    <row r="272" spans="1:8" ht="13.5" x14ac:dyDescent="0.15">
      <c r="A272"/>
      <c r="B272"/>
      <c r="H272"/>
    </row>
    <row r="273" spans="1:8" ht="13.5" x14ac:dyDescent="0.15">
      <c r="A273"/>
      <c r="B273"/>
      <c r="H273"/>
    </row>
    <row r="274" spans="1:8" ht="13.5" x14ac:dyDescent="0.15">
      <c r="A274"/>
      <c r="B274"/>
      <c r="H274"/>
    </row>
    <row r="275" spans="1:8" ht="13.5" x14ac:dyDescent="0.15">
      <c r="A275"/>
      <c r="B275"/>
      <c r="H275"/>
    </row>
    <row r="276" spans="1:8" ht="13.5" x14ac:dyDescent="0.15">
      <c r="A276"/>
      <c r="B276"/>
      <c r="H276"/>
    </row>
    <row r="277" spans="1:8" ht="13.5" x14ac:dyDescent="0.15">
      <c r="A277"/>
      <c r="B277"/>
      <c r="H277"/>
    </row>
    <row r="278" spans="1:8" ht="13.5" x14ac:dyDescent="0.15">
      <c r="A278"/>
      <c r="B278"/>
      <c r="H278"/>
    </row>
    <row r="279" spans="1:8" ht="13.5" x14ac:dyDescent="0.15">
      <c r="A279"/>
      <c r="B279"/>
      <c r="H279"/>
    </row>
    <row r="280" spans="1:8" ht="13.5" x14ac:dyDescent="0.15">
      <c r="A280"/>
      <c r="B280"/>
      <c r="H280"/>
    </row>
    <row r="281" spans="1:8" ht="13.5" x14ac:dyDescent="0.15">
      <c r="A281"/>
      <c r="B281"/>
      <c r="H281"/>
    </row>
    <row r="282" spans="1:8" ht="13.5" x14ac:dyDescent="0.15">
      <c r="A282"/>
      <c r="B282"/>
      <c r="H282"/>
    </row>
    <row r="283" spans="1:8" ht="13.5" x14ac:dyDescent="0.15">
      <c r="A283"/>
      <c r="B283"/>
      <c r="H283"/>
    </row>
    <row r="284" spans="1:8" ht="13.5" x14ac:dyDescent="0.15">
      <c r="A284"/>
      <c r="B284"/>
      <c r="H284"/>
    </row>
    <row r="285" spans="1:8" ht="13.5" x14ac:dyDescent="0.15">
      <c r="A285"/>
      <c r="B285"/>
      <c r="H285"/>
    </row>
    <row r="286" spans="1:8" ht="13.5" x14ac:dyDescent="0.15">
      <c r="A286"/>
      <c r="B286"/>
      <c r="H286"/>
    </row>
    <row r="287" spans="1:8" ht="13.5" x14ac:dyDescent="0.15">
      <c r="A287"/>
      <c r="B287"/>
      <c r="H287"/>
    </row>
    <row r="288" spans="1:8" ht="13.5" x14ac:dyDescent="0.15">
      <c r="A288"/>
      <c r="B288"/>
      <c r="H288"/>
    </row>
    <row r="289" spans="1:8" ht="13.5" x14ac:dyDescent="0.15">
      <c r="A289"/>
      <c r="B289"/>
      <c r="H289"/>
    </row>
    <row r="290" spans="1:8" ht="13.5" x14ac:dyDescent="0.15">
      <c r="A290"/>
      <c r="B290"/>
      <c r="H290"/>
    </row>
    <row r="291" spans="1:8" ht="13.5" x14ac:dyDescent="0.15">
      <c r="A291"/>
      <c r="B291"/>
      <c r="H291"/>
    </row>
    <row r="292" spans="1:8" ht="13.5" x14ac:dyDescent="0.15">
      <c r="A292"/>
      <c r="B292"/>
      <c r="H292"/>
    </row>
    <row r="293" spans="1:8" ht="13.5" x14ac:dyDescent="0.15">
      <c r="A293"/>
      <c r="B293"/>
      <c r="H293"/>
    </row>
    <row r="294" spans="1:8" ht="13.5" x14ac:dyDescent="0.15">
      <c r="A294"/>
      <c r="B294"/>
      <c r="H294"/>
    </row>
    <row r="295" spans="1:8" ht="13.5" x14ac:dyDescent="0.15">
      <c r="A295"/>
      <c r="B295"/>
      <c r="H295"/>
    </row>
    <row r="296" spans="1:8" ht="13.5" x14ac:dyDescent="0.15">
      <c r="A296"/>
      <c r="B296"/>
      <c r="H296"/>
    </row>
    <row r="297" spans="1:8" ht="13.5" x14ac:dyDescent="0.15">
      <c r="A297"/>
      <c r="B297"/>
      <c r="H297"/>
    </row>
    <row r="298" spans="1:8" ht="13.5" x14ac:dyDescent="0.15">
      <c r="A298"/>
      <c r="B298"/>
      <c r="H298"/>
    </row>
    <row r="299" spans="1:8" ht="13.5" x14ac:dyDescent="0.15">
      <c r="A299"/>
      <c r="B299"/>
      <c r="H299"/>
    </row>
    <row r="300" spans="1:8" ht="13.5" x14ac:dyDescent="0.15">
      <c r="A300"/>
      <c r="B300"/>
      <c r="H300"/>
    </row>
    <row r="301" spans="1:8" ht="13.5" x14ac:dyDescent="0.15">
      <c r="A301"/>
      <c r="B301"/>
      <c r="H301"/>
    </row>
    <row r="302" spans="1:8" ht="13.5" x14ac:dyDescent="0.15">
      <c r="A302"/>
      <c r="B302"/>
      <c r="H302"/>
    </row>
    <row r="303" spans="1:8" ht="13.5" x14ac:dyDescent="0.15">
      <c r="A303"/>
      <c r="B303"/>
      <c r="H303"/>
    </row>
    <row r="304" spans="1:8" ht="13.5" x14ac:dyDescent="0.15">
      <c r="A304"/>
      <c r="B304"/>
      <c r="H304"/>
    </row>
    <row r="305" spans="1:8" ht="13.5" x14ac:dyDescent="0.15">
      <c r="A305"/>
      <c r="B305"/>
      <c r="H305"/>
    </row>
    <row r="306" spans="1:8" ht="13.5" x14ac:dyDescent="0.15">
      <c r="A306"/>
      <c r="B306"/>
      <c r="H306"/>
    </row>
    <row r="307" spans="1:8" ht="13.5" x14ac:dyDescent="0.15">
      <c r="A307"/>
      <c r="B307"/>
      <c r="H307"/>
    </row>
    <row r="308" spans="1:8" ht="13.5" x14ac:dyDescent="0.15">
      <c r="A308"/>
      <c r="B308"/>
      <c r="H308"/>
    </row>
    <row r="309" spans="1:8" ht="13.5" x14ac:dyDescent="0.15">
      <c r="A309"/>
      <c r="B309"/>
      <c r="H309"/>
    </row>
    <row r="310" spans="1:8" ht="13.5" x14ac:dyDescent="0.15">
      <c r="A310"/>
      <c r="B310"/>
      <c r="H310"/>
    </row>
    <row r="311" spans="1:8" ht="13.5" x14ac:dyDescent="0.15">
      <c r="A311"/>
      <c r="B311"/>
      <c r="H311"/>
    </row>
    <row r="312" spans="1:8" ht="13.5" x14ac:dyDescent="0.15">
      <c r="A312"/>
      <c r="B312"/>
      <c r="H312"/>
    </row>
    <row r="313" spans="1:8" ht="13.5" x14ac:dyDescent="0.15">
      <c r="A313"/>
      <c r="B313"/>
      <c r="H313"/>
    </row>
    <row r="314" spans="1:8" ht="13.5" x14ac:dyDescent="0.15">
      <c r="A314"/>
      <c r="B314"/>
      <c r="H314"/>
    </row>
    <row r="315" spans="1:8" ht="13.5" x14ac:dyDescent="0.15">
      <c r="A315"/>
      <c r="B315"/>
      <c r="H315"/>
    </row>
    <row r="316" spans="1:8" ht="13.5" x14ac:dyDescent="0.15">
      <c r="A316"/>
      <c r="B316"/>
      <c r="H316"/>
    </row>
    <row r="317" spans="1:8" ht="13.5" x14ac:dyDescent="0.15">
      <c r="A317"/>
      <c r="B317"/>
      <c r="H317"/>
    </row>
    <row r="318" spans="1:8" ht="13.5" x14ac:dyDescent="0.15">
      <c r="A318"/>
      <c r="B318"/>
      <c r="H318"/>
    </row>
    <row r="319" spans="1:8" ht="13.5" x14ac:dyDescent="0.15">
      <c r="A319"/>
      <c r="B319"/>
      <c r="H319"/>
    </row>
    <row r="320" spans="1:8" ht="13.5" x14ac:dyDescent="0.15">
      <c r="A320"/>
      <c r="B320"/>
      <c r="H320"/>
    </row>
    <row r="321" spans="1:8" ht="13.5" x14ac:dyDescent="0.15">
      <c r="A321"/>
      <c r="B321"/>
      <c r="H321"/>
    </row>
    <row r="322" spans="1:8" ht="13.5" x14ac:dyDescent="0.15">
      <c r="A322"/>
      <c r="B322"/>
      <c r="H322"/>
    </row>
    <row r="323" spans="1:8" ht="13.5" x14ac:dyDescent="0.15">
      <c r="A323"/>
      <c r="B323"/>
      <c r="H323"/>
    </row>
    <row r="324" spans="1:8" ht="13.5" x14ac:dyDescent="0.15">
      <c r="A324"/>
      <c r="B324"/>
      <c r="H324"/>
    </row>
    <row r="325" spans="1:8" ht="13.5" x14ac:dyDescent="0.15">
      <c r="A325"/>
      <c r="B325"/>
      <c r="H325"/>
    </row>
    <row r="326" spans="1:8" ht="13.5" x14ac:dyDescent="0.15">
      <c r="A326"/>
      <c r="B326"/>
      <c r="H326"/>
    </row>
    <row r="327" spans="1:8" ht="13.5" x14ac:dyDescent="0.15">
      <c r="A327"/>
      <c r="B327"/>
      <c r="H327"/>
    </row>
    <row r="328" spans="1:8" ht="13.5" x14ac:dyDescent="0.15">
      <c r="A328"/>
      <c r="B328"/>
      <c r="H328"/>
    </row>
    <row r="329" spans="1:8" ht="13.5" x14ac:dyDescent="0.15">
      <c r="A329"/>
      <c r="B329"/>
      <c r="H329"/>
    </row>
    <row r="330" spans="1:8" ht="13.5" x14ac:dyDescent="0.15">
      <c r="A330"/>
      <c r="B330"/>
      <c r="H330"/>
    </row>
    <row r="331" spans="1:8" ht="13.5" x14ac:dyDescent="0.15">
      <c r="A331"/>
      <c r="B331"/>
      <c r="H331"/>
    </row>
    <row r="332" spans="1:8" ht="13.5" x14ac:dyDescent="0.15">
      <c r="A332"/>
      <c r="B332"/>
      <c r="H332"/>
    </row>
    <row r="333" spans="1:8" ht="13.5" x14ac:dyDescent="0.15">
      <c r="A333"/>
      <c r="B333"/>
      <c r="H333"/>
    </row>
    <row r="334" spans="1:8" ht="13.5" x14ac:dyDescent="0.15">
      <c r="A334"/>
      <c r="B334"/>
      <c r="H334"/>
    </row>
    <row r="335" spans="1:8" ht="13.5" x14ac:dyDescent="0.15">
      <c r="A335"/>
      <c r="B335"/>
      <c r="H335"/>
    </row>
    <row r="336" spans="1:8" ht="13.5" x14ac:dyDescent="0.15">
      <c r="A336"/>
      <c r="B336"/>
      <c r="H336"/>
    </row>
    <row r="337" spans="1:8" ht="13.5" x14ac:dyDescent="0.15">
      <c r="A337"/>
      <c r="B337"/>
      <c r="H337"/>
    </row>
    <row r="338" spans="1:8" ht="13.5" x14ac:dyDescent="0.15">
      <c r="A338"/>
      <c r="B338"/>
      <c r="H338"/>
    </row>
    <row r="339" spans="1:8" ht="13.5" x14ac:dyDescent="0.15">
      <c r="A339"/>
      <c r="B339"/>
      <c r="H339"/>
    </row>
    <row r="340" spans="1:8" ht="13.5" x14ac:dyDescent="0.15">
      <c r="A340"/>
      <c r="B340"/>
      <c r="H340"/>
    </row>
    <row r="341" spans="1:8" ht="13.5" x14ac:dyDescent="0.15">
      <c r="A341"/>
      <c r="B341"/>
      <c r="H341"/>
    </row>
    <row r="342" spans="1:8" ht="13.5" x14ac:dyDescent="0.15">
      <c r="A342"/>
      <c r="B342"/>
      <c r="H342"/>
    </row>
    <row r="343" spans="1:8" ht="13.5" x14ac:dyDescent="0.15">
      <c r="A343"/>
      <c r="B343"/>
      <c r="H343"/>
    </row>
    <row r="344" spans="1:8" ht="13.5" x14ac:dyDescent="0.15">
      <c r="A344"/>
      <c r="B344"/>
      <c r="H344"/>
    </row>
    <row r="345" spans="1:8" ht="13.5" x14ac:dyDescent="0.15">
      <c r="A345"/>
      <c r="B345"/>
      <c r="H345"/>
    </row>
    <row r="346" spans="1:8" ht="13.5" x14ac:dyDescent="0.15">
      <c r="A346"/>
      <c r="B346"/>
      <c r="H346"/>
    </row>
    <row r="347" spans="1:8" ht="13.5" x14ac:dyDescent="0.15">
      <c r="A347"/>
      <c r="B347"/>
      <c r="H347"/>
    </row>
    <row r="348" spans="1:8" ht="13.5" x14ac:dyDescent="0.15">
      <c r="A348"/>
      <c r="B348"/>
      <c r="H348"/>
    </row>
    <row r="349" spans="1:8" ht="13.5" x14ac:dyDescent="0.15">
      <c r="A349"/>
      <c r="B349"/>
      <c r="H349"/>
    </row>
    <row r="350" spans="1:8" ht="13.5" x14ac:dyDescent="0.15">
      <c r="A350"/>
      <c r="B350"/>
      <c r="H350"/>
    </row>
    <row r="351" spans="1:8" ht="13.5" x14ac:dyDescent="0.15">
      <c r="A351"/>
      <c r="B351"/>
      <c r="H351"/>
    </row>
    <row r="352" spans="1:8" ht="13.5" x14ac:dyDescent="0.15">
      <c r="A352"/>
      <c r="B352"/>
      <c r="H352"/>
    </row>
    <row r="353" spans="1:8" ht="13.5" x14ac:dyDescent="0.15">
      <c r="A353"/>
      <c r="B353"/>
      <c r="H353"/>
    </row>
    <row r="354" spans="1:8" ht="13.5" x14ac:dyDescent="0.15">
      <c r="A354"/>
      <c r="B354"/>
      <c r="H354"/>
    </row>
    <row r="355" spans="1:8" ht="13.5" x14ac:dyDescent="0.15">
      <c r="A355"/>
      <c r="B355"/>
      <c r="H355"/>
    </row>
    <row r="356" spans="1:8" ht="13.5" x14ac:dyDescent="0.15">
      <c r="A356"/>
      <c r="B356"/>
      <c r="H356"/>
    </row>
    <row r="357" spans="1:8" ht="13.5" x14ac:dyDescent="0.15">
      <c r="A357"/>
      <c r="B357"/>
      <c r="H357"/>
    </row>
  </sheetData>
  <phoneticPr fontId="1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E21"/>
  <sheetViews>
    <sheetView workbookViewId="0">
      <selection activeCell="D20" sqref="D20"/>
    </sheetView>
  </sheetViews>
  <sheetFormatPr defaultRowHeight="13.5" x14ac:dyDescent="0.15"/>
  <cols>
    <col min="4" max="4" width="22" bestFit="1" customWidth="1"/>
  </cols>
  <sheetData>
    <row r="1" spans="2:5" ht="16.5" x14ac:dyDescent="0.3">
      <c r="B1" s="47">
        <v>3</v>
      </c>
      <c r="C1" s="47" t="s">
        <v>1638</v>
      </c>
      <c r="D1" s="1" t="s">
        <v>1629</v>
      </c>
      <c r="E1" s="46">
        <v>55397</v>
      </c>
    </row>
    <row r="2" spans="2:5" ht="16.5" x14ac:dyDescent="0.3">
      <c r="B2" s="47">
        <v>3</v>
      </c>
      <c r="C2" s="47" t="s">
        <v>1639</v>
      </c>
      <c r="D2" s="1" t="s">
        <v>1630</v>
      </c>
      <c r="E2" s="46">
        <v>55398</v>
      </c>
    </row>
    <row r="3" spans="2:5" ht="16.5" x14ac:dyDescent="0.3">
      <c r="B3" s="47">
        <v>3</v>
      </c>
      <c r="C3" s="47" t="s">
        <v>1640</v>
      </c>
      <c r="D3" s="1" t="s">
        <v>1631</v>
      </c>
      <c r="E3" s="46">
        <v>55399</v>
      </c>
    </row>
    <row r="4" spans="2:5" ht="16.5" x14ac:dyDescent="0.3">
      <c r="B4" s="47">
        <v>1</v>
      </c>
      <c r="C4" s="47" t="s">
        <v>1640</v>
      </c>
      <c r="D4" s="1" t="s">
        <v>1641</v>
      </c>
      <c r="E4" s="46">
        <v>55400</v>
      </c>
    </row>
    <row r="5" spans="2:5" ht="16.5" x14ac:dyDescent="0.3">
      <c r="B5" s="47">
        <v>3</v>
      </c>
      <c r="C5" s="47" t="s">
        <v>1642</v>
      </c>
      <c r="D5" s="1" t="s">
        <v>1632</v>
      </c>
      <c r="E5" s="46">
        <v>55401</v>
      </c>
    </row>
    <row r="6" spans="2:5" ht="16.5" x14ac:dyDescent="0.3">
      <c r="B6" s="47">
        <v>3</v>
      </c>
      <c r="C6" s="47" t="s">
        <v>1643</v>
      </c>
      <c r="D6" s="1" t="s">
        <v>1633</v>
      </c>
      <c r="E6" s="46">
        <v>55402</v>
      </c>
    </row>
    <row r="7" spans="2:5" ht="16.5" x14ac:dyDescent="0.3">
      <c r="B7" s="47">
        <v>3</v>
      </c>
      <c r="C7" s="47" t="s">
        <v>1644</v>
      </c>
      <c r="D7" s="1" t="s">
        <v>1634</v>
      </c>
      <c r="E7" s="46">
        <v>55403</v>
      </c>
    </row>
    <row r="8" spans="2:5" ht="16.5" x14ac:dyDescent="0.3">
      <c r="B8" s="47">
        <v>3</v>
      </c>
      <c r="C8" s="47" t="s">
        <v>1645</v>
      </c>
      <c r="D8" s="1" t="s">
        <v>1635</v>
      </c>
      <c r="E8" s="46">
        <v>55404</v>
      </c>
    </row>
    <row r="9" spans="2:5" ht="16.5" x14ac:dyDescent="0.3">
      <c r="B9" s="47">
        <v>1</v>
      </c>
      <c r="C9" s="47" t="s">
        <v>1645</v>
      </c>
      <c r="D9" s="1" t="s">
        <v>1646</v>
      </c>
      <c r="E9" s="46">
        <v>55405</v>
      </c>
    </row>
    <row r="10" spans="2:5" ht="16.5" x14ac:dyDescent="0.3">
      <c r="B10" s="48">
        <v>1</v>
      </c>
      <c r="C10" s="48" t="s">
        <v>1647</v>
      </c>
      <c r="D10" s="1" t="s">
        <v>1648</v>
      </c>
      <c r="E10" s="46">
        <v>55406</v>
      </c>
    </row>
    <row r="11" spans="2:5" ht="16.5" x14ac:dyDescent="0.3">
      <c r="B11" s="48">
        <v>3</v>
      </c>
      <c r="C11" s="48" t="s">
        <v>1647</v>
      </c>
      <c r="D11" s="1" t="s">
        <v>1649</v>
      </c>
      <c r="E11" s="46">
        <v>55407</v>
      </c>
    </row>
    <row r="12" spans="2:5" ht="16.5" x14ac:dyDescent="0.3">
      <c r="B12" s="48">
        <v>3</v>
      </c>
      <c r="C12" s="48" t="s">
        <v>1650</v>
      </c>
      <c r="D12" s="1" t="s">
        <v>1651</v>
      </c>
      <c r="E12" s="46">
        <v>55408</v>
      </c>
    </row>
    <row r="13" spans="2:5" ht="16.5" x14ac:dyDescent="0.3">
      <c r="B13" s="48">
        <v>3</v>
      </c>
      <c r="C13" s="48" t="s">
        <v>1652</v>
      </c>
      <c r="D13" s="1" t="s">
        <v>1653</v>
      </c>
      <c r="E13" s="46">
        <v>55409</v>
      </c>
    </row>
    <row r="14" spans="2:5" ht="16.5" x14ac:dyDescent="0.3">
      <c r="B14" s="48">
        <v>3</v>
      </c>
      <c r="C14" s="48" t="s">
        <v>1654</v>
      </c>
      <c r="D14" s="1" t="s">
        <v>1655</v>
      </c>
      <c r="E14" s="46">
        <v>55410</v>
      </c>
    </row>
    <row r="15" spans="2:5" ht="16.5" x14ac:dyDescent="0.3">
      <c r="B15" s="48">
        <v>3</v>
      </c>
      <c r="C15" s="48" t="s">
        <v>1656</v>
      </c>
      <c r="D15" s="1" t="s">
        <v>1657</v>
      </c>
      <c r="E15" s="46">
        <v>55411</v>
      </c>
    </row>
    <row r="16" spans="2:5" ht="16.5" x14ac:dyDescent="0.3">
      <c r="B16" s="48">
        <v>3</v>
      </c>
      <c r="C16" s="48" t="s">
        <v>1658</v>
      </c>
      <c r="D16" s="1" t="s">
        <v>1659</v>
      </c>
      <c r="E16" s="46">
        <v>55412</v>
      </c>
    </row>
    <row r="17" spans="2:5" ht="16.5" x14ac:dyDescent="0.3">
      <c r="B17" s="48">
        <v>3</v>
      </c>
      <c r="C17" s="48" t="s">
        <v>1660</v>
      </c>
      <c r="D17" s="1" t="s">
        <v>1661</v>
      </c>
      <c r="E17" s="46">
        <v>55413</v>
      </c>
    </row>
    <row r="18" spans="2:5" ht="16.5" x14ac:dyDescent="0.3">
      <c r="B18" s="48">
        <v>3</v>
      </c>
      <c r="C18" s="48" t="s">
        <v>1662</v>
      </c>
      <c r="D18" s="1" t="s">
        <v>1663</v>
      </c>
      <c r="E18" s="46">
        <v>55414</v>
      </c>
    </row>
    <row r="19" spans="2:5" ht="16.5" x14ac:dyDescent="0.3">
      <c r="B19" s="48">
        <v>0</v>
      </c>
      <c r="C19" s="48" t="s">
        <v>1664</v>
      </c>
      <c r="D19" s="1" t="s">
        <v>1665</v>
      </c>
      <c r="E19" s="46">
        <v>55415</v>
      </c>
    </row>
    <row r="20" spans="2:5" ht="16.5" x14ac:dyDescent="0.3">
      <c r="B20" s="48">
        <v>0</v>
      </c>
      <c r="C20" s="48" t="s">
        <v>1666</v>
      </c>
      <c r="D20" s="1" t="s">
        <v>1667</v>
      </c>
      <c r="E20" s="46">
        <v>55416</v>
      </c>
    </row>
    <row r="21" spans="2:5" ht="16.5" x14ac:dyDescent="0.3">
      <c r="B21" s="48">
        <v>3</v>
      </c>
      <c r="C21" t="s">
        <v>1668</v>
      </c>
      <c r="D21" s="1" t="s">
        <v>1669</v>
      </c>
      <c r="E21" s="46">
        <v>55417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</dc:creator>
  <cp:lastModifiedBy>Windows User</cp:lastModifiedBy>
  <dcterms:created xsi:type="dcterms:W3CDTF">2006-09-16T00:00:00Z</dcterms:created>
  <dcterms:modified xsi:type="dcterms:W3CDTF">2018-03-07T07:21:19Z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2052-9.1.0.5108</vt:lpwstr>
  </property>
</Properties>
</file>