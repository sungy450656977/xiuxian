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0" yWindow="120" windowWidth="28695" windowHeight="12930"/>
  </bookViews>
  <sheets>
    <sheet name="Sheet1" sheetId="3" r:id="rId1"/>
    <sheet name="获取途径" sheetId="4" r:id="rId2"/>
  </sheets>
  <functionGroups/>
  <externalReferences>
    <externalReference r:id="rId3"/>
  </externalReferences>
  <definedNames>
    <definedName name="_xlnm._FilterDatabase" localSheetId="0" hidden="1">Sheet1!$A$3:$I$4</definedName>
  </definedNames>
  <calcPr calcId="124519"/>
</workbook>
</file>

<file path=xl/calcChain.xml><?xml version="1.0" encoding="utf-8"?>
<calcChain xmlns="http://schemas.openxmlformats.org/spreadsheetml/2006/main">
  <c r="U5" i="3"/>
  <c r="V5" s="1"/>
  <c r="U6"/>
  <c r="V6" s="1"/>
  <c r="U7"/>
  <c r="V7" s="1"/>
  <c r="U8"/>
  <c r="V8" s="1"/>
  <c r="U9"/>
  <c r="V9" s="1"/>
  <c r="U10"/>
  <c r="V10" s="1"/>
  <c r="U11"/>
  <c r="V11" s="1"/>
  <c r="U12"/>
  <c r="V12" s="1"/>
  <c r="U13"/>
  <c r="V13" s="1"/>
  <c r="U14"/>
  <c r="V14" s="1"/>
  <c r="U15"/>
  <c r="V15" s="1"/>
  <c r="U16"/>
  <c r="V16" s="1"/>
  <c r="U17"/>
  <c r="V17" s="1"/>
  <c r="U18"/>
  <c r="V18" s="1"/>
  <c r="U19"/>
  <c r="V19" s="1"/>
  <c r="U20"/>
  <c r="V20" s="1"/>
  <c r="U21"/>
  <c r="V21" s="1"/>
  <c r="U22"/>
  <c r="V22" s="1"/>
  <c r="U23"/>
  <c r="V23" s="1"/>
  <c r="U24"/>
  <c r="V24" s="1"/>
  <c r="U25"/>
  <c r="V25" s="1"/>
  <c r="U26"/>
  <c r="V26" s="1"/>
  <c r="U27"/>
  <c r="V27" s="1"/>
  <c r="U28"/>
  <c r="V28" s="1"/>
  <c r="U29"/>
  <c r="V29" s="1"/>
  <c r="U30"/>
  <c r="V30" s="1"/>
  <c r="U31"/>
  <c r="V31" s="1"/>
  <c r="U32"/>
  <c r="V32" s="1"/>
  <c r="U33"/>
  <c r="V33" s="1"/>
  <c r="U34"/>
  <c r="V34" s="1"/>
  <c r="U35"/>
  <c r="V35" s="1"/>
  <c r="U36"/>
  <c r="V36" s="1"/>
  <c r="U37"/>
  <c r="V37" s="1"/>
  <c r="U38"/>
  <c r="V38" s="1"/>
  <c r="U39"/>
  <c r="V39" s="1"/>
  <c r="U40"/>
  <c r="V40" s="1"/>
  <c r="U41"/>
  <c r="V41" s="1"/>
  <c r="U42"/>
  <c r="V42" s="1"/>
  <c r="U43"/>
  <c r="V43" s="1"/>
  <c r="U44"/>
  <c r="V44" s="1"/>
  <c r="U45"/>
  <c r="V45" s="1"/>
  <c r="U46"/>
  <c r="V46" s="1"/>
  <c r="U47"/>
  <c r="V47" s="1"/>
  <c r="U48"/>
  <c r="V48" s="1"/>
  <c r="U49"/>
  <c r="V49" s="1"/>
  <c r="U50"/>
  <c r="V50" s="1"/>
  <c r="U51"/>
  <c r="V51" s="1"/>
  <c r="U52"/>
  <c r="V52" s="1"/>
  <c r="U53"/>
  <c r="V53" s="1"/>
  <c r="U54"/>
  <c r="V54" s="1"/>
  <c r="U55"/>
  <c r="V55" s="1"/>
  <c r="U56"/>
  <c r="V56" s="1"/>
  <c r="U57"/>
  <c r="V57" s="1"/>
  <c r="U58"/>
  <c r="V58" s="1"/>
  <c r="U59"/>
  <c r="V59" s="1"/>
  <c r="U60"/>
  <c r="V60" s="1"/>
  <c r="U61"/>
  <c r="V61" s="1"/>
  <c r="U62"/>
  <c r="V62" s="1"/>
  <c r="U63"/>
  <c r="V63" s="1"/>
  <c r="U64"/>
  <c r="V64" s="1"/>
  <c r="U65"/>
  <c r="V65" s="1"/>
  <c r="U66"/>
  <c r="V66" s="1"/>
  <c r="U67"/>
  <c r="V67" s="1"/>
  <c r="U68"/>
  <c r="V68" s="1"/>
  <c r="U69"/>
  <c r="V69" s="1"/>
  <c r="U70"/>
  <c r="V70" s="1"/>
  <c r="U71"/>
  <c r="V71" s="1"/>
  <c r="U72"/>
  <c r="V72" s="1"/>
  <c r="U73"/>
  <c r="V73" s="1"/>
  <c r="U74"/>
  <c r="V74" s="1"/>
  <c r="U75"/>
  <c r="V75" s="1"/>
  <c r="U76"/>
  <c r="V76" s="1"/>
  <c r="U77"/>
  <c r="V77" s="1"/>
  <c r="U78"/>
  <c r="V78" s="1"/>
  <c r="U79"/>
  <c r="V79" s="1"/>
  <c r="U80"/>
  <c r="V80" s="1"/>
  <c r="U81"/>
  <c r="V81" s="1"/>
  <c r="U82"/>
  <c r="V82" s="1"/>
  <c r="U83"/>
  <c r="V83" s="1"/>
  <c r="U84"/>
  <c r="V84" s="1"/>
  <c r="U85"/>
  <c r="V85" s="1"/>
  <c r="U86"/>
  <c r="V86" s="1"/>
  <c r="U87"/>
  <c r="V87" s="1"/>
  <c r="U88"/>
  <c r="V88" s="1"/>
  <c r="U89"/>
  <c r="V89" s="1"/>
  <c r="U90"/>
  <c r="V90" s="1"/>
  <c r="U91"/>
  <c r="V91" s="1"/>
  <c r="U92"/>
  <c r="V92" s="1"/>
  <c r="U93"/>
  <c r="V93" s="1"/>
  <c r="U94"/>
  <c r="V94" s="1"/>
  <c r="U95"/>
  <c r="V95" s="1"/>
  <c r="U96"/>
  <c r="V96" s="1"/>
  <c r="U97"/>
  <c r="V97" s="1"/>
  <c r="U98"/>
  <c r="V98" s="1"/>
  <c r="U99"/>
  <c r="V99" s="1"/>
  <c r="U100"/>
  <c r="V100" s="1"/>
  <c r="U101"/>
  <c r="V101" s="1"/>
  <c r="U102"/>
  <c r="V102" s="1"/>
  <c r="U103"/>
  <c r="V103" s="1"/>
  <c r="U104"/>
  <c r="V104" s="1"/>
  <c r="U105"/>
  <c r="V105" s="1"/>
  <c r="U106"/>
  <c r="V106" s="1"/>
  <c r="U107"/>
  <c r="V107" s="1"/>
  <c r="U108"/>
  <c r="V108" s="1"/>
  <c r="U109"/>
  <c r="V109" s="1"/>
  <c r="U110"/>
  <c r="V110" s="1"/>
  <c r="U111"/>
  <c r="V111" s="1"/>
  <c r="U112"/>
  <c r="V112" s="1"/>
  <c r="U113"/>
  <c r="V113" s="1"/>
  <c r="U114"/>
  <c r="V114" s="1"/>
  <c r="U115"/>
  <c r="V115" s="1"/>
  <c r="U116"/>
  <c r="V116" s="1"/>
  <c r="U117"/>
  <c r="V117" s="1"/>
  <c r="U118"/>
  <c r="V118" s="1"/>
  <c r="U119"/>
  <c r="V119" s="1"/>
  <c r="U120"/>
  <c r="V120" s="1"/>
  <c r="U121"/>
  <c r="V121" s="1"/>
  <c r="U122"/>
  <c r="V122" s="1"/>
  <c r="U123"/>
  <c r="V123" s="1"/>
  <c r="U124"/>
  <c r="V124" s="1"/>
  <c r="U125"/>
  <c r="V125" s="1"/>
  <c r="U126"/>
  <c r="V126" s="1"/>
  <c r="U127"/>
  <c r="V127" s="1"/>
  <c r="U128"/>
  <c r="V128" s="1"/>
  <c r="U129"/>
  <c r="V129" s="1"/>
  <c r="U130"/>
  <c r="V130" s="1"/>
  <c r="U131"/>
  <c r="V131" s="1"/>
  <c r="U132"/>
  <c r="V132" s="1"/>
  <c r="U133"/>
  <c r="V133" s="1"/>
  <c r="U134"/>
  <c r="V134" s="1"/>
  <c r="U135"/>
  <c r="V135" s="1"/>
  <c r="U136"/>
  <c r="V136" s="1"/>
  <c r="U137"/>
  <c r="V137" s="1"/>
  <c r="U138"/>
  <c r="V138" s="1"/>
  <c r="U139"/>
  <c r="V139" s="1"/>
  <c r="U140"/>
  <c r="V140" s="1"/>
  <c r="U141"/>
  <c r="V141" s="1"/>
  <c r="U142"/>
  <c r="V142" s="1"/>
  <c r="U143"/>
  <c r="V143" s="1"/>
  <c r="U144"/>
  <c r="V144" s="1"/>
  <c r="U145"/>
  <c r="V145" s="1"/>
  <c r="U146"/>
  <c r="V146" s="1"/>
  <c r="U147"/>
  <c r="V147" s="1"/>
  <c r="U148"/>
  <c r="V148" s="1"/>
  <c r="U149"/>
  <c r="V149" s="1"/>
  <c r="U150"/>
  <c r="V150" s="1"/>
  <c r="U151"/>
  <c r="V151" s="1"/>
  <c r="U152"/>
  <c r="V152" s="1"/>
  <c r="U153"/>
  <c r="V153" s="1"/>
  <c r="U154"/>
  <c r="V154" s="1"/>
  <c r="U155"/>
  <c r="V155" s="1"/>
  <c r="U156"/>
  <c r="V156" s="1"/>
  <c r="U157"/>
  <c r="V157" s="1"/>
  <c r="U158"/>
  <c r="V158" s="1"/>
  <c r="U4"/>
  <c r="V4" s="1"/>
  <c r="K141" l="1"/>
  <c r="K142"/>
  <c r="K143" s="1"/>
  <c r="K144" s="1"/>
  <c r="K145" s="1"/>
  <c r="K146" s="1"/>
  <c r="K147" s="1"/>
  <c r="K148" s="1"/>
  <c r="K149" s="1"/>
  <c r="K150" s="1"/>
  <c r="K151" s="1"/>
  <c r="K152" s="1"/>
  <c r="K153"/>
  <c r="K154"/>
  <c r="K155" s="1"/>
  <c r="K156" s="1"/>
  <c r="K157" s="1"/>
  <c r="K158" s="1"/>
  <c r="K135"/>
  <c r="K136" s="1"/>
  <c r="K137" s="1"/>
  <c r="K138" s="1"/>
  <c r="K139" s="1"/>
  <c r="K140" s="1"/>
  <c r="I138"/>
  <c r="D138"/>
  <c r="D155"/>
  <c r="D156"/>
  <c r="D157"/>
  <c r="D158"/>
  <c r="K117"/>
  <c r="K118" s="1"/>
  <c r="K119" s="1"/>
  <c r="K120" s="1"/>
  <c r="K121" s="1"/>
  <c r="K122"/>
  <c r="K123"/>
  <c r="K124" s="1"/>
  <c r="K125" s="1"/>
  <c r="K126" s="1"/>
  <c r="K127" s="1"/>
  <c r="K128" s="1"/>
  <c r="K129"/>
  <c r="K130" s="1"/>
  <c r="K131" s="1"/>
  <c r="K132" s="1"/>
  <c r="K133" s="1"/>
  <c r="K134" s="1"/>
  <c r="D5"/>
  <c r="D6"/>
  <c r="D7"/>
  <c r="D8"/>
  <c r="D9"/>
  <c r="D10"/>
  <c r="D11"/>
  <c r="D12"/>
  <c r="D13"/>
  <c r="D14"/>
  <c r="D15"/>
  <c r="D16"/>
  <c r="D17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9"/>
  <c r="D140"/>
  <c r="D141"/>
  <c r="D142"/>
  <c r="D143"/>
  <c r="D144"/>
  <c r="D145"/>
  <c r="D146"/>
  <c r="D147"/>
  <c r="D148"/>
  <c r="D149"/>
  <c r="D150"/>
  <c r="D151"/>
  <c r="D152"/>
  <c r="D153"/>
  <c r="D154"/>
  <c r="D4"/>
  <c r="I5"/>
  <c r="I6"/>
  <c r="I7"/>
  <c r="I8"/>
  <c r="I9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9"/>
  <c r="I130"/>
  <c r="I131"/>
  <c r="I132"/>
  <c r="I133"/>
  <c r="I134"/>
  <c r="I135"/>
  <c r="I136"/>
  <c r="I137"/>
  <c r="I139"/>
  <c r="I140"/>
  <c r="I141"/>
  <c r="I142"/>
  <c r="I143"/>
  <c r="I144"/>
  <c r="I145"/>
  <c r="I146"/>
  <c r="I147"/>
  <c r="I148"/>
  <c r="I149"/>
  <c r="I150"/>
  <c r="I151"/>
  <c r="I152"/>
  <c r="I4"/>
  <c r="K10"/>
  <c r="K11" s="1"/>
  <c r="K12" s="1"/>
  <c r="K13" s="1"/>
  <c r="K14" s="1"/>
  <c r="K15" s="1"/>
  <c r="K16" s="1"/>
  <c r="K17" s="1"/>
  <c r="K18" s="1"/>
  <c r="K19" s="1"/>
  <c r="K20" s="1"/>
  <c r="K21" s="1"/>
  <c r="K22" s="1"/>
  <c r="K23"/>
  <c r="K24" s="1"/>
  <c r="K25" s="1"/>
  <c r="K26" s="1"/>
  <c r="K27" s="1"/>
  <c r="K28" s="1"/>
  <c r="K29" s="1"/>
  <c r="K30" s="1"/>
  <c r="K31" s="1"/>
  <c r="K32"/>
  <c r="K33" s="1"/>
  <c r="K34" s="1"/>
  <c r="K35" s="1"/>
  <c r="K36" s="1"/>
  <c r="K37"/>
  <c r="K38" s="1"/>
  <c r="K39" s="1"/>
  <c r="K40" s="1"/>
  <c r="K41" s="1"/>
  <c r="K42" s="1"/>
  <c r="K43" s="1"/>
  <c r="K44" s="1"/>
  <c r="K45" s="1"/>
  <c r="K46" s="1"/>
  <c r="K47"/>
  <c r="K48" s="1"/>
  <c r="K49" s="1"/>
  <c r="K50" s="1"/>
  <c r="K51" s="1"/>
  <c r="K52" s="1"/>
  <c r="K53"/>
  <c r="K54" s="1"/>
  <c r="K55" s="1"/>
  <c r="K56" s="1"/>
  <c r="K57" s="1"/>
  <c r="K58"/>
  <c r="K59"/>
  <c r="K60" s="1"/>
  <c r="K61" s="1"/>
  <c r="K62" s="1"/>
  <c r="K63"/>
  <c r="K64" s="1"/>
  <c r="K65" s="1"/>
  <c r="K66" s="1"/>
  <c r="K67" s="1"/>
  <c r="K68" s="1"/>
  <c r="K69" s="1"/>
  <c r="K70" s="1"/>
  <c r="K71" s="1"/>
  <c r="K72" s="1"/>
  <c r="K73"/>
  <c r="K74" s="1"/>
  <c r="K75" s="1"/>
  <c r="K76" s="1"/>
  <c r="K77" s="1"/>
  <c r="K78"/>
  <c r="K79"/>
  <c r="K80" s="1"/>
  <c r="K81" s="1"/>
  <c r="K82" s="1"/>
  <c r="K83" s="1"/>
  <c r="K84" s="1"/>
  <c r="K85" s="1"/>
  <c r="K86" s="1"/>
  <c r="K87" s="1"/>
  <c r="K88" s="1"/>
  <c r="K89"/>
  <c r="K90"/>
  <c r="K91" s="1"/>
  <c r="K92" s="1"/>
  <c r="K93" s="1"/>
  <c r="K94" s="1"/>
  <c r="K95" s="1"/>
  <c r="K96" s="1"/>
  <c r="K97" s="1"/>
  <c r="K98" s="1"/>
  <c r="K99" s="1"/>
  <c r="K100"/>
  <c r="K101" s="1"/>
  <c r="K102" s="1"/>
  <c r="K103" s="1"/>
  <c r="K104" s="1"/>
  <c r="K105"/>
  <c r="K106"/>
  <c r="K107" s="1"/>
  <c r="K108" s="1"/>
  <c r="K109" s="1"/>
  <c r="K110"/>
  <c r="K111" s="1"/>
  <c r="K112" s="1"/>
  <c r="K113" s="1"/>
  <c r="K114" s="1"/>
  <c r="K115" s="1"/>
  <c r="K116" s="1"/>
  <c r="K4"/>
  <c r="K5" s="1"/>
  <c r="K6" s="1"/>
  <c r="K7" s="1"/>
  <c r="K8" s="1"/>
  <c r="K9" s="1"/>
</calcChain>
</file>

<file path=xl/sharedStrings.xml><?xml version="1.0" encoding="utf-8"?>
<sst xmlns="http://schemas.openxmlformats.org/spreadsheetml/2006/main" count="620" uniqueCount="335">
  <si>
    <t>今日登陆赠送</t>
  </si>
  <si>
    <t>活动目标id</t>
    <phoneticPr fontId="2" type="noConversion"/>
  </si>
  <si>
    <t>前往的系统
[]-没有”前往“
填game_module的id</t>
    <phoneticPr fontId="2" type="noConversion"/>
  </si>
  <si>
    <t>id</t>
    <phoneticPr fontId="2" type="noConversion"/>
  </si>
  <si>
    <t>type</t>
    <phoneticPr fontId="2" type="noConversion"/>
  </si>
  <si>
    <t>param</t>
    <phoneticPr fontId="2" type="noConversion"/>
  </si>
  <si>
    <t>reward</t>
    <phoneticPr fontId="2" type="noConversion"/>
  </si>
  <si>
    <t>module_id</t>
    <phoneticPr fontId="2" type="noConversion"/>
  </si>
  <si>
    <t>s</t>
    <phoneticPr fontId="2" type="noConversion"/>
  </si>
  <si>
    <t>i</t>
    <phoneticPr fontId="2" type="noConversion"/>
  </si>
  <si>
    <t>活动任务参数</t>
  </si>
  <si>
    <t>1-主线关卡|活动期间累计挑战次数</t>
  </si>
  <si>
    <t>2-精英关卡|活动期间累计挑战次数</t>
  </si>
  <si>
    <t>3-幻境关卡|活动期间累计挑战次数</t>
  </si>
  <si>
    <t>4-竞技场挑战|活动期间累计挑战次数</t>
  </si>
  <si>
    <t>5-距离开服天数领奖（5|距离开服天数）</t>
  </si>
  <si>
    <t>6-完成法宝强化|累计强化消耗道具数量</t>
  </si>
  <si>
    <t>7-完成法宝合成|累计合成次数</t>
  </si>
  <si>
    <t>8-完成装备强化|累计强化次数</t>
  </si>
  <si>
    <t>9-完成装备精炼|累计精炼次数</t>
  </si>
  <si>
    <t>10-普通抽奖|活动期间累计抽奖次数</t>
  </si>
  <si>
    <t>11-钻石抽奖|活动期间累计抽奖次数</t>
  </si>
  <si>
    <t>12-单笔充值（12|单笔充值数目）</t>
  </si>
  <si>
    <t>13-购买道具|商品ID|活动期间累计购买次数</t>
  </si>
  <si>
    <t>14-主角等级|目标等级</t>
  </si>
  <si>
    <t>15-主线关卡总星数|目标星数</t>
  </si>
  <si>
    <t>16-精英关卡总星数|目标星数</t>
  </si>
  <si>
    <t>17-幻境关卡总星数|目标星数</t>
  </si>
  <si>
    <t>18-战斗力|目标战斗力数值</t>
  </si>
  <si>
    <t>19-vip等级|目标等级</t>
  </si>
  <si>
    <t>20-法宝抢夺|活动期间累计抢夺次数</t>
  </si>
  <si>
    <t>21-升级技能|活动期间累计升级次数</t>
  </si>
  <si>
    <t>22-累积登陆|活动期间累计登陆天数</t>
  </si>
  <si>
    <t>23-灵台斗法最高排名|目标名次</t>
  </si>
  <si>
    <t>24-上阵伙伴最低等级达到|目标等级</t>
  </si>
  <si>
    <t>25-活动期间累计充值|目标充值数量</t>
  </si>
  <si>
    <t>26-大雁塔挑战次数|活动期间累计挑战次数</t>
  </si>
  <si>
    <t>27-大雁塔最高层数|目标层数</t>
  </si>
  <si>
    <t>28-噩梦入侵活动期间累计伤害(28|活动期间累计伤害值)</t>
  </si>
  <si>
    <t>29-噩梦入侵活动期间累计击杀怪物数量(29|活动期间累计击杀怪物数量)</t>
  </si>
  <si>
    <t>35-夜探无底洞挑战次数|累计挑战次数（35|累计挑战次数）</t>
  </si>
  <si>
    <t>36-斩妖夺宝挑战次数|累计挑战次数（36|累计挑战次数）</t>
  </si>
  <si>
    <t>37-累计培养武将次数（37|累计培养武将次数）</t>
  </si>
  <si>
    <t>38-培养突破等级达到（38|达到的培养突破等级）</t>
  </si>
  <si>
    <t>41-伙伴商铺累计刷新次数（41|伙伴商铺累计刷新次数）</t>
  </si>
  <si>
    <t>42-斩妖夺宝累计击杀怪物数（42|累计击杀怪物数）</t>
  </si>
  <si>
    <t>33-法宝的最高精炼等级达到（33|法宝的最高精炼等级）</t>
    <phoneticPr fontId="2" type="noConversion"/>
  </si>
  <si>
    <t>32-法宝的最高强化等级达到（32|法宝的最高强化等级）</t>
    <phoneticPr fontId="2" type="noConversion"/>
  </si>
  <si>
    <t>31-装备的最高精炼等级达到（31|装备的最高精炼等级）</t>
    <phoneticPr fontId="2" type="noConversion"/>
  </si>
  <si>
    <t>30-装备的最高强化等级达到（30|装备的最高强化等级）</t>
    <phoneticPr fontId="2" type="noConversion"/>
  </si>
  <si>
    <t>43-神兵的最高强化等级达到（43|神兵的最高强化等级）</t>
    <phoneticPr fontId="2" type="noConversion"/>
  </si>
  <si>
    <t>44-神兵的最高精炼等级达到（44|神兵的最高精炼等级）</t>
    <phoneticPr fontId="2" type="noConversion"/>
  </si>
  <si>
    <t>是否显示进度
0-不显示
1-显示</t>
    <phoneticPr fontId="2" type="noConversion"/>
  </si>
  <si>
    <t>show_plan</t>
    <phoneticPr fontId="2" type="noConversion"/>
  </si>
  <si>
    <t>活动奖励
填写game_reward的id</t>
    <phoneticPr fontId="2" type="noConversion"/>
  </si>
  <si>
    <t>34-通关的副本id|battle_scene中的副本id（主线，精英，幻境）</t>
    <phoneticPr fontId="2" type="noConversion"/>
  </si>
  <si>
    <t>45-通关夜探无底洞层数|通关夜探无底洞层数</t>
    <phoneticPr fontId="2" type="noConversion"/>
  </si>
  <si>
    <t>40-神兵的最高精炼等级达到（40|神兵精炼等级）</t>
    <phoneticPr fontId="2" type="noConversion"/>
  </si>
  <si>
    <t>39-神兵的最高强化等级达到（39|神兵强化等级）</t>
    <phoneticPr fontId="2" type="noConversion"/>
  </si>
  <si>
    <t>46-5个上阵伙伴的20件已穿戴的装备强化最低达到x级</t>
    <phoneticPr fontId="2" type="noConversion"/>
  </si>
  <si>
    <t>48-5个上阵伙伴的10件已穿戴的法宝强化最低达到x级</t>
    <phoneticPr fontId="2" type="noConversion"/>
  </si>
  <si>
    <t>49-5个上阵伙伴的10件已穿戴的法宝精炼最低达到x级</t>
    <phoneticPr fontId="2" type="noConversion"/>
  </si>
  <si>
    <t>47-5个上阵伙伴的20件已穿戴的装备精炼最低达到x级</t>
    <phoneticPr fontId="2" type="noConversion"/>
  </si>
  <si>
    <t>param2</t>
    <phoneticPr fontId="2" type="noConversion"/>
  </si>
  <si>
    <t>[]</t>
    <phoneticPr fontId="2" type="noConversion"/>
  </si>
  <si>
    <t>50-x个上阵伙伴的进阶等级最低达到x级（人数,进阶等级）</t>
    <phoneticPr fontId="2" type="noConversion"/>
  </si>
  <si>
    <t>51-x个上阵伙伴的全部穿戴y品质以上的装备（人数，装备品质type）</t>
    <phoneticPr fontId="2" type="noConversion"/>
  </si>
  <si>
    <t>52-上阵x个y品质的伙伴(人数，伙伴品质type)</t>
    <phoneticPr fontId="2" type="noConversion"/>
  </si>
  <si>
    <t>53-上阵x人的神兵强化等级达到y级（人数，神兵强化等级）</t>
    <phoneticPr fontId="2" type="noConversion"/>
  </si>
  <si>
    <t>55-某个商店x消耗某种货币y达到一定数值z（商店id,货币id,累计消耗值）</t>
    <phoneticPr fontId="2" type="noConversion"/>
  </si>
  <si>
    <t>56-大闹三界通过哪个副本(副本id)</t>
    <phoneticPr fontId="2" type="noConversion"/>
  </si>
  <si>
    <t>54-上阵x人的神兵进阶等级达到y级（人数，神兵进阶等级）</t>
    <phoneticPr fontId="2" type="noConversion"/>
  </si>
  <si>
    <t>desc</t>
    <phoneticPr fontId="2" type="noConversion"/>
  </si>
  <si>
    <t>a</t>
    <phoneticPr fontId="2" type="noConversion"/>
  </si>
  <si>
    <t>[]</t>
    <phoneticPr fontId="2" type="noConversion"/>
  </si>
  <si>
    <r>
      <t>活动任务参数1(类型&lt;=45)
1-主线关卡|活动期间累计挑战次数
2-精英关卡|活动期间累计挑战次数
3-幻境关卡|活动期间累计挑战次数
4-竞技场挑战|活动期间累计挑战次数
5-距离开服天数领奖（5|距离开服天数）
6-完成法宝强化|累计强化消耗道具数量
7-完成法宝合成|累计合成次数
8-完成装备强化|累计强化次数
9-完成装备精炼|累计精炼次数
10-普通抽奖|活动期间累计抽奖次数
11-钻石抽奖|活动期间累计抽奖次数
12-单笔充值（12|单笔充值数目）
13-购买道具|商品ID|活动期间累计购买次数
14-主角等级|目标等级
15-主线关卡总星数|目标星数
16-精英关卡总星数|目标星数
17-幻境关卡总星数|目标星数
18-战斗力|目标战斗力数值
19-vip等级|目标等级
20-法宝抢夺|活动期间累计抢夺次数
21-升级技能|活动期间累计升级次数
22-累积登陆|活动期间累计登陆天数
23-灵台斗法最高排名|目标名次
24-上阵伙伴最低等级达到|目标等级
25-活动期间累计充值|目标充值数量
26-大雁塔挑战次数|活动期间累计挑战次数
27-大雁塔最高层数|目标层数
28-噩梦入侵活动期间累计伤害(28|活动期间累计伤害值)
29-噩梦入侵活动期间累计击杀怪物数量(29|活动期间累计击杀怪物数量)
30-装备的最高强化等级达到（30|装备的最高强化等级）
31-装备的最高精炼等级达到（31|装备的最高精炼等级）
32-法宝的最高强化等级达到（32|法宝的最高强化等级）
33-法宝的最高精炼等级达到（33|法宝的最高精炼等级）
34-通关的副本id|battle_scene中的副本id（只能配置主线，精英，幻境）
35-夜探无底洞挑战次数|累计挑战次数（35|累计挑战次数）
36-斩妖夺宝挑战次数|累计挑战次数（36|累计挑战次数）
37-累计培养武将次数（37|累计培养武将次数）
38-伙伴培养的最高等级达到（38|伙伴培养的最高等级）
41-伙伴商铺累计刷新次数（41|伙伴商铺累计刷新次数）
42-斩妖夺宝累计击杀怪物数-胜利的次数（42|累计击杀怪物数）
43-神兵的最高强化等级达到（43|神兵的最高强化等级）
44-神兵的最高精炼等级达到（44|神兵的最高精炼等级）</t>
    </r>
    <r>
      <rPr>
        <sz val="11"/>
        <color theme="1"/>
        <rFont val="微软雅黑"/>
        <family val="2"/>
        <charset val="134"/>
      </rPr>
      <t xml:space="preserve">
45-通关夜探无底洞层数|通关夜探无底洞层数
46-5个上阵伙伴的20件已穿戴的装备强化最低达到x级
47-5个上阵伙伴的20件已穿戴的装备精炼最低达到x级
48-5个上阵伙伴的10件已穿戴的法宝强化最低达到x级
49-5个上阵伙伴的10件已穿戴的法宝精炼最低达到x级
56-大闹三界通过哪个副本(副本id)
</t>
    </r>
    <phoneticPr fontId="2" type="noConversion"/>
  </si>
  <si>
    <t>活动任务参数2(类型&gt;=46)
[]-无参数
24-上阵x个伙伴等级达到x级
50-x个上阵伙伴的进阶等级最低达到x级（人数,进阶等级）
51-x个上阵伙伴的全部穿戴y品质以上的装备（人数，装备品质type）
52-上阵x个y品质的伙伴(伙伴品质type，人数)
53-上阵x人的神兵强化等级达到y级（人数，神兵强化等级）
54-上阵x人的神兵进阶等级达到y级（人数，神兵进阶等级）
55-某个商店x消耗某种货币y达到一定数值z（商店id,货币id,累计消耗值）</t>
    <phoneticPr fontId="2" type="noConversion"/>
  </si>
  <si>
    <t>引用模板
1-单奖励模板
2-多奖励模板</t>
    <phoneticPr fontId="2" type="noConversion"/>
  </si>
  <si>
    <t>rewards_type</t>
    <phoneticPr fontId="2" type="noConversion"/>
  </si>
  <si>
    <t>i</t>
    <phoneticPr fontId="2" type="noConversion"/>
  </si>
  <si>
    <t>活动任务参数1-主线关卡|活动期间累计挑战次数
2-精英关卡|活动期间累计挑战次数
3-幻境关卡|活动期间累计挑战次数
4-竞技场挑战|活动期间累计挑战次数
5-距离开服天数领奖（5|距离开服天数）
6-完成法宝强化|累计强化消耗道具数量
7-完成法宝合成|累计合成次数
8-完成装备强化|累计强化次数
9-完成装备精炼|累计精炼次数
10-普通抽奖|活动期间累计抽奖次数
11-钻石抽奖|活动期间累计抽奖次数
12-单笔充值（12|单笔充值数目）
13-购买道具|商品ID|活动期间累计购买次数
14-主角等级|目标等级
15-主线关卡总星数|目标星数
16-精英关卡总星数|目标星数
17-幻境关卡总星数|目标星数
18-战斗力|目标战斗力数值
19-vip等级|目标等级
20-法宝抢夺|活动期间累计抢夺次数
21-升级技能|活动期间累计升级次数
22-累积登陆|活动期间累计登陆天数
23-灵台斗法最高排名|目标名次
25-活动期间累计充值|目标充值数量
26-大雁塔挑战次数|活动期间累计挑战次数
27-大雁塔最高层数|目标层数
28-噩梦入侵活动期间累计伤害(28|活动期间累计伤害值)
29-噩梦入侵活动期间累计击杀怪物数量(29|活动期间累计击杀怪物数量)
30-装备的最高强化等级达到（30|装备的最高强化等级）
31-装备的最高精炼等级达到（31|装备的最高精炼等级）
32-法宝的最高强化等级达到（32|法宝的最高强化等级）
33-法宝的最高精炼等级达到（33|法宝的最高精炼等级）
34-通关的副本id|battle_scene中的副本id（只能配置主线，精英，幻境）
35-夜探无底洞挑战次数|累计挑战次数（35|累计挑战次数）
36-斩妖夺宝挑战次数|累计挑战次数（36|累计挑战次数）
37-累计培养武将次数（37|累计培养武将次数）
38-伙伴培养的最高等级达到（38|伙伴培养的最高等级）
41-伙伴商铺累计刷新次数（41|伙伴商铺累计刷新次数）
42-斩妖夺宝累计击杀怪物数-胜利的次数（42|累计击杀怪物数）
43-神兵的最高强化等级达到（43|神兵的最高强化等级）
44-神兵的最高精炼等级达到（44|神兵的最高精炼等级）
45-通关夜探无底洞层数|通关夜探无底洞层数
46-5个上阵伙伴的20件已穿戴的装备强化最低达到x级
47-5个上阵伙伴的20件已穿戴的装备精炼最低达到x级
48-5个上阵伙伴的10件已穿戴的法宝强化最低达到x级
49-5个上阵伙伴的10件已穿戴的法宝精炼最低达到x级
56-大闹三界通过哪个副本(副本id)</t>
    <phoneticPr fontId="2" type="noConversion"/>
  </si>
  <si>
    <t>上阵五名伙伴全部穿戴蓝色以上装备（包括蓝色）</t>
  </si>
  <si>
    <t>4,4</t>
    <phoneticPr fontId="2" type="noConversion"/>
  </si>
  <si>
    <t>5,2</t>
    <phoneticPr fontId="2" type="noConversion"/>
  </si>
  <si>
    <t>5,3</t>
    <phoneticPr fontId="2" type="noConversion"/>
  </si>
  <si>
    <t>法宝精炼</t>
  </si>
  <si>
    <t>每日福利</t>
  </si>
  <si>
    <t>主线副本</t>
  </si>
  <si>
    <t>聚仙送礼</t>
  </si>
  <si>
    <t>灵台斗法</t>
  </si>
  <si>
    <t>法宝抢夺</t>
  </si>
  <si>
    <t>大雁塔</t>
  </si>
  <si>
    <t>装备精炼</t>
  </si>
  <si>
    <t>神兵强化</t>
  </si>
  <si>
    <t>梦魇入侵</t>
  </si>
  <si>
    <t>大闹三界</t>
  </si>
  <si>
    <t>伙伴商铺</t>
  </si>
  <si>
    <t>精英副本</t>
  </si>
  <si>
    <t>商铺放送</t>
  </si>
  <si>
    <t>降妖除魔</t>
  </si>
  <si>
    <t>5,5</t>
    <phoneticPr fontId="2" type="noConversion"/>
  </si>
  <si>
    <t>5,10</t>
    <phoneticPr fontId="2" type="noConversion"/>
  </si>
  <si>
    <t>5,15</t>
    <phoneticPr fontId="2" type="noConversion"/>
  </si>
  <si>
    <t>5,20</t>
    <phoneticPr fontId="2" type="noConversion"/>
  </si>
  <si>
    <t>3,5,1000</t>
    <phoneticPr fontId="2" type="noConversion"/>
  </si>
  <si>
    <t>3,5,2000</t>
    <phoneticPr fontId="2" type="noConversion"/>
  </si>
  <si>
    <t>4,3,1000</t>
    <phoneticPr fontId="2" type="noConversion"/>
  </si>
  <si>
    <t>4,3,2000</t>
    <phoneticPr fontId="2" type="noConversion"/>
  </si>
  <si>
    <t>10,39,1000</t>
    <phoneticPr fontId="2" type="noConversion"/>
  </si>
  <si>
    <t>10,39,2000</t>
    <phoneticPr fontId="2" type="noConversion"/>
  </si>
  <si>
    <t>7,29,1000</t>
    <phoneticPr fontId="2" type="noConversion"/>
  </si>
  <si>
    <t>7,29,2000</t>
    <phoneticPr fontId="2" type="noConversion"/>
  </si>
  <si>
    <t>2,4,1000</t>
    <phoneticPr fontId="2" type="noConversion"/>
  </si>
  <si>
    <t>2,4,2000</t>
    <phoneticPr fontId="2" type="noConversion"/>
  </si>
  <si>
    <t>1,2,2000</t>
    <phoneticPr fontId="2" type="noConversion"/>
  </si>
  <si>
    <t>1,2,1000</t>
    <phoneticPr fontId="2" type="noConversion"/>
  </si>
  <si>
    <t>法宝抢夺</t>
    <phoneticPr fontId="2" type="noConversion"/>
  </si>
  <si>
    <t>大闹三界</t>
    <phoneticPr fontId="2" type="noConversion"/>
  </si>
  <si>
    <t>每日福利</t>
    <phoneticPr fontId="2" type="noConversion"/>
  </si>
  <si>
    <t>57-在某个商店x中累计购买y次商品（商店id,累计购买次数）</t>
    <phoneticPr fontId="2" type="noConversion"/>
  </si>
  <si>
    <t>58-活动时段内大雁塔的累计重置次数</t>
    <phoneticPr fontId="2" type="noConversion"/>
  </si>
  <si>
    <t>主线关卡|活动期间累计挑战次数</t>
  </si>
  <si>
    <t>精英关卡|活动期间累计挑战次数</t>
  </si>
  <si>
    <t>幻境关卡|活动期间累计挑战次数</t>
  </si>
  <si>
    <t>竞技场挑战|活动期间累计挑战次数</t>
  </si>
  <si>
    <t>距离开服天数领奖（5|距离开服天数）</t>
  </si>
  <si>
    <t>完成法宝强化|累计强化消耗道具数量</t>
  </si>
  <si>
    <t>完成法宝合成|累计合成次数</t>
  </si>
  <si>
    <t>完成装备强化|累计强化次数</t>
  </si>
  <si>
    <t>完成装备精炼|累计精炼次数</t>
  </si>
  <si>
    <t>普通抽奖|活动期间累计抽奖次数</t>
  </si>
  <si>
    <t>钻石抽奖|活动期间累计抽奖次数</t>
  </si>
  <si>
    <t>单笔充值（12|单笔充值数目）</t>
  </si>
  <si>
    <t>购买道具|商品ID|活动期间累计购买次数</t>
  </si>
  <si>
    <t>主角等级|目标等级</t>
  </si>
  <si>
    <t>主线关卡总星数|目标星数</t>
  </si>
  <si>
    <t>精英关卡总星数|目标星数</t>
  </si>
  <si>
    <t>幻境关卡总星数|目标星数</t>
  </si>
  <si>
    <t>战斗力|目标战斗力数值</t>
  </si>
  <si>
    <t>vip等级|目标等级</t>
  </si>
  <si>
    <t>法宝抢夺|活动期间累计抢夺次数</t>
  </si>
  <si>
    <t>升级技能|活动期间累计升级次数</t>
  </si>
  <si>
    <t>累积登陆|活动期间累计登陆天数</t>
  </si>
  <si>
    <t>灵台斗法最高排名|目标名次</t>
  </si>
  <si>
    <t>上阵伙伴最低等级达到|目标等级</t>
  </si>
  <si>
    <t>活动期间累计充值|目标充值数量</t>
  </si>
  <si>
    <t>大雁塔挑战次数|活动期间累计挑战次数</t>
  </si>
  <si>
    <t>大雁塔最高层数|目标层数</t>
  </si>
  <si>
    <t>噩梦入侵活动期间累计伤害(28|活动期间累计伤害值)</t>
  </si>
  <si>
    <t>噩梦入侵活动期间累计击杀怪物数量(29|活动期间累计击杀怪物数量)</t>
  </si>
  <si>
    <t>装备的最高强化等级达到（30|装备的最高强化等级）</t>
  </si>
  <si>
    <t>装备的最高精炼等级达到（31|装备的最高精炼等级）</t>
  </si>
  <si>
    <t>法宝的最高强化等级达到（32|法宝的最高强化等级）</t>
  </si>
  <si>
    <t>法宝的最高精炼等级达到（33|法宝的最高精炼等级）</t>
  </si>
  <si>
    <t>通关的副本id|battle_scene中的副本id（主线，精英，幻境）</t>
  </si>
  <si>
    <t>夜探无底洞挑战次数|累计挑战次数（35|累计挑战次数）</t>
  </si>
  <si>
    <t>斩妖夺宝挑战次数|累计挑战次数（36|累计挑战次数）</t>
  </si>
  <si>
    <t>累计培养武将次数（37|累计培养武将次数）</t>
  </si>
  <si>
    <t>培养突破等级达到（38|达到的培养突破等级）</t>
  </si>
  <si>
    <t>神兵的最高强化等级达到（39|神兵强化等级）</t>
  </si>
  <si>
    <t>神兵的最高精炼等级达到（40|神兵精炼等级）</t>
  </si>
  <si>
    <t>伙伴商铺累计刷新次数（41|伙伴商铺累计刷新次数）</t>
  </si>
  <si>
    <t>斩妖夺宝累计击杀怪物数（42|累计击杀怪物数）</t>
  </si>
  <si>
    <t>神兵的最高强化等级达到（43|神兵的最高强化等级）</t>
  </si>
  <si>
    <t>神兵的最高精炼等级达到（44|神兵的最高精炼等级）</t>
  </si>
  <si>
    <t>通关夜探无底洞层数|通关夜探无底洞层数</t>
  </si>
  <si>
    <t>5个上阵伙伴的20件已穿戴的装备强化最低达到x级</t>
  </si>
  <si>
    <t>5个上阵伙伴的20件已穿戴的装备精炼最低达到x级</t>
  </si>
  <si>
    <t>5个上阵伙伴的10件已穿戴的法宝强化最低达到x级</t>
  </si>
  <si>
    <t>5个上阵伙伴的10件已穿戴的法宝精炼最低达到x级</t>
  </si>
  <si>
    <t>x个上阵伙伴的进阶等级最低达到x级（人数,进阶等级）</t>
  </si>
  <si>
    <t>x个上阵伙伴的全部穿戴y品质以上的装备（人数，装备品质type）</t>
  </si>
  <si>
    <t>上阵x个y品质的伙伴(人数，伙伴品质type)</t>
  </si>
  <si>
    <t>上阵x人的神兵强化等级达到y级（人数，神兵强化等级）</t>
  </si>
  <si>
    <t>上阵x人的神兵进阶等级达到y级（人数，神兵进阶等级）</t>
  </si>
  <si>
    <t>某个商店x消耗某种货币y达到一定数值z（商店id,货币id,累计消耗值）</t>
  </si>
  <si>
    <t>大闹三界通过哪个副本(副本id)</t>
  </si>
  <si>
    <t>在某个商店x中累计购买y次商品（商店id,累计购买次数）</t>
  </si>
  <si>
    <t>活动时段内大雁塔的累计重置次数</t>
  </si>
  <si>
    <t>module_id</t>
    <phoneticPr fontId="2" type="noConversion"/>
  </si>
  <si>
    <t>任务类型</t>
    <phoneticPr fontId="2" type="noConversion"/>
  </si>
  <si>
    <t>任务描述</t>
    <phoneticPr fontId="2" type="noConversion"/>
  </si>
  <si>
    <t>[]</t>
    <phoneticPr fontId="2" type="noConversion"/>
  </si>
  <si>
    <t>[]</t>
    <phoneticPr fontId="2" type="noConversion"/>
  </si>
  <si>
    <t>[]</t>
    <phoneticPr fontId="2" type="noConversion"/>
  </si>
  <si>
    <t>是否显示进度
0-不显示
1-显示</t>
    <phoneticPr fontId="2" type="noConversion"/>
  </si>
  <si>
    <t>5,4</t>
    <phoneticPr fontId="2" type="noConversion"/>
  </si>
  <si>
    <t>登陆领取指定红色伙伴</t>
  </si>
  <si>
    <t>5,2</t>
    <phoneticPr fontId="2" type="noConversion"/>
  </si>
  <si>
    <t>活动目标描述
[00821c]xxx[-]次</t>
  </si>
  <si>
    <t>累计充值 [00821c]100[-] 元</t>
  </si>
  <si>
    <t>累计充值 [00821c]200[-] 元</t>
  </si>
  <si>
    <t xml:space="preserve"> [00821c]25[-] 级赠送橙色伙伴(混世魔王,东海龙王,迦叶)三选一</t>
  </si>
  <si>
    <t>等级到达 [00821c]30[-] 级</t>
  </si>
  <si>
    <t xml:space="preserve">战斗力到达 [00821c]300000[-] </t>
  </si>
  <si>
    <t>主线副本通关第 [00821c]4[-] 章</t>
  </si>
  <si>
    <t>主线副本通关第 [00821c]6[-] 章</t>
  </si>
  <si>
    <t>主线副本通关第 [00821c]8[-] 章</t>
  </si>
  <si>
    <t>主线副本通关第 [00821c]10[-] 章</t>
  </si>
  <si>
    <t>主线副本通关第 [00821c]12[-] 章</t>
  </si>
  <si>
    <t>主线副本通关第 [00821c]14[-] 章</t>
  </si>
  <si>
    <t>主线副本通关第 [00821c]16[-] 章</t>
  </si>
  <si>
    <t>主线副本通关第 [00821c]18[-] 章</t>
  </si>
  <si>
    <t>上阵五名伙伴穿戴装备强化至 [00821c]30[-] 级</t>
  </si>
  <si>
    <t>上阵五名伙伴穿戴装备强化至 [00821c]40[-] 级</t>
  </si>
  <si>
    <t>上阵五名伙伴穿戴装备强化至 [00821c]50[-] 级</t>
  </si>
  <si>
    <t>上阵五名伙伴穿戴装备强化至 [00821c]60[-] 级</t>
  </si>
  <si>
    <t>上阵 [00821c]4[-] 名橙色伙伴</t>
  </si>
  <si>
    <t>上阵 [00821c]5[-] 名橙色伙伴</t>
  </si>
  <si>
    <t>顶级聚仙 [00821c]10[-] 次</t>
  </si>
  <si>
    <t>顶级聚仙 [00821c]20[-] 次</t>
  </si>
  <si>
    <t>顶级聚仙 [00821c]30[-] 次</t>
  </si>
  <si>
    <t>顶级聚仙 [00821c]50[-] 次</t>
  </si>
  <si>
    <t>顶级聚仙 [00821c]100[-] 次</t>
  </si>
  <si>
    <t>顶级聚仙 [00821c]150[-] 次</t>
  </si>
  <si>
    <t>顶级聚仙 [00821c]200[-] 次</t>
  </si>
  <si>
    <t>累计充值 [00821c]300[-] 元</t>
  </si>
  <si>
    <t>累计充值 [00821c]400[-] 元</t>
  </si>
  <si>
    <t>等级到达 [00821c]36[-] 级</t>
  </si>
  <si>
    <t xml:space="preserve">战斗力到达 [00821c]400000[-] </t>
  </si>
  <si>
    <t>灵台斗法最高排名到达第 [00821c]1[-] 名</t>
  </si>
  <si>
    <t>灵台斗法最高排名到达第 [00821c]3[-] 名</t>
  </si>
  <si>
    <t>灵台斗法最高排名到达第 [00821c]10[-] 名</t>
  </si>
  <si>
    <t>灵台斗法最高排名到达第 [00821c]30[-] 名</t>
  </si>
  <si>
    <t>灵台斗法最高排名到达第 [00821c]100[-] 名</t>
  </si>
  <si>
    <t>灵台斗法最高排名到达第 [00821c]500[-] 名</t>
  </si>
  <si>
    <t>灵台斗法最高排名到达第 [00821c]1000[-] 名</t>
  </si>
  <si>
    <t>灵台斗法最高排名到达第 [00821c]3000[-] 名</t>
  </si>
  <si>
    <t xml:space="preserve">上阵所有伙伴进阶等级+ [00821c]2[-] </t>
  </si>
  <si>
    <t xml:space="preserve">上阵所有伙伴进阶等级+ [00821c]3[-] </t>
  </si>
  <si>
    <t>合成 [00821c]10[-] 个法宝</t>
  </si>
  <si>
    <t>合成 [00821c]20[-] 个法宝</t>
  </si>
  <si>
    <t>穿戴法宝最高强化等级到达 [00821c]10[-] 级</t>
  </si>
  <si>
    <t>穿戴法宝最高强化等级到达 [00821c]20[-] 级</t>
  </si>
  <si>
    <t>上阵五名伙伴穿戴法宝强化至 [00821c]5[-] 级</t>
  </si>
  <si>
    <t>上阵五名伙伴穿戴法宝强化至 [00821c]10[-] 级</t>
  </si>
  <si>
    <t>累计充值 [00821c]500[-] 元</t>
  </si>
  <si>
    <t>累计充值 [00821c]600[-] 元</t>
  </si>
  <si>
    <t>等级到达 [00821c]40[-] 级</t>
  </si>
  <si>
    <t xml:space="preserve">战斗力到达 [00821c]600000[-] </t>
  </si>
  <si>
    <t>大雁塔最高达到 [00821c]30[-] 层</t>
  </si>
  <si>
    <t>大雁塔最高达到 [00821c]35[-] 层</t>
  </si>
  <si>
    <t>大雁塔最高达到 [00821c]40[-] 层</t>
  </si>
  <si>
    <t>大雁塔最高达到 [00821c]45[-] 层</t>
  </si>
  <si>
    <t>大雁塔最高达到 [00821c]50[-] 层</t>
  </si>
  <si>
    <t>上阵伙伴穿戴的二十件装备精炼等级到达 [00821c]2[-] 级</t>
  </si>
  <si>
    <t>上阵伙伴穿戴的二十件装备精炼等级到达 [00821c]4[-] 级</t>
  </si>
  <si>
    <t>上阵伙伴穿戴的二十件装备精炼等级到达 [00821c]6[-] 级</t>
  </si>
  <si>
    <t>上阵伙伴穿戴的二十件装备精炼等级到达 [00821c]8[-] 级</t>
  </si>
  <si>
    <t>上阵伙伴穿戴的二十件装备精炼等级到达 [00821c]10[-] 级</t>
  </si>
  <si>
    <t>上阵伙伴穿戴的二十件装备精炼等级到达 [00821c]15[-] 级</t>
  </si>
  <si>
    <t>穿戴装备最高精炼等级到达 [00821c]5[-] 级</t>
  </si>
  <si>
    <t>穿戴装备最高精炼等级到达 [00821c]10[-] 级</t>
  </si>
  <si>
    <t>穿戴装备最高精炼等级到达 [00821c]15[-] 级</t>
  </si>
  <si>
    <t>穿戴装备最高精炼等级到达 [00821c]20[-] 级</t>
  </si>
  <si>
    <t>累计充值 [00821c]800[-] 元</t>
  </si>
  <si>
    <t>累计充值 [00821c]1000[-] 元</t>
  </si>
  <si>
    <t>等级到达 [00821c]44[-] 级</t>
  </si>
  <si>
    <t xml:space="preserve">战斗力到达 [00821c]800000[-] </t>
  </si>
  <si>
    <t>所有上阵伙伴神兵强化等级到达 [00821c]5[-] 级</t>
  </si>
  <si>
    <t>所有上阵伙伴神兵强化等级到达 [00821c]10[-] 级</t>
  </si>
  <si>
    <t>所有上阵伙伴神兵强化等级到达 [00821c]15[-] 级</t>
  </si>
  <si>
    <t>所有上阵伙伴神兵强化等级到达 [00821c]20[-] 级</t>
  </si>
  <si>
    <t>上阵伙伴中神兵强化最高等级到达 [00821c]5[-] 级</t>
  </si>
  <si>
    <t>上阵伙伴中神兵强化最高等级到达 [00821c]10[-] 级</t>
  </si>
  <si>
    <t>上阵伙伴中神兵强化最高等级到达 [00821c]15[-] 级</t>
  </si>
  <si>
    <t>上阵伙伴中神兵强化最高等级到达 [00821c]20[-] 级</t>
  </si>
  <si>
    <t>上阵伙伴中神兵强化最高等级到达 [00821c]30[-] 级</t>
  </si>
  <si>
    <t>上阵伙伴中神兵强化最高等级到达 [00821c]40[-] 级</t>
  </si>
  <si>
    <t xml:space="preserve">任意一件神兵进阶 [00821c]+1[-] </t>
  </si>
  <si>
    <t>累计击杀梦魇怪物 [00821c]1[-] 个</t>
  </si>
  <si>
    <t>累计击杀梦魇怪物 [00821c]5[-] 个</t>
  </si>
  <si>
    <t>累计击杀梦魇怪物 [00821c]10[-] 个</t>
  </si>
  <si>
    <t>累计击杀梦魇怪物 [00821c]15[-] 个</t>
  </si>
  <si>
    <t>累计击杀梦魇怪物 [00821c]20[-] 个</t>
  </si>
  <si>
    <t>累计击杀梦魇怪物 [00821c]30[-] 个</t>
  </si>
  <si>
    <t>累计击杀梦魇怪物 [00821c]40[-] 个</t>
  </si>
  <si>
    <t xml:space="preserve">梦魇入侵累计伤害达到 [00821c]40000000[-] </t>
  </si>
  <si>
    <t xml:space="preserve">梦魇入侵累计伤害达到 [00821c]80000000[-] </t>
  </si>
  <si>
    <t xml:space="preserve">梦魇入侵累计伤害达到 [00821c]120000000[-] </t>
  </si>
  <si>
    <t xml:space="preserve">梦魇入侵累计伤害达到 [00821c]160000000[-] </t>
  </si>
  <si>
    <t>累计充值 [00821c]1200[-] 元</t>
  </si>
  <si>
    <t>累计充值 [00821c]1500[-] 元</t>
  </si>
  <si>
    <t>等级到达 [00821c]46[-] 级</t>
  </si>
  <si>
    <t>战斗力到达 [00821c]100[-] 万</t>
  </si>
  <si>
    <t xml:space="preserve">大闹三界通关 [00821c]地狱道简单难度[-] </t>
  </si>
  <si>
    <t xml:space="preserve">大闹三界通关 [00821c]地狱道困难难度[-] </t>
  </si>
  <si>
    <t>伙伴洗炼 [00821c]10[-] 次</t>
  </si>
  <si>
    <t>伙伴洗炼 [00821c]30[-] 次</t>
  </si>
  <si>
    <t>伙伴洗炼 [00821c]50[-] 次</t>
  </si>
  <si>
    <t>伙伴商铺刷新 [00821c]10[-] 次</t>
  </si>
  <si>
    <t>伙伴商铺刷新 [00821c]20[-] 次</t>
  </si>
  <si>
    <t>伙伴商铺刷新 [00821c]30[-] 次</t>
  </si>
  <si>
    <t>伙伴商铺刷新 [00821c]40[-] 次</t>
  </si>
  <si>
    <t>伙伴商铺刷新 [00821c]50[-] 次</t>
  </si>
  <si>
    <t>伙伴商铺刷新 [00821c]80[-] 次</t>
  </si>
  <si>
    <t>伙伴商铺刷新 [00821c]120[-] 次</t>
  </si>
  <si>
    <t>累计充值 [00821c]2000[-] 元</t>
  </si>
  <si>
    <t>累计充值 [00821c]3000[-] 元</t>
  </si>
  <si>
    <t>等级到达 [00821c]48[-] 级</t>
  </si>
  <si>
    <t>战斗力到达 [00821c]120[-] 万</t>
  </si>
  <si>
    <t>精英副本通关第 [00821c]2[-] 章</t>
  </si>
  <si>
    <t>精英副本通关第 [00821c]4[-] 章</t>
  </si>
  <si>
    <t>精英副本通关第 [00821c]6[-] 章</t>
  </si>
  <si>
    <t>精英副本通关第 [00821c]8[-] 章</t>
  </si>
  <si>
    <t>精英副本通关第 [00821c]10[-] 章</t>
  </si>
  <si>
    <t>精英副本通关第 [00821c]12[-] 章</t>
  </si>
  <si>
    <t>精英副本通关第 [00821c]15[-] 章</t>
  </si>
  <si>
    <t>上阵伙伴穿戴的十件法宝精炼等级到达 [00821c]1[-] 级</t>
  </si>
  <si>
    <t>上阵伙伴穿戴的十件法宝精炼等级到达 [00821c]2[-] 级</t>
  </si>
  <si>
    <t>上阵伙伴穿戴的十件法宝精炼等级到达 [00821c]3[-] 级</t>
  </si>
  <si>
    <t>上阵伙伴穿戴的十件法宝精炼等级到达 [00821c]4[-] 级</t>
  </si>
  <si>
    <t>穿戴法宝中精炼最高等级到达 [00821c]3[-] 级</t>
  </si>
  <si>
    <t>穿戴法宝中精炼最高等级到达 [00821c]4[-] 级</t>
  </si>
  <si>
    <t>累计充值 [00821c]4000[-] 元</t>
  </si>
  <si>
    <t>累计充值 [00821c]5000[-] 元</t>
  </si>
  <si>
    <t>等级到达 [00821c]50[-] 级</t>
  </si>
  <si>
    <t>战斗力到达 [00821c]150[-] 万</t>
  </si>
  <si>
    <t>灵台商铺消耗 [00821c]1000[-] 斗神玉</t>
  </si>
  <si>
    <t>灵台商铺消耗 [00821c]2000[-] 斗神玉</t>
  </si>
  <si>
    <t>装备商铺消耗 [00821c]1000[-] 陨铁</t>
  </si>
  <si>
    <t>装备商铺消耗 [00821c]2000[-] 陨铁</t>
  </si>
  <si>
    <t>神兵商铺消耗 [00821c]1000[-] 梦魂沙</t>
  </si>
  <si>
    <t>神兵商铺消耗 [00821c]2000[-] 梦魂沙</t>
  </si>
  <si>
    <t>伙伴商铺消耗 [00821c]1000[-] 精魂</t>
  </si>
  <si>
    <t>伙伴商铺消耗 [00821c]2000[-] 精魂</t>
  </si>
  <si>
    <t>妖灵商铺消耗 [00821c]1000[-] 妖灵</t>
  </si>
  <si>
    <t>妖灵商铺消耗 [00821c]2000[-] 妖灵</t>
  </si>
  <si>
    <t>普通商铺消耗 [00821c]1000[-] 元宝</t>
  </si>
  <si>
    <t>普通商铺消耗 [00821c]2000[-] 元宝</t>
  </si>
  <si>
    <t>主线副本通关第 [00821c]25[-] 章</t>
  </si>
  <si>
    <t>主线副本通关第 [00821c]28[-] 章</t>
  </si>
  <si>
    <t>主线副本通关第 [00821c]30[-] 章</t>
  </si>
  <si>
    <t>精英副本通关第 [00821c]14[-] 章</t>
  </si>
  <si>
    <t>精英副本通关第 [00821c]16[-] 章</t>
  </si>
</sst>
</file>

<file path=xl/styles.xml><?xml version="1.0" encoding="utf-8"?>
<styleSheet xmlns="http://schemas.openxmlformats.org/spreadsheetml/2006/main">
  <fonts count="15">
    <font>
      <sz val="11"/>
      <color theme="1"/>
      <name val="宋体"/>
      <charset val="134"/>
      <scheme val="minor"/>
    </font>
    <font>
      <sz val="11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10"/>
      <name val="微软雅黑"/>
      <family val="2"/>
      <charset val="134"/>
    </font>
    <font>
      <sz val="10"/>
      <color theme="0"/>
      <name val="微软雅黑"/>
      <family val="2"/>
      <charset val="134"/>
    </font>
    <font>
      <sz val="11"/>
      <name val="微软雅黑"/>
      <family val="2"/>
      <charset val="134"/>
    </font>
    <font>
      <sz val="11"/>
      <color theme="0" tint="-0.34998626667073579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theme="0" tint="-0.34998626667073579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 tint="0.149967955565050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1" fillId="0" borderId="0" xfId="0" applyFont="1">
      <alignment vertical="center"/>
    </xf>
    <xf numFmtId="0" fontId="3" fillId="2" borderId="1" xfId="0" applyFont="1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3" fillId="0" borderId="1" xfId="0" applyFont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1" fillId="5" borderId="0" xfId="0" applyFont="1" applyFill="1">
      <alignment vertical="center"/>
    </xf>
    <xf numFmtId="0" fontId="1" fillId="4" borderId="0" xfId="0" applyFont="1" applyFill="1">
      <alignment vertical="center"/>
    </xf>
    <xf numFmtId="0" fontId="5" fillId="4" borderId="0" xfId="0" applyFont="1" applyFill="1">
      <alignment vertical="center"/>
    </xf>
    <xf numFmtId="0" fontId="7" fillId="4" borderId="0" xfId="0" applyFont="1" applyFill="1">
      <alignment vertical="center"/>
    </xf>
    <xf numFmtId="0" fontId="1" fillId="0" borderId="0" xfId="0" applyFont="1" applyFill="1">
      <alignment vertical="center"/>
    </xf>
    <xf numFmtId="0" fontId="7" fillId="0" borderId="0" xfId="0" applyFont="1" applyFill="1">
      <alignment vertical="center"/>
    </xf>
    <xf numFmtId="0" fontId="5" fillId="0" borderId="0" xfId="0" applyFont="1" applyFill="1">
      <alignment vertical="center"/>
    </xf>
    <xf numFmtId="49" fontId="3" fillId="2" borderId="1" xfId="0" applyNumberFormat="1" applyFont="1" applyFill="1" applyBorder="1" applyAlignment="1">
      <alignment vertical="center" wrapText="1"/>
    </xf>
    <xf numFmtId="49" fontId="4" fillId="3" borderId="1" xfId="0" applyNumberFormat="1" applyFont="1" applyFill="1" applyBorder="1" applyAlignment="1">
      <alignment vertical="center" wrapText="1"/>
    </xf>
    <xf numFmtId="49" fontId="3" fillId="0" borderId="0" xfId="0" applyNumberFormat="1" applyFont="1">
      <alignment vertical="center"/>
    </xf>
    <xf numFmtId="0" fontId="8" fillId="2" borderId="1" xfId="0" applyFont="1" applyFill="1" applyBorder="1" applyAlignment="1">
      <alignment vertical="center" wrapText="1"/>
    </xf>
    <xf numFmtId="0" fontId="8" fillId="3" borderId="1" xfId="0" applyFont="1" applyFill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8" fillId="0" borderId="0" xfId="0" applyFont="1">
      <alignment vertical="center"/>
    </xf>
    <xf numFmtId="0" fontId="3" fillId="0" borderId="1" xfId="0" applyFont="1" applyBorder="1">
      <alignment vertical="center"/>
    </xf>
    <xf numFmtId="0" fontId="3" fillId="2" borderId="1" xfId="0" applyNumberFormat="1" applyFont="1" applyFill="1" applyBorder="1" applyAlignment="1">
      <alignment vertical="center" wrapText="1"/>
    </xf>
    <xf numFmtId="0" fontId="4" fillId="3" borderId="1" xfId="0" applyNumberFormat="1" applyFont="1" applyFill="1" applyBorder="1" applyAlignment="1">
      <alignment vertical="center" wrapText="1"/>
    </xf>
    <xf numFmtId="0" fontId="3" fillId="0" borderId="1" xfId="0" applyNumberFormat="1" applyFont="1" applyBorder="1">
      <alignment vertical="center"/>
    </xf>
    <xf numFmtId="0" fontId="3" fillId="0" borderId="0" xfId="0" applyNumberFormat="1" applyFont="1">
      <alignment vertical="center"/>
    </xf>
    <xf numFmtId="0" fontId="3" fillId="2" borderId="0" xfId="0" applyFont="1" applyFill="1" applyBorder="1" applyAlignment="1">
      <alignment vertical="center" wrapText="1"/>
    </xf>
    <xf numFmtId="0" fontId="4" fillId="3" borderId="0" xfId="0" applyFont="1" applyFill="1" applyBorder="1" applyAlignment="1">
      <alignment vertical="center" wrapText="1"/>
    </xf>
    <xf numFmtId="0" fontId="3" fillId="0" borderId="0" xfId="0" applyFont="1" applyBorder="1" applyAlignment="1">
      <alignment vertical="center"/>
    </xf>
    <xf numFmtId="0" fontId="3" fillId="0" borderId="0" xfId="0" applyFont="1" applyBorder="1">
      <alignment vertical="center"/>
    </xf>
    <xf numFmtId="0" fontId="9" fillId="0" borderId="0" xfId="0" applyFont="1">
      <alignment vertical="center"/>
    </xf>
    <xf numFmtId="0" fontId="9" fillId="0" borderId="0" xfId="0" applyFont="1" applyFill="1">
      <alignment vertical="center"/>
    </xf>
    <xf numFmtId="0" fontId="10" fillId="0" borderId="0" xfId="0" applyFont="1" applyFill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10" fillId="4" borderId="0" xfId="0" applyFont="1" applyFill="1">
      <alignment vertical="center"/>
    </xf>
    <xf numFmtId="0" fontId="9" fillId="4" borderId="0" xfId="0" applyFont="1" applyFill="1">
      <alignment vertical="center"/>
    </xf>
    <xf numFmtId="0" fontId="12" fillId="4" borderId="0" xfId="0" applyFont="1" applyFill="1">
      <alignment vertical="center"/>
    </xf>
    <xf numFmtId="0" fontId="12" fillId="0" borderId="0" xfId="0" applyFont="1" applyFill="1">
      <alignment vertical="center"/>
    </xf>
    <xf numFmtId="0" fontId="9" fillId="5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 applyAlignment="1">
      <alignment vertical="center" wrapText="1"/>
    </xf>
    <xf numFmtId="0" fontId="3" fillId="6" borderId="1" xfId="0" applyNumberFormat="1" applyFont="1" applyFill="1" applyBorder="1">
      <alignment vertical="center"/>
    </xf>
    <xf numFmtId="0" fontId="3" fillId="6" borderId="1" xfId="0" applyFont="1" applyFill="1" applyBorder="1">
      <alignment vertical="center"/>
    </xf>
    <xf numFmtId="0" fontId="8" fillId="6" borderId="1" xfId="0" applyFont="1" applyFill="1" applyBorder="1" applyAlignment="1">
      <alignment vertical="center"/>
    </xf>
    <xf numFmtId="0" fontId="3" fillId="6" borderId="1" xfId="0" applyFont="1" applyFill="1" applyBorder="1" applyAlignment="1">
      <alignment vertical="center"/>
    </xf>
    <xf numFmtId="0" fontId="3" fillId="6" borderId="0" xfId="0" applyFont="1" applyFill="1" applyBorder="1">
      <alignment vertical="center"/>
    </xf>
    <xf numFmtId="0" fontId="1" fillId="6" borderId="0" xfId="0" applyFont="1" applyFill="1" applyAlignment="1">
      <alignment horizontal="left" vertical="center"/>
    </xf>
    <xf numFmtId="0" fontId="1" fillId="6" borderId="0" xfId="0" applyFont="1" applyFill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~1/AppData/Local/Temp/activity_day7_task.xlsm-rev16144.svn000.tmp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获取途径"/>
    </sheetNames>
    <sheetDataSet>
      <sheetData sheetId="0"/>
      <sheetData sheetId="1">
        <row r="1">
          <cell r="B1" t="str">
            <v>任务类型</v>
          </cell>
          <cell r="C1" t="str">
            <v>任务描述</v>
          </cell>
          <cell r="D1" t="str">
            <v>module_id</v>
          </cell>
          <cell r="E1" t="str">
            <v>是否显示进度0-不显示1-显示</v>
          </cell>
        </row>
        <row r="2">
          <cell r="B2">
            <v>1</v>
          </cell>
          <cell r="C2" t="str">
            <v>主线关卡|活动期间累计挑战次数</v>
          </cell>
          <cell r="D2">
            <v>46</v>
          </cell>
          <cell r="E2">
            <v>0</v>
          </cell>
        </row>
        <row r="3">
          <cell r="B3">
            <v>2</v>
          </cell>
          <cell r="C3" t="str">
            <v>精英关卡|活动期间累计挑战次数</v>
          </cell>
          <cell r="D3">
            <v>64</v>
          </cell>
          <cell r="E3">
            <v>0</v>
          </cell>
        </row>
        <row r="4">
          <cell r="B4">
            <v>3</v>
          </cell>
          <cell r="C4" t="str">
            <v>幻境关卡|活动期间累计挑战次数</v>
          </cell>
          <cell r="D4" t="str">
            <v>[]</v>
          </cell>
          <cell r="E4">
            <v>0</v>
          </cell>
        </row>
        <row r="5">
          <cell r="B5">
            <v>4</v>
          </cell>
          <cell r="C5" t="str">
            <v>竞技场挑战|活动期间累计挑战次数</v>
          </cell>
          <cell r="D5">
            <v>10</v>
          </cell>
          <cell r="E5">
            <v>1</v>
          </cell>
        </row>
        <row r="6">
          <cell r="B6">
            <v>5</v>
          </cell>
          <cell r="C6" t="str">
            <v>距离开服天数领奖（5|距离开服天数）</v>
          </cell>
          <cell r="D6" t="str">
            <v>[]</v>
          </cell>
          <cell r="E6">
            <v>0</v>
          </cell>
        </row>
        <row r="7">
          <cell r="B7">
            <v>6</v>
          </cell>
          <cell r="C7" t="str">
            <v>完成法宝强化|累计强化消耗道具数量</v>
          </cell>
          <cell r="D7">
            <v>28</v>
          </cell>
          <cell r="E7">
            <v>1</v>
          </cell>
        </row>
        <row r="8">
          <cell r="B8">
            <v>7</v>
          </cell>
          <cell r="C8" t="str">
            <v>完成法宝合成|累计合成次数</v>
          </cell>
          <cell r="D8">
            <v>12</v>
          </cell>
          <cell r="E8">
            <v>1</v>
          </cell>
        </row>
        <row r="9">
          <cell r="B9">
            <v>8</v>
          </cell>
          <cell r="C9" t="str">
            <v>完成装备强化|累计强化次数</v>
          </cell>
          <cell r="D9">
            <v>45</v>
          </cell>
          <cell r="E9">
            <v>1</v>
          </cell>
        </row>
        <row r="10">
          <cell r="B10">
            <v>9</v>
          </cell>
          <cell r="C10" t="str">
            <v>完成装备精炼|累计精炼次数</v>
          </cell>
          <cell r="D10">
            <v>45</v>
          </cell>
          <cell r="E10">
            <v>1</v>
          </cell>
        </row>
        <row r="11">
          <cell r="B11">
            <v>10</v>
          </cell>
          <cell r="C11" t="str">
            <v>普通抽奖|活动期间累计抽奖次数</v>
          </cell>
          <cell r="D11">
            <v>47</v>
          </cell>
          <cell r="E11">
            <v>1</v>
          </cell>
        </row>
        <row r="12">
          <cell r="B12">
            <v>11</v>
          </cell>
          <cell r="C12" t="str">
            <v>钻石抽奖|活动期间累计抽奖次数</v>
          </cell>
          <cell r="D12">
            <v>47</v>
          </cell>
          <cell r="E12">
            <v>1</v>
          </cell>
        </row>
        <row r="13">
          <cell r="B13">
            <v>12</v>
          </cell>
          <cell r="C13" t="str">
            <v>单笔充值（12|单笔充值数目）</v>
          </cell>
          <cell r="D13">
            <v>34</v>
          </cell>
          <cell r="E13">
            <v>0</v>
          </cell>
        </row>
        <row r="14">
          <cell r="B14">
            <v>13</v>
          </cell>
          <cell r="C14" t="str">
            <v>购买道具|商品ID|活动期间累计购买次数</v>
          </cell>
          <cell r="D14" t="str">
            <v>[]</v>
          </cell>
          <cell r="E14">
            <v>1</v>
          </cell>
        </row>
        <row r="15">
          <cell r="B15">
            <v>14</v>
          </cell>
          <cell r="C15" t="str">
            <v>主角等级|目标等级</v>
          </cell>
          <cell r="D15">
            <v>46</v>
          </cell>
          <cell r="E15">
            <v>1</v>
          </cell>
        </row>
        <row r="16">
          <cell r="B16">
            <v>15</v>
          </cell>
          <cell r="C16" t="str">
            <v>主线关卡总星数|目标星数</v>
          </cell>
          <cell r="D16">
            <v>46</v>
          </cell>
          <cell r="E16">
            <v>1</v>
          </cell>
        </row>
        <row r="17">
          <cell r="B17">
            <v>16</v>
          </cell>
          <cell r="C17" t="str">
            <v>精英关卡总星数|目标星数</v>
          </cell>
          <cell r="D17">
            <v>64</v>
          </cell>
          <cell r="E17">
            <v>1</v>
          </cell>
        </row>
        <row r="18">
          <cell r="B18">
            <v>17</v>
          </cell>
          <cell r="C18" t="str">
            <v>幻境关卡总星数|目标星数</v>
          </cell>
          <cell r="D18" t="str">
            <v>[]</v>
          </cell>
          <cell r="E18">
            <v>1</v>
          </cell>
        </row>
        <row r="19">
          <cell r="B19">
            <v>18</v>
          </cell>
          <cell r="C19" t="str">
            <v>战斗力|目标战斗力数值</v>
          </cell>
          <cell r="D19">
            <v>41</v>
          </cell>
          <cell r="E19">
            <v>1</v>
          </cell>
        </row>
        <row r="20">
          <cell r="B20">
            <v>19</v>
          </cell>
          <cell r="C20" t="str">
            <v>vip等级|目标等级</v>
          </cell>
          <cell r="D20">
            <v>34</v>
          </cell>
          <cell r="E20">
            <v>1</v>
          </cell>
        </row>
        <row r="21">
          <cell r="B21">
            <v>20</v>
          </cell>
          <cell r="C21" t="str">
            <v>法宝抢夺|活动期间累计抢夺次数</v>
          </cell>
          <cell r="D21">
            <v>12</v>
          </cell>
          <cell r="E21">
            <v>1</v>
          </cell>
        </row>
        <row r="22">
          <cell r="B22">
            <v>21</v>
          </cell>
          <cell r="C22" t="str">
            <v>升级技能|活动期间累计升级次数</v>
          </cell>
          <cell r="D22" t="str">
            <v>[]</v>
          </cell>
          <cell r="E22">
            <v>1</v>
          </cell>
        </row>
        <row r="23">
          <cell r="B23">
            <v>22</v>
          </cell>
          <cell r="C23" t="str">
            <v>累积登陆|活动期间累计登陆天数</v>
          </cell>
          <cell r="D23" t="str">
            <v>[]</v>
          </cell>
          <cell r="E23">
            <v>1</v>
          </cell>
        </row>
        <row r="24">
          <cell r="B24">
            <v>23</v>
          </cell>
          <cell r="C24" t="str">
            <v>灵台斗法最高排名|目标名次</v>
          </cell>
          <cell r="D24">
            <v>10</v>
          </cell>
          <cell r="E24">
            <v>1</v>
          </cell>
        </row>
        <row r="25">
          <cell r="B25">
            <v>24</v>
          </cell>
          <cell r="C25" t="str">
            <v>上阵伙伴最低等级达到|目标等级</v>
          </cell>
          <cell r="D25">
            <v>41</v>
          </cell>
          <cell r="E25">
            <v>1</v>
          </cell>
        </row>
        <row r="26">
          <cell r="B26">
            <v>25</v>
          </cell>
          <cell r="C26" t="str">
            <v>活动期间累计充值|目标充值数量</v>
          </cell>
          <cell r="D26">
            <v>34</v>
          </cell>
          <cell r="E26">
            <v>1</v>
          </cell>
        </row>
        <row r="27">
          <cell r="B27">
            <v>26</v>
          </cell>
          <cell r="C27" t="str">
            <v>大雁塔挑战次数|活动期间累计挑战次数</v>
          </cell>
          <cell r="D27">
            <v>15</v>
          </cell>
          <cell r="E27">
            <v>1</v>
          </cell>
        </row>
        <row r="28">
          <cell r="B28">
            <v>27</v>
          </cell>
          <cell r="C28" t="str">
            <v>大雁塔最高层数|目标层数</v>
          </cell>
          <cell r="D28">
            <v>15</v>
          </cell>
          <cell r="E28">
            <v>1</v>
          </cell>
        </row>
        <row r="29">
          <cell r="B29">
            <v>28</v>
          </cell>
          <cell r="C29" t="str">
            <v>噩梦入侵活动期间累计伤害(28|活动期间累计伤害值)</v>
          </cell>
          <cell r="D29">
            <v>53</v>
          </cell>
          <cell r="E29">
            <v>1</v>
          </cell>
        </row>
        <row r="30">
          <cell r="B30">
            <v>29</v>
          </cell>
          <cell r="C30" t="str">
            <v>噩梦入侵活动期间累计击杀怪物数量(29|活动期间累计击杀怪物数量)</v>
          </cell>
          <cell r="D30">
            <v>53</v>
          </cell>
          <cell r="E30">
            <v>1</v>
          </cell>
        </row>
        <row r="31">
          <cell r="B31">
            <v>30</v>
          </cell>
          <cell r="C31" t="str">
            <v>装备的最高强化等级达到（30|装备的最高强化等级）</v>
          </cell>
          <cell r="D31">
            <v>45</v>
          </cell>
          <cell r="E31">
            <v>1</v>
          </cell>
        </row>
        <row r="32">
          <cell r="B32">
            <v>31</v>
          </cell>
          <cell r="C32" t="str">
            <v>装备的最高精炼等级达到（31|装备的最高精炼等级）</v>
          </cell>
          <cell r="D32">
            <v>45</v>
          </cell>
          <cell r="E32">
            <v>1</v>
          </cell>
        </row>
        <row r="33">
          <cell r="B33">
            <v>32</v>
          </cell>
          <cell r="C33" t="str">
            <v>法宝的最高强化等级达到（32|法宝的最高强化等级）</v>
          </cell>
          <cell r="D33">
            <v>28</v>
          </cell>
          <cell r="E33">
            <v>1</v>
          </cell>
        </row>
        <row r="34">
          <cell r="B34">
            <v>33</v>
          </cell>
          <cell r="C34" t="str">
            <v>法宝的最高精炼等级达到（33|法宝的最高精炼等级）</v>
          </cell>
          <cell r="D34">
            <v>28</v>
          </cell>
          <cell r="E34">
            <v>1</v>
          </cell>
        </row>
        <row r="35">
          <cell r="B35">
            <v>34</v>
          </cell>
          <cell r="C35" t="str">
            <v>通关的副本id|battle_scene中的副本id（主线，精英，幻境）</v>
          </cell>
          <cell r="D35" t="str">
            <v>[]</v>
          </cell>
          <cell r="E35">
            <v>0</v>
          </cell>
        </row>
        <row r="36">
          <cell r="B36">
            <v>35</v>
          </cell>
          <cell r="C36" t="str">
            <v>夜探无底洞挑战次数|累计挑战次数（35|累计挑战次数）</v>
          </cell>
          <cell r="D36">
            <v>58</v>
          </cell>
          <cell r="E36">
            <v>1</v>
          </cell>
        </row>
        <row r="37">
          <cell r="B37">
            <v>36</v>
          </cell>
          <cell r="C37" t="str">
            <v>斩妖夺宝挑战次数|累计挑战次数（36|累计挑战次数）</v>
          </cell>
          <cell r="D37">
            <v>54</v>
          </cell>
          <cell r="E37">
            <v>1</v>
          </cell>
        </row>
        <row r="38">
          <cell r="B38">
            <v>37</v>
          </cell>
          <cell r="C38" t="str">
            <v>累计培养武将次数（37|累计培养武将次数）</v>
          </cell>
          <cell r="D38">
            <v>52</v>
          </cell>
          <cell r="E38">
            <v>1</v>
          </cell>
        </row>
        <row r="39">
          <cell r="B39">
            <v>38</v>
          </cell>
          <cell r="C39" t="str">
            <v>培养突破等级达到（38|达到的培养突破等级）</v>
          </cell>
          <cell r="D39">
            <v>52</v>
          </cell>
          <cell r="E39">
            <v>1</v>
          </cell>
        </row>
        <row r="40">
          <cell r="B40">
            <v>39</v>
          </cell>
          <cell r="C40" t="str">
            <v>神兵的最高强化等级达到（39|神兵强化等级）</v>
          </cell>
          <cell r="D40">
            <v>41</v>
          </cell>
          <cell r="E40">
            <v>1</v>
          </cell>
        </row>
        <row r="41">
          <cell r="B41">
            <v>40</v>
          </cell>
          <cell r="C41" t="str">
            <v>神兵的最高精炼等级达到（40|神兵精炼等级）</v>
          </cell>
          <cell r="D41">
            <v>41</v>
          </cell>
          <cell r="E41">
            <v>1</v>
          </cell>
        </row>
        <row r="42">
          <cell r="B42">
            <v>41</v>
          </cell>
          <cell r="C42" t="str">
            <v>伙伴商铺累计刷新次数（41|伙伴商铺累计刷新次数）</v>
          </cell>
          <cell r="D42">
            <v>14</v>
          </cell>
          <cell r="E42">
            <v>1</v>
          </cell>
        </row>
        <row r="43">
          <cell r="B43">
            <v>42</v>
          </cell>
          <cell r="C43" t="str">
            <v>斩妖夺宝累计击杀怪物数（42|累计击杀怪物数）</v>
          </cell>
          <cell r="D43">
            <v>54</v>
          </cell>
          <cell r="E43">
            <v>1</v>
          </cell>
        </row>
        <row r="44">
          <cell r="B44">
            <v>43</v>
          </cell>
          <cell r="C44" t="str">
            <v>神兵的最高强化等级达到（43|神兵的最高强化等级）</v>
          </cell>
          <cell r="D44">
            <v>41</v>
          </cell>
          <cell r="E44">
            <v>1</v>
          </cell>
        </row>
        <row r="45">
          <cell r="B45">
            <v>44</v>
          </cell>
          <cell r="C45" t="str">
            <v>神兵的最高精炼等级达到（44|神兵的最高精炼等级）</v>
          </cell>
          <cell r="D45">
            <v>41</v>
          </cell>
          <cell r="E45">
            <v>1</v>
          </cell>
        </row>
        <row r="46">
          <cell r="B46">
            <v>45</v>
          </cell>
          <cell r="C46" t="str">
            <v>通关夜探无底洞层数|通关夜探无底洞层数</v>
          </cell>
          <cell r="D46">
            <v>58</v>
          </cell>
          <cell r="E46">
            <v>1</v>
          </cell>
        </row>
        <row r="47">
          <cell r="B47">
            <v>46</v>
          </cell>
          <cell r="C47" t="str">
            <v>5个上阵伙伴的20件已穿戴的装备强化最低达到x级</v>
          </cell>
          <cell r="D47">
            <v>45</v>
          </cell>
          <cell r="E47">
            <v>1</v>
          </cell>
        </row>
        <row r="48">
          <cell r="B48">
            <v>47</v>
          </cell>
          <cell r="C48" t="str">
            <v>5个上阵伙伴的20件已穿戴的装备精炼最低达到x级</v>
          </cell>
          <cell r="D48">
            <v>45</v>
          </cell>
          <cell r="E48">
            <v>1</v>
          </cell>
        </row>
        <row r="49">
          <cell r="B49">
            <v>48</v>
          </cell>
          <cell r="C49" t="str">
            <v>5个上阵伙伴的10件已穿戴的法宝强化最低达到x级</v>
          </cell>
          <cell r="D49">
            <v>28</v>
          </cell>
          <cell r="E49">
            <v>1</v>
          </cell>
        </row>
        <row r="50">
          <cell r="B50">
            <v>49</v>
          </cell>
          <cell r="C50" t="str">
            <v>5个上阵伙伴的10件已穿戴的法宝精炼最低达到x级</v>
          </cell>
          <cell r="D50">
            <v>28</v>
          </cell>
          <cell r="E50">
            <v>1</v>
          </cell>
        </row>
        <row r="51">
          <cell r="B51">
            <v>50</v>
          </cell>
          <cell r="C51" t="str">
            <v>x个上阵伙伴的进阶等级最低达到x级（人数,进阶等级）</v>
          </cell>
          <cell r="D51">
            <v>41</v>
          </cell>
          <cell r="E51">
            <v>1</v>
          </cell>
        </row>
        <row r="52">
          <cell r="B52">
            <v>51</v>
          </cell>
          <cell r="C52" t="str">
            <v>x个上阵伙伴的全部穿戴y品质以上的装备（人数，装备品质type）</v>
          </cell>
          <cell r="D52">
            <v>41</v>
          </cell>
          <cell r="E52">
            <v>1</v>
          </cell>
        </row>
        <row r="53">
          <cell r="B53">
            <v>52</v>
          </cell>
          <cell r="C53" t="str">
            <v>上阵x个y品质的伙伴(人数，伙伴品质type)</v>
          </cell>
          <cell r="D53">
            <v>41</v>
          </cell>
          <cell r="E53">
            <v>1</v>
          </cell>
        </row>
        <row r="54">
          <cell r="B54">
            <v>53</v>
          </cell>
          <cell r="C54" t="str">
            <v>上阵x人的神兵强化等级达到y级（人数，神兵强化等级）</v>
          </cell>
          <cell r="D54">
            <v>41</v>
          </cell>
          <cell r="E54">
            <v>1</v>
          </cell>
        </row>
        <row r="55">
          <cell r="B55">
            <v>54</v>
          </cell>
          <cell r="C55" t="str">
            <v>上阵x人的神兵进阶等级达到y级（人数，神兵进阶等级）</v>
          </cell>
          <cell r="D55">
            <v>41</v>
          </cell>
          <cell r="E55">
            <v>1</v>
          </cell>
        </row>
        <row r="56">
          <cell r="B56">
            <v>55</v>
          </cell>
          <cell r="C56" t="str">
            <v>某个商店x消耗某种货币y达到一定数值z（商店id,货币id,累计消耗值）</v>
          </cell>
          <cell r="D56">
            <v>14</v>
          </cell>
          <cell r="E56">
            <v>1</v>
          </cell>
        </row>
        <row r="57">
          <cell r="B57">
            <v>56</v>
          </cell>
          <cell r="C57" t="str">
            <v>大闹三界通过哪个副本(副本id)</v>
          </cell>
          <cell r="D57">
            <v>36</v>
          </cell>
          <cell r="E57">
            <v>1</v>
          </cell>
        </row>
        <row r="58">
          <cell r="B58">
            <v>57</v>
          </cell>
          <cell r="C58" t="str">
            <v>在某个商店x中累计购买y次商品（商店id,累计购买次数）</v>
          </cell>
          <cell r="D58">
            <v>14</v>
          </cell>
          <cell r="E58">
            <v>1</v>
          </cell>
        </row>
        <row r="59">
          <cell r="B59">
            <v>58</v>
          </cell>
          <cell r="C59" t="str">
            <v>活动时段内大雁塔的累计重置次数</v>
          </cell>
          <cell r="D59">
            <v>15</v>
          </cell>
          <cell r="E59">
            <v>1</v>
          </cell>
        </row>
        <row r="60">
          <cell r="B60">
            <v>0</v>
          </cell>
        </row>
        <row r="61">
          <cell r="B61">
            <v>0</v>
          </cell>
        </row>
        <row r="62">
          <cell r="B62">
            <v>0</v>
          </cell>
        </row>
        <row r="63">
          <cell r="B63">
            <v>0</v>
          </cell>
        </row>
        <row r="64">
          <cell r="B64">
            <v>0</v>
          </cell>
        </row>
        <row r="65">
          <cell r="B65">
            <v>0</v>
          </cell>
        </row>
        <row r="66">
          <cell r="B66">
            <v>0</v>
          </cell>
        </row>
        <row r="67">
          <cell r="B67">
            <v>0</v>
          </cell>
        </row>
        <row r="68">
          <cell r="B68">
            <v>0</v>
          </cell>
        </row>
        <row r="69">
          <cell r="B69">
            <v>0</v>
          </cell>
        </row>
        <row r="70">
          <cell r="B70">
            <v>0</v>
          </cell>
        </row>
        <row r="71">
          <cell r="B71">
            <v>0</v>
          </cell>
        </row>
        <row r="72">
          <cell r="B72">
            <v>0</v>
          </cell>
        </row>
        <row r="73">
          <cell r="B73">
            <v>0</v>
          </cell>
        </row>
        <row r="74">
          <cell r="B74">
            <v>0</v>
          </cell>
        </row>
        <row r="75">
          <cell r="B75">
            <v>0</v>
          </cell>
        </row>
        <row r="76">
          <cell r="B76">
            <v>0</v>
          </cell>
        </row>
        <row r="77">
          <cell r="B77">
            <v>0</v>
          </cell>
        </row>
        <row r="78">
          <cell r="B78">
            <v>0</v>
          </cell>
        </row>
        <row r="79">
          <cell r="B79">
            <v>0</v>
          </cell>
        </row>
        <row r="80">
          <cell r="B80">
            <v>0</v>
          </cell>
        </row>
        <row r="81">
          <cell r="B81">
            <v>0</v>
          </cell>
        </row>
        <row r="82">
          <cell r="B82">
            <v>0</v>
          </cell>
        </row>
        <row r="83">
          <cell r="B83">
            <v>0</v>
          </cell>
        </row>
        <row r="84">
          <cell r="B84">
            <v>0</v>
          </cell>
        </row>
        <row r="85">
          <cell r="B85">
            <v>0</v>
          </cell>
        </row>
        <row r="86">
          <cell r="B86">
            <v>0</v>
          </cell>
        </row>
        <row r="87">
          <cell r="B87">
            <v>0</v>
          </cell>
        </row>
        <row r="88">
          <cell r="B88">
            <v>0</v>
          </cell>
        </row>
        <row r="89">
          <cell r="B89">
            <v>0</v>
          </cell>
        </row>
        <row r="90">
          <cell r="B90">
            <v>0</v>
          </cell>
        </row>
        <row r="91">
          <cell r="B91">
            <v>0</v>
          </cell>
        </row>
        <row r="92">
          <cell r="B92">
            <v>0</v>
          </cell>
        </row>
        <row r="93">
          <cell r="B93">
            <v>0</v>
          </cell>
        </row>
        <row r="94">
          <cell r="B94">
            <v>0</v>
          </cell>
        </row>
        <row r="95">
          <cell r="B95">
            <v>0</v>
          </cell>
        </row>
        <row r="96">
          <cell r="B96">
            <v>0</v>
          </cell>
        </row>
        <row r="97">
          <cell r="B97">
            <v>0</v>
          </cell>
        </row>
        <row r="98">
          <cell r="B98">
            <v>0</v>
          </cell>
        </row>
        <row r="99">
          <cell r="B99">
            <v>0</v>
          </cell>
        </row>
        <row r="100">
          <cell r="B100">
            <v>0</v>
          </cell>
        </row>
        <row r="101">
          <cell r="B101">
            <v>0</v>
          </cell>
        </row>
        <row r="102">
          <cell r="B102">
            <v>0</v>
          </cell>
        </row>
        <row r="103">
          <cell r="B103">
            <v>0</v>
          </cell>
        </row>
        <row r="104">
          <cell r="B104">
            <v>0</v>
          </cell>
        </row>
        <row r="105">
          <cell r="B105">
            <v>0</v>
          </cell>
        </row>
        <row r="106">
          <cell r="B106">
            <v>0</v>
          </cell>
        </row>
        <row r="107">
          <cell r="B107">
            <v>0</v>
          </cell>
        </row>
        <row r="108">
          <cell r="B108">
            <v>0</v>
          </cell>
        </row>
        <row r="109">
          <cell r="B109">
            <v>0</v>
          </cell>
        </row>
        <row r="110">
          <cell r="B110">
            <v>0</v>
          </cell>
        </row>
        <row r="111">
          <cell r="B111">
            <v>0</v>
          </cell>
        </row>
        <row r="112">
          <cell r="B112">
            <v>0</v>
          </cell>
        </row>
        <row r="113">
          <cell r="B113">
            <v>0</v>
          </cell>
        </row>
        <row r="114">
          <cell r="B114">
            <v>0</v>
          </cell>
        </row>
        <row r="115">
          <cell r="B115">
            <v>0</v>
          </cell>
        </row>
        <row r="116">
          <cell r="B116">
            <v>0</v>
          </cell>
        </row>
        <row r="117">
          <cell r="B117">
            <v>0</v>
          </cell>
        </row>
        <row r="118">
          <cell r="B118">
            <v>0</v>
          </cell>
        </row>
        <row r="119">
          <cell r="B119">
            <v>0</v>
          </cell>
        </row>
        <row r="120">
          <cell r="B120">
            <v>0</v>
          </cell>
        </row>
        <row r="121">
          <cell r="B121">
            <v>0</v>
          </cell>
        </row>
        <row r="122">
          <cell r="B122">
            <v>0</v>
          </cell>
        </row>
        <row r="123">
          <cell r="B123">
            <v>0</v>
          </cell>
        </row>
        <row r="124">
          <cell r="B124">
            <v>0</v>
          </cell>
        </row>
        <row r="125">
          <cell r="B125">
            <v>0</v>
          </cell>
        </row>
        <row r="126">
          <cell r="B126">
            <v>0</v>
          </cell>
        </row>
        <row r="127">
          <cell r="B127">
            <v>0</v>
          </cell>
        </row>
        <row r="128">
          <cell r="B128">
            <v>0</v>
          </cell>
        </row>
        <row r="129">
          <cell r="B129">
            <v>0</v>
          </cell>
        </row>
        <row r="130">
          <cell r="B130">
            <v>0</v>
          </cell>
        </row>
        <row r="131">
          <cell r="B131">
            <v>0</v>
          </cell>
        </row>
        <row r="132">
          <cell r="B132">
            <v>0</v>
          </cell>
        </row>
        <row r="133">
          <cell r="B133">
            <v>0</v>
          </cell>
        </row>
        <row r="134">
          <cell r="B134">
            <v>0</v>
          </cell>
        </row>
        <row r="135">
          <cell r="B135">
            <v>0</v>
          </cell>
        </row>
        <row r="136">
          <cell r="B136">
            <v>0</v>
          </cell>
        </row>
        <row r="137">
          <cell r="B137">
            <v>0</v>
          </cell>
        </row>
        <row r="138">
          <cell r="B138">
            <v>0</v>
          </cell>
        </row>
        <row r="139">
          <cell r="B139">
            <v>0</v>
          </cell>
        </row>
        <row r="140">
          <cell r="B140">
            <v>0</v>
          </cell>
        </row>
        <row r="141">
          <cell r="B141">
            <v>0</v>
          </cell>
        </row>
        <row r="142">
          <cell r="B142">
            <v>0</v>
          </cell>
        </row>
        <row r="143">
          <cell r="B143">
            <v>0</v>
          </cell>
        </row>
        <row r="144">
          <cell r="B144">
            <v>0</v>
          </cell>
        </row>
        <row r="145">
          <cell r="B145">
            <v>0</v>
          </cell>
        </row>
        <row r="146">
          <cell r="B146">
            <v>0</v>
          </cell>
        </row>
        <row r="147">
          <cell r="B147">
            <v>0</v>
          </cell>
        </row>
        <row r="148">
          <cell r="B148">
            <v>0</v>
          </cell>
        </row>
        <row r="149">
          <cell r="B149">
            <v>0</v>
          </cell>
        </row>
        <row r="150">
          <cell r="B150">
            <v>0</v>
          </cell>
        </row>
        <row r="151">
          <cell r="B151">
            <v>0</v>
          </cell>
        </row>
        <row r="152">
          <cell r="B152">
            <v>0</v>
          </cell>
        </row>
        <row r="153">
          <cell r="B153">
            <v>0</v>
          </cell>
        </row>
        <row r="154">
          <cell r="B154">
            <v>0</v>
          </cell>
        </row>
        <row r="155">
          <cell r="B155">
            <v>0</v>
          </cell>
        </row>
        <row r="156">
          <cell r="B156">
            <v>0</v>
          </cell>
        </row>
        <row r="157">
          <cell r="B157">
            <v>0</v>
          </cell>
        </row>
        <row r="158">
          <cell r="B158">
            <v>0</v>
          </cell>
        </row>
        <row r="159">
          <cell r="B159">
            <v>0</v>
          </cell>
        </row>
        <row r="160">
          <cell r="B160">
            <v>0</v>
          </cell>
        </row>
        <row r="161">
          <cell r="B161">
            <v>0</v>
          </cell>
        </row>
        <row r="162">
          <cell r="B162">
            <v>0</v>
          </cell>
        </row>
        <row r="163">
          <cell r="B163">
            <v>0</v>
          </cell>
        </row>
        <row r="164">
          <cell r="B164">
            <v>0</v>
          </cell>
        </row>
        <row r="165">
          <cell r="B165">
            <v>0</v>
          </cell>
        </row>
        <row r="166">
          <cell r="B166">
            <v>0</v>
          </cell>
        </row>
        <row r="167">
          <cell r="B167">
            <v>0</v>
          </cell>
        </row>
        <row r="168">
          <cell r="B168">
            <v>0</v>
          </cell>
        </row>
        <row r="169">
          <cell r="B169">
            <v>0</v>
          </cell>
        </row>
        <row r="170">
          <cell r="B170">
            <v>0</v>
          </cell>
        </row>
        <row r="171">
          <cell r="B171">
            <v>0</v>
          </cell>
        </row>
        <row r="172">
          <cell r="B172">
            <v>0</v>
          </cell>
        </row>
        <row r="173">
          <cell r="B173">
            <v>0</v>
          </cell>
        </row>
        <row r="174">
          <cell r="B174">
            <v>0</v>
          </cell>
        </row>
        <row r="175">
          <cell r="B175">
            <v>0</v>
          </cell>
        </row>
        <row r="176">
          <cell r="B176">
            <v>0</v>
          </cell>
        </row>
        <row r="177">
          <cell r="B177">
            <v>0</v>
          </cell>
        </row>
        <row r="178">
          <cell r="B178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V172"/>
  <sheetViews>
    <sheetView tabSelected="1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7" sqref="B7"/>
    </sheetView>
  </sheetViews>
  <sheetFormatPr defaultRowHeight="16.5"/>
  <cols>
    <col min="1" max="1" width="9.375" style="28" bestFit="1" customWidth="1"/>
    <col min="2" max="2" width="50.25" style="4" bestFit="1" customWidth="1"/>
    <col min="3" max="3" width="12.875" style="23" bestFit="1" customWidth="1"/>
    <col min="4" max="4" width="11.375" style="4" bestFit="1" customWidth="1"/>
    <col min="5" max="6" width="14.875" style="4" customWidth="1"/>
    <col min="7" max="7" width="48" style="19" customWidth="1"/>
    <col min="8" max="8" width="18.875" style="4" bestFit="1" customWidth="1"/>
    <col min="9" max="9" width="17.625" style="4" bestFit="1" customWidth="1"/>
    <col min="10" max="10" width="8" style="4" bestFit="1" customWidth="1"/>
    <col min="11" max="12" width="7.375" style="7" customWidth="1"/>
    <col min="13" max="13" width="7.375" style="1" customWidth="1"/>
    <col min="14" max="18" width="9" style="1"/>
    <col min="19" max="19" width="9.625" style="1" bestFit="1" customWidth="1"/>
    <col min="20" max="20" width="9" style="1"/>
    <col min="21" max="21" width="12" style="1" bestFit="1" customWidth="1"/>
    <col min="22" max="22" width="50.375" style="1" bestFit="1" customWidth="1"/>
    <col min="23" max="24" width="9" style="1"/>
    <col min="25" max="25" width="27.875" style="1" bestFit="1" customWidth="1"/>
    <col min="26" max="26" width="9.625" style="1" bestFit="1" customWidth="1"/>
    <col min="27" max="16384" width="9" style="1"/>
  </cols>
  <sheetData>
    <row r="1" spans="1:22" ht="75.75" customHeight="1">
      <c r="A1" s="25" t="s">
        <v>1</v>
      </c>
      <c r="B1" s="2" t="s">
        <v>189</v>
      </c>
      <c r="C1" s="20" t="s">
        <v>77</v>
      </c>
      <c r="D1" s="2" t="s">
        <v>52</v>
      </c>
      <c r="E1" s="2" t="s">
        <v>80</v>
      </c>
      <c r="F1" s="2" t="s">
        <v>75</v>
      </c>
      <c r="G1" s="17" t="s">
        <v>76</v>
      </c>
      <c r="H1" s="2" t="s">
        <v>54</v>
      </c>
      <c r="I1" s="2" t="s">
        <v>2</v>
      </c>
      <c r="J1" s="29"/>
      <c r="N1" s="1" t="s">
        <v>10</v>
      </c>
    </row>
    <row r="2" spans="1:22">
      <c r="A2" s="26" t="s">
        <v>3</v>
      </c>
      <c r="B2" s="3" t="s">
        <v>72</v>
      </c>
      <c r="C2" s="21" t="s">
        <v>78</v>
      </c>
      <c r="D2" s="3" t="s">
        <v>53</v>
      </c>
      <c r="E2" s="3" t="s">
        <v>4</v>
      </c>
      <c r="F2" s="3" t="s">
        <v>5</v>
      </c>
      <c r="G2" s="18" t="s">
        <v>63</v>
      </c>
      <c r="H2" s="3" t="s">
        <v>6</v>
      </c>
      <c r="I2" s="3" t="s">
        <v>7</v>
      </c>
      <c r="J2" s="30"/>
      <c r="N2" s="1" t="s">
        <v>11</v>
      </c>
    </row>
    <row r="3" spans="1:22">
      <c r="A3" s="26" t="s">
        <v>8</v>
      </c>
      <c r="B3" s="3" t="s">
        <v>8</v>
      </c>
      <c r="C3" s="21" t="s">
        <v>79</v>
      </c>
      <c r="D3" s="3" t="s">
        <v>9</v>
      </c>
      <c r="E3" s="3" t="s">
        <v>9</v>
      </c>
      <c r="F3" s="3" t="s">
        <v>9</v>
      </c>
      <c r="G3" s="18" t="s">
        <v>73</v>
      </c>
      <c r="H3" s="3" t="s">
        <v>8</v>
      </c>
      <c r="I3" s="3" t="s">
        <v>8</v>
      </c>
      <c r="J3" s="30"/>
      <c r="N3" s="1" t="s">
        <v>12</v>
      </c>
    </row>
    <row r="4" spans="1:22">
      <c r="A4" s="27">
        <v>101</v>
      </c>
      <c r="B4" s="8" t="s">
        <v>190</v>
      </c>
      <c r="C4" s="22">
        <v>2</v>
      </c>
      <c r="D4" s="8">
        <f>VLOOKUP($E4,获取途径!$B:$E,4,0)</f>
        <v>1</v>
      </c>
      <c r="E4" s="8">
        <v>25</v>
      </c>
      <c r="F4" s="8">
        <v>100</v>
      </c>
      <c r="G4" s="8" t="s">
        <v>74</v>
      </c>
      <c r="H4" s="8">
        <v>10000000</v>
      </c>
      <c r="I4" s="8">
        <f>VLOOKUP($E4,获取途径!$B:$D,3,0)</f>
        <v>34</v>
      </c>
      <c r="J4" s="31" t="s">
        <v>86</v>
      </c>
      <c r="K4" s="7">
        <f t="shared" ref="K4:K35" si="0">IF(J4=J3,$K3&amp;","&amp;A4,$A4)</f>
        <v>101</v>
      </c>
      <c r="N4" s="1" t="s">
        <v>13</v>
      </c>
      <c r="U4" s="1" t="e">
        <f>INT(MID($B4,MIN(FIND({0,1,2,3,4,5,6,7,8,9},$B4&amp;"0123456789")),LEN($B4)*2-LENB($B4)))</f>
        <v>#VALUE!</v>
      </c>
      <c r="V4" s="1" t="str">
        <f t="shared" ref="V4:V35" si="1">IF(ISERROR($U4),$B4,LEFT($B4,FIND($U4,$B4)-1)&amp;"[FF7400]"&amp;U4&amp;"[-]"&amp;IFERROR(RIGHT($B4,LEN($B4)-FIND($U4,$B4)-LEN($U4)+1),""))</f>
        <v>累计充值 [00821c]100[-] 元</v>
      </c>
    </row>
    <row r="5" spans="1:22">
      <c r="A5" s="27">
        <v>102</v>
      </c>
      <c r="B5" s="24" t="s">
        <v>191</v>
      </c>
      <c r="C5" s="22">
        <v>2</v>
      </c>
      <c r="D5" s="8">
        <f>VLOOKUP($E5,获取途径!$B:$E,4,0)</f>
        <v>1</v>
      </c>
      <c r="E5" s="24">
        <v>25</v>
      </c>
      <c r="F5" s="24">
        <v>200</v>
      </c>
      <c r="G5" s="8" t="s">
        <v>64</v>
      </c>
      <c r="H5" s="8">
        <v>10000001</v>
      </c>
      <c r="I5" s="8">
        <f>VLOOKUP($E5,获取途径!$B:$D,3,0)</f>
        <v>34</v>
      </c>
      <c r="J5" s="32" t="s">
        <v>86</v>
      </c>
      <c r="K5" s="7" t="str">
        <f t="shared" si="0"/>
        <v>101,102</v>
      </c>
      <c r="N5" s="1" t="s">
        <v>14</v>
      </c>
      <c r="U5" s="1" t="e">
        <f>INT(MID($B5,MIN(FIND({0,1,2,3,4,5,6,7,8,9},$B5&amp;"0123456789")),LEN($B5)*2-LENB($B5)))</f>
        <v>#VALUE!</v>
      </c>
      <c r="V5" s="1" t="str">
        <f t="shared" si="1"/>
        <v>累计充值 [00821c]200[-] 元</v>
      </c>
    </row>
    <row r="6" spans="1:22">
      <c r="A6" s="27">
        <v>103</v>
      </c>
      <c r="B6" s="24" t="s">
        <v>0</v>
      </c>
      <c r="C6" s="22">
        <v>2</v>
      </c>
      <c r="D6" s="8">
        <f>VLOOKUP($E6,获取途径!$B:$E,4,0)</f>
        <v>1</v>
      </c>
      <c r="E6" s="24">
        <v>22</v>
      </c>
      <c r="F6" s="24">
        <v>1</v>
      </c>
      <c r="G6" s="8" t="s">
        <v>64</v>
      </c>
      <c r="H6" s="8">
        <v>10000002</v>
      </c>
      <c r="I6" s="8" t="str">
        <f>VLOOKUP($E6,获取途径!$B:$D,3,0)</f>
        <v>[]</v>
      </c>
      <c r="J6" s="32" t="s">
        <v>86</v>
      </c>
      <c r="K6" s="7" t="str">
        <f t="shared" si="0"/>
        <v>101,102,103</v>
      </c>
      <c r="N6" s="1" t="s">
        <v>15</v>
      </c>
      <c r="U6" s="1" t="e">
        <f>INT(MID($B6,MIN(FIND({0,1,2,3,4,5,6,7,8,9},$B6&amp;"0123456789")),LEN($B6)*2-LENB($B6)))</f>
        <v>#VALUE!</v>
      </c>
      <c r="V6" s="1" t="str">
        <f t="shared" si="1"/>
        <v>今日登陆赠送</v>
      </c>
    </row>
    <row r="7" spans="1:22">
      <c r="A7" s="27">
        <v>104</v>
      </c>
      <c r="B7" s="24" t="s">
        <v>192</v>
      </c>
      <c r="C7" s="22">
        <v>2</v>
      </c>
      <c r="D7" s="8">
        <f>VLOOKUP($E7,获取途径!$B:$E,4,0)</f>
        <v>1</v>
      </c>
      <c r="E7" s="24">
        <v>14</v>
      </c>
      <c r="F7" s="24">
        <v>25</v>
      </c>
      <c r="G7" s="8" t="s">
        <v>64</v>
      </c>
      <c r="H7" s="8">
        <v>10000003</v>
      </c>
      <c r="I7" s="8">
        <f>VLOOKUP($E7,获取途径!$B:$D,3,0)</f>
        <v>46</v>
      </c>
      <c r="J7" s="32" t="s">
        <v>86</v>
      </c>
      <c r="K7" s="7" t="str">
        <f t="shared" si="0"/>
        <v>101,102,103,104</v>
      </c>
      <c r="N7" s="1" t="s">
        <v>16</v>
      </c>
      <c r="U7" s="1" t="e">
        <f>INT(MID($B7,MIN(FIND({0,1,2,3,4,5,6,7,8,9},$B7&amp;"0123456789")),LEN($B7)*2-LENB($B7)))</f>
        <v>#VALUE!</v>
      </c>
      <c r="V7" s="1" t="str">
        <f t="shared" si="1"/>
        <v xml:space="preserve"> [00821c]25[-] 级赠送橙色伙伴(混世魔王,东海龙王,迦叶)三选一</v>
      </c>
    </row>
    <row r="8" spans="1:22">
      <c r="A8" s="27">
        <v>105</v>
      </c>
      <c r="B8" s="24" t="s">
        <v>193</v>
      </c>
      <c r="C8" s="22">
        <v>2</v>
      </c>
      <c r="D8" s="8">
        <f>VLOOKUP($E8,获取途径!$B:$E,4,0)</f>
        <v>1</v>
      </c>
      <c r="E8" s="24">
        <v>14</v>
      </c>
      <c r="F8" s="24">
        <v>30</v>
      </c>
      <c r="G8" s="8" t="s">
        <v>64</v>
      </c>
      <c r="H8" s="8">
        <v>10000004</v>
      </c>
      <c r="I8" s="8">
        <f>VLOOKUP($E8,获取途径!$B:$D,3,0)</f>
        <v>46</v>
      </c>
      <c r="J8" s="32" t="s">
        <v>86</v>
      </c>
      <c r="K8" s="7" t="str">
        <f t="shared" si="0"/>
        <v>101,102,103,104,105</v>
      </c>
      <c r="N8" s="1" t="s">
        <v>17</v>
      </c>
      <c r="U8" s="1" t="e">
        <f>INT(MID($B8,MIN(FIND({0,1,2,3,4,5,6,7,8,9},$B8&amp;"0123456789")),LEN($B8)*2-LENB($B8)))</f>
        <v>#VALUE!</v>
      </c>
      <c r="V8" s="1" t="str">
        <f t="shared" si="1"/>
        <v>等级到达 [00821c]30[-] 级</v>
      </c>
    </row>
    <row r="9" spans="1:22">
      <c r="A9" s="27">
        <v>106</v>
      </c>
      <c r="B9" s="24" t="s">
        <v>194</v>
      </c>
      <c r="C9" s="22">
        <v>2</v>
      </c>
      <c r="D9" s="8">
        <f>VLOOKUP($E9,获取途径!$B:$E,4,0)</f>
        <v>1</v>
      </c>
      <c r="E9" s="24">
        <v>18</v>
      </c>
      <c r="F9" s="24">
        <v>300000</v>
      </c>
      <c r="G9" s="8" t="s">
        <v>64</v>
      </c>
      <c r="H9" s="8">
        <v>10000005</v>
      </c>
      <c r="I9" s="8">
        <f>VLOOKUP($E9,获取途径!$B:$D,3,0)</f>
        <v>41</v>
      </c>
      <c r="J9" s="32" t="s">
        <v>86</v>
      </c>
      <c r="K9" s="7" t="str">
        <f t="shared" si="0"/>
        <v>101,102,103,104,105,106</v>
      </c>
      <c r="N9" s="1" t="s">
        <v>18</v>
      </c>
      <c r="U9" s="1" t="e">
        <f>INT(MID($B9,MIN(FIND({0,1,2,3,4,5,6,7,8,9},$B9&amp;"0123456789")),LEN($B9)*2-LENB($B9)))</f>
        <v>#VALUE!</v>
      </c>
      <c r="V9" s="1" t="str">
        <f t="shared" si="1"/>
        <v xml:space="preserve">战斗力到达 [00821c]300000[-] </v>
      </c>
    </row>
    <row r="10" spans="1:22">
      <c r="A10" s="27">
        <v>107</v>
      </c>
      <c r="B10" s="24" t="s">
        <v>195</v>
      </c>
      <c r="C10" s="22">
        <v>2</v>
      </c>
      <c r="D10" s="8">
        <f>VLOOKUP($E10,获取途径!$B:$E,4,0)</f>
        <v>0</v>
      </c>
      <c r="E10" s="9">
        <v>34</v>
      </c>
      <c r="F10" s="9">
        <v>10040</v>
      </c>
      <c r="G10" s="8" t="s">
        <v>64</v>
      </c>
      <c r="H10" s="8">
        <v>10000006</v>
      </c>
      <c r="I10" s="8">
        <v>46</v>
      </c>
      <c r="J10" s="32" t="s">
        <v>87</v>
      </c>
      <c r="K10" s="7">
        <f t="shared" si="0"/>
        <v>107</v>
      </c>
      <c r="N10" s="1" t="s">
        <v>19</v>
      </c>
      <c r="U10" s="1" t="e">
        <f>INT(MID($B10,MIN(FIND({0,1,2,3,4,5,6,7,8,9},$B10&amp;"0123456789")),LEN($B10)*2-LENB($B10)))</f>
        <v>#VALUE!</v>
      </c>
      <c r="V10" s="1" t="str">
        <f t="shared" si="1"/>
        <v>主线副本通关第 [00821c]4[-] 章</v>
      </c>
    </row>
    <row r="11" spans="1:22">
      <c r="A11" s="27">
        <v>108</v>
      </c>
      <c r="B11" s="24" t="s">
        <v>196</v>
      </c>
      <c r="C11" s="22">
        <v>2</v>
      </c>
      <c r="D11" s="8">
        <f>VLOOKUP($E11,获取途径!$B:$E,4,0)</f>
        <v>0</v>
      </c>
      <c r="E11" s="8">
        <v>34</v>
      </c>
      <c r="F11" s="8">
        <v>10060</v>
      </c>
      <c r="G11" s="8" t="s">
        <v>64</v>
      </c>
      <c r="H11" s="8">
        <v>10000007</v>
      </c>
      <c r="I11" s="8">
        <v>46</v>
      </c>
      <c r="J11" s="32" t="s">
        <v>87</v>
      </c>
      <c r="K11" s="7" t="str">
        <f t="shared" si="0"/>
        <v>107,108</v>
      </c>
      <c r="N11" s="1" t="s">
        <v>20</v>
      </c>
      <c r="U11" s="1" t="e">
        <f>INT(MID($B11,MIN(FIND({0,1,2,3,4,5,6,7,8,9},$B11&amp;"0123456789")),LEN($B11)*2-LENB($B11)))</f>
        <v>#VALUE!</v>
      </c>
      <c r="V11" s="1" t="str">
        <f t="shared" si="1"/>
        <v>主线副本通关第 [00821c]6[-] 章</v>
      </c>
    </row>
    <row r="12" spans="1:22">
      <c r="A12" s="27">
        <v>109</v>
      </c>
      <c r="B12" s="24" t="s">
        <v>197</v>
      </c>
      <c r="C12" s="22">
        <v>2</v>
      </c>
      <c r="D12" s="8">
        <f>VLOOKUP($E12,获取途径!$B:$E,4,0)</f>
        <v>0</v>
      </c>
      <c r="E12" s="8">
        <v>34</v>
      </c>
      <c r="F12" s="8">
        <v>10080</v>
      </c>
      <c r="G12" s="8" t="s">
        <v>64</v>
      </c>
      <c r="H12" s="8">
        <v>10000008</v>
      </c>
      <c r="I12" s="8">
        <v>46</v>
      </c>
      <c r="J12" s="32" t="s">
        <v>87</v>
      </c>
      <c r="K12" s="7" t="str">
        <f t="shared" si="0"/>
        <v>107,108,109</v>
      </c>
      <c r="N12" s="1" t="s">
        <v>21</v>
      </c>
      <c r="U12" s="1" t="e">
        <f>INT(MID($B12,MIN(FIND({0,1,2,3,4,5,6,7,8,9},$B12&amp;"0123456789")),LEN($B12)*2-LENB($B12)))</f>
        <v>#VALUE!</v>
      </c>
      <c r="V12" s="1" t="str">
        <f t="shared" si="1"/>
        <v>主线副本通关第 [00821c]8[-] 章</v>
      </c>
    </row>
    <row r="13" spans="1:22">
      <c r="A13" s="27">
        <v>110</v>
      </c>
      <c r="B13" s="24" t="s">
        <v>198</v>
      </c>
      <c r="C13" s="22">
        <v>2</v>
      </c>
      <c r="D13" s="8">
        <f>VLOOKUP($E13,获取途径!$B:$E,4,0)</f>
        <v>0</v>
      </c>
      <c r="E13" s="8">
        <v>34</v>
      </c>
      <c r="F13" s="8">
        <v>10100</v>
      </c>
      <c r="G13" s="8" t="s">
        <v>64</v>
      </c>
      <c r="H13" s="8">
        <v>10000009</v>
      </c>
      <c r="I13" s="8">
        <v>46</v>
      </c>
      <c r="J13" s="32" t="s">
        <v>87</v>
      </c>
      <c r="K13" s="7" t="str">
        <f t="shared" si="0"/>
        <v>107,108,109,110</v>
      </c>
      <c r="N13" s="1" t="s">
        <v>22</v>
      </c>
      <c r="U13" s="1" t="e">
        <f>INT(MID($B13,MIN(FIND({0,1,2,3,4,5,6,7,8,9},$B13&amp;"0123456789")),LEN($B13)*2-LENB($B13)))</f>
        <v>#VALUE!</v>
      </c>
      <c r="V13" s="1" t="str">
        <f t="shared" si="1"/>
        <v>主线副本通关第 [00821c]10[-] 章</v>
      </c>
    </row>
    <row r="14" spans="1:22">
      <c r="A14" s="27">
        <v>111</v>
      </c>
      <c r="B14" s="24" t="s">
        <v>199</v>
      </c>
      <c r="C14" s="22">
        <v>2</v>
      </c>
      <c r="D14" s="8">
        <f>VLOOKUP($E14,获取途径!$B:$E,4,0)</f>
        <v>0</v>
      </c>
      <c r="E14" s="8">
        <v>34</v>
      </c>
      <c r="F14" s="8">
        <v>10120</v>
      </c>
      <c r="G14" s="8" t="s">
        <v>64</v>
      </c>
      <c r="H14" s="8">
        <v>10000010</v>
      </c>
      <c r="I14" s="8">
        <v>46</v>
      </c>
      <c r="J14" s="32" t="s">
        <v>87</v>
      </c>
      <c r="K14" s="7" t="str">
        <f t="shared" si="0"/>
        <v>107,108,109,110,111</v>
      </c>
      <c r="N14" s="1" t="s">
        <v>23</v>
      </c>
      <c r="U14" s="1" t="e">
        <f>INT(MID($B14,MIN(FIND({0,1,2,3,4,5,6,7,8,9},$B14&amp;"0123456789")),LEN($B14)*2-LENB($B14)))</f>
        <v>#VALUE!</v>
      </c>
      <c r="V14" s="1" t="str">
        <f t="shared" si="1"/>
        <v>主线副本通关第 [00821c]12[-] 章</v>
      </c>
    </row>
    <row r="15" spans="1:22">
      <c r="A15" s="27">
        <v>112</v>
      </c>
      <c r="B15" s="24" t="s">
        <v>200</v>
      </c>
      <c r="C15" s="22">
        <v>2</v>
      </c>
      <c r="D15" s="8">
        <f>VLOOKUP($E15,获取途径!$B:$E,4,0)</f>
        <v>0</v>
      </c>
      <c r="E15" s="8">
        <v>34</v>
      </c>
      <c r="F15" s="8">
        <v>10140</v>
      </c>
      <c r="G15" s="8" t="s">
        <v>64</v>
      </c>
      <c r="H15" s="8">
        <v>10000011</v>
      </c>
      <c r="I15" s="8">
        <v>46</v>
      </c>
      <c r="J15" s="32" t="s">
        <v>87</v>
      </c>
      <c r="K15" s="7" t="str">
        <f t="shared" si="0"/>
        <v>107,108,109,110,111,112</v>
      </c>
      <c r="N15" s="1" t="s">
        <v>24</v>
      </c>
      <c r="U15" s="1" t="e">
        <f>INT(MID($B15,MIN(FIND({0,1,2,3,4,5,6,7,8,9},$B15&amp;"0123456789")),LEN($B15)*2-LENB($B15)))</f>
        <v>#VALUE!</v>
      </c>
      <c r="V15" s="1" t="str">
        <f t="shared" si="1"/>
        <v>主线副本通关第 [00821c]14[-] 章</v>
      </c>
    </row>
    <row r="16" spans="1:22">
      <c r="A16" s="27">
        <v>113</v>
      </c>
      <c r="B16" s="24" t="s">
        <v>201</v>
      </c>
      <c r="C16" s="22">
        <v>2</v>
      </c>
      <c r="D16" s="8">
        <f>VLOOKUP($E16,获取途径!$B:$E,4,0)</f>
        <v>0</v>
      </c>
      <c r="E16" s="8">
        <v>34</v>
      </c>
      <c r="F16" s="8">
        <v>10160</v>
      </c>
      <c r="G16" s="8" t="s">
        <v>64</v>
      </c>
      <c r="H16" s="8">
        <v>10000012</v>
      </c>
      <c r="I16" s="8">
        <v>46</v>
      </c>
      <c r="J16" s="32" t="s">
        <v>87</v>
      </c>
      <c r="K16" s="7" t="str">
        <f t="shared" si="0"/>
        <v>107,108,109,110,111,112,113</v>
      </c>
      <c r="N16" s="1" t="s">
        <v>25</v>
      </c>
      <c r="U16" s="1" t="e">
        <f>INT(MID($B16,MIN(FIND({0,1,2,3,4,5,6,7,8,9},$B16&amp;"0123456789")),LEN($B16)*2-LENB($B16)))</f>
        <v>#VALUE!</v>
      </c>
      <c r="V16" s="1" t="str">
        <f t="shared" si="1"/>
        <v>主线副本通关第 [00821c]16[-] 章</v>
      </c>
    </row>
    <row r="17" spans="1:22">
      <c r="A17" s="27">
        <v>114</v>
      </c>
      <c r="B17" s="24" t="s">
        <v>202</v>
      </c>
      <c r="C17" s="22">
        <v>2</v>
      </c>
      <c r="D17" s="8">
        <f>VLOOKUP($E17,获取途径!$B:$E,4,0)</f>
        <v>0</v>
      </c>
      <c r="E17" s="9">
        <v>34</v>
      </c>
      <c r="F17" s="9">
        <v>10180</v>
      </c>
      <c r="G17" s="8" t="s">
        <v>64</v>
      </c>
      <c r="H17" s="8">
        <v>10000013</v>
      </c>
      <c r="I17" s="8">
        <v>46</v>
      </c>
      <c r="J17" s="32" t="s">
        <v>87</v>
      </c>
      <c r="K17" s="7" t="str">
        <f t="shared" si="0"/>
        <v>107,108,109,110,111,112,113,114</v>
      </c>
      <c r="N17" s="1" t="s">
        <v>26</v>
      </c>
      <c r="U17" s="1" t="e">
        <f>INT(MID($B17,MIN(FIND({0,1,2,3,4,5,6,7,8,9},$B17&amp;"0123456789")),LEN($B17)*2-LENB($B17)))</f>
        <v>#VALUE!</v>
      </c>
      <c r="V17" s="1" t="str">
        <f t="shared" si="1"/>
        <v>主线副本通关第 [00821c]18[-] 章</v>
      </c>
    </row>
    <row r="18" spans="1:22">
      <c r="A18" s="27">
        <v>115</v>
      </c>
      <c r="B18" s="24" t="s">
        <v>81</v>
      </c>
      <c r="C18" s="22">
        <v>2</v>
      </c>
      <c r="D18" s="8">
        <v>0</v>
      </c>
      <c r="E18" s="24">
        <v>51</v>
      </c>
      <c r="F18" s="24">
        <v>0</v>
      </c>
      <c r="G18" s="8" t="s">
        <v>188</v>
      </c>
      <c r="H18" s="8">
        <v>10000014</v>
      </c>
      <c r="I18" s="8">
        <f>VLOOKUP($E18,获取途径!$B:$D,3,0)</f>
        <v>41</v>
      </c>
      <c r="J18" s="32" t="s">
        <v>87</v>
      </c>
      <c r="K18" s="7" t="str">
        <f t="shared" si="0"/>
        <v>107,108,109,110,111,112,113,114,115</v>
      </c>
      <c r="N18" s="1" t="s">
        <v>27</v>
      </c>
      <c r="U18" s="1" t="e">
        <f>INT(MID($B18,MIN(FIND({0,1,2,3,4,5,6,7,8,9},$B18&amp;"0123456789")),LEN($B18)*2-LENB($B18)))</f>
        <v>#VALUE!</v>
      </c>
      <c r="V18" s="1" t="str">
        <f t="shared" si="1"/>
        <v>上阵五名伙伴全部穿戴蓝色以上装备（包括蓝色）</v>
      </c>
    </row>
    <row r="19" spans="1:22">
      <c r="A19" s="27">
        <v>116</v>
      </c>
      <c r="B19" s="24" t="s">
        <v>203</v>
      </c>
      <c r="C19" s="22">
        <v>2</v>
      </c>
      <c r="D19" s="8">
        <f>VLOOKUP($E19,获取途径!$B:$E,4,0)</f>
        <v>1</v>
      </c>
      <c r="E19" s="24">
        <v>46</v>
      </c>
      <c r="F19" s="24">
        <v>30</v>
      </c>
      <c r="G19" s="8" t="s">
        <v>64</v>
      </c>
      <c r="H19" s="8">
        <v>10000015</v>
      </c>
      <c r="I19" s="8">
        <f>VLOOKUP($E19,获取途径!$B:$D,3,0)</f>
        <v>45</v>
      </c>
      <c r="J19" s="32" t="s">
        <v>87</v>
      </c>
      <c r="K19" s="7" t="str">
        <f t="shared" si="0"/>
        <v>107,108,109,110,111,112,113,114,115,116</v>
      </c>
      <c r="N19" s="1" t="s">
        <v>28</v>
      </c>
      <c r="U19" s="1" t="e">
        <f>INT(MID($B19,MIN(FIND({0,1,2,3,4,5,6,7,8,9},$B19&amp;"0123456789")),LEN($B19)*2-LENB($B19)))</f>
        <v>#VALUE!</v>
      </c>
      <c r="V19" s="1" t="str">
        <f t="shared" si="1"/>
        <v>上阵五名伙伴穿戴装备强化至 [00821c]30[-] 级</v>
      </c>
    </row>
    <row r="20" spans="1:22">
      <c r="A20" s="27">
        <v>117</v>
      </c>
      <c r="B20" s="24" t="s">
        <v>204</v>
      </c>
      <c r="C20" s="22">
        <v>2</v>
      </c>
      <c r="D20" s="8">
        <f>VLOOKUP($E20,获取途径!$B:$E,4,0)</f>
        <v>1</v>
      </c>
      <c r="E20" s="24">
        <v>46</v>
      </c>
      <c r="F20" s="24">
        <v>40</v>
      </c>
      <c r="G20" s="8" t="s">
        <v>64</v>
      </c>
      <c r="H20" s="8">
        <v>10000016</v>
      </c>
      <c r="I20" s="8">
        <f>VLOOKUP($E20,获取途径!$B:$D,3,0)</f>
        <v>45</v>
      </c>
      <c r="J20" s="32" t="s">
        <v>87</v>
      </c>
      <c r="K20" s="7" t="str">
        <f t="shared" si="0"/>
        <v>107,108,109,110,111,112,113,114,115,116,117</v>
      </c>
      <c r="N20" s="1" t="s">
        <v>29</v>
      </c>
      <c r="U20" s="1" t="e">
        <f>INT(MID($B20,MIN(FIND({0,1,2,3,4,5,6,7,8,9},$B20&amp;"0123456789")),LEN($B20)*2-LENB($B20)))</f>
        <v>#VALUE!</v>
      </c>
      <c r="V20" s="1" t="str">
        <f t="shared" si="1"/>
        <v>上阵五名伙伴穿戴装备强化至 [00821c]40[-] 级</v>
      </c>
    </row>
    <row r="21" spans="1:22">
      <c r="A21" s="27">
        <v>118</v>
      </c>
      <c r="B21" s="24" t="s">
        <v>205</v>
      </c>
      <c r="C21" s="22">
        <v>2</v>
      </c>
      <c r="D21" s="8">
        <f>VLOOKUP($E21,获取途径!$B:$E,4,0)</f>
        <v>1</v>
      </c>
      <c r="E21" s="24">
        <v>46</v>
      </c>
      <c r="F21" s="24">
        <v>50</v>
      </c>
      <c r="G21" s="8" t="s">
        <v>64</v>
      </c>
      <c r="H21" s="8">
        <v>10000017</v>
      </c>
      <c r="I21" s="8">
        <f>VLOOKUP($E21,获取途径!$B:$D,3,0)</f>
        <v>45</v>
      </c>
      <c r="J21" s="32" t="s">
        <v>87</v>
      </c>
      <c r="K21" s="7" t="str">
        <f t="shared" si="0"/>
        <v>107,108,109,110,111,112,113,114,115,116,117,118</v>
      </c>
      <c r="N21" s="1" t="s">
        <v>30</v>
      </c>
      <c r="U21" s="1" t="e">
        <f>INT(MID($B21,MIN(FIND({0,1,2,3,4,5,6,7,8,9},$B21&amp;"0123456789")),LEN($B21)*2-LENB($B21)))</f>
        <v>#VALUE!</v>
      </c>
      <c r="V21" s="1" t="str">
        <f t="shared" si="1"/>
        <v>上阵五名伙伴穿戴装备强化至 [00821c]50[-] 级</v>
      </c>
    </row>
    <row r="22" spans="1:22">
      <c r="A22" s="27">
        <v>119</v>
      </c>
      <c r="B22" s="24" t="s">
        <v>206</v>
      </c>
      <c r="C22" s="22">
        <v>2</v>
      </c>
      <c r="D22" s="8">
        <f>VLOOKUP($E22,获取途径!$B:$E,4,0)</f>
        <v>1</v>
      </c>
      <c r="E22" s="24">
        <v>46</v>
      </c>
      <c r="F22" s="24">
        <v>60</v>
      </c>
      <c r="G22" s="8" t="s">
        <v>64</v>
      </c>
      <c r="H22" s="8">
        <v>10000018</v>
      </c>
      <c r="I22" s="8">
        <f>VLOOKUP($E22,获取途径!$B:$D,3,0)</f>
        <v>45</v>
      </c>
      <c r="J22" s="32" t="s">
        <v>87</v>
      </c>
      <c r="K22" s="7" t="str">
        <f t="shared" si="0"/>
        <v>107,108,109,110,111,112,113,114,115,116,117,118,119</v>
      </c>
      <c r="N22" s="1" t="s">
        <v>31</v>
      </c>
      <c r="U22" s="1" t="e">
        <f>INT(MID($B22,MIN(FIND({0,1,2,3,4,5,6,7,8,9},$B22&amp;"0123456789")),LEN($B22)*2-LENB($B22)))</f>
        <v>#VALUE!</v>
      </c>
      <c r="V22" s="1" t="str">
        <f t="shared" si="1"/>
        <v>上阵五名伙伴穿戴装备强化至 [00821c]60[-] 级</v>
      </c>
    </row>
    <row r="23" spans="1:22">
      <c r="A23" s="27">
        <v>120</v>
      </c>
      <c r="B23" s="24" t="s">
        <v>207</v>
      </c>
      <c r="C23" s="22">
        <v>2</v>
      </c>
      <c r="D23" s="8">
        <f>VLOOKUP($E23,获取途径!$B:$E,4,0)</f>
        <v>1</v>
      </c>
      <c r="E23" s="24">
        <v>52</v>
      </c>
      <c r="F23" s="24">
        <v>0</v>
      </c>
      <c r="G23" s="8" t="s">
        <v>82</v>
      </c>
      <c r="H23" s="8">
        <v>10000019</v>
      </c>
      <c r="I23" s="8">
        <f>VLOOKUP($E23,获取途径!$B:$D,3,0)</f>
        <v>41</v>
      </c>
      <c r="J23" s="32" t="s">
        <v>88</v>
      </c>
      <c r="K23" s="7">
        <f t="shared" si="0"/>
        <v>120</v>
      </c>
      <c r="N23" s="1" t="s">
        <v>32</v>
      </c>
      <c r="U23" s="1" t="e">
        <f>INT(MID($B23,MIN(FIND({0,1,2,3,4,5,6,7,8,9},$B23&amp;"0123456789")),LEN($B23)*2-LENB($B23)))</f>
        <v>#VALUE!</v>
      </c>
      <c r="V23" s="1" t="str">
        <f t="shared" si="1"/>
        <v>上阵 [00821c]4[-] 名橙色伙伴</v>
      </c>
    </row>
    <row r="24" spans="1:22">
      <c r="A24" s="27">
        <v>121</v>
      </c>
      <c r="B24" s="24" t="s">
        <v>208</v>
      </c>
      <c r="C24" s="22">
        <v>2</v>
      </c>
      <c r="D24" s="8">
        <f>VLOOKUP($E24,获取途径!$B:$E,4,0)</f>
        <v>1</v>
      </c>
      <c r="E24" s="24">
        <v>52</v>
      </c>
      <c r="F24" s="24">
        <v>0</v>
      </c>
      <c r="G24" s="8" t="s">
        <v>186</v>
      </c>
      <c r="H24" s="8">
        <v>10000020</v>
      </c>
      <c r="I24" s="8">
        <f>VLOOKUP($E24,获取途径!$B:$D,3,0)</f>
        <v>41</v>
      </c>
      <c r="J24" s="32" t="s">
        <v>88</v>
      </c>
      <c r="K24" s="7" t="str">
        <f t="shared" si="0"/>
        <v>120,121</v>
      </c>
      <c r="N24" s="1" t="s">
        <v>33</v>
      </c>
      <c r="U24" s="1" t="e">
        <f>INT(MID($B24,MIN(FIND({0,1,2,3,4,5,6,7,8,9},$B24&amp;"0123456789")),LEN($B24)*2-LENB($B24)))</f>
        <v>#VALUE!</v>
      </c>
      <c r="V24" s="1" t="str">
        <f t="shared" si="1"/>
        <v>上阵 [00821c]5[-] 名橙色伙伴</v>
      </c>
    </row>
    <row r="25" spans="1:22">
      <c r="A25" s="27">
        <v>122</v>
      </c>
      <c r="B25" s="24" t="s">
        <v>209</v>
      </c>
      <c r="C25" s="22">
        <v>2</v>
      </c>
      <c r="D25" s="8">
        <f>VLOOKUP($E25,获取途径!$B:$E,4,0)</f>
        <v>1</v>
      </c>
      <c r="E25" s="8">
        <v>11</v>
      </c>
      <c r="F25" s="8">
        <v>10</v>
      </c>
      <c r="G25" s="8" t="s">
        <v>64</v>
      </c>
      <c r="H25" s="8">
        <v>10000021</v>
      </c>
      <c r="I25" s="8">
        <f>VLOOKUP($E25,获取途径!$B:$D,3,0)</f>
        <v>47</v>
      </c>
      <c r="J25" s="32" t="s">
        <v>88</v>
      </c>
      <c r="K25" s="7" t="str">
        <f t="shared" si="0"/>
        <v>120,121,122</v>
      </c>
      <c r="N25" s="14" t="s">
        <v>34</v>
      </c>
      <c r="O25" s="14"/>
      <c r="P25" s="14"/>
      <c r="Q25" s="14"/>
      <c r="U25" s="1" t="e">
        <f>INT(MID($B25,MIN(FIND({0,1,2,3,4,5,6,7,8,9},$B25&amp;"0123456789")),LEN($B25)*2-LENB($B25)))</f>
        <v>#VALUE!</v>
      </c>
      <c r="V25" s="1" t="str">
        <f t="shared" si="1"/>
        <v>顶级聚仙 [00821c]10[-] 次</v>
      </c>
    </row>
    <row r="26" spans="1:22">
      <c r="A26" s="27">
        <v>123</v>
      </c>
      <c r="B26" s="24" t="s">
        <v>210</v>
      </c>
      <c r="C26" s="22">
        <v>2</v>
      </c>
      <c r="D26" s="8">
        <f>VLOOKUP($E26,获取途径!$B:$E,4,0)</f>
        <v>1</v>
      </c>
      <c r="E26" s="8">
        <v>11</v>
      </c>
      <c r="F26" s="8">
        <v>20</v>
      </c>
      <c r="G26" s="8" t="s">
        <v>64</v>
      </c>
      <c r="H26" s="8">
        <v>10000022</v>
      </c>
      <c r="I26" s="8">
        <f>VLOOKUP($E26,获取途径!$B:$D,3,0)</f>
        <v>47</v>
      </c>
      <c r="J26" s="32" t="s">
        <v>88</v>
      </c>
      <c r="K26" s="7" t="str">
        <f t="shared" si="0"/>
        <v>120,121,122,123</v>
      </c>
      <c r="N26" s="14" t="s">
        <v>35</v>
      </c>
      <c r="O26" s="14"/>
      <c r="P26" s="14"/>
      <c r="Q26" s="14"/>
      <c r="U26" s="1" t="e">
        <f>INT(MID($B26,MIN(FIND({0,1,2,3,4,5,6,7,8,9},$B26&amp;"0123456789")),LEN($B26)*2-LENB($B26)))</f>
        <v>#VALUE!</v>
      </c>
      <c r="V26" s="1" t="str">
        <f t="shared" si="1"/>
        <v>顶级聚仙 [00821c]20[-] 次</v>
      </c>
    </row>
    <row r="27" spans="1:22">
      <c r="A27" s="27">
        <v>124</v>
      </c>
      <c r="B27" s="24" t="s">
        <v>211</v>
      </c>
      <c r="C27" s="22">
        <v>2</v>
      </c>
      <c r="D27" s="8">
        <f>VLOOKUP($E27,获取途径!$B:$E,4,0)</f>
        <v>1</v>
      </c>
      <c r="E27" s="9">
        <v>11</v>
      </c>
      <c r="F27" s="9">
        <v>30</v>
      </c>
      <c r="G27" s="8" t="s">
        <v>64</v>
      </c>
      <c r="H27" s="8">
        <v>10000023</v>
      </c>
      <c r="I27" s="8">
        <f>VLOOKUP($E27,获取途径!$B:$D,3,0)</f>
        <v>47</v>
      </c>
      <c r="J27" s="32" t="s">
        <v>88</v>
      </c>
      <c r="K27" s="7" t="str">
        <f t="shared" si="0"/>
        <v>120,121,122,123,124</v>
      </c>
      <c r="N27" s="14" t="s">
        <v>36</v>
      </c>
      <c r="O27" s="14"/>
      <c r="P27" s="14"/>
      <c r="Q27" s="14"/>
      <c r="U27" s="1" t="e">
        <f>INT(MID($B27,MIN(FIND({0,1,2,3,4,5,6,7,8,9},$B27&amp;"0123456789")),LEN($B27)*2-LENB($B27)))</f>
        <v>#VALUE!</v>
      </c>
      <c r="V27" s="1" t="str">
        <f t="shared" si="1"/>
        <v>顶级聚仙 [00821c]30[-] 次</v>
      </c>
    </row>
    <row r="28" spans="1:22">
      <c r="A28" s="27">
        <v>125</v>
      </c>
      <c r="B28" s="24" t="s">
        <v>212</v>
      </c>
      <c r="C28" s="22">
        <v>2</v>
      </c>
      <c r="D28" s="8">
        <f>VLOOKUP($E28,获取途径!$B:$E,4,0)</f>
        <v>1</v>
      </c>
      <c r="E28" s="9">
        <v>11</v>
      </c>
      <c r="F28" s="24">
        <v>50</v>
      </c>
      <c r="G28" s="8" t="s">
        <v>64</v>
      </c>
      <c r="H28" s="8">
        <v>10000024</v>
      </c>
      <c r="I28" s="8">
        <f>VLOOKUP($E28,获取途径!$B:$D,3,0)</f>
        <v>47</v>
      </c>
      <c r="J28" s="32" t="s">
        <v>88</v>
      </c>
      <c r="K28" s="7" t="str">
        <f t="shared" si="0"/>
        <v>120,121,122,123,124,125</v>
      </c>
      <c r="N28" s="14" t="s">
        <v>37</v>
      </c>
      <c r="O28" s="14"/>
      <c r="P28" s="14"/>
      <c r="Q28" s="14"/>
      <c r="U28" s="1" t="e">
        <f>INT(MID($B28,MIN(FIND({0,1,2,3,4,5,6,7,8,9},$B28&amp;"0123456789")),LEN($B28)*2-LENB($B28)))</f>
        <v>#VALUE!</v>
      </c>
      <c r="V28" s="1" t="str">
        <f t="shared" si="1"/>
        <v>顶级聚仙 [00821c]50[-] 次</v>
      </c>
    </row>
    <row r="29" spans="1:22">
      <c r="A29" s="27">
        <v>126</v>
      </c>
      <c r="B29" s="24" t="s">
        <v>213</v>
      </c>
      <c r="C29" s="22">
        <v>2</v>
      </c>
      <c r="D29" s="8">
        <f>VLOOKUP($E29,获取途径!$B:$E,4,0)</f>
        <v>1</v>
      </c>
      <c r="E29" s="9">
        <v>11</v>
      </c>
      <c r="F29" s="24">
        <v>100</v>
      </c>
      <c r="G29" s="8" t="s">
        <v>64</v>
      </c>
      <c r="H29" s="8">
        <v>10000025</v>
      </c>
      <c r="I29" s="8">
        <f>VLOOKUP($E29,获取途径!$B:$D,3,0)</f>
        <v>47</v>
      </c>
      <c r="J29" s="32" t="s">
        <v>88</v>
      </c>
      <c r="K29" s="7" t="str">
        <f t="shared" si="0"/>
        <v>120,121,122,123,124,125,126</v>
      </c>
      <c r="N29" s="14" t="s">
        <v>38</v>
      </c>
      <c r="O29" s="14"/>
      <c r="P29" s="14"/>
      <c r="Q29" s="14"/>
      <c r="U29" s="1" t="e">
        <f>INT(MID($B29,MIN(FIND({0,1,2,3,4,5,6,7,8,9},$B29&amp;"0123456789")),LEN($B29)*2-LENB($B29)))</f>
        <v>#VALUE!</v>
      </c>
      <c r="V29" s="1" t="str">
        <f t="shared" si="1"/>
        <v>顶级聚仙 [00821c]100[-] 次</v>
      </c>
    </row>
    <row r="30" spans="1:22">
      <c r="A30" s="27">
        <v>127</v>
      </c>
      <c r="B30" s="24" t="s">
        <v>214</v>
      </c>
      <c r="C30" s="22">
        <v>2</v>
      </c>
      <c r="D30" s="8">
        <f>VLOOKUP($E30,获取途径!$B:$E,4,0)</f>
        <v>1</v>
      </c>
      <c r="E30" s="9">
        <v>11</v>
      </c>
      <c r="F30" s="24">
        <v>150</v>
      </c>
      <c r="G30" s="8" t="s">
        <v>64</v>
      </c>
      <c r="H30" s="8">
        <v>10000026</v>
      </c>
      <c r="I30" s="8">
        <f>VLOOKUP($E30,获取途径!$B:$D,3,0)</f>
        <v>47</v>
      </c>
      <c r="J30" s="32" t="s">
        <v>88</v>
      </c>
      <c r="K30" s="7" t="str">
        <f t="shared" si="0"/>
        <v>120,121,122,123,124,125,126,127</v>
      </c>
      <c r="N30" s="14" t="s">
        <v>39</v>
      </c>
      <c r="O30" s="14"/>
      <c r="P30" s="14"/>
      <c r="Q30" s="14"/>
      <c r="U30" s="1" t="e">
        <f>INT(MID($B30,MIN(FIND({0,1,2,3,4,5,6,7,8,9},$B30&amp;"0123456789")),LEN($B30)*2-LENB($B30)))</f>
        <v>#VALUE!</v>
      </c>
      <c r="V30" s="1" t="str">
        <f t="shared" si="1"/>
        <v>顶级聚仙 [00821c]150[-] 次</v>
      </c>
    </row>
    <row r="31" spans="1:22">
      <c r="A31" s="27">
        <v>128</v>
      </c>
      <c r="B31" s="24" t="s">
        <v>215</v>
      </c>
      <c r="C31" s="22">
        <v>2</v>
      </c>
      <c r="D31" s="8">
        <f>VLOOKUP($E31,获取途径!$B:$E,4,0)</f>
        <v>1</v>
      </c>
      <c r="E31" s="9">
        <v>11</v>
      </c>
      <c r="F31" s="24">
        <v>200</v>
      </c>
      <c r="G31" s="8" t="s">
        <v>64</v>
      </c>
      <c r="H31" s="8">
        <v>10000027</v>
      </c>
      <c r="I31" s="8">
        <f>VLOOKUP($E31,获取途径!$B:$D,3,0)</f>
        <v>47</v>
      </c>
      <c r="J31" s="32" t="s">
        <v>88</v>
      </c>
      <c r="K31" s="7" t="str">
        <f t="shared" si="0"/>
        <v>120,121,122,123,124,125,126,127,128</v>
      </c>
      <c r="N31" s="16" t="s">
        <v>49</v>
      </c>
      <c r="O31" s="14"/>
      <c r="P31" s="14"/>
      <c r="Q31" s="14"/>
      <c r="U31" s="1" t="e">
        <f>INT(MID($B31,MIN(FIND({0,1,2,3,4,5,6,7,8,9},$B31&amp;"0123456789")),LEN($B31)*2-LENB($B31)))</f>
        <v>#VALUE!</v>
      </c>
      <c r="V31" s="1" t="str">
        <f t="shared" si="1"/>
        <v>顶级聚仙 [00821c]200[-] 次</v>
      </c>
    </row>
    <row r="32" spans="1:22">
      <c r="A32" s="27">
        <v>201</v>
      </c>
      <c r="B32" s="24" t="s">
        <v>216</v>
      </c>
      <c r="C32" s="22">
        <v>2</v>
      </c>
      <c r="D32" s="8">
        <f>VLOOKUP($E32,获取途径!$B:$E,4,0)</f>
        <v>1</v>
      </c>
      <c r="E32" s="8">
        <v>25</v>
      </c>
      <c r="F32" s="8">
        <v>300</v>
      </c>
      <c r="G32" s="8" t="s">
        <v>64</v>
      </c>
      <c r="H32" s="8">
        <v>10000028</v>
      </c>
      <c r="I32" s="8">
        <f>VLOOKUP($E32,获取途径!$B:$D,3,0)</f>
        <v>34</v>
      </c>
      <c r="J32" s="32" t="s">
        <v>86</v>
      </c>
      <c r="K32" s="7">
        <f t="shared" si="0"/>
        <v>201</v>
      </c>
      <c r="N32" s="5" t="s">
        <v>48</v>
      </c>
      <c r="U32" s="1" t="e">
        <f>INT(MID($B32,MIN(FIND({0,1,2,3,4,5,6,7,8,9},$B32&amp;"0123456789")),LEN($B32)*2-LENB($B32)))</f>
        <v>#VALUE!</v>
      </c>
      <c r="V32" s="1" t="str">
        <f t="shared" si="1"/>
        <v>累计充值 [00821c]300[-] 元</v>
      </c>
    </row>
    <row r="33" spans="1:22">
      <c r="A33" s="27">
        <v>202</v>
      </c>
      <c r="B33" s="24" t="s">
        <v>217</v>
      </c>
      <c r="C33" s="22">
        <v>2</v>
      </c>
      <c r="D33" s="8">
        <f>VLOOKUP($E33,获取途径!$B:$E,4,0)</f>
        <v>1</v>
      </c>
      <c r="E33" s="24">
        <v>25</v>
      </c>
      <c r="F33" s="24">
        <v>400</v>
      </c>
      <c r="G33" s="8" t="s">
        <v>64</v>
      </c>
      <c r="H33" s="8">
        <v>10000029</v>
      </c>
      <c r="I33" s="8">
        <f>VLOOKUP($E33,获取途径!$B:$D,3,0)</f>
        <v>34</v>
      </c>
      <c r="J33" s="32" t="s">
        <v>86</v>
      </c>
      <c r="K33" s="7" t="str">
        <f t="shared" si="0"/>
        <v>201,202</v>
      </c>
      <c r="N33" s="5" t="s">
        <v>47</v>
      </c>
      <c r="U33" s="1" t="e">
        <f>INT(MID($B33,MIN(FIND({0,1,2,3,4,5,6,7,8,9},$B33&amp;"0123456789")),LEN($B33)*2-LENB($B33)))</f>
        <v>#VALUE!</v>
      </c>
      <c r="V33" s="1" t="str">
        <f t="shared" si="1"/>
        <v>累计充值 [00821c]400[-] 元</v>
      </c>
    </row>
    <row r="34" spans="1:22">
      <c r="A34" s="27">
        <v>203</v>
      </c>
      <c r="B34" s="24" t="s">
        <v>0</v>
      </c>
      <c r="C34" s="22">
        <v>2</v>
      </c>
      <c r="D34" s="8">
        <f>VLOOKUP($E34,获取途径!$B:$E,4,0)</f>
        <v>1</v>
      </c>
      <c r="E34" s="24">
        <v>22</v>
      </c>
      <c r="F34" s="24">
        <v>1</v>
      </c>
      <c r="G34" s="8" t="s">
        <v>64</v>
      </c>
      <c r="H34" s="8">
        <v>10000030</v>
      </c>
      <c r="I34" s="8" t="str">
        <f>VLOOKUP($E34,获取途径!$B:$D,3,0)</f>
        <v>[]</v>
      </c>
      <c r="J34" s="32" t="s">
        <v>86</v>
      </c>
      <c r="K34" s="7" t="str">
        <f t="shared" si="0"/>
        <v>201,202,203</v>
      </c>
      <c r="N34" s="5" t="s">
        <v>46</v>
      </c>
      <c r="U34" s="1" t="e">
        <f>INT(MID($B34,MIN(FIND({0,1,2,3,4,5,6,7,8,9},$B34&amp;"0123456789")),LEN($B34)*2-LENB($B34)))</f>
        <v>#VALUE!</v>
      </c>
      <c r="V34" s="1" t="str">
        <f t="shared" si="1"/>
        <v>今日登陆赠送</v>
      </c>
    </row>
    <row r="35" spans="1:22">
      <c r="A35" s="27">
        <v>204</v>
      </c>
      <c r="B35" s="24" t="s">
        <v>218</v>
      </c>
      <c r="C35" s="22">
        <v>2</v>
      </c>
      <c r="D35" s="8">
        <f>VLOOKUP($E35,获取途径!$B:$E,4,0)</f>
        <v>1</v>
      </c>
      <c r="E35" s="24">
        <v>14</v>
      </c>
      <c r="F35" s="24">
        <v>36</v>
      </c>
      <c r="G35" s="8" t="s">
        <v>64</v>
      </c>
      <c r="H35" s="8">
        <v>10000031</v>
      </c>
      <c r="I35" s="8">
        <f>VLOOKUP($E35,获取途径!$B:$D,3,0)</f>
        <v>46</v>
      </c>
      <c r="J35" s="32" t="s">
        <v>86</v>
      </c>
      <c r="K35" s="7" t="str">
        <f t="shared" si="0"/>
        <v>201,202,203,204</v>
      </c>
      <c r="N35" s="5" t="s">
        <v>55</v>
      </c>
      <c r="U35" s="1" t="e">
        <f>INT(MID($B35,MIN(FIND({0,1,2,3,4,5,6,7,8,9},$B35&amp;"0123456789")),LEN($B35)*2-LENB($B35)))</f>
        <v>#VALUE!</v>
      </c>
      <c r="V35" s="1" t="str">
        <f t="shared" si="1"/>
        <v>等级到达 [00821c]36[-] 级</v>
      </c>
    </row>
    <row r="36" spans="1:22">
      <c r="A36" s="27">
        <v>205</v>
      </c>
      <c r="B36" s="24" t="s">
        <v>219</v>
      </c>
      <c r="C36" s="22">
        <v>2</v>
      </c>
      <c r="D36" s="8">
        <f>VLOOKUP($E36,获取途径!$B:$E,4,0)</f>
        <v>1</v>
      </c>
      <c r="E36" s="24">
        <v>18</v>
      </c>
      <c r="F36" s="24">
        <v>400000</v>
      </c>
      <c r="G36" s="8" t="s">
        <v>64</v>
      </c>
      <c r="H36" s="8">
        <v>10000032</v>
      </c>
      <c r="I36" s="8">
        <f>VLOOKUP($E36,获取途径!$B:$D,3,0)</f>
        <v>41</v>
      </c>
      <c r="J36" s="32" t="s">
        <v>86</v>
      </c>
      <c r="K36" s="7" t="str">
        <f t="shared" ref="K36:K67" si="2">IF(J36=J35,$K35&amp;","&amp;A36,$A36)</f>
        <v>201,202,203,204,205</v>
      </c>
      <c r="N36" s="1" t="s">
        <v>40</v>
      </c>
      <c r="U36" s="1" t="e">
        <f>INT(MID($B36,MIN(FIND({0,1,2,3,4,5,6,7,8,9},$B36&amp;"0123456789")),LEN($B36)*2-LENB($B36)))</f>
        <v>#VALUE!</v>
      </c>
      <c r="V36" s="1" t="str">
        <f t="shared" ref="V36:V67" si="3">IF(ISERROR($U36),$B36,LEFT($B36,FIND($U36,$B36)-1)&amp;"[FF7400]"&amp;U36&amp;"[-]"&amp;IFERROR(RIGHT($B36,LEN($B36)-FIND($U36,$B36)-LEN($U36)+1),""))</f>
        <v xml:space="preserve">战斗力到达 [00821c]400000[-] </v>
      </c>
    </row>
    <row r="37" spans="1:22">
      <c r="A37" s="27">
        <v>206</v>
      </c>
      <c r="B37" s="24" t="s">
        <v>220</v>
      </c>
      <c r="C37" s="22">
        <v>2</v>
      </c>
      <c r="D37" s="8">
        <v>0</v>
      </c>
      <c r="E37" s="24">
        <v>23</v>
      </c>
      <c r="F37" s="24">
        <v>1</v>
      </c>
      <c r="G37" s="8" t="s">
        <v>64</v>
      </c>
      <c r="H37" s="8">
        <v>10000033</v>
      </c>
      <c r="I37" s="8">
        <f>VLOOKUP($E37,获取途径!$B:$D,3,0)</f>
        <v>10</v>
      </c>
      <c r="J37" s="32" t="s">
        <v>89</v>
      </c>
      <c r="K37" s="7">
        <f t="shared" si="2"/>
        <v>206</v>
      </c>
      <c r="N37" s="1" t="s">
        <v>41</v>
      </c>
      <c r="U37" s="1" t="e">
        <f>INT(MID($B37,MIN(FIND({0,1,2,3,4,5,6,7,8,9},$B37&amp;"0123456789")),LEN($B37)*2-LENB($B37)))</f>
        <v>#VALUE!</v>
      </c>
      <c r="V37" s="1" t="str">
        <f t="shared" si="3"/>
        <v>灵台斗法最高排名到达第 [00821c]1[-] 名</v>
      </c>
    </row>
    <row r="38" spans="1:22">
      <c r="A38" s="27">
        <v>207</v>
      </c>
      <c r="B38" s="24" t="s">
        <v>221</v>
      </c>
      <c r="C38" s="22">
        <v>2</v>
      </c>
      <c r="D38" s="8">
        <v>0</v>
      </c>
      <c r="E38" s="24">
        <v>23</v>
      </c>
      <c r="F38" s="24">
        <v>3</v>
      </c>
      <c r="G38" s="8" t="s">
        <v>64</v>
      </c>
      <c r="H38" s="8">
        <v>10000034</v>
      </c>
      <c r="I38" s="8">
        <f>VLOOKUP($E38,获取途径!$B:$D,3,0)</f>
        <v>10</v>
      </c>
      <c r="J38" s="32" t="s">
        <v>89</v>
      </c>
      <c r="K38" s="7" t="str">
        <f t="shared" si="2"/>
        <v>206,207</v>
      </c>
      <c r="N38" s="1" t="s">
        <v>42</v>
      </c>
      <c r="U38" s="1" t="e">
        <f>INT(MID($B38,MIN(FIND({0,1,2,3,4,5,6,7,8,9},$B38&amp;"0123456789")),LEN($B38)*2-LENB($B38)))</f>
        <v>#VALUE!</v>
      </c>
      <c r="V38" s="1" t="str">
        <f t="shared" si="3"/>
        <v>灵台斗法最高排名到达第 [00821c]3[-] 名</v>
      </c>
    </row>
    <row r="39" spans="1:22">
      <c r="A39" s="27">
        <v>208</v>
      </c>
      <c r="B39" s="24" t="s">
        <v>222</v>
      </c>
      <c r="C39" s="22">
        <v>2</v>
      </c>
      <c r="D39" s="8">
        <v>0</v>
      </c>
      <c r="E39" s="24">
        <v>23</v>
      </c>
      <c r="F39" s="24">
        <v>10</v>
      </c>
      <c r="G39" s="8" t="s">
        <v>64</v>
      </c>
      <c r="H39" s="8">
        <v>10000035</v>
      </c>
      <c r="I39" s="8">
        <f>VLOOKUP($E39,获取途径!$B:$D,3,0)</f>
        <v>10</v>
      </c>
      <c r="J39" s="32" t="s">
        <v>89</v>
      </c>
      <c r="K39" s="7" t="str">
        <f t="shared" si="2"/>
        <v>206,207,208</v>
      </c>
      <c r="N39" s="1" t="s">
        <v>43</v>
      </c>
      <c r="U39" s="1" t="e">
        <f>INT(MID($B39,MIN(FIND({0,1,2,3,4,5,6,7,8,9},$B39&amp;"0123456789")),LEN($B39)*2-LENB($B39)))</f>
        <v>#VALUE!</v>
      </c>
      <c r="V39" s="1" t="str">
        <f t="shared" si="3"/>
        <v>灵台斗法最高排名到达第 [00821c]10[-] 名</v>
      </c>
    </row>
    <row r="40" spans="1:22">
      <c r="A40" s="27">
        <v>209</v>
      </c>
      <c r="B40" s="24" t="s">
        <v>223</v>
      </c>
      <c r="C40" s="22">
        <v>2</v>
      </c>
      <c r="D40" s="8">
        <v>0</v>
      </c>
      <c r="E40" s="24">
        <v>23</v>
      </c>
      <c r="F40" s="24">
        <v>30</v>
      </c>
      <c r="G40" s="8" t="s">
        <v>64</v>
      </c>
      <c r="H40" s="8">
        <v>10000036</v>
      </c>
      <c r="I40" s="8">
        <f>VLOOKUP($E40,获取途径!$B:$D,3,0)</f>
        <v>10</v>
      </c>
      <c r="J40" s="32" t="s">
        <v>89</v>
      </c>
      <c r="K40" s="7" t="str">
        <f t="shared" si="2"/>
        <v>206,207,208,209</v>
      </c>
      <c r="N40" s="6" t="s">
        <v>58</v>
      </c>
      <c r="U40" s="1" t="e">
        <f>INT(MID($B40,MIN(FIND({0,1,2,3,4,5,6,7,8,9},$B40&amp;"0123456789")),LEN($B40)*2-LENB($B40)))</f>
        <v>#VALUE!</v>
      </c>
      <c r="V40" s="1" t="str">
        <f t="shared" si="3"/>
        <v>灵台斗法最高排名到达第 [00821c]30[-] 名</v>
      </c>
    </row>
    <row r="41" spans="1:22">
      <c r="A41" s="27">
        <v>210</v>
      </c>
      <c r="B41" s="24" t="s">
        <v>224</v>
      </c>
      <c r="C41" s="22">
        <v>2</v>
      </c>
      <c r="D41" s="8">
        <v>0</v>
      </c>
      <c r="E41" s="24">
        <v>23</v>
      </c>
      <c r="F41" s="24">
        <v>100</v>
      </c>
      <c r="G41" s="8" t="s">
        <v>64</v>
      </c>
      <c r="H41" s="8">
        <v>10000037</v>
      </c>
      <c r="I41" s="8">
        <f>VLOOKUP($E41,获取途径!$B:$D,3,0)</f>
        <v>10</v>
      </c>
      <c r="J41" s="32" t="s">
        <v>89</v>
      </c>
      <c r="K41" s="7" t="str">
        <f t="shared" si="2"/>
        <v>206,207,208,209,210</v>
      </c>
      <c r="N41" s="6" t="s">
        <v>57</v>
      </c>
      <c r="U41" s="1" t="e">
        <f>INT(MID($B41,MIN(FIND({0,1,2,3,4,5,6,7,8,9},$B41&amp;"0123456789")),LEN($B41)*2-LENB($B41)))</f>
        <v>#VALUE!</v>
      </c>
      <c r="V41" s="1" t="str">
        <f t="shared" si="3"/>
        <v>灵台斗法最高排名到达第 [00821c]100[-] 名</v>
      </c>
    </row>
    <row r="42" spans="1:22">
      <c r="A42" s="27">
        <v>211</v>
      </c>
      <c r="B42" s="24" t="s">
        <v>225</v>
      </c>
      <c r="C42" s="22">
        <v>2</v>
      </c>
      <c r="D42" s="8">
        <v>0</v>
      </c>
      <c r="E42" s="24">
        <v>23</v>
      </c>
      <c r="F42" s="24">
        <v>500</v>
      </c>
      <c r="G42" s="8" t="s">
        <v>64</v>
      </c>
      <c r="H42" s="8">
        <v>10000038</v>
      </c>
      <c r="I42" s="8">
        <f>VLOOKUP($E42,获取途径!$B:$D,3,0)</f>
        <v>10</v>
      </c>
      <c r="J42" s="32" t="s">
        <v>89</v>
      </c>
      <c r="K42" s="7" t="str">
        <f t="shared" si="2"/>
        <v>206,207,208,209,210,211</v>
      </c>
      <c r="N42" s="1" t="s">
        <v>44</v>
      </c>
      <c r="U42" s="1" t="e">
        <f>INT(MID($B42,MIN(FIND({0,1,2,3,4,5,6,7,8,9},$B42&amp;"0123456789")),LEN($B42)*2-LENB($B42)))</f>
        <v>#VALUE!</v>
      </c>
      <c r="V42" s="1" t="str">
        <f t="shared" si="3"/>
        <v>灵台斗法最高排名到达第 [00821c]500[-] 名</v>
      </c>
    </row>
    <row r="43" spans="1:22">
      <c r="A43" s="27">
        <v>212</v>
      </c>
      <c r="B43" s="24" t="s">
        <v>226</v>
      </c>
      <c r="C43" s="22">
        <v>2</v>
      </c>
      <c r="D43" s="8">
        <v>0</v>
      </c>
      <c r="E43" s="24">
        <v>23</v>
      </c>
      <c r="F43" s="24">
        <v>1000</v>
      </c>
      <c r="G43" s="8" t="s">
        <v>64</v>
      </c>
      <c r="H43" s="8">
        <v>10000039</v>
      </c>
      <c r="I43" s="8">
        <f>VLOOKUP($E43,获取途径!$B:$D,3,0)</f>
        <v>10</v>
      </c>
      <c r="J43" s="32" t="s">
        <v>89</v>
      </c>
      <c r="K43" s="7" t="str">
        <f t="shared" si="2"/>
        <v>206,207,208,209,210,211,212</v>
      </c>
      <c r="N43" s="1" t="s">
        <v>45</v>
      </c>
      <c r="U43" s="1" t="e">
        <f>INT(MID($B43,MIN(FIND({0,1,2,3,4,5,6,7,8,9},$B43&amp;"0123456789")),LEN($B43)*2-LENB($B43)))</f>
        <v>#VALUE!</v>
      </c>
      <c r="V43" s="1" t="str">
        <f t="shared" si="3"/>
        <v>灵台斗法最高排名到达第 [00821c]1000[-] 名</v>
      </c>
    </row>
    <row r="44" spans="1:22">
      <c r="A44" s="27">
        <v>213</v>
      </c>
      <c r="B44" s="24" t="s">
        <v>227</v>
      </c>
      <c r="C44" s="22">
        <v>2</v>
      </c>
      <c r="D44" s="8">
        <v>0</v>
      </c>
      <c r="E44" s="24">
        <v>23</v>
      </c>
      <c r="F44" s="24">
        <v>3000</v>
      </c>
      <c r="G44" s="8" t="s">
        <v>64</v>
      </c>
      <c r="H44" s="8">
        <v>10000040</v>
      </c>
      <c r="I44" s="8">
        <f>VLOOKUP($E44,获取途径!$B:$D,3,0)</f>
        <v>10</v>
      </c>
      <c r="J44" s="32" t="s">
        <v>89</v>
      </c>
      <c r="K44" s="7" t="str">
        <f t="shared" si="2"/>
        <v>206,207,208,209,210,211,212,213</v>
      </c>
      <c r="N44" s="12" t="s">
        <v>50</v>
      </c>
      <c r="O44" s="11"/>
      <c r="P44" s="11"/>
      <c r="Q44" s="11"/>
      <c r="U44" s="1" t="e">
        <f>INT(MID($B44,MIN(FIND({0,1,2,3,4,5,6,7,8,9},$B44&amp;"0123456789")),LEN($B44)*2-LENB($B44)))</f>
        <v>#VALUE!</v>
      </c>
      <c r="V44" s="1" t="str">
        <f t="shared" si="3"/>
        <v>灵台斗法最高排名到达第 [00821c]3000[-] 名</v>
      </c>
    </row>
    <row r="45" spans="1:22">
      <c r="A45" s="27">
        <v>214</v>
      </c>
      <c r="B45" s="24" t="s">
        <v>228</v>
      </c>
      <c r="C45" s="22">
        <v>2</v>
      </c>
      <c r="D45" s="8">
        <f>VLOOKUP($E45,获取途径!$B:$E,4,0)</f>
        <v>1</v>
      </c>
      <c r="E45" s="24">
        <v>50</v>
      </c>
      <c r="F45" s="24">
        <v>0</v>
      </c>
      <c r="G45" s="8" t="s">
        <v>83</v>
      </c>
      <c r="H45" s="8">
        <v>10000041</v>
      </c>
      <c r="I45" s="8">
        <f>VLOOKUP($E45,获取途径!$B:$D,3,0)</f>
        <v>41</v>
      </c>
      <c r="J45" s="32" t="s">
        <v>89</v>
      </c>
      <c r="K45" s="7" t="str">
        <f t="shared" si="2"/>
        <v>206,207,208,209,210,211,212,213,214</v>
      </c>
      <c r="N45" s="12" t="s">
        <v>51</v>
      </c>
      <c r="O45" s="11"/>
      <c r="P45" s="11"/>
      <c r="Q45" s="11"/>
      <c r="U45" s="1" t="e">
        <f>INT(MID($B45,MIN(FIND({0,1,2,3,4,5,6,7,8,9},$B45&amp;"0123456789")),LEN($B45)*2-LENB($B45)))</f>
        <v>#VALUE!</v>
      </c>
      <c r="V45" s="1" t="str">
        <f t="shared" si="3"/>
        <v xml:space="preserve">上阵所有伙伴进阶等级+ [00821c]2[-] </v>
      </c>
    </row>
    <row r="46" spans="1:22">
      <c r="A46" s="27">
        <v>215</v>
      </c>
      <c r="B46" s="24" t="s">
        <v>229</v>
      </c>
      <c r="C46" s="22">
        <v>2</v>
      </c>
      <c r="D46" s="8">
        <f>VLOOKUP($E46,获取途径!$B:$E,4,0)</f>
        <v>1</v>
      </c>
      <c r="E46" s="24">
        <v>50</v>
      </c>
      <c r="F46" s="24">
        <v>0</v>
      </c>
      <c r="G46" s="8" t="s">
        <v>84</v>
      </c>
      <c r="H46" s="8">
        <v>10000042</v>
      </c>
      <c r="I46" s="8">
        <f>VLOOKUP($E46,获取途径!$B:$D,3,0)</f>
        <v>41</v>
      </c>
      <c r="J46" s="32" t="s">
        <v>89</v>
      </c>
      <c r="K46" s="7" t="str">
        <f t="shared" si="2"/>
        <v>206,207,208,209,210,211,212,213,214,215</v>
      </c>
      <c r="N46" s="11" t="s">
        <v>56</v>
      </c>
      <c r="O46" s="11"/>
      <c r="P46" s="11"/>
      <c r="Q46" s="11"/>
      <c r="U46" s="1" t="e">
        <f>INT(MID($B46,MIN(FIND({0,1,2,3,4,5,6,7,8,9},$B46&amp;"0123456789")),LEN($B46)*2-LENB($B46)))</f>
        <v>#VALUE!</v>
      </c>
      <c r="V46" s="1" t="str">
        <f t="shared" si="3"/>
        <v xml:space="preserve">上阵所有伙伴进阶等级+ [00821c]3[-] </v>
      </c>
    </row>
    <row r="47" spans="1:22">
      <c r="A47" s="27">
        <v>216</v>
      </c>
      <c r="B47" s="24" t="s">
        <v>230</v>
      </c>
      <c r="C47" s="22">
        <v>2</v>
      </c>
      <c r="D47" s="8">
        <f>VLOOKUP($E47,获取途径!$B:$E,4,0)</f>
        <v>1</v>
      </c>
      <c r="E47" s="24">
        <v>7</v>
      </c>
      <c r="F47" s="24">
        <v>10</v>
      </c>
      <c r="G47" s="8" t="s">
        <v>64</v>
      </c>
      <c r="H47" s="8">
        <v>10000043</v>
      </c>
      <c r="I47" s="8">
        <f>VLOOKUP($E47,获取途径!$B:$D,3,0)</f>
        <v>12</v>
      </c>
      <c r="J47" s="32" t="s">
        <v>116</v>
      </c>
      <c r="K47" s="7">
        <f t="shared" si="2"/>
        <v>216</v>
      </c>
      <c r="N47" s="13" t="s">
        <v>59</v>
      </c>
      <c r="O47" s="11"/>
      <c r="P47" s="11"/>
      <c r="Q47" s="11"/>
      <c r="U47" s="1" t="e">
        <f>INT(MID($B47,MIN(FIND({0,1,2,3,4,5,6,7,8,9},$B47&amp;"0123456789")),LEN($B47)*2-LENB($B47)))</f>
        <v>#VALUE!</v>
      </c>
      <c r="V47" s="1" t="str">
        <f t="shared" si="3"/>
        <v>合成 [00821c]10[-] 个法宝</v>
      </c>
    </row>
    <row r="48" spans="1:22">
      <c r="A48" s="27">
        <v>217</v>
      </c>
      <c r="B48" s="24" t="s">
        <v>231</v>
      </c>
      <c r="C48" s="22">
        <v>2</v>
      </c>
      <c r="D48" s="8">
        <f>VLOOKUP($E48,获取途径!$B:$E,4,0)</f>
        <v>1</v>
      </c>
      <c r="E48" s="24">
        <v>7</v>
      </c>
      <c r="F48" s="24">
        <v>20</v>
      </c>
      <c r="G48" s="8" t="s">
        <v>64</v>
      </c>
      <c r="H48" s="8">
        <v>10000044</v>
      </c>
      <c r="I48" s="8">
        <f>VLOOKUP($E48,获取途径!$B:$D,3,0)</f>
        <v>12</v>
      </c>
      <c r="J48" s="32" t="s">
        <v>90</v>
      </c>
      <c r="K48" s="7" t="str">
        <f t="shared" si="2"/>
        <v>216,217</v>
      </c>
      <c r="N48" s="13" t="s">
        <v>62</v>
      </c>
      <c r="O48" s="11"/>
      <c r="P48" s="11"/>
      <c r="Q48" s="11"/>
      <c r="U48" s="1" t="e">
        <f>INT(MID($B48,MIN(FIND({0,1,2,3,4,5,6,7,8,9},$B48&amp;"0123456789")),LEN($B48)*2-LENB($B48)))</f>
        <v>#VALUE!</v>
      </c>
      <c r="V48" s="1" t="str">
        <f t="shared" si="3"/>
        <v>合成 [00821c]20[-] 个法宝</v>
      </c>
    </row>
    <row r="49" spans="1:22">
      <c r="A49" s="27">
        <v>218</v>
      </c>
      <c r="B49" s="24" t="s">
        <v>232</v>
      </c>
      <c r="C49" s="22">
        <v>2</v>
      </c>
      <c r="D49" s="8">
        <f>VLOOKUP($E49,获取途径!$B:$E,4,0)</f>
        <v>1</v>
      </c>
      <c r="E49" s="24">
        <v>32</v>
      </c>
      <c r="F49" s="24">
        <v>10</v>
      </c>
      <c r="G49" s="8" t="s">
        <v>64</v>
      </c>
      <c r="H49" s="8">
        <v>10000045</v>
      </c>
      <c r="I49" s="8">
        <f>VLOOKUP($E49,获取途径!$B:$D,3,0)</f>
        <v>28</v>
      </c>
      <c r="J49" s="32" t="s">
        <v>90</v>
      </c>
      <c r="K49" s="7" t="str">
        <f t="shared" si="2"/>
        <v>216,217,218</v>
      </c>
      <c r="N49" s="13" t="s">
        <v>60</v>
      </c>
      <c r="O49" s="11"/>
      <c r="P49" s="11"/>
      <c r="Q49" s="11"/>
      <c r="U49" s="1" t="e">
        <f>INT(MID($B49,MIN(FIND({0,1,2,3,4,5,6,7,8,9},$B49&amp;"0123456789")),LEN($B49)*2-LENB($B49)))</f>
        <v>#VALUE!</v>
      </c>
      <c r="V49" s="1" t="str">
        <f t="shared" si="3"/>
        <v>穿戴法宝最高强化等级到达 [00821c]10[-] 级</v>
      </c>
    </row>
    <row r="50" spans="1:22">
      <c r="A50" s="27">
        <v>219</v>
      </c>
      <c r="B50" s="24" t="s">
        <v>233</v>
      </c>
      <c r="C50" s="22">
        <v>2</v>
      </c>
      <c r="D50" s="8">
        <f>VLOOKUP($E50,获取途径!$B:$E,4,0)</f>
        <v>1</v>
      </c>
      <c r="E50" s="24">
        <v>32</v>
      </c>
      <c r="F50" s="24">
        <v>20</v>
      </c>
      <c r="G50" s="8" t="s">
        <v>64</v>
      </c>
      <c r="H50" s="8">
        <v>10000046</v>
      </c>
      <c r="I50" s="8">
        <f>VLOOKUP($E50,获取途径!$B:$D,3,0)</f>
        <v>28</v>
      </c>
      <c r="J50" s="32" t="s">
        <v>90</v>
      </c>
      <c r="K50" s="7" t="str">
        <f t="shared" si="2"/>
        <v>216,217,218,219</v>
      </c>
      <c r="N50" s="13" t="s">
        <v>61</v>
      </c>
      <c r="O50" s="11"/>
      <c r="P50" s="11"/>
      <c r="Q50" s="11"/>
      <c r="U50" s="1" t="e">
        <f>INT(MID($B50,MIN(FIND({0,1,2,3,4,5,6,7,8,9},$B50&amp;"0123456789")),LEN($B50)*2-LENB($B50)))</f>
        <v>#VALUE!</v>
      </c>
      <c r="V50" s="1" t="str">
        <f t="shared" si="3"/>
        <v>穿戴法宝最高强化等级到达 [00821c]20[-] 级</v>
      </c>
    </row>
    <row r="51" spans="1:22">
      <c r="A51" s="27">
        <v>220</v>
      </c>
      <c r="B51" s="24" t="s">
        <v>234</v>
      </c>
      <c r="C51" s="22">
        <v>2</v>
      </c>
      <c r="D51" s="8">
        <f>VLOOKUP($E51,获取途径!$B:$E,4,0)</f>
        <v>1</v>
      </c>
      <c r="E51" s="24">
        <v>48</v>
      </c>
      <c r="F51" s="24">
        <v>5</v>
      </c>
      <c r="G51" s="8" t="s">
        <v>64</v>
      </c>
      <c r="H51" s="8">
        <v>10000047</v>
      </c>
      <c r="I51" s="8">
        <f>VLOOKUP($E51,获取途径!$B:$D,3,0)</f>
        <v>28</v>
      </c>
      <c r="J51" s="32" t="s">
        <v>90</v>
      </c>
      <c r="K51" s="7" t="str">
        <f t="shared" si="2"/>
        <v>216,217,218,219,220</v>
      </c>
      <c r="N51" s="13" t="s">
        <v>65</v>
      </c>
      <c r="O51" s="11"/>
      <c r="P51" s="11"/>
      <c r="Q51" s="11"/>
      <c r="U51" s="1" t="e">
        <f>INT(MID($B51,MIN(FIND({0,1,2,3,4,5,6,7,8,9},$B51&amp;"0123456789")),LEN($B51)*2-LENB($B51)))</f>
        <v>#VALUE!</v>
      </c>
      <c r="V51" s="1" t="str">
        <f t="shared" si="3"/>
        <v>上阵五名伙伴穿戴法宝强化至 [00821c]5[-] 级</v>
      </c>
    </row>
    <row r="52" spans="1:22">
      <c r="A52" s="27">
        <v>221</v>
      </c>
      <c r="B52" s="24" t="s">
        <v>235</v>
      </c>
      <c r="C52" s="22">
        <v>2</v>
      </c>
      <c r="D52" s="8">
        <f>VLOOKUP($E52,获取途径!$B:$E,4,0)</f>
        <v>1</v>
      </c>
      <c r="E52" s="24">
        <v>48</v>
      </c>
      <c r="F52" s="24">
        <v>10</v>
      </c>
      <c r="G52" s="8" t="s">
        <v>64</v>
      </c>
      <c r="H52" s="8">
        <v>10000048</v>
      </c>
      <c r="I52" s="8">
        <f>VLOOKUP($E52,获取途径!$B:$D,3,0)</f>
        <v>28</v>
      </c>
      <c r="J52" s="32" t="s">
        <v>90</v>
      </c>
      <c r="K52" s="7" t="str">
        <f t="shared" si="2"/>
        <v>216,217,218,219,220,221</v>
      </c>
      <c r="N52" s="13" t="s">
        <v>66</v>
      </c>
      <c r="O52" s="11"/>
      <c r="P52" s="11"/>
      <c r="Q52" s="11"/>
      <c r="U52" s="1" t="e">
        <f>INT(MID($B52,MIN(FIND({0,1,2,3,4,5,6,7,8,9},$B52&amp;"0123456789")),LEN($B52)*2-LENB($B52)))</f>
        <v>#VALUE!</v>
      </c>
      <c r="V52" s="1" t="str">
        <f t="shared" si="3"/>
        <v>上阵五名伙伴穿戴法宝强化至 [00821c]10[-] 级</v>
      </c>
    </row>
    <row r="53" spans="1:22">
      <c r="A53" s="27">
        <v>301</v>
      </c>
      <c r="B53" s="24" t="s">
        <v>236</v>
      </c>
      <c r="C53" s="22">
        <v>2</v>
      </c>
      <c r="D53" s="8">
        <f>VLOOKUP($E53,获取途径!$B:$E,4,0)</f>
        <v>1</v>
      </c>
      <c r="E53" s="8">
        <v>25</v>
      </c>
      <c r="F53" s="8">
        <v>500</v>
      </c>
      <c r="G53" s="8" t="s">
        <v>64</v>
      </c>
      <c r="H53" s="8">
        <v>10000049</v>
      </c>
      <c r="I53" s="8">
        <f>VLOOKUP($E53,获取途径!$B:$D,3,0)</f>
        <v>34</v>
      </c>
      <c r="J53" s="32" t="s">
        <v>86</v>
      </c>
      <c r="K53" s="7">
        <f t="shared" si="2"/>
        <v>301</v>
      </c>
      <c r="N53" s="13" t="s">
        <v>67</v>
      </c>
      <c r="O53" s="11"/>
      <c r="P53" s="11"/>
      <c r="Q53" s="11"/>
      <c r="U53" s="1" t="e">
        <f>INT(MID($B53,MIN(FIND({0,1,2,3,4,5,6,7,8,9},$B53&amp;"0123456789")),LEN($B53)*2-LENB($B53)))</f>
        <v>#VALUE!</v>
      </c>
      <c r="V53" s="1" t="str">
        <f t="shared" si="3"/>
        <v>累计充值 [00821c]500[-] 元</v>
      </c>
    </row>
    <row r="54" spans="1:22">
      <c r="A54" s="27">
        <v>302</v>
      </c>
      <c r="B54" s="24" t="s">
        <v>237</v>
      </c>
      <c r="C54" s="22">
        <v>2</v>
      </c>
      <c r="D54" s="8">
        <f>VLOOKUP($E54,获取途径!$B:$E,4,0)</f>
        <v>1</v>
      </c>
      <c r="E54" s="24">
        <v>25</v>
      </c>
      <c r="F54" s="24">
        <v>600</v>
      </c>
      <c r="G54" s="8" t="s">
        <v>64</v>
      </c>
      <c r="H54" s="8">
        <v>10000050</v>
      </c>
      <c r="I54" s="8">
        <f>VLOOKUP($E54,获取途径!$B:$D,3,0)</f>
        <v>34</v>
      </c>
      <c r="J54" s="32" t="s">
        <v>86</v>
      </c>
      <c r="K54" s="7" t="str">
        <f t="shared" si="2"/>
        <v>301,302</v>
      </c>
      <c r="N54" s="13" t="s">
        <v>68</v>
      </c>
      <c r="O54" s="11"/>
      <c r="P54" s="11"/>
      <c r="Q54" s="11"/>
      <c r="U54" s="1" t="e">
        <f>INT(MID($B54,MIN(FIND({0,1,2,3,4,5,6,7,8,9},$B54&amp;"0123456789")),LEN($B54)*2-LENB($B54)))</f>
        <v>#VALUE!</v>
      </c>
      <c r="V54" s="1" t="str">
        <f t="shared" si="3"/>
        <v>累计充值 [00821c]600[-] 元</v>
      </c>
    </row>
    <row r="55" spans="1:22">
      <c r="A55" s="27">
        <v>303</v>
      </c>
      <c r="B55" s="24" t="s">
        <v>0</v>
      </c>
      <c r="C55" s="22">
        <v>2</v>
      </c>
      <c r="D55" s="8">
        <f>VLOOKUP($E55,获取途径!$B:$E,4,0)</f>
        <v>1</v>
      </c>
      <c r="E55" s="24">
        <v>22</v>
      </c>
      <c r="F55" s="24">
        <v>1</v>
      </c>
      <c r="G55" s="8" t="s">
        <v>64</v>
      </c>
      <c r="H55" s="8">
        <v>10000051</v>
      </c>
      <c r="I55" s="8" t="str">
        <f>VLOOKUP($E55,获取途径!$B:$D,3,0)</f>
        <v>[]</v>
      </c>
      <c r="J55" s="32" t="s">
        <v>86</v>
      </c>
      <c r="K55" s="7" t="str">
        <f t="shared" si="2"/>
        <v>301,302,303</v>
      </c>
      <c r="N55" s="13" t="s">
        <v>71</v>
      </c>
      <c r="O55" s="11"/>
      <c r="P55" s="11"/>
      <c r="Q55" s="11"/>
      <c r="U55" s="1" t="e">
        <f>INT(MID($B55,MIN(FIND({0,1,2,3,4,5,6,7,8,9},$B55&amp;"0123456789")),LEN($B55)*2-LENB($B55)))</f>
        <v>#VALUE!</v>
      </c>
      <c r="V55" s="1" t="str">
        <f t="shared" si="3"/>
        <v>今日登陆赠送</v>
      </c>
    </row>
    <row r="56" spans="1:22">
      <c r="A56" s="27">
        <v>304</v>
      </c>
      <c r="B56" s="24" t="s">
        <v>238</v>
      </c>
      <c r="C56" s="22">
        <v>2</v>
      </c>
      <c r="D56" s="8">
        <f>VLOOKUP($E56,获取途径!$B:$E,4,0)</f>
        <v>1</v>
      </c>
      <c r="E56" s="24">
        <v>14</v>
      </c>
      <c r="F56" s="24">
        <v>40</v>
      </c>
      <c r="G56" s="8" t="s">
        <v>64</v>
      </c>
      <c r="H56" s="8">
        <v>10000052</v>
      </c>
      <c r="I56" s="8">
        <f>VLOOKUP($E56,获取途径!$B:$D,3,0)</f>
        <v>46</v>
      </c>
      <c r="J56" s="32" t="s">
        <v>86</v>
      </c>
      <c r="K56" s="7" t="str">
        <f t="shared" si="2"/>
        <v>301,302,303,304</v>
      </c>
      <c r="N56" s="13" t="s">
        <v>69</v>
      </c>
      <c r="O56" s="11"/>
      <c r="P56" s="11"/>
      <c r="Q56" s="11"/>
      <c r="U56" s="1" t="e">
        <f>INT(MID($B56,MIN(FIND({0,1,2,3,4,5,6,7,8,9},$B56&amp;"0123456789")),LEN($B56)*2-LENB($B56)))</f>
        <v>#VALUE!</v>
      </c>
      <c r="V56" s="1" t="str">
        <f t="shared" si="3"/>
        <v>等级到达 [00821c]40[-] 级</v>
      </c>
    </row>
    <row r="57" spans="1:22">
      <c r="A57" s="27">
        <v>305</v>
      </c>
      <c r="B57" s="24" t="s">
        <v>239</v>
      </c>
      <c r="C57" s="22">
        <v>2</v>
      </c>
      <c r="D57" s="8">
        <f>VLOOKUP($E57,获取途径!$B:$E,4,0)</f>
        <v>1</v>
      </c>
      <c r="E57" s="24">
        <v>18</v>
      </c>
      <c r="F57" s="24">
        <v>600000</v>
      </c>
      <c r="G57" s="8" t="s">
        <v>64</v>
      </c>
      <c r="H57" s="8">
        <v>10000053</v>
      </c>
      <c r="I57" s="8">
        <f>VLOOKUP($E57,获取途径!$B:$D,3,0)</f>
        <v>41</v>
      </c>
      <c r="J57" s="32" t="s">
        <v>86</v>
      </c>
      <c r="K57" s="7" t="str">
        <f t="shared" si="2"/>
        <v>301,302,303,304,305</v>
      </c>
      <c r="N57" s="15" t="s">
        <v>70</v>
      </c>
      <c r="O57" s="14"/>
      <c r="P57" s="14"/>
      <c r="Q57" s="14"/>
      <c r="U57" s="1" t="e">
        <f>INT(MID($B57,MIN(FIND({0,1,2,3,4,5,6,7,8,9},$B57&amp;"0123456789")),LEN($B57)*2-LENB($B57)))</f>
        <v>#VALUE!</v>
      </c>
      <c r="V57" s="1" t="str">
        <f t="shared" si="3"/>
        <v xml:space="preserve">战斗力到达 [00821c]600000[-] </v>
      </c>
    </row>
    <row r="58" spans="1:22">
      <c r="A58" s="27">
        <v>306</v>
      </c>
      <c r="B58" s="24" t="s">
        <v>240</v>
      </c>
      <c r="C58" s="22">
        <v>2</v>
      </c>
      <c r="D58" s="8">
        <f>VLOOKUP($E58,获取途径!$B:$E,4,0)</f>
        <v>1</v>
      </c>
      <c r="E58" s="24">
        <v>27</v>
      </c>
      <c r="F58" s="24">
        <v>30</v>
      </c>
      <c r="G58" s="8" t="s">
        <v>64</v>
      </c>
      <c r="H58" s="8">
        <v>10000054</v>
      </c>
      <c r="I58" s="8">
        <f>VLOOKUP($E58,获取途径!$B:$D,3,0)</f>
        <v>15</v>
      </c>
      <c r="J58" s="32" t="s">
        <v>91</v>
      </c>
      <c r="K58" s="7">
        <f t="shared" si="2"/>
        <v>306</v>
      </c>
      <c r="N58" s="13" t="s">
        <v>119</v>
      </c>
      <c r="O58" s="11"/>
      <c r="P58" s="11"/>
      <c r="Q58" s="14"/>
      <c r="U58" s="1" t="e">
        <f>INT(MID($B58,MIN(FIND({0,1,2,3,4,5,6,7,8,9},$B58&amp;"0123456789")),LEN($B58)*2-LENB($B58)))</f>
        <v>#VALUE!</v>
      </c>
      <c r="V58" s="1" t="str">
        <f t="shared" si="3"/>
        <v>大雁塔最高达到 [00821c]30[-] 层</v>
      </c>
    </row>
    <row r="59" spans="1:22">
      <c r="A59" s="27">
        <v>307</v>
      </c>
      <c r="B59" s="24" t="s">
        <v>241</v>
      </c>
      <c r="C59" s="22">
        <v>2</v>
      </c>
      <c r="D59" s="8">
        <f>VLOOKUP($E59,获取途径!$B:$E,4,0)</f>
        <v>1</v>
      </c>
      <c r="E59" s="24">
        <v>27</v>
      </c>
      <c r="F59" s="24">
        <v>35</v>
      </c>
      <c r="G59" s="8" t="s">
        <v>64</v>
      </c>
      <c r="H59" s="8">
        <v>10000055</v>
      </c>
      <c r="I59" s="8">
        <f>VLOOKUP($E59,获取途径!$B:$D,3,0)</f>
        <v>15</v>
      </c>
      <c r="J59" s="32" t="s">
        <v>91</v>
      </c>
      <c r="K59" s="7" t="str">
        <f t="shared" si="2"/>
        <v>306,307</v>
      </c>
      <c r="N59" s="15" t="s">
        <v>120</v>
      </c>
      <c r="O59" s="14"/>
      <c r="P59" s="14"/>
      <c r="Q59" s="14"/>
      <c r="U59" s="1" t="e">
        <f>INT(MID($B59,MIN(FIND({0,1,2,3,4,5,6,7,8,9},$B59&amp;"0123456789")),LEN($B59)*2-LENB($B59)))</f>
        <v>#VALUE!</v>
      </c>
      <c r="V59" s="1" t="str">
        <f t="shared" si="3"/>
        <v>大雁塔最高达到 [00821c]35[-] 层</v>
      </c>
    </row>
    <row r="60" spans="1:22">
      <c r="A60" s="27">
        <v>308</v>
      </c>
      <c r="B60" s="24" t="s">
        <v>242</v>
      </c>
      <c r="C60" s="22">
        <v>2</v>
      </c>
      <c r="D60" s="8">
        <f>VLOOKUP($E60,获取途径!$B:$E,4,0)</f>
        <v>1</v>
      </c>
      <c r="E60" s="24">
        <v>27</v>
      </c>
      <c r="F60" s="24">
        <v>40</v>
      </c>
      <c r="G60" s="8" t="s">
        <v>64</v>
      </c>
      <c r="H60" s="8">
        <v>10000056</v>
      </c>
      <c r="I60" s="8">
        <f>VLOOKUP($E60,获取途径!$B:$D,3,0)</f>
        <v>15</v>
      </c>
      <c r="J60" s="32" t="s">
        <v>91</v>
      </c>
      <c r="K60" s="7" t="str">
        <f t="shared" si="2"/>
        <v>306,307,308</v>
      </c>
      <c r="N60" s="14"/>
      <c r="O60" s="14"/>
      <c r="P60" s="14"/>
      <c r="Q60" s="14"/>
      <c r="U60" s="1" t="e">
        <f>INT(MID($B60,MIN(FIND({0,1,2,3,4,5,6,7,8,9},$B60&amp;"0123456789")),LEN($B60)*2-LENB($B60)))</f>
        <v>#VALUE!</v>
      </c>
      <c r="V60" s="1" t="str">
        <f t="shared" si="3"/>
        <v>大雁塔最高达到 [00821c]40[-] 层</v>
      </c>
    </row>
    <row r="61" spans="1:22">
      <c r="A61" s="27">
        <v>309</v>
      </c>
      <c r="B61" s="24" t="s">
        <v>243</v>
      </c>
      <c r="C61" s="22">
        <v>2</v>
      </c>
      <c r="D61" s="8">
        <f>VLOOKUP($E61,获取途径!$B:$E,4,0)</f>
        <v>1</v>
      </c>
      <c r="E61" s="24">
        <v>27</v>
      </c>
      <c r="F61" s="24">
        <v>45</v>
      </c>
      <c r="G61" s="8" t="s">
        <v>64</v>
      </c>
      <c r="H61" s="8">
        <v>10000057</v>
      </c>
      <c r="I61" s="8">
        <f>VLOOKUP($E61,获取途径!$B:$D,3,0)</f>
        <v>15</v>
      </c>
      <c r="J61" s="32" t="s">
        <v>91</v>
      </c>
      <c r="K61" s="7" t="str">
        <f t="shared" si="2"/>
        <v>306,307,308,309</v>
      </c>
      <c r="N61" s="14"/>
      <c r="O61" s="14"/>
      <c r="P61" s="14"/>
      <c r="Q61" s="14"/>
      <c r="U61" s="1" t="e">
        <f>INT(MID($B61,MIN(FIND({0,1,2,3,4,5,6,7,8,9},$B61&amp;"0123456789")),LEN($B61)*2-LENB($B61)))</f>
        <v>#VALUE!</v>
      </c>
      <c r="V61" s="1" t="str">
        <f t="shared" si="3"/>
        <v>大雁塔最高达到 [00821c]45[-] 层</v>
      </c>
    </row>
    <row r="62" spans="1:22">
      <c r="A62" s="27">
        <v>310</v>
      </c>
      <c r="B62" s="24" t="s">
        <v>244</v>
      </c>
      <c r="C62" s="22">
        <v>2</v>
      </c>
      <c r="D62" s="8">
        <f>VLOOKUP($E62,获取途径!$B:$E,4,0)</f>
        <v>1</v>
      </c>
      <c r="E62" s="24">
        <v>27</v>
      </c>
      <c r="F62" s="24">
        <v>50</v>
      </c>
      <c r="G62" s="8" t="s">
        <v>64</v>
      </c>
      <c r="H62" s="8">
        <v>10000058</v>
      </c>
      <c r="I62" s="8">
        <f>VLOOKUP($E62,获取途径!$B:$D,3,0)</f>
        <v>15</v>
      </c>
      <c r="J62" s="32" t="s">
        <v>91</v>
      </c>
      <c r="K62" s="7" t="str">
        <f t="shared" si="2"/>
        <v>306,307,308,309,310</v>
      </c>
      <c r="N62" s="14"/>
      <c r="O62" s="14"/>
      <c r="P62" s="14"/>
      <c r="Q62" s="14"/>
      <c r="U62" s="1" t="e">
        <f>INT(MID($B62,MIN(FIND({0,1,2,3,4,5,6,7,8,9},$B62&amp;"0123456789")),LEN($B62)*2-LENB($B62)))</f>
        <v>#VALUE!</v>
      </c>
      <c r="V62" s="1" t="str">
        <f t="shared" si="3"/>
        <v>大雁塔最高达到 [00821c]50[-] 层</v>
      </c>
    </row>
    <row r="63" spans="1:22">
      <c r="A63" s="27">
        <v>311</v>
      </c>
      <c r="B63" s="24" t="s">
        <v>245</v>
      </c>
      <c r="C63" s="22">
        <v>2</v>
      </c>
      <c r="D63" s="8">
        <f>VLOOKUP($E63,获取途径!$B:$E,4,0)</f>
        <v>1</v>
      </c>
      <c r="E63" s="24">
        <v>47</v>
      </c>
      <c r="F63" s="24">
        <v>2</v>
      </c>
      <c r="G63" s="8" t="s">
        <v>64</v>
      </c>
      <c r="H63" s="8">
        <v>10000059</v>
      </c>
      <c r="I63" s="8">
        <f>VLOOKUP($E63,获取途径!$B:$D,3,0)</f>
        <v>45</v>
      </c>
      <c r="J63" s="32" t="s">
        <v>92</v>
      </c>
      <c r="K63" s="7">
        <f t="shared" si="2"/>
        <v>311</v>
      </c>
      <c r="N63" s="14"/>
      <c r="O63" s="14"/>
      <c r="P63" s="14"/>
      <c r="Q63" s="14"/>
      <c r="U63" s="1" t="e">
        <f>INT(MID($B63,MIN(FIND({0,1,2,3,4,5,6,7,8,9},$B63&amp;"0123456789")),LEN($B63)*2-LENB($B63)))</f>
        <v>#VALUE!</v>
      </c>
      <c r="V63" s="1" t="str">
        <f t="shared" si="3"/>
        <v>上阵伙伴穿戴的二十件装备精炼等级到达 [00821c]2[-] 级</v>
      </c>
    </row>
    <row r="64" spans="1:22">
      <c r="A64" s="27">
        <v>312</v>
      </c>
      <c r="B64" s="24" t="s">
        <v>246</v>
      </c>
      <c r="C64" s="22">
        <v>2</v>
      </c>
      <c r="D64" s="8">
        <f>VLOOKUP($E64,获取途径!$B:$E,4,0)</f>
        <v>1</v>
      </c>
      <c r="E64" s="24">
        <v>47</v>
      </c>
      <c r="F64" s="24">
        <v>4</v>
      </c>
      <c r="G64" s="8" t="s">
        <v>64</v>
      </c>
      <c r="H64" s="8">
        <v>10000060</v>
      </c>
      <c r="I64" s="8">
        <f>VLOOKUP($E64,获取途径!$B:$D,3,0)</f>
        <v>45</v>
      </c>
      <c r="J64" s="32" t="s">
        <v>92</v>
      </c>
      <c r="K64" s="7" t="str">
        <f t="shared" si="2"/>
        <v>311,312</v>
      </c>
      <c r="N64" s="14"/>
      <c r="O64" s="14"/>
      <c r="P64" s="14"/>
      <c r="Q64" s="14"/>
      <c r="U64" s="1" t="e">
        <f>INT(MID($B64,MIN(FIND({0,1,2,3,4,5,6,7,8,9},$B64&amp;"0123456789")),LEN($B64)*2-LENB($B64)))</f>
        <v>#VALUE!</v>
      </c>
      <c r="V64" s="1" t="str">
        <f t="shared" si="3"/>
        <v>上阵伙伴穿戴的二十件装备精炼等级到达 [00821c]4[-] 级</v>
      </c>
    </row>
    <row r="65" spans="1:22">
      <c r="A65" s="27">
        <v>313</v>
      </c>
      <c r="B65" s="24" t="s">
        <v>247</v>
      </c>
      <c r="C65" s="22">
        <v>2</v>
      </c>
      <c r="D65" s="8">
        <f>VLOOKUP($E65,获取途径!$B:$E,4,0)</f>
        <v>1</v>
      </c>
      <c r="E65" s="24">
        <v>47</v>
      </c>
      <c r="F65" s="24">
        <v>6</v>
      </c>
      <c r="G65" s="8" t="s">
        <v>64</v>
      </c>
      <c r="H65" s="8">
        <v>10000061</v>
      </c>
      <c r="I65" s="8">
        <f>VLOOKUP($E65,获取途径!$B:$D,3,0)</f>
        <v>45</v>
      </c>
      <c r="J65" s="32" t="s">
        <v>92</v>
      </c>
      <c r="K65" s="7" t="str">
        <f t="shared" si="2"/>
        <v>311,312,313</v>
      </c>
      <c r="N65" s="14"/>
      <c r="O65" s="14"/>
      <c r="P65" s="14"/>
      <c r="Q65" s="14"/>
      <c r="U65" s="1" t="e">
        <f>INT(MID($B65,MIN(FIND({0,1,2,3,4,5,6,7,8,9},$B65&amp;"0123456789")),LEN($B65)*2-LENB($B65)))</f>
        <v>#VALUE!</v>
      </c>
      <c r="V65" s="1" t="str">
        <f t="shared" si="3"/>
        <v>上阵伙伴穿戴的二十件装备精炼等级到达 [00821c]6[-] 级</v>
      </c>
    </row>
    <row r="66" spans="1:22">
      <c r="A66" s="27">
        <v>314</v>
      </c>
      <c r="B66" s="24" t="s">
        <v>248</v>
      </c>
      <c r="C66" s="22">
        <v>2</v>
      </c>
      <c r="D66" s="8">
        <f>VLOOKUP($E66,获取途径!$B:$E,4,0)</f>
        <v>1</v>
      </c>
      <c r="E66" s="24">
        <v>47</v>
      </c>
      <c r="F66" s="24">
        <v>8</v>
      </c>
      <c r="G66" s="8" t="s">
        <v>64</v>
      </c>
      <c r="H66" s="8">
        <v>10000062</v>
      </c>
      <c r="I66" s="8">
        <f>VLOOKUP($E66,获取途径!$B:$D,3,0)</f>
        <v>45</v>
      </c>
      <c r="J66" s="32" t="s">
        <v>92</v>
      </c>
      <c r="K66" s="7" t="str">
        <f t="shared" si="2"/>
        <v>311,312,313,314</v>
      </c>
      <c r="N66" s="14"/>
      <c r="O66" s="14"/>
      <c r="P66" s="14"/>
      <c r="Q66" s="14"/>
      <c r="U66" s="1" t="e">
        <f>INT(MID($B66,MIN(FIND({0,1,2,3,4,5,6,7,8,9},$B66&amp;"0123456789")),LEN($B66)*2-LENB($B66)))</f>
        <v>#VALUE!</v>
      </c>
      <c r="V66" s="1" t="str">
        <f t="shared" si="3"/>
        <v>上阵伙伴穿戴的二十件装备精炼等级到达 [00821c]8[-] 级</v>
      </c>
    </row>
    <row r="67" spans="1:22">
      <c r="A67" s="27">
        <v>315</v>
      </c>
      <c r="B67" s="24" t="s">
        <v>249</v>
      </c>
      <c r="C67" s="22">
        <v>2</v>
      </c>
      <c r="D67" s="8">
        <f>VLOOKUP($E67,获取途径!$B:$E,4,0)</f>
        <v>1</v>
      </c>
      <c r="E67" s="24">
        <v>47</v>
      </c>
      <c r="F67" s="24">
        <v>10</v>
      </c>
      <c r="G67" s="8" t="s">
        <v>64</v>
      </c>
      <c r="H67" s="8">
        <v>10000063</v>
      </c>
      <c r="I67" s="8">
        <f>VLOOKUP($E67,获取途径!$B:$D,3,0)</f>
        <v>45</v>
      </c>
      <c r="J67" s="32" t="s">
        <v>92</v>
      </c>
      <c r="K67" s="7" t="str">
        <f t="shared" si="2"/>
        <v>311,312,313,314,315</v>
      </c>
      <c r="N67" s="14"/>
      <c r="O67" s="14"/>
      <c r="P67" s="14"/>
      <c r="Q67" s="14"/>
      <c r="U67" s="1" t="e">
        <f>INT(MID($B67,MIN(FIND({0,1,2,3,4,5,6,7,8,9},$B67&amp;"0123456789")),LEN($B67)*2-LENB($B67)))</f>
        <v>#VALUE!</v>
      </c>
      <c r="V67" s="1" t="str">
        <f t="shared" si="3"/>
        <v>上阵伙伴穿戴的二十件装备精炼等级到达 [00821c]10[-] 级</v>
      </c>
    </row>
    <row r="68" spans="1:22">
      <c r="A68" s="27">
        <v>316</v>
      </c>
      <c r="B68" s="24" t="s">
        <v>250</v>
      </c>
      <c r="C68" s="22">
        <v>2</v>
      </c>
      <c r="D68" s="8">
        <f>VLOOKUP($E68,获取途径!$B:$E,4,0)</f>
        <v>1</v>
      </c>
      <c r="E68" s="24">
        <v>47</v>
      </c>
      <c r="F68" s="24">
        <v>15</v>
      </c>
      <c r="G68" s="8" t="s">
        <v>64</v>
      </c>
      <c r="H68" s="8">
        <v>10000064</v>
      </c>
      <c r="I68" s="8">
        <f>VLOOKUP($E68,获取途径!$B:$D,3,0)</f>
        <v>45</v>
      </c>
      <c r="J68" s="32" t="s">
        <v>92</v>
      </c>
      <c r="K68" s="7" t="str">
        <f t="shared" ref="K68:K99" si="4">IF(J68=J67,$K67&amp;","&amp;A68,$A68)</f>
        <v>311,312,313,314,315,316</v>
      </c>
      <c r="N68" s="14"/>
      <c r="O68" s="14"/>
      <c r="P68" s="14"/>
      <c r="Q68" s="14"/>
      <c r="U68" s="1" t="e">
        <f>INT(MID($B68,MIN(FIND({0,1,2,3,4,5,6,7,8,9},$B68&amp;"0123456789")),LEN($B68)*2-LENB($B68)))</f>
        <v>#VALUE!</v>
      </c>
      <c r="V68" s="1" t="str">
        <f t="shared" ref="V68:V99" si="5">IF(ISERROR($U68),$B68,LEFT($B68,FIND($U68,$B68)-1)&amp;"[FF7400]"&amp;U68&amp;"[-]"&amp;IFERROR(RIGHT($B68,LEN($B68)-FIND($U68,$B68)-LEN($U68)+1),""))</f>
        <v>上阵伙伴穿戴的二十件装备精炼等级到达 [00821c]15[-] 级</v>
      </c>
    </row>
    <row r="69" spans="1:22">
      <c r="A69" s="27">
        <v>317</v>
      </c>
      <c r="B69" s="24" t="s">
        <v>251</v>
      </c>
      <c r="C69" s="22">
        <v>2</v>
      </c>
      <c r="D69" s="8">
        <f>VLOOKUP($E69,获取途径!$B:$E,4,0)</f>
        <v>1</v>
      </c>
      <c r="E69" s="24">
        <v>31</v>
      </c>
      <c r="F69" s="24">
        <v>5</v>
      </c>
      <c r="G69" s="8" t="s">
        <v>64</v>
      </c>
      <c r="H69" s="8">
        <v>10000065</v>
      </c>
      <c r="I69" s="8">
        <f>VLOOKUP($E69,获取途径!$B:$D,3,0)</f>
        <v>45</v>
      </c>
      <c r="J69" s="32" t="s">
        <v>92</v>
      </c>
      <c r="K69" s="7" t="str">
        <f t="shared" si="4"/>
        <v>311,312,313,314,315,316,317</v>
      </c>
      <c r="N69" s="14"/>
      <c r="O69" s="14"/>
      <c r="P69" s="14"/>
      <c r="Q69" s="14"/>
      <c r="U69" s="1" t="e">
        <f>INT(MID($B69,MIN(FIND({0,1,2,3,4,5,6,7,8,9},$B69&amp;"0123456789")),LEN($B69)*2-LENB($B69)))</f>
        <v>#VALUE!</v>
      </c>
      <c r="V69" s="1" t="str">
        <f t="shared" si="5"/>
        <v>穿戴装备最高精炼等级到达 [00821c]5[-] 级</v>
      </c>
    </row>
    <row r="70" spans="1:22">
      <c r="A70" s="27">
        <v>318</v>
      </c>
      <c r="B70" s="24" t="s">
        <v>252</v>
      </c>
      <c r="C70" s="22">
        <v>2</v>
      </c>
      <c r="D70" s="8">
        <f>VLOOKUP($E70,获取途径!$B:$E,4,0)</f>
        <v>1</v>
      </c>
      <c r="E70" s="24">
        <v>31</v>
      </c>
      <c r="F70" s="24">
        <v>10</v>
      </c>
      <c r="G70" s="8" t="s">
        <v>64</v>
      </c>
      <c r="H70" s="8">
        <v>10000066</v>
      </c>
      <c r="I70" s="8">
        <f>VLOOKUP($E70,获取途径!$B:$D,3,0)</f>
        <v>45</v>
      </c>
      <c r="J70" s="32" t="s">
        <v>92</v>
      </c>
      <c r="K70" s="7" t="str">
        <f t="shared" si="4"/>
        <v>311,312,313,314,315,316,317,318</v>
      </c>
      <c r="N70" s="14"/>
      <c r="O70" s="14"/>
      <c r="P70" s="14"/>
      <c r="Q70" s="14"/>
      <c r="U70" s="1" t="e">
        <f>INT(MID($B70,MIN(FIND({0,1,2,3,4,5,6,7,8,9},$B70&amp;"0123456789")),LEN($B70)*2-LENB($B70)))</f>
        <v>#VALUE!</v>
      </c>
      <c r="V70" s="1" t="str">
        <f t="shared" si="5"/>
        <v>穿戴装备最高精炼等级到达 [00821c]10[-] 级</v>
      </c>
    </row>
    <row r="71" spans="1:22">
      <c r="A71" s="27">
        <v>319</v>
      </c>
      <c r="B71" s="24" t="s">
        <v>253</v>
      </c>
      <c r="C71" s="22">
        <v>2</v>
      </c>
      <c r="D71" s="8">
        <f>VLOOKUP($E71,获取途径!$B:$E,4,0)</f>
        <v>1</v>
      </c>
      <c r="E71" s="24">
        <v>31</v>
      </c>
      <c r="F71" s="24">
        <v>15</v>
      </c>
      <c r="G71" s="8" t="s">
        <v>64</v>
      </c>
      <c r="H71" s="8">
        <v>10000067</v>
      </c>
      <c r="I71" s="8">
        <f>VLOOKUP($E71,获取途径!$B:$D,3,0)</f>
        <v>45</v>
      </c>
      <c r="J71" s="32" t="s">
        <v>92</v>
      </c>
      <c r="K71" s="7" t="str">
        <f t="shared" si="4"/>
        <v>311,312,313,314,315,316,317,318,319</v>
      </c>
      <c r="N71" s="14"/>
      <c r="O71" s="14"/>
      <c r="P71" s="14"/>
      <c r="Q71" s="14"/>
      <c r="U71" s="1" t="e">
        <f>INT(MID($B71,MIN(FIND({0,1,2,3,4,5,6,7,8,9},$B71&amp;"0123456789")),LEN($B71)*2-LENB($B71)))</f>
        <v>#VALUE!</v>
      </c>
      <c r="V71" s="1" t="str">
        <f t="shared" si="5"/>
        <v>穿戴装备最高精炼等级到达 [00821c]15[-] 级</v>
      </c>
    </row>
    <row r="72" spans="1:22">
      <c r="A72" s="27">
        <v>320</v>
      </c>
      <c r="B72" s="24" t="s">
        <v>254</v>
      </c>
      <c r="C72" s="22">
        <v>2</v>
      </c>
      <c r="D72" s="8">
        <f>VLOOKUP($E72,获取途径!$B:$E,4,0)</f>
        <v>1</v>
      </c>
      <c r="E72" s="24">
        <v>31</v>
      </c>
      <c r="F72" s="24">
        <v>20</v>
      </c>
      <c r="G72" s="8" t="s">
        <v>64</v>
      </c>
      <c r="H72" s="8">
        <v>10000068</v>
      </c>
      <c r="I72" s="8">
        <f>VLOOKUP($E72,获取途径!$B:$D,3,0)</f>
        <v>45</v>
      </c>
      <c r="J72" s="32" t="s">
        <v>92</v>
      </c>
      <c r="K72" s="7" t="str">
        <f t="shared" si="4"/>
        <v>311,312,313,314,315,316,317,318,319,320</v>
      </c>
      <c r="N72" s="14"/>
      <c r="O72" s="14"/>
      <c r="P72" s="14"/>
      <c r="Q72" s="14"/>
      <c r="U72" s="1" t="e">
        <f>INT(MID($B72,MIN(FIND({0,1,2,3,4,5,6,7,8,9},$B72&amp;"0123456789")),LEN($B72)*2-LENB($B72)))</f>
        <v>#VALUE!</v>
      </c>
      <c r="V72" s="1" t="str">
        <f t="shared" si="5"/>
        <v>穿戴装备最高精炼等级到达 [00821c]20[-] 级</v>
      </c>
    </row>
    <row r="73" spans="1:22">
      <c r="A73" s="27">
        <v>401</v>
      </c>
      <c r="B73" s="24" t="s">
        <v>255</v>
      </c>
      <c r="C73" s="22">
        <v>2</v>
      </c>
      <c r="D73" s="8">
        <f>VLOOKUP($E73,获取途径!$B:$E,4,0)</f>
        <v>1</v>
      </c>
      <c r="E73" s="8">
        <v>25</v>
      </c>
      <c r="F73" s="8">
        <v>800</v>
      </c>
      <c r="G73" s="8" t="s">
        <v>64</v>
      </c>
      <c r="H73" s="8">
        <v>10000069</v>
      </c>
      <c r="I73" s="8">
        <f>VLOOKUP($E73,获取途径!$B:$D,3,0)</f>
        <v>34</v>
      </c>
      <c r="J73" s="32" t="s">
        <v>86</v>
      </c>
      <c r="K73" s="7">
        <f t="shared" si="4"/>
        <v>401</v>
      </c>
      <c r="N73" s="14"/>
      <c r="O73" s="14"/>
      <c r="P73" s="14"/>
      <c r="Q73" s="14"/>
      <c r="U73" s="1" t="e">
        <f>INT(MID($B73,MIN(FIND({0,1,2,3,4,5,6,7,8,9},$B73&amp;"0123456789")),LEN($B73)*2-LENB($B73)))</f>
        <v>#VALUE!</v>
      </c>
      <c r="V73" s="1" t="str">
        <f t="shared" si="5"/>
        <v>累计充值 [00821c]800[-] 元</v>
      </c>
    </row>
    <row r="74" spans="1:22">
      <c r="A74" s="27">
        <v>402</v>
      </c>
      <c r="B74" s="24" t="s">
        <v>256</v>
      </c>
      <c r="C74" s="22">
        <v>2</v>
      </c>
      <c r="D74" s="8">
        <f>VLOOKUP($E74,获取途径!$B:$E,4,0)</f>
        <v>1</v>
      </c>
      <c r="E74" s="24">
        <v>25</v>
      </c>
      <c r="F74" s="24">
        <v>1000</v>
      </c>
      <c r="G74" s="8" t="s">
        <v>64</v>
      </c>
      <c r="H74" s="8">
        <v>10000070</v>
      </c>
      <c r="I74" s="8">
        <f>VLOOKUP($E74,获取途径!$B:$D,3,0)</f>
        <v>34</v>
      </c>
      <c r="J74" s="32" t="s">
        <v>86</v>
      </c>
      <c r="K74" s="7" t="str">
        <f t="shared" si="4"/>
        <v>401,402</v>
      </c>
      <c r="N74" s="14"/>
      <c r="O74" s="14"/>
      <c r="P74" s="14"/>
      <c r="Q74" s="14"/>
      <c r="U74" s="1" t="e">
        <f>INT(MID($B74,MIN(FIND({0,1,2,3,4,5,6,7,8,9},$B74&amp;"0123456789")),LEN($B74)*2-LENB($B74)))</f>
        <v>#VALUE!</v>
      </c>
      <c r="V74" s="1" t="str">
        <f t="shared" si="5"/>
        <v>累计充值 [00821c]1000[-] 元</v>
      </c>
    </row>
    <row r="75" spans="1:22">
      <c r="A75" s="27">
        <v>403</v>
      </c>
      <c r="B75" s="24" t="s">
        <v>0</v>
      </c>
      <c r="C75" s="22">
        <v>2</v>
      </c>
      <c r="D75" s="8">
        <f>VLOOKUP($E75,获取途径!$B:$E,4,0)</f>
        <v>1</v>
      </c>
      <c r="E75" s="24">
        <v>22</v>
      </c>
      <c r="F75" s="24">
        <v>1</v>
      </c>
      <c r="G75" s="8" t="s">
        <v>64</v>
      </c>
      <c r="H75" s="8">
        <v>10000071</v>
      </c>
      <c r="I75" s="8" t="str">
        <f>VLOOKUP($E75,获取途径!$B:$D,3,0)</f>
        <v>[]</v>
      </c>
      <c r="J75" s="32" t="s">
        <v>86</v>
      </c>
      <c r="K75" s="7" t="str">
        <f t="shared" si="4"/>
        <v>401,402,403</v>
      </c>
      <c r="N75" s="14"/>
      <c r="O75" s="14"/>
      <c r="P75" s="14"/>
      <c r="Q75" s="14"/>
      <c r="U75" s="1" t="e">
        <f>INT(MID($B75,MIN(FIND({0,1,2,3,4,5,6,7,8,9},$B75&amp;"0123456789")),LEN($B75)*2-LENB($B75)))</f>
        <v>#VALUE!</v>
      </c>
      <c r="V75" s="1" t="str">
        <f t="shared" si="5"/>
        <v>今日登陆赠送</v>
      </c>
    </row>
    <row r="76" spans="1:22">
      <c r="A76" s="27">
        <v>404</v>
      </c>
      <c r="B76" s="24" t="s">
        <v>257</v>
      </c>
      <c r="C76" s="22">
        <v>2</v>
      </c>
      <c r="D76" s="8">
        <f>VLOOKUP($E76,获取途径!$B:$E,4,0)</f>
        <v>1</v>
      </c>
      <c r="E76" s="24">
        <v>14</v>
      </c>
      <c r="F76" s="24">
        <v>44</v>
      </c>
      <c r="G76" s="8" t="s">
        <v>64</v>
      </c>
      <c r="H76" s="8">
        <v>10000072</v>
      </c>
      <c r="I76" s="8">
        <f>VLOOKUP($E76,获取途径!$B:$D,3,0)</f>
        <v>46</v>
      </c>
      <c r="J76" s="32" t="s">
        <v>86</v>
      </c>
      <c r="K76" s="7" t="str">
        <f t="shared" si="4"/>
        <v>401,402,403,404</v>
      </c>
      <c r="N76" s="14"/>
      <c r="O76" s="14"/>
      <c r="P76" s="14"/>
      <c r="Q76" s="14"/>
      <c r="U76" s="1" t="e">
        <f>INT(MID($B76,MIN(FIND({0,1,2,3,4,5,6,7,8,9},$B76&amp;"0123456789")),LEN($B76)*2-LENB($B76)))</f>
        <v>#VALUE!</v>
      </c>
      <c r="V76" s="1" t="str">
        <f t="shared" si="5"/>
        <v>等级到达 [00821c]44[-] 级</v>
      </c>
    </row>
    <row r="77" spans="1:22">
      <c r="A77" s="27">
        <v>405</v>
      </c>
      <c r="B77" s="24" t="s">
        <v>258</v>
      </c>
      <c r="C77" s="22">
        <v>2</v>
      </c>
      <c r="D77" s="8">
        <f>VLOOKUP($E77,获取途径!$B:$E,4,0)</f>
        <v>1</v>
      </c>
      <c r="E77" s="24">
        <v>18</v>
      </c>
      <c r="F77" s="24">
        <v>800000</v>
      </c>
      <c r="G77" s="8" t="s">
        <v>64</v>
      </c>
      <c r="H77" s="8">
        <v>10000073</v>
      </c>
      <c r="I77" s="8">
        <f>VLOOKUP($E77,获取途径!$B:$D,3,0)</f>
        <v>41</v>
      </c>
      <c r="J77" s="32" t="s">
        <v>86</v>
      </c>
      <c r="K77" s="7" t="str">
        <f t="shared" si="4"/>
        <v>401,402,403,404,405</v>
      </c>
      <c r="N77" s="14"/>
      <c r="O77" s="14"/>
      <c r="P77" s="14"/>
      <c r="Q77" s="14"/>
      <c r="U77" s="1" t="e">
        <f>INT(MID($B77,MIN(FIND({0,1,2,3,4,5,6,7,8,9},$B77&amp;"0123456789")),LEN($B77)*2-LENB($B77)))</f>
        <v>#VALUE!</v>
      </c>
      <c r="V77" s="1" t="str">
        <f t="shared" si="5"/>
        <v xml:space="preserve">战斗力到达 [00821c]800000[-] </v>
      </c>
    </row>
    <row r="78" spans="1:22">
      <c r="A78" s="27">
        <v>406</v>
      </c>
      <c r="B78" s="24" t="s">
        <v>259</v>
      </c>
      <c r="C78" s="22">
        <v>2</v>
      </c>
      <c r="D78" s="8">
        <f>VLOOKUP($E78,获取途径!$B:$E,4,0)</f>
        <v>1</v>
      </c>
      <c r="E78" s="24">
        <v>53</v>
      </c>
      <c r="F78" s="24">
        <v>0</v>
      </c>
      <c r="G78" s="8" t="s">
        <v>100</v>
      </c>
      <c r="H78" s="8">
        <v>10000074</v>
      </c>
      <c r="I78" s="8">
        <f>VLOOKUP($E78,获取途径!$B:$D,3,0)</f>
        <v>41</v>
      </c>
      <c r="J78" s="32" t="s">
        <v>93</v>
      </c>
      <c r="K78" s="7">
        <f t="shared" si="4"/>
        <v>406</v>
      </c>
      <c r="N78" s="14"/>
      <c r="O78" s="14"/>
      <c r="P78" s="14"/>
      <c r="Q78" s="14"/>
      <c r="U78" s="1" t="e">
        <f>INT(MID($B78,MIN(FIND({0,1,2,3,4,5,6,7,8,9},$B78&amp;"0123456789")),LEN($B78)*2-LENB($B78)))</f>
        <v>#VALUE!</v>
      </c>
      <c r="V78" s="1" t="str">
        <f t="shared" si="5"/>
        <v>所有上阵伙伴神兵强化等级到达 [00821c]5[-] 级</v>
      </c>
    </row>
    <row r="79" spans="1:22">
      <c r="A79" s="27">
        <v>407</v>
      </c>
      <c r="B79" s="24" t="s">
        <v>260</v>
      </c>
      <c r="C79" s="22">
        <v>2</v>
      </c>
      <c r="D79" s="8">
        <f>VLOOKUP($E79,获取途径!$B:$E,4,0)</f>
        <v>1</v>
      </c>
      <c r="E79" s="24">
        <v>53</v>
      </c>
      <c r="F79" s="24">
        <v>0</v>
      </c>
      <c r="G79" s="8" t="s">
        <v>101</v>
      </c>
      <c r="H79" s="8">
        <v>10000075</v>
      </c>
      <c r="I79" s="8">
        <f>VLOOKUP($E79,获取途径!$B:$D,3,0)</f>
        <v>41</v>
      </c>
      <c r="J79" s="32" t="s">
        <v>93</v>
      </c>
      <c r="K79" s="7" t="str">
        <f t="shared" si="4"/>
        <v>406,407</v>
      </c>
      <c r="N79" s="14"/>
      <c r="O79" s="14"/>
      <c r="P79" s="14"/>
      <c r="Q79" s="14"/>
      <c r="U79" s="1" t="e">
        <f>INT(MID($B79,MIN(FIND({0,1,2,3,4,5,6,7,8,9},$B79&amp;"0123456789")),LEN($B79)*2-LENB($B79)))</f>
        <v>#VALUE!</v>
      </c>
      <c r="V79" s="1" t="str">
        <f t="shared" si="5"/>
        <v>所有上阵伙伴神兵强化等级到达 [00821c]10[-] 级</v>
      </c>
    </row>
    <row r="80" spans="1:22">
      <c r="A80" s="27">
        <v>408</v>
      </c>
      <c r="B80" s="24" t="s">
        <v>261</v>
      </c>
      <c r="C80" s="22">
        <v>2</v>
      </c>
      <c r="D80" s="8">
        <f>VLOOKUP($E80,获取途径!$B:$E,4,0)</f>
        <v>1</v>
      </c>
      <c r="E80" s="24">
        <v>53</v>
      </c>
      <c r="F80" s="24">
        <v>0</v>
      </c>
      <c r="G80" s="8" t="s">
        <v>102</v>
      </c>
      <c r="H80" s="8">
        <v>10000076</v>
      </c>
      <c r="I80" s="8">
        <f>VLOOKUP($E80,获取途径!$B:$D,3,0)</f>
        <v>41</v>
      </c>
      <c r="J80" s="32" t="s">
        <v>93</v>
      </c>
      <c r="K80" s="7" t="str">
        <f t="shared" si="4"/>
        <v>406,407,408</v>
      </c>
      <c r="N80" s="14"/>
      <c r="O80" s="14"/>
      <c r="P80" s="14"/>
      <c r="Q80" s="14"/>
      <c r="U80" s="1" t="e">
        <f>INT(MID($B80,MIN(FIND({0,1,2,3,4,5,6,7,8,9},$B80&amp;"0123456789")),LEN($B80)*2-LENB($B80)))</f>
        <v>#VALUE!</v>
      </c>
      <c r="V80" s="1" t="str">
        <f t="shared" si="5"/>
        <v>所有上阵伙伴神兵强化等级到达 [00821c]15[-] 级</v>
      </c>
    </row>
    <row r="81" spans="1:22">
      <c r="A81" s="27">
        <v>409</v>
      </c>
      <c r="B81" s="24" t="s">
        <v>262</v>
      </c>
      <c r="C81" s="22">
        <v>2</v>
      </c>
      <c r="D81" s="8">
        <f>VLOOKUP($E81,获取途径!$B:$E,4,0)</f>
        <v>1</v>
      </c>
      <c r="E81" s="24">
        <v>53</v>
      </c>
      <c r="F81" s="24">
        <v>0</v>
      </c>
      <c r="G81" s="8" t="s">
        <v>103</v>
      </c>
      <c r="H81" s="8">
        <v>10000077</v>
      </c>
      <c r="I81" s="8">
        <f>VLOOKUP($E81,获取途径!$B:$D,3,0)</f>
        <v>41</v>
      </c>
      <c r="J81" s="32" t="s">
        <v>93</v>
      </c>
      <c r="K81" s="7" t="str">
        <f t="shared" si="4"/>
        <v>406,407,408,409</v>
      </c>
      <c r="N81" s="14"/>
      <c r="O81" s="14"/>
      <c r="P81" s="14"/>
      <c r="Q81" s="14"/>
      <c r="U81" s="1" t="e">
        <f>INT(MID($B81,MIN(FIND({0,1,2,3,4,5,6,7,8,9},$B81&amp;"0123456789")),LEN($B81)*2-LENB($B81)))</f>
        <v>#VALUE!</v>
      </c>
      <c r="V81" s="1" t="str">
        <f t="shared" si="5"/>
        <v>所有上阵伙伴神兵强化等级到达 [00821c]20[-] 级</v>
      </c>
    </row>
    <row r="82" spans="1:22">
      <c r="A82" s="27">
        <v>410</v>
      </c>
      <c r="B82" s="24" t="s">
        <v>263</v>
      </c>
      <c r="C82" s="22">
        <v>2</v>
      </c>
      <c r="D82" s="8">
        <f>VLOOKUP($E82,获取途径!$B:$E,4,0)</f>
        <v>1</v>
      </c>
      <c r="E82" s="24">
        <v>43</v>
      </c>
      <c r="F82" s="24">
        <v>5</v>
      </c>
      <c r="G82" s="8" t="s">
        <v>64</v>
      </c>
      <c r="H82" s="8">
        <v>10000078</v>
      </c>
      <c r="I82" s="8">
        <f>VLOOKUP($E82,获取途径!$B:$D,3,0)</f>
        <v>41</v>
      </c>
      <c r="J82" s="32" t="s">
        <v>93</v>
      </c>
      <c r="K82" s="7" t="str">
        <f t="shared" si="4"/>
        <v>406,407,408,409,410</v>
      </c>
      <c r="N82" s="14"/>
      <c r="O82" s="14"/>
      <c r="P82" s="14"/>
      <c r="Q82" s="14"/>
      <c r="U82" s="1" t="e">
        <f>INT(MID($B82,MIN(FIND({0,1,2,3,4,5,6,7,8,9},$B82&amp;"0123456789")),LEN($B82)*2-LENB($B82)))</f>
        <v>#VALUE!</v>
      </c>
      <c r="V82" s="1" t="str">
        <f t="shared" si="5"/>
        <v>上阵伙伴中神兵强化最高等级到达 [00821c]5[-] 级</v>
      </c>
    </row>
    <row r="83" spans="1:22">
      <c r="A83" s="27">
        <v>411</v>
      </c>
      <c r="B83" s="24" t="s">
        <v>264</v>
      </c>
      <c r="C83" s="22">
        <v>2</v>
      </c>
      <c r="D83" s="8">
        <f>VLOOKUP($E83,获取途径!$B:$E,4,0)</f>
        <v>1</v>
      </c>
      <c r="E83" s="24">
        <v>43</v>
      </c>
      <c r="F83" s="24">
        <v>10</v>
      </c>
      <c r="G83" s="8" t="s">
        <v>64</v>
      </c>
      <c r="H83" s="8">
        <v>10000079</v>
      </c>
      <c r="I83" s="8">
        <f>VLOOKUP($E83,获取途径!$B:$D,3,0)</f>
        <v>41</v>
      </c>
      <c r="J83" s="32" t="s">
        <v>93</v>
      </c>
      <c r="K83" s="7" t="str">
        <f t="shared" si="4"/>
        <v>406,407,408,409,410,411</v>
      </c>
      <c r="N83" s="14"/>
      <c r="O83" s="14"/>
      <c r="P83" s="14"/>
      <c r="Q83" s="14"/>
      <c r="U83" s="1" t="e">
        <f>INT(MID($B83,MIN(FIND({0,1,2,3,4,5,6,7,8,9},$B83&amp;"0123456789")),LEN($B83)*2-LENB($B83)))</f>
        <v>#VALUE!</v>
      </c>
      <c r="V83" s="1" t="str">
        <f t="shared" si="5"/>
        <v>上阵伙伴中神兵强化最高等级到达 [00821c]10[-] 级</v>
      </c>
    </row>
    <row r="84" spans="1:22">
      <c r="A84" s="27">
        <v>412</v>
      </c>
      <c r="B84" s="24" t="s">
        <v>265</v>
      </c>
      <c r="C84" s="22">
        <v>2</v>
      </c>
      <c r="D84" s="8">
        <f>VLOOKUP($E84,获取途径!$B:$E,4,0)</f>
        <v>1</v>
      </c>
      <c r="E84" s="24">
        <v>43</v>
      </c>
      <c r="F84" s="24">
        <v>15</v>
      </c>
      <c r="G84" s="8" t="s">
        <v>64</v>
      </c>
      <c r="H84" s="8">
        <v>10000080</v>
      </c>
      <c r="I84" s="8">
        <f>VLOOKUP($E84,获取途径!$B:$D,3,0)</f>
        <v>41</v>
      </c>
      <c r="J84" s="32" t="s">
        <v>93</v>
      </c>
      <c r="K84" s="7" t="str">
        <f t="shared" si="4"/>
        <v>406,407,408,409,410,411,412</v>
      </c>
      <c r="N84" s="10"/>
      <c r="O84" s="10"/>
      <c r="P84" s="10"/>
      <c r="Q84" s="10"/>
      <c r="U84" s="1" t="e">
        <f>INT(MID($B84,MIN(FIND({0,1,2,3,4,5,6,7,8,9},$B84&amp;"0123456789")),LEN($B84)*2-LENB($B84)))</f>
        <v>#VALUE!</v>
      </c>
      <c r="V84" s="1" t="str">
        <f t="shared" si="5"/>
        <v>上阵伙伴中神兵强化最高等级到达 [00821c]15[-] 级</v>
      </c>
    </row>
    <row r="85" spans="1:22">
      <c r="A85" s="27">
        <v>413</v>
      </c>
      <c r="B85" s="24" t="s">
        <v>266</v>
      </c>
      <c r="C85" s="22">
        <v>2</v>
      </c>
      <c r="D85" s="8">
        <f>VLOOKUP($E85,获取途径!$B:$E,4,0)</f>
        <v>1</v>
      </c>
      <c r="E85" s="24">
        <v>43</v>
      </c>
      <c r="F85" s="24">
        <v>20</v>
      </c>
      <c r="G85" s="8" t="s">
        <v>64</v>
      </c>
      <c r="H85" s="8">
        <v>10000081</v>
      </c>
      <c r="I85" s="8">
        <f>VLOOKUP($E85,获取途径!$B:$D,3,0)</f>
        <v>41</v>
      </c>
      <c r="J85" s="32" t="s">
        <v>93</v>
      </c>
      <c r="K85" s="7" t="str">
        <f t="shared" si="4"/>
        <v>406,407,408,409,410,411,412,413</v>
      </c>
      <c r="N85" s="10"/>
      <c r="O85" s="10"/>
      <c r="P85" s="10"/>
      <c r="Q85" s="10"/>
      <c r="U85" s="1" t="e">
        <f>INT(MID($B85,MIN(FIND({0,1,2,3,4,5,6,7,8,9},$B85&amp;"0123456789")),LEN($B85)*2-LENB($B85)))</f>
        <v>#VALUE!</v>
      </c>
      <c r="V85" s="1" t="str">
        <f t="shared" si="5"/>
        <v>上阵伙伴中神兵强化最高等级到达 [00821c]20[-] 级</v>
      </c>
    </row>
    <row r="86" spans="1:22">
      <c r="A86" s="27">
        <v>414</v>
      </c>
      <c r="B86" s="24" t="s">
        <v>267</v>
      </c>
      <c r="C86" s="22">
        <v>2</v>
      </c>
      <c r="D86" s="8">
        <f>VLOOKUP($E86,获取途径!$B:$E,4,0)</f>
        <v>1</v>
      </c>
      <c r="E86" s="24">
        <v>43</v>
      </c>
      <c r="F86" s="24">
        <v>30</v>
      </c>
      <c r="G86" s="8" t="s">
        <v>64</v>
      </c>
      <c r="H86" s="8">
        <v>10000082</v>
      </c>
      <c r="I86" s="8">
        <f>VLOOKUP($E86,获取途径!$B:$D,3,0)</f>
        <v>41</v>
      </c>
      <c r="J86" s="32" t="s">
        <v>93</v>
      </c>
      <c r="K86" s="7" t="str">
        <f t="shared" si="4"/>
        <v>406,407,408,409,410,411,412,413,414</v>
      </c>
      <c r="N86" s="10"/>
      <c r="O86" s="10"/>
      <c r="P86" s="10"/>
      <c r="Q86" s="10"/>
      <c r="U86" s="1" t="e">
        <f>INT(MID($B86,MIN(FIND({0,1,2,3,4,5,6,7,8,9},$B86&amp;"0123456789")),LEN($B86)*2-LENB($B86)))</f>
        <v>#VALUE!</v>
      </c>
      <c r="V86" s="1" t="str">
        <f t="shared" si="5"/>
        <v>上阵伙伴中神兵强化最高等级到达 [00821c]30[-] 级</v>
      </c>
    </row>
    <row r="87" spans="1:22">
      <c r="A87" s="27">
        <v>415</v>
      </c>
      <c r="B87" s="24" t="s">
        <v>268</v>
      </c>
      <c r="C87" s="22">
        <v>2</v>
      </c>
      <c r="D87" s="8">
        <f>VLOOKUP($E87,获取途径!$B:$E,4,0)</f>
        <v>1</v>
      </c>
      <c r="E87" s="24">
        <v>43</v>
      </c>
      <c r="F87" s="24">
        <v>40</v>
      </c>
      <c r="G87" s="8" t="s">
        <v>64</v>
      </c>
      <c r="H87" s="8">
        <v>10000083</v>
      </c>
      <c r="I87" s="8">
        <f>VLOOKUP($E87,获取途径!$B:$D,3,0)</f>
        <v>41</v>
      </c>
      <c r="J87" s="32" t="s">
        <v>93</v>
      </c>
      <c r="K87" s="7" t="str">
        <f t="shared" si="4"/>
        <v>406,407,408,409,410,411,412,413,414,415</v>
      </c>
      <c r="N87" s="10"/>
      <c r="O87" s="10"/>
      <c r="P87" s="10"/>
      <c r="Q87" s="10"/>
      <c r="U87" s="1" t="e">
        <f>INT(MID($B87,MIN(FIND({0,1,2,3,4,5,6,7,8,9},$B87&amp;"0123456789")),LEN($B87)*2-LENB($B87)))</f>
        <v>#VALUE!</v>
      </c>
      <c r="V87" s="1" t="str">
        <f t="shared" si="5"/>
        <v>上阵伙伴中神兵强化最高等级到达 [00821c]40[-] 级</v>
      </c>
    </row>
    <row r="88" spans="1:22">
      <c r="A88" s="27">
        <v>416</v>
      </c>
      <c r="B88" s="24" t="s">
        <v>269</v>
      </c>
      <c r="C88" s="22">
        <v>2</v>
      </c>
      <c r="D88" s="8">
        <f>VLOOKUP($E88,获取途径!$B:$E,4,0)</f>
        <v>1</v>
      </c>
      <c r="E88" s="24">
        <v>44</v>
      </c>
      <c r="F88" s="24">
        <v>1</v>
      </c>
      <c r="G88" s="8" t="s">
        <v>64</v>
      </c>
      <c r="H88" s="8">
        <v>10000084</v>
      </c>
      <c r="I88" s="8">
        <f>VLOOKUP($E88,获取途径!$B:$D,3,0)</f>
        <v>41</v>
      </c>
      <c r="J88" s="32" t="s">
        <v>93</v>
      </c>
      <c r="K88" s="7" t="str">
        <f t="shared" si="4"/>
        <v>406,407,408,409,410,411,412,413,414,415,416</v>
      </c>
      <c r="N88" s="10"/>
      <c r="O88" s="10"/>
      <c r="P88" s="10"/>
      <c r="Q88" s="10"/>
      <c r="U88" s="1" t="e">
        <f>INT(MID($B88,MIN(FIND({0,1,2,3,4,5,6,7,8,9},$B88&amp;"0123456789")),LEN($B88)*2-LENB($B88)))</f>
        <v>#VALUE!</v>
      </c>
      <c r="V88" s="1" t="str">
        <f t="shared" si="5"/>
        <v xml:space="preserve">任意一件神兵进阶 [00821c]+1[-] </v>
      </c>
    </row>
    <row r="89" spans="1:22">
      <c r="A89" s="27">
        <v>417</v>
      </c>
      <c r="B89" s="24" t="s">
        <v>270</v>
      </c>
      <c r="C89" s="22">
        <v>2</v>
      </c>
      <c r="D89" s="8">
        <f>VLOOKUP($E89,获取途径!$B:$E,4,0)</f>
        <v>1</v>
      </c>
      <c r="E89" s="24">
        <v>29</v>
      </c>
      <c r="F89" s="24">
        <v>1</v>
      </c>
      <c r="G89" s="8" t="s">
        <v>64</v>
      </c>
      <c r="H89" s="8">
        <v>10000085</v>
      </c>
      <c r="I89" s="8">
        <f>VLOOKUP($E89,获取途径!$B:$D,3,0)</f>
        <v>53</v>
      </c>
      <c r="J89" s="32" t="s">
        <v>94</v>
      </c>
      <c r="K89" s="7">
        <f t="shared" si="4"/>
        <v>417</v>
      </c>
      <c r="N89" s="10"/>
      <c r="O89" s="10"/>
      <c r="P89" s="10"/>
      <c r="Q89" s="10"/>
      <c r="U89" s="1" t="e">
        <f>INT(MID($B89,MIN(FIND({0,1,2,3,4,5,6,7,8,9},$B89&amp;"0123456789")),LEN($B89)*2-LENB($B89)))</f>
        <v>#VALUE!</v>
      </c>
      <c r="V89" s="1" t="str">
        <f t="shared" si="5"/>
        <v>累计击杀梦魇怪物 [00821c]1[-] 个</v>
      </c>
    </row>
    <row r="90" spans="1:22">
      <c r="A90" s="27">
        <v>418</v>
      </c>
      <c r="B90" s="24" t="s">
        <v>271</v>
      </c>
      <c r="C90" s="22">
        <v>2</v>
      </c>
      <c r="D90" s="8">
        <f>VLOOKUP($E90,获取途径!$B:$E,4,0)</f>
        <v>1</v>
      </c>
      <c r="E90" s="24">
        <v>29</v>
      </c>
      <c r="F90" s="24">
        <v>5</v>
      </c>
      <c r="G90" s="8" t="s">
        <v>64</v>
      </c>
      <c r="H90" s="8">
        <v>10000086</v>
      </c>
      <c r="I90" s="8">
        <f>VLOOKUP($E90,获取途径!$B:$D,3,0)</f>
        <v>53</v>
      </c>
      <c r="J90" s="32" t="s">
        <v>94</v>
      </c>
      <c r="K90" s="7" t="str">
        <f t="shared" si="4"/>
        <v>417,418</v>
      </c>
      <c r="N90" s="10"/>
      <c r="O90" s="10"/>
      <c r="P90" s="10"/>
      <c r="Q90" s="10"/>
      <c r="U90" s="1" t="e">
        <f>INT(MID($B90,MIN(FIND({0,1,2,3,4,5,6,7,8,9},$B90&amp;"0123456789")),LEN($B90)*2-LENB($B90)))</f>
        <v>#VALUE!</v>
      </c>
      <c r="V90" s="1" t="str">
        <f t="shared" si="5"/>
        <v>累计击杀梦魇怪物 [00821c]5[-] 个</v>
      </c>
    </row>
    <row r="91" spans="1:22">
      <c r="A91" s="27">
        <v>419</v>
      </c>
      <c r="B91" s="24" t="s">
        <v>272</v>
      </c>
      <c r="C91" s="22">
        <v>2</v>
      </c>
      <c r="D91" s="8">
        <f>VLOOKUP($E91,获取途径!$B:$E,4,0)</f>
        <v>1</v>
      </c>
      <c r="E91" s="24">
        <v>29</v>
      </c>
      <c r="F91" s="24">
        <v>10</v>
      </c>
      <c r="G91" s="8" t="s">
        <v>64</v>
      </c>
      <c r="H91" s="8">
        <v>10000087</v>
      </c>
      <c r="I91" s="8">
        <f>VLOOKUP($E91,获取途径!$B:$D,3,0)</f>
        <v>53</v>
      </c>
      <c r="J91" s="32" t="s">
        <v>94</v>
      </c>
      <c r="K91" s="7" t="str">
        <f t="shared" si="4"/>
        <v>417,418,419</v>
      </c>
      <c r="N91" s="10"/>
      <c r="O91" s="10"/>
      <c r="P91" s="10"/>
      <c r="Q91" s="10"/>
      <c r="U91" s="1" t="e">
        <f>INT(MID($B91,MIN(FIND({0,1,2,3,4,5,6,7,8,9},$B91&amp;"0123456789")),LEN($B91)*2-LENB($B91)))</f>
        <v>#VALUE!</v>
      </c>
      <c r="V91" s="1" t="str">
        <f t="shared" si="5"/>
        <v>累计击杀梦魇怪物 [00821c]10[-] 个</v>
      </c>
    </row>
    <row r="92" spans="1:22">
      <c r="A92" s="27">
        <v>420</v>
      </c>
      <c r="B92" s="24" t="s">
        <v>273</v>
      </c>
      <c r="C92" s="22">
        <v>2</v>
      </c>
      <c r="D92" s="8">
        <f>VLOOKUP($E92,获取途径!$B:$E,4,0)</f>
        <v>1</v>
      </c>
      <c r="E92" s="24">
        <v>29</v>
      </c>
      <c r="F92" s="24">
        <v>15</v>
      </c>
      <c r="G92" s="8" t="s">
        <v>64</v>
      </c>
      <c r="H92" s="8">
        <v>10000088</v>
      </c>
      <c r="I92" s="8">
        <f>VLOOKUP($E92,获取途径!$B:$D,3,0)</f>
        <v>53</v>
      </c>
      <c r="J92" s="32" t="s">
        <v>94</v>
      </c>
      <c r="K92" s="7" t="str">
        <f t="shared" si="4"/>
        <v>417,418,419,420</v>
      </c>
      <c r="N92" s="10"/>
      <c r="O92" s="10"/>
      <c r="P92" s="10"/>
      <c r="Q92" s="10"/>
      <c r="U92" s="1" t="e">
        <f>INT(MID($B92,MIN(FIND({0,1,2,3,4,5,6,7,8,9},$B92&amp;"0123456789")),LEN($B92)*2-LENB($B92)))</f>
        <v>#VALUE!</v>
      </c>
      <c r="V92" s="1" t="str">
        <f t="shared" si="5"/>
        <v>累计击杀梦魇怪物 [00821c]15[-] 个</v>
      </c>
    </row>
    <row r="93" spans="1:22">
      <c r="A93" s="27">
        <v>421</v>
      </c>
      <c r="B93" s="24" t="s">
        <v>274</v>
      </c>
      <c r="C93" s="22">
        <v>2</v>
      </c>
      <c r="D93" s="8">
        <f>VLOOKUP($E93,获取途径!$B:$E,4,0)</f>
        <v>1</v>
      </c>
      <c r="E93" s="24">
        <v>29</v>
      </c>
      <c r="F93" s="24">
        <v>20</v>
      </c>
      <c r="G93" s="8" t="s">
        <v>64</v>
      </c>
      <c r="H93" s="8">
        <v>10000089</v>
      </c>
      <c r="I93" s="8">
        <f>VLOOKUP($E93,获取途径!$B:$D,3,0)</f>
        <v>53</v>
      </c>
      <c r="J93" s="32" t="s">
        <v>94</v>
      </c>
      <c r="K93" s="7" t="str">
        <f t="shared" si="4"/>
        <v>417,418,419,420,421</v>
      </c>
      <c r="N93" s="10"/>
      <c r="O93" s="10"/>
      <c r="P93" s="10"/>
      <c r="Q93" s="10"/>
      <c r="U93" s="1" t="e">
        <f>INT(MID($B93,MIN(FIND({0,1,2,3,4,5,6,7,8,9},$B93&amp;"0123456789")),LEN($B93)*2-LENB($B93)))</f>
        <v>#VALUE!</v>
      </c>
      <c r="V93" s="1" t="str">
        <f t="shared" si="5"/>
        <v>累计击杀梦魇怪物 [00821c]20[-] 个</v>
      </c>
    </row>
    <row r="94" spans="1:22">
      <c r="A94" s="27">
        <v>422</v>
      </c>
      <c r="B94" s="24" t="s">
        <v>275</v>
      </c>
      <c r="C94" s="22">
        <v>2</v>
      </c>
      <c r="D94" s="8">
        <f>VLOOKUP($E94,获取途径!$B:$E,4,0)</f>
        <v>1</v>
      </c>
      <c r="E94" s="24">
        <v>29</v>
      </c>
      <c r="F94" s="24">
        <v>30</v>
      </c>
      <c r="G94" s="8" t="s">
        <v>64</v>
      </c>
      <c r="H94" s="8">
        <v>10000090</v>
      </c>
      <c r="I94" s="8">
        <f>VLOOKUP($E94,获取途径!$B:$D,3,0)</f>
        <v>53</v>
      </c>
      <c r="J94" s="32" t="s">
        <v>94</v>
      </c>
      <c r="K94" s="7" t="str">
        <f t="shared" si="4"/>
        <v>417,418,419,420,421,422</v>
      </c>
      <c r="N94" s="10"/>
      <c r="O94" s="10"/>
      <c r="P94" s="10"/>
      <c r="Q94" s="10"/>
      <c r="U94" s="1" t="e">
        <f>INT(MID($B94,MIN(FIND({0,1,2,3,4,5,6,7,8,9},$B94&amp;"0123456789")),LEN($B94)*2-LENB($B94)))</f>
        <v>#VALUE!</v>
      </c>
      <c r="V94" s="1" t="str">
        <f t="shared" si="5"/>
        <v>累计击杀梦魇怪物 [00821c]30[-] 个</v>
      </c>
    </row>
    <row r="95" spans="1:22">
      <c r="A95" s="27">
        <v>423</v>
      </c>
      <c r="B95" s="24" t="s">
        <v>276</v>
      </c>
      <c r="C95" s="22">
        <v>2</v>
      </c>
      <c r="D95" s="8">
        <f>VLOOKUP($E95,获取途径!$B:$E,4,0)</f>
        <v>1</v>
      </c>
      <c r="E95" s="24">
        <v>29</v>
      </c>
      <c r="F95" s="24">
        <v>40</v>
      </c>
      <c r="G95" s="8" t="s">
        <v>64</v>
      </c>
      <c r="H95" s="8">
        <v>10000091</v>
      </c>
      <c r="I95" s="8">
        <f>VLOOKUP($E95,获取途径!$B:$D,3,0)</f>
        <v>53</v>
      </c>
      <c r="J95" s="32" t="s">
        <v>94</v>
      </c>
      <c r="K95" s="7" t="str">
        <f t="shared" si="4"/>
        <v>417,418,419,420,421,422,423</v>
      </c>
      <c r="N95" s="10"/>
      <c r="O95" s="10"/>
      <c r="P95" s="10"/>
      <c r="Q95" s="10"/>
      <c r="U95" s="1" t="e">
        <f>INT(MID($B95,MIN(FIND({0,1,2,3,4,5,6,7,8,9},$B95&amp;"0123456789")),LEN($B95)*2-LENB($B95)))</f>
        <v>#VALUE!</v>
      </c>
      <c r="V95" s="1" t="str">
        <f t="shared" si="5"/>
        <v>累计击杀梦魇怪物 [00821c]40[-] 个</v>
      </c>
    </row>
    <row r="96" spans="1:22">
      <c r="A96" s="27">
        <v>424</v>
      </c>
      <c r="B96" s="24" t="s">
        <v>277</v>
      </c>
      <c r="C96" s="22">
        <v>2</v>
      </c>
      <c r="D96" s="8">
        <f>VLOOKUP($E96,获取途径!$B:$E,4,0)</f>
        <v>1</v>
      </c>
      <c r="E96" s="24">
        <v>28</v>
      </c>
      <c r="F96" s="27">
        <v>40000000</v>
      </c>
      <c r="G96" s="8" t="s">
        <v>64</v>
      </c>
      <c r="H96" s="8">
        <v>10000092</v>
      </c>
      <c r="I96" s="8">
        <f>VLOOKUP($E96,获取途径!$B:$D,3,0)</f>
        <v>53</v>
      </c>
      <c r="J96" s="32" t="s">
        <v>94</v>
      </c>
      <c r="K96" s="7" t="str">
        <f t="shared" si="4"/>
        <v>417,418,419,420,421,422,423,424</v>
      </c>
      <c r="N96" s="10"/>
      <c r="O96" s="10"/>
      <c r="P96" s="10"/>
      <c r="Q96" s="10"/>
      <c r="U96" s="1" t="e">
        <f>INT(MID($B96,MIN(FIND({0,1,2,3,4,5,6,7,8,9},$B96&amp;"0123456789")),LEN($B96)*2-LENB($B96)))</f>
        <v>#VALUE!</v>
      </c>
      <c r="V96" s="1" t="str">
        <f t="shared" si="5"/>
        <v xml:space="preserve">梦魇入侵累计伤害达到 [00821c]40000000[-] </v>
      </c>
    </row>
    <row r="97" spans="1:22">
      <c r="A97" s="27">
        <v>425</v>
      </c>
      <c r="B97" s="24" t="s">
        <v>278</v>
      </c>
      <c r="C97" s="22">
        <v>2</v>
      </c>
      <c r="D97" s="8">
        <f>VLOOKUP($E97,获取途径!$B:$E,4,0)</f>
        <v>1</v>
      </c>
      <c r="E97" s="24">
        <v>28</v>
      </c>
      <c r="F97" s="27">
        <v>80000000</v>
      </c>
      <c r="G97" s="8" t="s">
        <v>64</v>
      </c>
      <c r="H97" s="8">
        <v>10000093</v>
      </c>
      <c r="I97" s="8">
        <f>VLOOKUP($E97,获取途径!$B:$D,3,0)</f>
        <v>53</v>
      </c>
      <c r="J97" s="32" t="s">
        <v>94</v>
      </c>
      <c r="K97" s="7" t="str">
        <f t="shared" si="4"/>
        <v>417,418,419,420,421,422,423,424,425</v>
      </c>
      <c r="N97" s="10"/>
      <c r="O97" s="10"/>
      <c r="P97" s="10"/>
      <c r="Q97" s="10"/>
      <c r="U97" s="1" t="e">
        <f>INT(MID($B97,MIN(FIND({0,1,2,3,4,5,6,7,8,9},$B97&amp;"0123456789")),LEN($B97)*2-LENB($B97)))</f>
        <v>#VALUE!</v>
      </c>
      <c r="V97" s="1" t="str">
        <f t="shared" si="5"/>
        <v xml:space="preserve">梦魇入侵累计伤害达到 [00821c]80000000[-] </v>
      </c>
    </row>
    <row r="98" spans="1:22">
      <c r="A98" s="27">
        <v>426</v>
      </c>
      <c r="B98" s="24" t="s">
        <v>279</v>
      </c>
      <c r="C98" s="22">
        <v>2</v>
      </c>
      <c r="D98" s="8">
        <f>VLOOKUP($E98,获取途径!$B:$E,4,0)</f>
        <v>1</v>
      </c>
      <c r="E98" s="24">
        <v>28</v>
      </c>
      <c r="F98" s="27">
        <v>120000000</v>
      </c>
      <c r="G98" s="8" t="s">
        <v>64</v>
      </c>
      <c r="H98" s="8">
        <v>10000094</v>
      </c>
      <c r="I98" s="8">
        <f>VLOOKUP($E98,获取途径!$B:$D,3,0)</f>
        <v>53</v>
      </c>
      <c r="J98" s="32" t="s">
        <v>94</v>
      </c>
      <c r="K98" s="7" t="str">
        <f t="shared" si="4"/>
        <v>417,418,419,420,421,422,423,424,425,426</v>
      </c>
      <c r="N98" s="10"/>
      <c r="O98" s="10"/>
      <c r="P98" s="10"/>
      <c r="Q98" s="10"/>
      <c r="U98" s="1" t="e">
        <f>INT(MID($B98,MIN(FIND({0,1,2,3,4,5,6,7,8,9},$B98&amp;"0123456789")),LEN($B98)*2-LENB($B98)))</f>
        <v>#VALUE!</v>
      </c>
      <c r="V98" s="1" t="str">
        <f t="shared" si="5"/>
        <v xml:space="preserve">梦魇入侵累计伤害达到 [00821c]120000000[-] </v>
      </c>
    </row>
    <row r="99" spans="1:22">
      <c r="A99" s="27">
        <v>427</v>
      </c>
      <c r="B99" s="24" t="s">
        <v>280</v>
      </c>
      <c r="C99" s="22">
        <v>2</v>
      </c>
      <c r="D99" s="8">
        <f>VLOOKUP($E99,获取途径!$B:$E,4,0)</f>
        <v>1</v>
      </c>
      <c r="E99" s="24">
        <v>28</v>
      </c>
      <c r="F99" s="27">
        <v>160000000</v>
      </c>
      <c r="G99" s="8" t="s">
        <v>64</v>
      </c>
      <c r="H99" s="8">
        <v>10000095</v>
      </c>
      <c r="I99" s="8">
        <f>VLOOKUP($E99,获取途径!$B:$D,3,0)</f>
        <v>53</v>
      </c>
      <c r="J99" s="32" t="s">
        <v>94</v>
      </c>
      <c r="K99" s="7" t="str">
        <f t="shared" si="4"/>
        <v>417,418,419,420,421,422,423,424,425,426,427</v>
      </c>
      <c r="N99" s="10"/>
      <c r="O99" s="10"/>
      <c r="P99" s="10"/>
      <c r="Q99" s="10"/>
      <c r="U99" s="1" t="e">
        <f>INT(MID($B99,MIN(FIND({0,1,2,3,4,5,6,7,8,9},$B99&amp;"0123456789")),LEN($B99)*2-LENB($B99)))</f>
        <v>#VALUE!</v>
      </c>
      <c r="V99" s="1" t="str">
        <f t="shared" si="5"/>
        <v xml:space="preserve">梦魇入侵累计伤害达到 [00821c]160000000[-] </v>
      </c>
    </row>
    <row r="100" spans="1:22">
      <c r="A100" s="27">
        <v>501</v>
      </c>
      <c r="B100" s="24" t="s">
        <v>281</v>
      </c>
      <c r="C100" s="22">
        <v>2</v>
      </c>
      <c r="D100" s="8">
        <f>VLOOKUP($E100,获取途径!$B:$E,4,0)</f>
        <v>1</v>
      </c>
      <c r="E100" s="8">
        <v>25</v>
      </c>
      <c r="F100" s="24">
        <v>1200</v>
      </c>
      <c r="G100" s="8" t="s">
        <v>64</v>
      </c>
      <c r="H100" s="8">
        <v>10000096</v>
      </c>
      <c r="I100" s="8">
        <f>VLOOKUP($E100,获取途径!$B:$D,3,0)</f>
        <v>34</v>
      </c>
      <c r="J100" s="32" t="s">
        <v>86</v>
      </c>
      <c r="K100" s="7">
        <f t="shared" ref="K100:K131" si="6">IF(J100=J99,$K99&amp;","&amp;A100,$A100)</f>
        <v>501</v>
      </c>
      <c r="N100" s="10"/>
      <c r="O100" s="10"/>
      <c r="P100" s="10"/>
      <c r="Q100" s="10"/>
      <c r="U100" s="1" t="e">
        <f>INT(MID($B100,MIN(FIND({0,1,2,3,4,5,6,7,8,9},$B100&amp;"0123456789")),LEN($B100)*2-LENB($B100)))</f>
        <v>#VALUE!</v>
      </c>
      <c r="V100" s="1" t="str">
        <f t="shared" ref="V100:V131" si="7">IF(ISERROR($U100),$B100,LEFT($B100,FIND($U100,$B100)-1)&amp;"[FF7400]"&amp;U100&amp;"[-]"&amp;IFERROR(RIGHT($B100,LEN($B100)-FIND($U100,$B100)-LEN($U100)+1),""))</f>
        <v>累计充值 [00821c]1200[-] 元</v>
      </c>
    </row>
    <row r="101" spans="1:22">
      <c r="A101" s="27">
        <v>502</v>
      </c>
      <c r="B101" s="24" t="s">
        <v>282</v>
      </c>
      <c r="C101" s="22">
        <v>2</v>
      </c>
      <c r="D101" s="8">
        <f>VLOOKUP($E101,获取途径!$B:$E,4,0)</f>
        <v>1</v>
      </c>
      <c r="E101" s="24">
        <v>25</v>
      </c>
      <c r="F101" s="24">
        <v>1500</v>
      </c>
      <c r="G101" s="8" t="s">
        <v>64</v>
      </c>
      <c r="H101" s="8">
        <v>10000097</v>
      </c>
      <c r="I101" s="8">
        <f>VLOOKUP($E101,获取途径!$B:$D,3,0)</f>
        <v>34</v>
      </c>
      <c r="J101" s="32" t="s">
        <v>86</v>
      </c>
      <c r="K101" s="7" t="str">
        <f t="shared" si="6"/>
        <v>501,502</v>
      </c>
      <c r="N101" s="10"/>
      <c r="O101" s="10"/>
      <c r="P101" s="10"/>
      <c r="Q101" s="10"/>
      <c r="U101" s="1" t="e">
        <f>INT(MID($B101,MIN(FIND({0,1,2,3,4,5,6,7,8,9},$B101&amp;"0123456789")),LEN($B101)*2-LENB($B101)))</f>
        <v>#VALUE!</v>
      </c>
      <c r="V101" s="1" t="str">
        <f t="shared" si="7"/>
        <v>累计充值 [00821c]1500[-] 元</v>
      </c>
    </row>
    <row r="102" spans="1:22">
      <c r="A102" s="27">
        <v>503</v>
      </c>
      <c r="B102" s="24" t="s">
        <v>0</v>
      </c>
      <c r="C102" s="22">
        <v>2</v>
      </c>
      <c r="D102" s="8">
        <f>VLOOKUP($E102,获取途径!$B:$E,4,0)</f>
        <v>1</v>
      </c>
      <c r="E102" s="24">
        <v>22</v>
      </c>
      <c r="F102" s="24">
        <v>1</v>
      </c>
      <c r="G102" s="8" t="s">
        <v>64</v>
      </c>
      <c r="H102" s="8">
        <v>10000098</v>
      </c>
      <c r="I102" s="8" t="str">
        <f>VLOOKUP($E102,获取途径!$B:$D,3,0)</f>
        <v>[]</v>
      </c>
      <c r="J102" s="32" t="s">
        <v>86</v>
      </c>
      <c r="K102" s="7" t="str">
        <f t="shared" si="6"/>
        <v>501,502,503</v>
      </c>
      <c r="N102" s="10"/>
      <c r="O102" s="10"/>
      <c r="P102" s="10"/>
      <c r="Q102" s="10"/>
      <c r="U102" s="1" t="e">
        <f>INT(MID($B102,MIN(FIND({0,1,2,3,4,5,6,7,8,9},$B102&amp;"0123456789")),LEN($B102)*2-LENB($B102)))</f>
        <v>#VALUE!</v>
      </c>
      <c r="V102" s="1" t="str">
        <f t="shared" si="7"/>
        <v>今日登陆赠送</v>
      </c>
    </row>
    <row r="103" spans="1:22">
      <c r="A103" s="27">
        <v>504</v>
      </c>
      <c r="B103" s="24" t="s">
        <v>283</v>
      </c>
      <c r="C103" s="22">
        <v>2</v>
      </c>
      <c r="D103" s="8">
        <f>VLOOKUP($E103,获取途径!$B:$E,4,0)</f>
        <v>1</v>
      </c>
      <c r="E103" s="24">
        <v>14</v>
      </c>
      <c r="F103" s="24">
        <v>46</v>
      </c>
      <c r="G103" s="8" t="s">
        <v>64</v>
      </c>
      <c r="H103" s="8">
        <v>10000099</v>
      </c>
      <c r="I103" s="8">
        <f>VLOOKUP($E103,获取途径!$B:$D,3,0)</f>
        <v>46</v>
      </c>
      <c r="J103" s="32" t="s">
        <v>86</v>
      </c>
      <c r="K103" s="7" t="str">
        <f t="shared" si="6"/>
        <v>501,502,503,504</v>
      </c>
      <c r="N103" s="10"/>
      <c r="O103" s="10"/>
      <c r="P103" s="10"/>
      <c r="Q103" s="10"/>
      <c r="U103" s="1" t="e">
        <f>INT(MID($B103,MIN(FIND({0,1,2,3,4,5,6,7,8,9},$B103&amp;"0123456789")),LEN($B103)*2-LENB($B103)))</f>
        <v>#VALUE!</v>
      </c>
      <c r="V103" s="1" t="str">
        <f t="shared" si="7"/>
        <v>等级到达 [00821c]46[-] 级</v>
      </c>
    </row>
    <row r="104" spans="1:22">
      <c r="A104" s="27">
        <v>505</v>
      </c>
      <c r="B104" s="24" t="s">
        <v>284</v>
      </c>
      <c r="C104" s="22">
        <v>2</v>
      </c>
      <c r="D104" s="8">
        <f>VLOOKUP($E104,获取途径!$B:$E,4,0)</f>
        <v>1</v>
      </c>
      <c r="E104" s="24">
        <v>18</v>
      </c>
      <c r="F104" s="24">
        <v>1000000</v>
      </c>
      <c r="G104" s="8" t="s">
        <v>64</v>
      </c>
      <c r="H104" s="8">
        <v>10000100</v>
      </c>
      <c r="I104" s="8">
        <f>VLOOKUP($E104,获取途径!$B:$D,3,0)</f>
        <v>41</v>
      </c>
      <c r="J104" s="32" t="s">
        <v>86</v>
      </c>
      <c r="K104" s="7" t="str">
        <f t="shared" si="6"/>
        <v>501,502,503,504,505</v>
      </c>
      <c r="N104" s="10"/>
      <c r="O104" s="10"/>
      <c r="P104" s="10"/>
      <c r="Q104" s="10"/>
      <c r="U104" s="1" t="e">
        <f>INT(MID($B104,MIN(FIND({0,1,2,3,4,5,6,7,8,9},$B104&amp;"0123456789")),LEN($B104)*2-LENB($B104)))</f>
        <v>#VALUE!</v>
      </c>
      <c r="V104" s="1" t="str">
        <f t="shared" si="7"/>
        <v>战斗力到达 [00821c]100[-] 万</v>
      </c>
    </row>
    <row r="105" spans="1:22">
      <c r="A105" s="27">
        <v>506</v>
      </c>
      <c r="B105" s="24" t="s">
        <v>285</v>
      </c>
      <c r="C105" s="22">
        <v>2</v>
      </c>
      <c r="D105" s="8">
        <v>0</v>
      </c>
      <c r="E105" s="24">
        <v>56</v>
      </c>
      <c r="F105" s="24">
        <v>70301</v>
      </c>
      <c r="G105" s="8" t="s">
        <v>64</v>
      </c>
      <c r="H105" s="8">
        <v>10000101</v>
      </c>
      <c r="I105" s="8">
        <f>VLOOKUP($E105,获取途径!$B:$D,3,0)</f>
        <v>36</v>
      </c>
      <c r="J105" s="32" t="s">
        <v>117</v>
      </c>
      <c r="K105" s="7">
        <f t="shared" si="6"/>
        <v>506</v>
      </c>
      <c r="N105" s="10"/>
      <c r="O105" s="10"/>
      <c r="P105" s="10"/>
      <c r="Q105" s="10"/>
      <c r="U105" s="1" t="e">
        <f>INT(MID($B105,MIN(FIND({0,1,2,3,4,5,6,7,8,9},$B105&amp;"0123456789")),LEN($B105)*2-LENB($B105)))</f>
        <v>#VALUE!</v>
      </c>
      <c r="V105" s="1" t="str">
        <f t="shared" si="7"/>
        <v xml:space="preserve">大闹三界通关 [00821c]地狱道简单难度[-] </v>
      </c>
    </row>
    <row r="106" spans="1:22">
      <c r="A106" s="27">
        <v>507</v>
      </c>
      <c r="B106" s="24" t="s">
        <v>286</v>
      </c>
      <c r="C106" s="22">
        <v>2</v>
      </c>
      <c r="D106" s="8">
        <v>0</v>
      </c>
      <c r="E106" s="24">
        <v>56</v>
      </c>
      <c r="F106" s="24">
        <v>70302</v>
      </c>
      <c r="G106" s="8" t="s">
        <v>64</v>
      </c>
      <c r="H106" s="8">
        <v>10000102</v>
      </c>
      <c r="I106" s="8">
        <f>VLOOKUP($E106,获取途径!$B:$D,3,0)</f>
        <v>36</v>
      </c>
      <c r="J106" s="32" t="s">
        <v>95</v>
      </c>
      <c r="K106" s="7" t="str">
        <f t="shared" si="6"/>
        <v>506,507</v>
      </c>
      <c r="N106" s="10"/>
      <c r="O106" s="10"/>
      <c r="P106" s="10"/>
      <c r="Q106" s="10"/>
      <c r="U106" s="1" t="e">
        <f>INT(MID($B106,MIN(FIND({0,1,2,3,4,5,6,7,8,9},$B106&amp;"0123456789")),LEN($B106)*2-LENB($B106)))</f>
        <v>#VALUE!</v>
      </c>
      <c r="V106" s="1" t="str">
        <f t="shared" si="7"/>
        <v xml:space="preserve">大闹三界通关 [00821c]地狱道困难难度[-] </v>
      </c>
    </row>
    <row r="107" spans="1:22">
      <c r="A107" s="27">
        <v>508</v>
      </c>
      <c r="B107" s="24" t="s">
        <v>287</v>
      </c>
      <c r="C107" s="22">
        <v>2</v>
      </c>
      <c r="D107" s="8">
        <f>VLOOKUP($E107,获取途径!$B:$E,4,0)</f>
        <v>1</v>
      </c>
      <c r="E107" s="24">
        <v>37</v>
      </c>
      <c r="F107" s="24">
        <v>10</v>
      </c>
      <c r="G107" s="8" t="s">
        <v>64</v>
      </c>
      <c r="H107" s="8">
        <v>10000103</v>
      </c>
      <c r="I107" s="8">
        <f>VLOOKUP($E107,获取途径!$B:$D,3,0)</f>
        <v>52</v>
      </c>
      <c r="J107" s="32" t="s">
        <v>95</v>
      </c>
      <c r="K107" s="7" t="str">
        <f t="shared" si="6"/>
        <v>506,507,508</v>
      </c>
      <c r="N107" s="11"/>
      <c r="O107" s="11"/>
      <c r="P107" s="11"/>
      <c r="Q107" s="11"/>
      <c r="U107" s="1" t="e">
        <f>INT(MID($B107,MIN(FIND({0,1,2,3,4,5,6,7,8,9},$B107&amp;"0123456789")),LEN($B107)*2-LENB($B107)))</f>
        <v>#VALUE!</v>
      </c>
      <c r="V107" s="1" t="str">
        <f t="shared" si="7"/>
        <v>伙伴洗炼 [00821c]10[-] 次</v>
      </c>
    </row>
    <row r="108" spans="1:22">
      <c r="A108" s="27">
        <v>509</v>
      </c>
      <c r="B108" s="24" t="s">
        <v>288</v>
      </c>
      <c r="C108" s="22">
        <v>2</v>
      </c>
      <c r="D108" s="8">
        <f>VLOOKUP($E108,获取途径!$B:$E,4,0)</f>
        <v>1</v>
      </c>
      <c r="E108" s="24">
        <v>37</v>
      </c>
      <c r="F108" s="24">
        <v>30</v>
      </c>
      <c r="G108" s="8" t="s">
        <v>64</v>
      </c>
      <c r="H108" s="8">
        <v>10000104</v>
      </c>
      <c r="I108" s="8">
        <f>VLOOKUP($E108,获取途径!$B:$D,3,0)</f>
        <v>52</v>
      </c>
      <c r="J108" s="32" t="s">
        <v>95</v>
      </c>
      <c r="K108" s="7" t="str">
        <f t="shared" si="6"/>
        <v>506,507,508,509</v>
      </c>
      <c r="N108" s="11"/>
      <c r="O108" s="11"/>
      <c r="P108" s="11"/>
      <c r="Q108" s="11"/>
      <c r="U108" s="1" t="e">
        <f>INT(MID($B108,MIN(FIND({0,1,2,3,4,5,6,7,8,9},$B108&amp;"0123456789")),LEN($B108)*2-LENB($B108)))</f>
        <v>#VALUE!</v>
      </c>
      <c r="V108" s="1" t="str">
        <f t="shared" si="7"/>
        <v>伙伴洗炼 [00821c]30[-] 次</v>
      </c>
    </row>
    <row r="109" spans="1:22">
      <c r="A109" s="27">
        <v>510</v>
      </c>
      <c r="B109" s="24" t="s">
        <v>289</v>
      </c>
      <c r="C109" s="22">
        <v>2</v>
      </c>
      <c r="D109" s="8">
        <f>VLOOKUP($E109,获取途径!$B:$E,4,0)</f>
        <v>1</v>
      </c>
      <c r="E109" s="24">
        <v>37</v>
      </c>
      <c r="F109" s="24">
        <v>50</v>
      </c>
      <c r="G109" s="8" t="s">
        <v>64</v>
      </c>
      <c r="H109" s="8">
        <v>10000105</v>
      </c>
      <c r="I109" s="8">
        <f>VLOOKUP($E109,获取途径!$B:$D,3,0)</f>
        <v>52</v>
      </c>
      <c r="J109" s="32" t="s">
        <v>95</v>
      </c>
      <c r="K109" s="7" t="str">
        <f t="shared" si="6"/>
        <v>506,507,508,509,510</v>
      </c>
      <c r="N109" s="11"/>
      <c r="O109" s="11"/>
      <c r="P109" s="11"/>
      <c r="Q109" s="11"/>
      <c r="U109" s="1" t="e">
        <f>INT(MID($B109,MIN(FIND({0,1,2,3,4,5,6,7,8,9},$B109&amp;"0123456789")),LEN($B109)*2-LENB($B109)))</f>
        <v>#VALUE!</v>
      </c>
      <c r="V109" s="1" t="str">
        <f t="shared" si="7"/>
        <v>伙伴洗炼 [00821c]50[-] 次</v>
      </c>
    </row>
    <row r="110" spans="1:22">
      <c r="A110" s="27">
        <v>511</v>
      </c>
      <c r="B110" s="24" t="s">
        <v>290</v>
      </c>
      <c r="C110" s="22">
        <v>2</v>
      </c>
      <c r="D110" s="8">
        <f>VLOOKUP($E110,获取途径!$B:$E,4,0)</f>
        <v>1</v>
      </c>
      <c r="E110" s="24">
        <v>41</v>
      </c>
      <c r="F110" s="24">
        <v>10</v>
      </c>
      <c r="G110" s="8" t="s">
        <v>64</v>
      </c>
      <c r="H110" s="8">
        <v>10000106</v>
      </c>
      <c r="I110" s="8">
        <f>VLOOKUP($E110,获取途径!$B:$D,3,0)</f>
        <v>14</v>
      </c>
      <c r="J110" s="32" t="s">
        <v>96</v>
      </c>
      <c r="K110" s="7">
        <f t="shared" si="6"/>
        <v>511</v>
      </c>
      <c r="N110" s="11"/>
      <c r="O110" s="11"/>
      <c r="P110" s="11"/>
      <c r="Q110" s="11"/>
      <c r="U110" s="1" t="e">
        <f>INT(MID($B110,MIN(FIND({0,1,2,3,4,5,6,7,8,9},$B110&amp;"0123456789")),LEN($B110)*2-LENB($B110)))</f>
        <v>#VALUE!</v>
      </c>
      <c r="V110" s="1" t="str">
        <f t="shared" si="7"/>
        <v>伙伴商铺刷新 [00821c]10[-] 次</v>
      </c>
    </row>
    <row r="111" spans="1:22">
      <c r="A111" s="27">
        <v>512</v>
      </c>
      <c r="B111" s="24" t="s">
        <v>291</v>
      </c>
      <c r="C111" s="22">
        <v>2</v>
      </c>
      <c r="D111" s="8">
        <f>VLOOKUP($E111,获取途径!$B:$E,4,0)</f>
        <v>1</v>
      </c>
      <c r="E111" s="24">
        <v>41</v>
      </c>
      <c r="F111" s="24">
        <v>20</v>
      </c>
      <c r="G111" s="8" t="s">
        <v>64</v>
      </c>
      <c r="H111" s="8">
        <v>10000107</v>
      </c>
      <c r="I111" s="8">
        <f>VLOOKUP($E111,获取途径!$B:$D,3,0)</f>
        <v>14</v>
      </c>
      <c r="J111" s="32" t="s">
        <v>96</v>
      </c>
      <c r="K111" s="7" t="str">
        <f t="shared" si="6"/>
        <v>511,512</v>
      </c>
      <c r="N111" s="11"/>
      <c r="O111" s="11"/>
      <c r="P111" s="11"/>
      <c r="Q111" s="11"/>
      <c r="U111" s="1" t="e">
        <f>INT(MID($B111,MIN(FIND({0,1,2,3,4,5,6,7,8,9},$B111&amp;"0123456789")),LEN($B111)*2-LENB($B111)))</f>
        <v>#VALUE!</v>
      </c>
      <c r="V111" s="1" t="str">
        <f t="shared" si="7"/>
        <v>伙伴商铺刷新 [00821c]20[-] 次</v>
      </c>
    </row>
    <row r="112" spans="1:22">
      <c r="A112" s="27">
        <v>513</v>
      </c>
      <c r="B112" s="24" t="s">
        <v>292</v>
      </c>
      <c r="C112" s="22">
        <v>2</v>
      </c>
      <c r="D112" s="8">
        <f>VLOOKUP($E112,获取途径!$B:$E,4,0)</f>
        <v>1</v>
      </c>
      <c r="E112" s="24">
        <v>41</v>
      </c>
      <c r="F112" s="24">
        <v>30</v>
      </c>
      <c r="G112" s="8" t="s">
        <v>64</v>
      </c>
      <c r="H112" s="8">
        <v>10000108</v>
      </c>
      <c r="I112" s="8">
        <f>VLOOKUP($E112,获取途径!$B:$D,3,0)</f>
        <v>14</v>
      </c>
      <c r="J112" s="32" t="s">
        <v>96</v>
      </c>
      <c r="K112" s="7" t="str">
        <f t="shared" si="6"/>
        <v>511,512,513</v>
      </c>
      <c r="N112" s="11"/>
      <c r="O112" s="11"/>
      <c r="P112" s="11"/>
      <c r="Q112" s="11"/>
      <c r="U112" s="1" t="e">
        <f>INT(MID($B112,MIN(FIND({0,1,2,3,4,5,6,7,8,9},$B112&amp;"0123456789")),LEN($B112)*2-LENB($B112)))</f>
        <v>#VALUE!</v>
      </c>
      <c r="V112" s="1" t="str">
        <f t="shared" si="7"/>
        <v>伙伴商铺刷新 [00821c]30[-] 次</v>
      </c>
    </row>
    <row r="113" spans="1:22">
      <c r="A113" s="27">
        <v>514</v>
      </c>
      <c r="B113" s="24" t="s">
        <v>293</v>
      </c>
      <c r="C113" s="22">
        <v>2</v>
      </c>
      <c r="D113" s="8">
        <f>VLOOKUP($E113,获取途径!$B:$E,4,0)</f>
        <v>1</v>
      </c>
      <c r="E113" s="24">
        <v>41</v>
      </c>
      <c r="F113" s="24">
        <v>40</v>
      </c>
      <c r="G113" s="8" t="s">
        <v>64</v>
      </c>
      <c r="H113" s="8">
        <v>10000109</v>
      </c>
      <c r="I113" s="8">
        <f>VLOOKUP($E113,获取途径!$B:$D,3,0)</f>
        <v>14</v>
      </c>
      <c r="J113" s="32" t="s">
        <v>96</v>
      </c>
      <c r="K113" s="7" t="str">
        <f t="shared" si="6"/>
        <v>511,512,513,514</v>
      </c>
      <c r="N113" s="11"/>
      <c r="O113" s="11"/>
      <c r="P113" s="11"/>
      <c r="Q113" s="11"/>
      <c r="U113" s="1" t="e">
        <f>INT(MID($B113,MIN(FIND({0,1,2,3,4,5,6,7,8,9},$B113&amp;"0123456789")),LEN($B113)*2-LENB($B113)))</f>
        <v>#VALUE!</v>
      </c>
      <c r="V113" s="1" t="str">
        <f t="shared" si="7"/>
        <v>伙伴商铺刷新 [00821c]40[-] 次</v>
      </c>
    </row>
    <row r="114" spans="1:22">
      <c r="A114" s="27">
        <v>515</v>
      </c>
      <c r="B114" s="24" t="s">
        <v>294</v>
      </c>
      <c r="C114" s="22">
        <v>2</v>
      </c>
      <c r="D114" s="8">
        <f>VLOOKUP($E114,获取途径!$B:$E,4,0)</f>
        <v>1</v>
      </c>
      <c r="E114" s="24">
        <v>41</v>
      </c>
      <c r="F114" s="24">
        <v>50</v>
      </c>
      <c r="G114" s="8" t="s">
        <v>64</v>
      </c>
      <c r="H114" s="8">
        <v>10000110</v>
      </c>
      <c r="I114" s="8">
        <f>VLOOKUP($E114,获取途径!$B:$D,3,0)</f>
        <v>14</v>
      </c>
      <c r="J114" s="32" t="s">
        <v>96</v>
      </c>
      <c r="K114" s="7" t="str">
        <f t="shared" si="6"/>
        <v>511,512,513,514,515</v>
      </c>
      <c r="N114" s="11"/>
      <c r="O114" s="11"/>
      <c r="P114" s="11"/>
      <c r="Q114" s="11"/>
      <c r="U114" s="1" t="e">
        <f>INT(MID($B114,MIN(FIND({0,1,2,3,4,5,6,7,8,9},$B114&amp;"0123456789")),LEN($B114)*2-LENB($B114)))</f>
        <v>#VALUE!</v>
      </c>
      <c r="V114" s="1" t="str">
        <f t="shared" si="7"/>
        <v>伙伴商铺刷新 [00821c]50[-] 次</v>
      </c>
    </row>
    <row r="115" spans="1:22">
      <c r="A115" s="27">
        <v>516</v>
      </c>
      <c r="B115" s="24" t="s">
        <v>295</v>
      </c>
      <c r="C115" s="22">
        <v>2</v>
      </c>
      <c r="D115" s="8">
        <f>VLOOKUP($E115,获取途径!$B:$E,4,0)</f>
        <v>1</v>
      </c>
      <c r="E115" s="24">
        <v>41</v>
      </c>
      <c r="F115" s="24">
        <v>80</v>
      </c>
      <c r="G115" s="8" t="s">
        <v>64</v>
      </c>
      <c r="H115" s="8">
        <v>10000111</v>
      </c>
      <c r="I115" s="8">
        <f>VLOOKUP($E115,获取途径!$B:$D,3,0)</f>
        <v>14</v>
      </c>
      <c r="J115" s="32" t="s">
        <v>96</v>
      </c>
      <c r="K115" s="7" t="str">
        <f t="shared" si="6"/>
        <v>511,512,513,514,515,516</v>
      </c>
      <c r="N115" s="11"/>
      <c r="O115" s="11"/>
      <c r="P115" s="11"/>
      <c r="Q115" s="11"/>
      <c r="U115" s="1" t="e">
        <f>INT(MID($B115,MIN(FIND({0,1,2,3,4,5,6,7,8,9},$B115&amp;"0123456789")),LEN($B115)*2-LENB($B115)))</f>
        <v>#VALUE!</v>
      </c>
      <c r="V115" s="1" t="str">
        <f t="shared" si="7"/>
        <v>伙伴商铺刷新 [00821c]80[-] 次</v>
      </c>
    </row>
    <row r="116" spans="1:22">
      <c r="A116" s="27">
        <v>517</v>
      </c>
      <c r="B116" s="24" t="s">
        <v>296</v>
      </c>
      <c r="C116" s="22">
        <v>2</v>
      </c>
      <c r="D116" s="8">
        <f>VLOOKUP($E116,获取途径!$B:$E,4,0)</f>
        <v>1</v>
      </c>
      <c r="E116" s="24">
        <v>41</v>
      </c>
      <c r="F116" s="24">
        <v>120</v>
      </c>
      <c r="G116" s="8" t="s">
        <v>64</v>
      </c>
      <c r="H116" s="8">
        <v>10000112</v>
      </c>
      <c r="I116" s="8">
        <f>VLOOKUP($E116,获取途径!$B:$D,3,0)</f>
        <v>14</v>
      </c>
      <c r="J116" s="32" t="s">
        <v>96</v>
      </c>
      <c r="K116" s="7" t="str">
        <f t="shared" si="6"/>
        <v>511,512,513,514,515,516,517</v>
      </c>
      <c r="N116" s="11"/>
      <c r="O116" s="11"/>
      <c r="P116" s="11"/>
      <c r="Q116" s="11"/>
      <c r="U116" s="1" t="e">
        <f>INT(MID($B116,MIN(FIND({0,1,2,3,4,5,6,7,8,9},$B116&amp;"0123456789")),LEN($B116)*2-LENB($B116)))</f>
        <v>#VALUE!</v>
      </c>
      <c r="V116" s="1" t="str">
        <f t="shared" si="7"/>
        <v>伙伴商铺刷新 [00821c]120[-] 次</v>
      </c>
    </row>
    <row r="117" spans="1:22">
      <c r="A117" s="27">
        <v>601</v>
      </c>
      <c r="B117" s="24" t="s">
        <v>297</v>
      </c>
      <c r="C117" s="22">
        <v>2</v>
      </c>
      <c r="D117" s="8">
        <f>VLOOKUP($E117,获取途径!$B:$E,4,0)</f>
        <v>1</v>
      </c>
      <c r="E117" s="8">
        <v>25</v>
      </c>
      <c r="F117" s="24">
        <v>2000</v>
      </c>
      <c r="G117" s="8" t="s">
        <v>64</v>
      </c>
      <c r="H117" s="8">
        <v>10000119</v>
      </c>
      <c r="I117" s="8">
        <f>VLOOKUP($E117,获取途径!$B:$D,3,0)</f>
        <v>34</v>
      </c>
      <c r="J117" s="32" t="s">
        <v>86</v>
      </c>
      <c r="K117" s="7">
        <f t="shared" si="6"/>
        <v>601</v>
      </c>
      <c r="N117" s="11"/>
      <c r="O117" s="11"/>
      <c r="P117" s="11"/>
      <c r="Q117" s="11"/>
      <c r="U117" s="1" t="e">
        <f>INT(MID($B117,MIN(FIND({0,1,2,3,4,5,6,7,8,9},$B117&amp;"0123456789")),LEN($B117)*2-LENB($B117)))</f>
        <v>#VALUE!</v>
      </c>
      <c r="V117" s="1" t="str">
        <f t="shared" si="7"/>
        <v>累计充值 [00821c]2000[-] 元</v>
      </c>
    </row>
    <row r="118" spans="1:22">
      <c r="A118" s="27">
        <v>602</v>
      </c>
      <c r="B118" s="24" t="s">
        <v>298</v>
      </c>
      <c r="C118" s="22">
        <v>2</v>
      </c>
      <c r="D118" s="8">
        <f>VLOOKUP($E118,获取途径!$B:$E,4,0)</f>
        <v>1</v>
      </c>
      <c r="E118" s="24">
        <v>25</v>
      </c>
      <c r="F118" s="24">
        <v>3000</v>
      </c>
      <c r="G118" s="8" t="s">
        <v>64</v>
      </c>
      <c r="H118" s="8">
        <v>10000120</v>
      </c>
      <c r="I118" s="8">
        <f>VLOOKUP($E118,获取途径!$B:$D,3,0)</f>
        <v>34</v>
      </c>
      <c r="J118" s="32" t="s">
        <v>86</v>
      </c>
      <c r="K118" s="7" t="str">
        <f t="shared" si="6"/>
        <v>601,602</v>
      </c>
      <c r="N118" s="11"/>
      <c r="O118" s="11"/>
      <c r="P118" s="11"/>
      <c r="Q118" s="11"/>
      <c r="U118" s="1" t="e">
        <f>INT(MID($B118,MIN(FIND({0,1,2,3,4,5,6,7,8,9},$B118&amp;"0123456789")),LEN($B118)*2-LENB($B118)))</f>
        <v>#VALUE!</v>
      </c>
      <c r="V118" s="1" t="str">
        <f t="shared" si="7"/>
        <v>累计充值 [00821c]3000[-] 元</v>
      </c>
    </row>
    <row r="119" spans="1:22">
      <c r="A119" s="27">
        <v>603</v>
      </c>
      <c r="B119" s="24" t="s">
        <v>0</v>
      </c>
      <c r="C119" s="22">
        <v>2</v>
      </c>
      <c r="D119" s="8">
        <f>VLOOKUP($E119,获取途径!$B:$E,4,0)</f>
        <v>1</v>
      </c>
      <c r="E119" s="24">
        <v>22</v>
      </c>
      <c r="F119" s="24">
        <v>1</v>
      </c>
      <c r="G119" s="8" t="s">
        <v>64</v>
      </c>
      <c r="H119" s="8">
        <v>10000121</v>
      </c>
      <c r="I119" s="8" t="str">
        <f>VLOOKUP($E119,获取途径!$B:$D,3,0)</f>
        <v>[]</v>
      </c>
      <c r="J119" s="32" t="s">
        <v>86</v>
      </c>
      <c r="K119" s="7" t="str">
        <f t="shared" si="6"/>
        <v>601,602,603</v>
      </c>
      <c r="N119" s="11"/>
      <c r="O119" s="11"/>
      <c r="P119" s="11"/>
      <c r="Q119" s="11"/>
      <c r="U119" s="1" t="e">
        <f>INT(MID($B119,MIN(FIND({0,1,2,3,4,5,6,7,8,9},$B119&amp;"0123456789")),LEN($B119)*2-LENB($B119)))</f>
        <v>#VALUE!</v>
      </c>
      <c r="V119" s="1" t="str">
        <f t="shared" si="7"/>
        <v>今日登陆赠送</v>
      </c>
    </row>
    <row r="120" spans="1:22">
      <c r="A120" s="27">
        <v>604</v>
      </c>
      <c r="B120" s="24" t="s">
        <v>299</v>
      </c>
      <c r="C120" s="22">
        <v>2</v>
      </c>
      <c r="D120" s="8">
        <f>VLOOKUP($E120,获取途径!$B:$E,4,0)</f>
        <v>1</v>
      </c>
      <c r="E120" s="24">
        <v>14</v>
      </c>
      <c r="F120" s="24">
        <v>48</v>
      </c>
      <c r="G120" s="8" t="s">
        <v>64</v>
      </c>
      <c r="H120" s="8">
        <v>10000122</v>
      </c>
      <c r="I120" s="8">
        <f>VLOOKUP($E120,获取途径!$B:$D,3,0)</f>
        <v>46</v>
      </c>
      <c r="J120" s="32" t="s">
        <v>86</v>
      </c>
      <c r="K120" s="7" t="str">
        <f t="shared" si="6"/>
        <v>601,602,603,604</v>
      </c>
      <c r="N120" s="11"/>
      <c r="O120" s="11"/>
      <c r="P120" s="11"/>
      <c r="Q120" s="11"/>
      <c r="U120" s="1" t="e">
        <f>INT(MID($B120,MIN(FIND({0,1,2,3,4,5,6,7,8,9},$B120&amp;"0123456789")),LEN($B120)*2-LENB($B120)))</f>
        <v>#VALUE!</v>
      </c>
      <c r="V120" s="1" t="str">
        <f t="shared" si="7"/>
        <v>等级到达 [00821c]48[-] 级</v>
      </c>
    </row>
    <row r="121" spans="1:22">
      <c r="A121" s="27">
        <v>605</v>
      </c>
      <c r="B121" s="24" t="s">
        <v>300</v>
      </c>
      <c r="C121" s="22">
        <v>2</v>
      </c>
      <c r="D121" s="8">
        <f>VLOOKUP($E121,获取途径!$B:$E,4,0)</f>
        <v>1</v>
      </c>
      <c r="E121" s="24">
        <v>18</v>
      </c>
      <c r="F121" s="24">
        <v>1200000</v>
      </c>
      <c r="G121" s="8" t="s">
        <v>64</v>
      </c>
      <c r="H121" s="8">
        <v>10000123</v>
      </c>
      <c r="I121" s="8">
        <f>VLOOKUP($E121,获取途径!$B:$D,3,0)</f>
        <v>41</v>
      </c>
      <c r="J121" s="32" t="s">
        <v>118</v>
      </c>
      <c r="K121" s="7" t="str">
        <f t="shared" si="6"/>
        <v>601,602,603,604,605</v>
      </c>
      <c r="N121" s="11"/>
      <c r="O121" s="11"/>
      <c r="P121" s="11"/>
      <c r="Q121" s="11"/>
      <c r="U121" s="1" t="e">
        <f>INT(MID($B121,MIN(FIND({0,1,2,3,4,5,6,7,8,9},$B121&amp;"0123456789")),LEN($B121)*2-LENB($B121)))</f>
        <v>#VALUE!</v>
      </c>
      <c r="V121" s="1" t="str">
        <f t="shared" si="7"/>
        <v>战斗力到达 [00821c]120[-] 万</v>
      </c>
    </row>
    <row r="122" spans="1:22">
      <c r="A122" s="27">
        <v>606</v>
      </c>
      <c r="B122" s="24" t="s">
        <v>301</v>
      </c>
      <c r="C122" s="22">
        <v>2</v>
      </c>
      <c r="D122" s="8">
        <f>VLOOKUP($E122,获取途径!$B:$E,4,0)</f>
        <v>0</v>
      </c>
      <c r="E122" s="24">
        <v>34</v>
      </c>
      <c r="F122" s="24">
        <v>20013</v>
      </c>
      <c r="G122" s="8" t="s">
        <v>64</v>
      </c>
      <c r="H122" s="8">
        <v>10000124</v>
      </c>
      <c r="I122" s="8">
        <v>64</v>
      </c>
      <c r="J122" s="32" t="s">
        <v>97</v>
      </c>
      <c r="K122" s="7">
        <f t="shared" si="6"/>
        <v>606</v>
      </c>
      <c r="N122" s="11"/>
      <c r="O122" s="11"/>
      <c r="P122" s="11"/>
      <c r="Q122" s="11"/>
      <c r="U122" s="1" t="e">
        <f>INT(MID($B122,MIN(FIND({0,1,2,3,4,5,6,7,8,9},$B122&amp;"0123456789")),LEN($B122)*2-LENB($B122)))</f>
        <v>#VALUE!</v>
      </c>
      <c r="V122" s="1" t="str">
        <f t="shared" si="7"/>
        <v>精英副本通关第 [00821c]2[-] 章</v>
      </c>
    </row>
    <row r="123" spans="1:22">
      <c r="A123" s="27">
        <v>607</v>
      </c>
      <c r="B123" s="24" t="s">
        <v>302</v>
      </c>
      <c r="C123" s="22">
        <v>2</v>
      </c>
      <c r="D123" s="8">
        <f>VLOOKUP($E123,获取途径!$B:$E,4,0)</f>
        <v>0</v>
      </c>
      <c r="E123" s="24">
        <v>34</v>
      </c>
      <c r="F123" s="24">
        <v>20034</v>
      </c>
      <c r="G123" s="8" t="s">
        <v>64</v>
      </c>
      <c r="H123" s="8">
        <v>10000125</v>
      </c>
      <c r="I123" s="8">
        <v>64</v>
      </c>
      <c r="J123" s="32" t="s">
        <v>97</v>
      </c>
      <c r="K123" s="7" t="str">
        <f t="shared" si="6"/>
        <v>606,607</v>
      </c>
      <c r="N123" s="11"/>
      <c r="O123" s="11"/>
      <c r="P123" s="11"/>
      <c r="Q123" s="11"/>
      <c r="U123" s="1" t="e">
        <f>INT(MID($B123,MIN(FIND({0,1,2,3,4,5,6,7,8,9},$B123&amp;"0123456789")),LEN($B123)*2-LENB($B123)))</f>
        <v>#VALUE!</v>
      </c>
      <c r="V123" s="1" t="str">
        <f t="shared" si="7"/>
        <v>精英副本通关第 [00821c]4[-] 章</v>
      </c>
    </row>
    <row r="124" spans="1:22">
      <c r="A124" s="27">
        <v>608</v>
      </c>
      <c r="B124" s="24" t="s">
        <v>303</v>
      </c>
      <c r="C124" s="22">
        <v>2</v>
      </c>
      <c r="D124" s="8">
        <f>VLOOKUP($E124,获取途径!$B:$E,4,0)</f>
        <v>0</v>
      </c>
      <c r="E124" s="24">
        <v>34</v>
      </c>
      <c r="F124" s="24">
        <v>20054</v>
      </c>
      <c r="G124" s="8" t="s">
        <v>64</v>
      </c>
      <c r="H124" s="8">
        <v>10000126</v>
      </c>
      <c r="I124" s="8">
        <v>64</v>
      </c>
      <c r="J124" s="32" t="s">
        <v>97</v>
      </c>
      <c r="K124" s="7" t="str">
        <f t="shared" si="6"/>
        <v>606,607,608</v>
      </c>
      <c r="N124" s="11"/>
      <c r="O124" s="11"/>
      <c r="P124" s="11"/>
      <c r="Q124" s="11"/>
      <c r="U124" s="1" t="e">
        <f>INT(MID($B124,MIN(FIND({0,1,2,3,4,5,6,7,8,9},$B124&amp;"0123456789")),LEN($B124)*2-LENB($B124)))</f>
        <v>#VALUE!</v>
      </c>
      <c r="V124" s="1" t="str">
        <f t="shared" si="7"/>
        <v>精英副本通关第 [00821c]6[-] 章</v>
      </c>
    </row>
    <row r="125" spans="1:22">
      <c r="A125" s="27">
        <v>609</v>
      </c>
      <c r="B125" s="24" t="s">
        <v>304</v>
      </c>
      <c r="C125" s="22">
        <v>2</v>
      </c>
      <c r="D125" s="8">
        <f>VLOOKUP($E125,获取途径!$B:$E,4,0)</f>
        <v>0</v>
      </c>
      <c r="E125" s="24">
        <v>34</v>
      </c>
      <c r="F125" s="24">
        <v>20074</v>
      </c>
      <c r="G125" s="8" t="s">
        <v>64</v>
      </c>
      <c r="H125" s="8">
        <v>10000127</v>
      </c>
      <c r="I125" s="8">
        <v>64</v>
      </c>
      <c r="J125" s="32" t="s">
        <v>97</v>
      </c>
      <c r="K125" s="7" t="str">
        <f t="shared" si="6"/>
        <v>606,607,608,609</v>
      </c>
      <c r="N125" s="11"/>
      <c r="O125" s="11"/>
      <c r="P125" s="11"/>
      <c r="Q125" s="11"/>
      <c r="U125" s="1" t="e">
        <f>INT(MID($B125,MIN(FIND({0,1,2,3,4,5,6,7,8,9},$B125&amp;"0123456789")),LEN($B125)*2-LENB($B125)))</f>
        <v>#VALUE!</v>
      </c>
      <c r="V125" s="1" t="str">
        <f t="shared" si="7"/>
        <v>精英副本通关第 [00821c]8[-] 章</v>
      </c>
    </row>
    <row r="126" spans="1:22">
      <c r="A126" s="27">
        <v>610</v>
      </c>
      <c r="B126" s="24" t="s">
        <v>305</v>
      </c>
      <c r="C126" s="22">
        <v>2</v>
      </c>
      <c r="D126" s="8">
        <f>VLOOKUP($E126,获取途径!$B:$E,4,0)</f>
        <v>0</v>
      </c>
      <c r="E126" s="24">
        <v>34</v>
      </c>
      <c r="F126" s="24">
        <v>20094</v>
      </c>
      <c r="G126" s="8" t="s">
        <v>64</v>
      </c>
      <c r="H126" s="8">
        <v>10000128</v>
      </c>
      <c r="I126" s="8">
        <v>64</v>
      </c>
      <c r="J126" s="32" t="s">
        <v>97</v>
      </c>
      <c r="K126" s="7" t="str">
        <f t="shared" si="6"/>
        <v>606,607,608,609,610</v>
      </c>
      <c r="N126" s="11"/>
      <c r="O126" s="11"/>
      <c r="P126" s="11"/>
      <c r="Q126" s="11"/>
      <c r="U126" s="1" t="e">
        <f>INT(MID($B126,MIN(FIND({0,1,2,3,4,5,6,7,8,9},$B126&amp;"0123456789")),LEN($B126)*2-LENB($B126)))</f>
        <v>#VALUE!</v>
      </c>
      <c r="V126" s="1" t="str">
        <f t="shared" si="7"/>
        <v>精英副本通关第 [00821c]10[-] 章</v>
      </c>
    </row>
    <row r="127" spans="1:22">
      <c r="A127" s="27">
        <v>611</v>
      </c>
      <c r="B127" s="24" t="s">
        <v>306</v>
      </c>
      <c r="C127" s="22">
        <v>2</v>
      </c>
      <c r="D127" s="8">
        <f>VLOOKUP($E127,获取途径!$B:$E,4,0)</f>
        <v>0</v>
      </c>
      <c r="E127" s="24">
        <v>34</v>
      </c>
      <c r="F127" s="24">
        <v>20114</v>
      </c>
      <c r="G127" s="8" t="s">
        <v>64</v>
      </c>
      <c r="H127" s="8">
        <v>10000129</v>
      </c>
      <c r="I127" s="8">
        <v>64</v>
      </c>
      <c r="J127" s="32" t="s">
        <v>97</v>
      </c>
      <c r="K127" s="7" t="str">
        <f t="shared" si="6"/>
        <v>606,607,608,609,610,611</v>
      </c>
      <c r="N127" s="11"/>
      <c r="O127" s="11"/>
      <c r="P127" s="11"/>
      <c r="Q127" s="11"/>
      <c r="U127" s="1" t="e">
        <f>INT(MID($B127,MIN(FIND({0,1,2,3,4,5,6,7,8,9},$B127&amp;"0123456789")),LEN($B127)*2-LENB($B127)))</f>
        <v>#VALUE!</v>
      </c>
      <c r="V127" s="1" t="str">
        <f t="shared" si="7"/>
        <v>精英副本通关第 [00821c]12[-] 章</v>
      </c>
    </row>
    <row r="128" spans="1:22">
      <c r="A128" s="27">
        <v>612</v>
      </c>
      <c r="B128" s="24" t="s">
        <v>307</v>
      </c>
      <c r="C128" s="22">
        <v>2</v>
      </c>
      <c r="D128" s="8">
        <f>VLOOKUP($E128,获取途径!$B:$E,4,0)</f>
        <v>0</v>
      </c>
      <c r="E128" s="24">
        <v>34</v>
      </c>
      <c r="F128" s="24">
        <v>20144</v>
      </c>
      <c r="G128" s="8" t="s">
        <v>64</v>
      </c>
      <c r="H128" s="8">
        <v>10000130</v>
      </c>
      <c r="I128" s="8">
        <v>64</v>
      </c>
      <c r="J128" s="32" t="s">
        <v>97</v>
      </c>
      <c r="K128" s="7" t="str">
        <f t="shared" si="6"/>
        <v>606,607,608,609,610,611,612</v>
      </c>
      <c r="N128" s="14"/>
      <c r="O128" s="14"/>
      <c r="P128" s="14"/>
      <c r="Q128" s="14"/>
      <c r="U128" s="1" t="e">
        <f>INT(MID($B128,MIN(FIND({0,1,2,3,4,5,6,7,8,9},$B128&amp;"0123456789")),LEN($B128)*2-LENB($B128)))</f>
        <v>#VALUE!</v>
      </c>
      <c r="V128" s="1" t="str">
        <f t="shared" si="7"/>
        <v>精英副本通关第 [00821c]15[-] 章</v>
      </c>
    </row>
    <row r="129" spans="1:22">
      <c r="A129" s="27">
        <v>613</v>
      </c>
      <c r="B129" s="24" t="s">
        <v>308</v>
      </c>
      <c r="C129" s="22">
        <v>2</v>
      </c>
      <c r="D129" s="8">
        <f>VLOOKUP($E129,获取途径!$B:$E,4,0)</f>
        <v>1</v>
      </c>
      <c r="E129" s="24">
        <v>49</v>
      </c>
      <c r="F129" s="24">
        <v>1</v>
      </c>
      <c r="G129" s="8" t="s">
        <v>64</v>
      </c>
      <c r="H129" s="8">
        <v>10000131</v>
      </c>
      <c r="I129" s="8">
        <f>VLOOKUP($E129,获取途径!$B:$D,3,0)</f>
        <v>28</v>
      </c>
      <c r="J129" s="32" t="s">
        <v>85</v>
      </c>
      <c r="K129" s="7">
        <f t="shared" si="6"/>
        <v>613</v>
      </c>
      <c r="N129" s="14"/>
      <c r="O129" s="14"/>
      <c r="P129" s="14"/>
      <c r="Q129" s="14"/>
      <c r="U129" s="1" t="e">
        <f>INT(MID($B129,MIN(FIND({0,1,2,3,4,5,6,7,8,9},$B129&amp;"0123456789")),LEN($B129)*2-LENB($B129)))</f>
        <v>#VALUE!</v>
      </c>
      <c r="V129" s="1" t="str">
        <f t="shared" si="7"/>
        <v>上阵伙伴穿戴的十件法宝精炼等级到达 [00821c]1[-] 级</v>
      </c>
    </row>
    <row r="130" spans="1:22">
      <c r="A130" s="27">
        <v>614</v>
      </c>
      <c r="B130" s="24" t="s">
        <v>309</v>
      </c>
      <c r="C130" s="22">
        <v>2</v>
      </c>
      <c r="D130" s="8">
        <f>VLOOKUP($E130,获取途径!$B:$E,4,0)</f>
        <v>1</v>
      </c>
      <c r="E130" s="24">
        <v>49</v>
      </c>
      <c r="F130" s="24">
        <v>2</v>
      </c>
      <c r="G130" s="8" t="s">
        <v>64</v>
      </c>
      <c r="H130" s="8">
        <v>10000132</v>
      </c>
      <c r="I130" s="8">
        <f>VLOOKUP($E130,获取途径!$B:$D,3,0)</f>
        <v>28</v>
      </c>
      <c r="J130" s="32" t="s">
        <v>85</v>
      </c>
      <c r="K130" s="7" t="str">
        <f t="shared" si="6"/>
        <v>613,614</v>
      </c>
      <c r="N130" s="14"/>
      <c r="O130" s="14"/>
      <c r="P130" s="14"/>
      <c r="Q130" s="14"/>
      <c r="U130" s="1" t="e">
        <f>INT(MID($B130,MIN(FIND({0,1,2,3,4,5,6,7,8,9},$B130&amp;"0123456789")),LEN($B130)*2-LENB($B130)))</f>
        <v>#VALUE!</v>
      </c>
      <c r="V130" s="1" t="str">
        <f t="shared" si="7"/>
        <v>上阵伙伴穿戴的十件法宝精炼等级到达 [00821c]2[-] 级</v>
      </c>
    </row>
    <row r="131" spans="1:22">
      <c r="A131" s="27">
        <v>615</v>
      </c>
      <c r="B131" s="24" t="s">
        <v>310</v>
      </c>
      <c r="C131" s="22">
        <v>2</v>
      </c>
      <c r="D131" s="8">
        <f>VLOOKUP($E131,获取途径!$B:$E,4,0)</f>
        <v>1</v>
      </c>
      <c r="E131" s="24">
        <v>49</v>
      </c>
      <c r="F131" s="24">
        <v>3</v>
      </c>
      <c r="G131" s="8" t="s">
        <v>64</v>
      </c>
      <c r="H131" s="8">
        <v>10000133</v>
      </c>
      <c r="I131" s="8">
        <f>VLOOKUP($E131,获取途径!$B:$D,3,0)</f>
        <v>28</v>
      </c>
      <c r="J131" s="32" t="s">
        <v>85</v>
      </c>
      <c r="K131" s="7" t="str">
        <f t="shared" si="6"/>
        <v>613,614,615</v>
      </c>
      <c r="N131" s="14"/>
      <c r="O131" s="14"/>
      <c r="P131" s="14"/>
      <c r="Q131" s="14"/>
      <c r="U131" s="1" t="e">
        <f>INT(MID($B131,MIN(FIND({0,1,2,3,4,5,6,7,8,9},$B131&amp;"0123456789")),LEN($B131)*2-LENB($B131)))</f>
        <v>#VALUE!</v>
      </c>
      <c r="V131" s="1" t="str">
        <f t="shared" si="7"/>
        <v>上阵伙伴穿戴的十件法宝精炼等级到达 [00821c]3[-] 级</v>
      </c>
    </row>
    <row r="132" spans="1:22">
      <c r="A132" s="27">
        <v>616</v>
      </c>
      <c r="B132" s="24" t="s">
        <v>311</v>
      </c>
      <c r="C132" s="22">
        <v>2</v>
      </c>
      <c r="D132" s="8">
        <f>VLOOKUP($E132,获取途径!$B:$E,4,0)</f>
        <v>1</v>
      </c>
      <c r="E132" s="24">
        <v>49</v>
      </c>
      <c r="F132" s="24">
        <v>4</v>
      </c>
      <c r="G132" s="8" t="s">
        <v>64</v>
      </c>
      <c r="H132" s="8">
        <v>10000134</v>
      </c>
      <c r="I132" s="8">
        <f>VLOOKUP($E132,获取途径!$B:$D,3,0)</f>
        <v>28</v>
      </c>
      <c r="J132" s="32" t="s">
        <v>85</v>
      </c>
      <c r="K132" s="7" t="str">
        <f t="shared" ref="K132:K158" si="8">IF(J132=J131,$K131&amp;","&amp;A132,$A132)</f>
        <v>613,614,615,616</v>
      </c>
      <c r="N132" s="14"/>
      <c r="O132" s="14"/>
      <c r="P132" s="14"/>
      <c r="Q132" s="14"/>
      <c r="U132" s="1" t="e">
        <f>INT(MID($B132,MIN(FIND({0,1,2,3,4,5,6,7,8,9},$B132&amp;"0123456789")),LEN($B132)*2-LENB($B132)))</f>
        <v>#VALUE!</v>
      </c>
      <c r="V132" s="1" t="str">
        <f t="shared" ref="V132:V158" si="9">IF(ISERROR($U132),$B132,LEFT($B132,FIND($U132,$B132)-1)&amp;"[FF7400]"&amp;U132&amp;"[-]"&amp;IFERROR(RIGHT($B132,LEN($B132)-FIND($U132,$B132)-LEN($U132)+1),""))</f>
        <v>上阵伙伴穿戴的十件法宝精炼等级到达 [00821c]4[-] 级</v>
      </c>
    </row>
    <row r="133" spans="1:22">
      <c r="A133" s="27">
        <v>617</v>
      </c>
      <c r="B133" s="24" t="s">
        <v>312</v>
      </c>
      <c r="C133" s="22">
        <v>2</v>
      </c>
      <c r="D133" s="8">
        <f>VLOOKUP($E133,获取途径!$B:$E,4,0)</f>
        <v>1</v>
      </c>
      <c r="E133" s="24">
        <v>33</v>
      </c>
      <c r="F133" s="24">
        <v>3</v>
      </c>
      <c r="G133" s="8" t="s">
        <v>64</v>
      </c>
      <c r="H133" s="8">
        <v>10000135</v>
      </c>
      <c r="I133" s="8">
        <f>VLOOKUP($E133,获取途径!$B:$D,3,0)</f>
        <v>28</v>
      </c>
      <c r="J133" s="32" t="s">
        <v>85</v>
      </c>
      <c r="K133" s="7" t="str">
        <f t="shared" si="8"/>
        <v>613,614,615,616,617</v>
      </c>
      <c r="N133" s="14"/>
      <c r="O133" s="14"/>
      <c r="P133" s="14"/>
      <c r="Q133" s="14"/>
      <c r="U133" s="1" t="e">
        <f>INT(MID($B133,MIN(FIND({0,1,2,3,4,5,6,7,8,9},$B133&amp;"0123456789")),LEN($B133)*2-LENB($B133)))</f>
        <v>#VALUE!</v>
      </c>
      <c r="V133" s="1" t="str">
        <f t="shared" si="9"/>
        <v>穿戴法宝中精炼最高等级到达 [00821c]3[-] 级</v>
      </c>
    </row>
    <row r="134" spans="1:22">
      <c r="A134" s="27">
        <v>618</v>
      </c>
      <c r="B134" s="24" t="s">
        <v>313</v>
      </c>
      <c r="C134" s="22">
        <v>2</v>
      </c>
      <c r="D134" s="8">
        <f>VLOOKUP($E134,获取途径!$B:$E,4,0)</f>
        <v>1</v>
      </c>
      <c r="E134" s="24">
        <v>33</v>
      </c>
      <c r="F134" s="24">
        <v>4</v>
      </c>
      <c r="G134" s="8" t="s">
        <v>64</v>
      </c>
      <c r="H134" s="8">
        <v>10000136</v>
      </c>
      <c r="I134" s="8">
        <f>VLOOKUP($E134,获取途径!$B:$D,3,0)</f>
        <v>28</v>
      </c>
      <c r="J134" s="32" t="s">
        <v>85</v>
      </c>
      <c r="K134" s="7" t="str">
        <f t="shared" si="8"/>
        <v>613,614,615,616,617,618</v>
      </c>
      <c r="N134" s="14"/>
      <c r="O134" s="14"/>
      <c r="P134" s="14"/>
      <c r="Q134" s="14"/>
      <c r="U134" s="1" t="e">
        <f>INT(MID($B134,MIN(FIND({0,1,2,3,4,5,6,7,8,9},$B134&amp;"0123456789")),LEN($B134)*2-LENB($B134)))</f>
        <v>#VALUE!</v>
      </c>
      <c r="V134" s="1" t="str">
        <f t="shared" si="9"/>
        <v>穿戴法宝中精炼最高等级到达 [00821c]4[-] 级</v>
      </c>
    </row>
    <row r="135" spans="1:22">
      <c r="A135" s="27">
        <v>701</v>
      </c>
      <c r="B135" s="24" t="s">
        <v>314</v>
      </c>
      <c r="C135" s="22">
        <v>2</v>
      </c>
      <c r="D135" s="8">
        <f>VLOOKUP($E135,获取途径!$B:$E,4,0)</f>
        <v>1</v>
      </c>
      <c r="E135" s="8">
        <v>25</v>
      </c>
      <c r="F135" s="24">
        <v>4000</v>
      </c>
      <c r="G135" s="8" t="s">
        <v>64</v>
      </c>
      <c r="H135" s="8">
        <v>10000137</v>
      </c>
      <c r="I135" s="8">
        <f>VLOOKUP($E135,获取途径!$B:$D,3,0)</f>
        <v>34</v>
      </c>
      <c r="J135" s="32" t="s">
        <v>86</v>
      </c>
      <c r="K135" s="7">
        <f t="shared" si="8"/>
        <v>701</v>
      </c>
      <c r="N135" s="14"/>
      <c r="O135" s="14"/>
      <c r="P135" s="14"/>
      <c r="Q135" s="14"/>
      <c r="U135" s="1" t="e">
        <f>INT(MID($B135,MIN(FIND({0,1,2,3,4,5,6,7,8,9},$B135&amp;"0123456789")),LEN($B135)*2-LENB($B135)))</f>
        <v>#VALUE!</v>
      </c>
      <c r="V135" s="1" t="str">
        <f t="shared" si="9"/>
        <v>累计充值 [00821c]4000[-] 元</v>
      </c>
    </row>
    <row r="136" spans="1:22">
      <c r="A136" s="27">
        <v>702</v>
      </c>
      <c r="B136" s="24" t="s">
        <v>315</v>
      </c>
      <c r="C136" s="22">
        <v>2</v>
      </c>
      <c r="D136" s="8">
        <f>VLOOKUP($E136,获取途径!$B:$E,4,0)</f>
        <v>1</v>
      </c>
      <c r="E136" s="24">
        <v>25</v>
      </c>
      <c r="F136" s="24">
        <v>5000</v>
      </c>
      <c r="G136" s="8" t="s">
        <v>64</v>
      </c>
      <c r="H136" s="8">
        <v>10000138</v>
      </c>
      <c r="I136" s="8">
        <f>VLOOKUP($E136,获取途径!$B:$D,3,0)</f>
        <v>34</v>
      </c>
      <c r="J136" s="32" t="s">
        <v>86</v>
      </c>
      <c r="K136" s="7" t="str">
        <f t="shared" si="8"/>
        <v>701,702</v>
      </c>
      <c r="N136" s="14"/>
      <c r="O136" s="14"/>
      <c r="P136" s="14"/>
      <c r="Q136" s="14"/>
      <c r="U136" s="1" t="e">
        <f>INT(MID($B136,MIN(FIND({0,1,2,3,4,5,6,7,8,9},$B136&amp;"0123456789")),LEN($B136)*2-LENB($B136)))</f>
        <v>#VALUE!</v>
      </c>
      <c r="V136" s="1" t="str">
        <f t="shared" si="9"/>
        <v>累计充值 [00821c]5000[-] 元</v>
      </c>
    </row>
    <row r="137" spans="1:22">
      <c r="A137" s="27">
        <v>703</v>
      </c>
      <c r="B137" s="24" t="s">
        <v>0</v>
      </c>
      <c r="C137" s="22">
        <v>2</v>
      </c>
      <c r="D137" s="8">
        <f>VLOOKUP($E137,获取途径!$B:$E,4,0)</f>
        <v>1</v>
      </c>
      <c r="E137" s="24">
        <v>22</v>
      </c>
      <c r="F137" s="24">
        <v>1</v>
      </c>
      <c r="G137" s="8" t="s">
        <v>64</v>
      </c>
      <c r="H137" s="8">
        <v>10000139</v>
      </c>
      <c r="I137" s="8" t="str">
        <f>VLOOKUP($E137,获取途径!$B:$D,3,0)</f>
        <v>[]</v>
      </c>
      <c r="J137" s="32" t="s">
        <v>86</v>
      </c>
      <c r="K137" s="7" t="str">
        <f t="shared" si="8"/>
        <v>701,702,703</v>
      </c>
      <c r="N137" s="14"/>
      <c r="O137" s="14"/>
      <c r="P137" s="14"/>
      <c r="Q137" s="14"/>
      <c r="U137" s="1" t="e">
        <f>INT(MID($B137,MIN(FIND({0,1,2,3,4,5,6,7,8,9},$B137&amp;"0123456789")),LEN($B137)*2-LENB($B137)))</f>
        <v>#VALUE!</v>
      </c>
      <c r="V137" s="1" t="str">
        <f t="shared" si="9"/>
        <v>今日登陆赠送</v>
      </c>
    </row>
    <row r="138" spans="1:22" s="53" customFormat="1">
      <c r="A138" s="47">
        <v>704</v>
      </c>
      <c r="B138" s="48" t="s">
        <v>187</v>
      </c>
      <c r="C138" s="49">
        <v>2</v>
      </c>
      <c r="D138" s="50">
        <f>VLOOKUP($E138,[1]获取途径!$B:$E,4,0)</f>
        <v>1</v>
      </c>
      <c r="E138" s="48">
        <v>22</v>
      </c>
      <c r="F138" s="48">
        <v>1</v>
      </c>
      <c r="G138" s="50" t="s">
        <v>64</v>
      </c>
      <c r="H138" s="50">
        <v>10000140</v>
      </c>
      <c r="I138" s="50" t="str">
        <f>VLOOKUP($E138,[1]获取途径!$B:$D,3,0)</f>
        <v>[]</v>
      </c>
      <c r="J138" s="51" t="s">
        <v>86</v>
      </c>
      <c r="K138" s="52" t="str">
        <f t="shared" si="8"/>
        <v>701,702,703,704</v>
      </c>
      <c r="L138" s="52"/>
      <c r="U138" s="1" t="e">
        <f>INT(MID($B138,MIN(FIND({0,1,2,3,4,5,6,7,8,9},$B138&amp;"0123456789")),LEN($B138)*2-LENB($B138)))</f>
        <v>#VALUE!</v>
      </c>
      <c r="V138" s="1" t="str">
        <f t="shared" si="9"/>
        <v>登陆领取指定红色伙伴</v>
      </c>
    </row>
    <row r="139" spans="1:22">
      <c r="A139" s="27">
        <v>705</v>
      </c>
      <c r="B139" s="24" t="s">
        <v>316</v>
      </c>
      <c r="C139" s="22">
        <v>2</v>
      </c>
      <c r="D139" s="8">
        <f>VLOOKUP($E139,获取途径!$B:$E,4,0)</f>
        <v>1</v>
      </c>
      <c r="E139" s="24">
        <v>14</v>
      </c>
      <c r="F139" s="24">
        <v>50</v>
      </c>
      <c r="G139" s="8" t="s">
        <v>64</v>
      </c>
      <c r="H139" s="8">
        <v>10000141</v>
      </c>
      <c r="I139" s="8">
        <f>VLOOKUP($E139,获取途径!$B:$D,3,0)</f>
        <v>46</v>
      </c>
      <c r="J139" s="32" t="s">
        <v>86</v>
      </c>
      <c r="K139" s="7" t="str">
        <f t="shared" si="8"/>
        <v>701,702,703,704,705</v>
      </c>
      <c r="N139" s="14"/>
      <c r="O139" s="14"/>
      <c r="P139" s="14"/>
      <c r="Q139" s="14"/>
      <c r="U139" s="1" t="e">
        <f>INT(MID($B139,MIN(FIND({0,1,2,3,4,5,6,7,8,9},$B139&amp;"0123456789")),LEN($B139)*2-LENB($B139)))</f>
        <v>#VALUE!</v>
      </c>
      <c r="V139" s="1" t="str">
        <f t="shared" si="9"/>
        <v>等级到达 [00821c]50[-] 级</v>
      </c>
    </row>
    <row r="140" spans="1:22">
      <c r="A140" s="27">
        <v>706</v>
      </c>
      <c r="B140" s="24" t="s">
        <v>317</v>
      </c>
      <c r="C140" s="22">
        <v>2</v>
      </c>
      <c r="D140" s="8">
        <f>VLOOKUP($E140,获取途径!$B:$E,4,0)</f>
        <v>1</v>
      </c>
      <c r="E140" s="24">
        <v>18</v>
      </c>
      <c r="F140" s="24">
        <v>1500000</v>
      </c>
      <c r="G140" s="8" t="s">
        <v>64</v>
      </c>
      <c r="H140" s="8">
        <v>10000142</v>
      </c>
      <c r="I140" s="8">
        <f>VLOOKUP($E140,获取途径!$B:$D,3,0)</f>
        <v>41</v>
      </c>
      <c r="J140" s="32" t="s">
        <v>86</v>
      </c>
      <c r="K140" s="7" t="str">
        <f t="shared" si="8"/>
        <v>701,702,703,704,705,706</v>
      </c>
      <c r="N140" s="14"/>
      <c r="O140" s="14"/>
      <c r="P140" s="14"/>
      <c r="Q140" s="14"/>
      <c r="U140" s="1" t="e">
        <f>INT(MID($B140,MIN(FIND({0,1,2,3,4,5,6,7,8,9},$B140&amp;"0123456789")),LEN($B140)*2-LENB($B140)))</f>
        <v>#VALUE!</v>
      </c>
      <c r="V140" s="1" t="str">
        <f t="shared" si="9"/>
        <v>战斗力到达 [00821c]150[-] 万</v>
      </c>
    </row>
    <row r="141" spans="1:22">
      <c r="A141" s="27">
        <v>707</v>
      </c>
      <c r="B141" s="24" t="s">
        <v>318</v>
      </c>
      <c r="C141" s="22">
        <v>2</v>
      </c>
      <c r="D141" s="8">
        <f>VLOOKUP($E141,获取途径!$B:$E,4,0)</f>
        <v>1</v>
      </c>
      <c r="E141" s="24">
        <v>55</v>
      </c>
      <c r="F141" s="24">
        <v>0</v>
      </c>
      <c r="G141" s="8" t="s">
        <v>104</v>
      </c>
      <c r="H141" s="8">
        <v>10000143</v>
      </c>
      <c r="I141" s="8">
        <f>VLOOKUP($E141,获取途径!$B:$D,3,0)</f>
        <v>14</v>
      </c>
      <c r="J141" s="32" t="s">
        <v>98</v>
      </c>
      <c r="K141" s="7">
        <f t="shared" si="8"/>
        <v>707</v>
      </c>
      <c r="N141" s="14"/>
      <c r="O141" s="14"/>
      <c r="P141" s="14"/>
      <c r="Q141" s="14"/>
      <c r="U141" s="1" t="e">
        <f>INT(MID($B141,MIN(FIND({0,1,2,3,4,5,6,7,8,9},$B141&amp;"0123456789")),LEN($B141)*2-LENB($B141)))</f>
        <v>#VALUE!</v>
      </c>
      <c r="V141" s="1" t="str">
        <f t="shared" si="9"/>
        <v>灵台商铺消耗 [00821c]1000[-] 斗神玉</v>
      </c>
    </row>
    <row r="142" spans="1:22">
      <c r="A142" s="27">
        <v>708</v>
      </c>
      <c r="B142" s="24" t="s">
        <v>319</v>
      </c>
      <c r="C142" s="22">
        <v>2</v>
      </c>
      <c r="D142" s="8">
        <f>VLOOKUP($E142,获取途径!$B:$E,4,0)</f>
        <v>1</v>
      </c>
      <c r="E142" s="24">
        <v>55</v>
      </c>
      <c r="F142" s="24">
        <v>0</v>
      </c>
      <c r="G142" s="8" t="s">
        <v>105</v>
      </c>
      <c r="H142" s="8">
        <v>10000144</v>
      </c>
      <c r="I142" s="8">
        <f>VLOOKUP($E142,获取途径!$B:$D,3,0)</f>
        <v>14</v>
      </c>
      <c r="J142" s="32" t="s">
        <v>98</v>
      </c>
      <c r="K142" s="7" t="str">
        <f t="shared" si="8"/>
        <v>707,708</v>
      </c>
      <c r="N142" s="14"/>
      <c r="O142" s="14"/>
      <c r="P142" s="14"/>
      <c r="Q142" s="14"/>
      <c r="U142" s="1" t="e">
        <f>INT(MID($B142,MIN(FIND({0,1,2,3,4,5,6,7,8,9},$B142&amp;"0123456789")),LEN($B142)*2-LENB($B142)))</f>
        <v>#VALUE!</v>
      </c>
      <c r="V142" s="1" t="str">
        <f t="shared" si="9"/>
        <v>灵台商铺消耗 [00821c]2000[-] 斗神玉</v>
      </c>
    </row>
    <row r="143" spans="1:22">
      <c r="A143" s="27">
        <v>709</v>
      </c>
      <c r="B143" s="24" t="s">
        <v>320</v>
      </c>
      <c r="C143" s="22">
        <v>2</v>
      </c>
      <c r="D143" s="8">
        <f>VLOOKUP($E143,获取途径!$B:$E,4,0)</f>
        <v>1</v>
      </c>
      <c r="E143" s="24">
        <v>55</v>
      </c>
      <c r="F143" s="24">
        <v>0</v>
      </c>
      <c r="G143" s="8" t="s">
        <v>106</v>
      </c>
      <c r="H143" s="8">
        <v>10000145</v>
      </c>
      <c r="I143" s="8">
        <f>VLOOKUP($E143,获取途径!$B:$D,3,0)</f>
        <v>14</v>
      </c>
      <c r="J143" s="32" t="s">
        <v>98</v>
      </c>
      <c r="K143" s="7" t="str">
        <f t="shared" si="8"/>
        <v>707,708,709</v>
      </c>
      <c r="N143" s="14"/>
      <c r="O143" s="14"/>
      <c r="P143" s="14"/>
      <c r="Q143" s="14"/>
      <c r="U143" s="1" t="e">
        <f>INT(MID($B143,MIN(FIND({0,1,2,3,4,5,6,7,8,9},$B143&amp;"0123456789")),LEN($B143)*2-LENB($B143)))</f>
        <v>#VALUE!</v>
      </c>
      <c r="V143" s="1" t="str">
        <f t="shared" si="9"/>
        <v>装备商铺消耗 [00821c]1000[-] 陨铁</v>
      </c>
    </row>
    <row r="144" spans="1:22">
      <c r="A144" s="27">
        <v>710</v>
      </c>
      <c r="B144" s="24" t="s">
        <v>321</v>
      </c>
      <c r="C144" s="22">
        <v>2</v>
      </c>
      <c r="D144" s="8">
        <f>VLOOKUP($E144,获取途径!$B:$E,4,0)</f>
        <v>1</v>
      </c>
      <c r="E144" s="24">
        <v>55</v>
      </c>
      <c r="F144" s="24">
        <v>0</v>
      </c>
      <c r="G144" s="8" t="s">
        <v>107</v>
      </c>
      <c r="H144" s="8">
        <v>10000146</v>
      </c>
      <c r="I144" s="8">
        <f>VLOOKUP($E144,获取途径!$B:$D,3,0)</f>
        <v>14</v>
      </c>
      <c r="J144" s="32" t="s">
        <v>98</v>
      </c>
      <c r="K144" s="7" t="str">
        <f t="shared" si="8"/>
        <v>707,708,709,710</v>
      </c>
      <c r="N144" s="14"/>
      <c r="O144" s="14"/>
      <c r="P144" s="14"/>
      <c r="Q144" s="14"/>
      <c r="U144" s="1" t="e">
        <f>INT(MID($B144,MIN(FIND({0,1,2,3,4,5,6,7,8,9},$B144&amp;"0123456789")),LEN($B144)*2-LENB($B144)))</f>
        <v>#VALUE!</v>
      </c>
      <c r="V144" s="1" t="str">
        <f t="shared" si="9"/>
        <v>装备商铺消耗 [00821c]2000[-] 陨铁</v>
      </c>
    </row>
    <row r="145" spans="1:22">
      <c r="A145" s="27">
        <v>711</v>
      </c>
      <c r="B145" s="24" t="s">
        <v>322</v>
      </c>
      <c r="C145" s="22">
        <v>2</v>
      </c>
      <c r="D145" s="8">
        <f>VLOOKUP($E145,获取途径!$B:$E,4,0)</f>
        <v>1</v>
      </c>
      <c r="E145" s="24">
        <v>55</v>
      </c>
      <c r="F145" s="24">
        <v>0</v>
      </c>
      <c r="G145" s="8" t="s">
        <v>110</v>
      </c>
      <c r="H145" s="8">
        <v>10000147</v>
      </c>
      <c r="I145" s="8">
        <f>VLOOKUP($E145,获取途径!$B:$D,3,0)</f>
        <v>14</v>
      </c>
      <c r="J145" s="32" t="s">
        <v>98</v>
      </c>
      <c r="K145" s="7" t="str">
        <f t="shared" si="8"/>
        <v>707,708,709,710,711</v>
      </c>
      <c r="N145" s="14"/>
      <c r="O145" s="14"/>
      <c r="P145" s="14"/>
      <c r="Q145" s="14"/>
      <c r="U145" s="1" t="e">
        <f>INT(MID($B145,MIN(FIND({0,1,2,3,4,5,6,7,8,9},$B145&amp;"0123456789")),LEN($B145)*2-LENB($B145)))</f>
        <v>#VALUE!</v>
      </c>
      <c r="V145" s="1" t="str">
        <f t="shared" si="9"/>
        <v>神兵商铺消耗 [00821c]1000[-] 梦魂沙</v>
      </c>
    </row>
    <row r="146" spans="1:22">
      <c r="A146" s="27">
        <v>712</v>
      </c>
      <c r="B146" s="24" t="s">
        <v>323</v>
      </c>
      <c r="C146" s="22">
        <v>2</v>
      </c>
      <c r="D146" s="8">
        <f>VLOOKUP($E146,获取途径!$B:$E,4,0)</f>
        <v>1</v>
      </c>
      <c r="E146" s="24">
        <v>55</v>
      </c>
      <c r="F146" s="24">
        <v>0</v>
      </c>
      <c r="G146" s="8" t="s">
        <v>111</v>
      </c>
      <c r="H146" s="8">
        <v>10000148</v>
      </c>
      <c r="I146" s="8">
        <f>VLOOKUP($E146,获取途径!$B:$D,3,0)</f>
        <v>14</v>
      </c>
      <c r="J146" s="32" t="s">
        <v>98</v>
      </c>
      <c r="K146" s="7" t="str">
        <f t="shared" si="8"/>
        <v>707,708,709,710,711,712</v>
      </c>
      <c r="N146" s="14"/>
      <c r="O146" s="14"/>
      <c r="P146" s="14"/>
      <c r="Q146" s="14"/>
      <c r="U146" s="1" t="e">
        <f>INT(MID($B146,MIN(FIND({0,1,2,3,4,5,6,7,8,9},$B146&amp;"0123456789")),LEN($B146)*2-LENB($B146)))</f>
        <v>#VALUE!</v>
      </c>
      <c r="V146" s="1" t="str">
        <f t="shared" si="9"/>
        <v>神兵商铺消耗 [00821c]2000[-] 梦魂沙</v>
      </c>
    </row>
    <row r="147" spans="1:22">
      <c r="A147" s="27">
        <v>713</v>
      </c>
      <c r="B147" s="24" t="s">
        <v>324</v>
      </c>
      <c r="C147" s="22">
        <v>2</v>
      </c>
      <c r="D147" s="8">
        <f>VLOOKUP($E147,获取途径!$B:$E,4,0)</f>
        <v>1</v>
      </c>
      <c r="E147" s="24">
        <v>55</v>
      </c>
      <c r="F147" s="24">
        <v>0</v>
      </c>
      <c r="G147" s="8" t="s">
        <v>112</v>
      </c>
      <c r="H147" s="8">
        <v>10000149</v>
      </c>
      <c r="I147" s="8">
        <f>VLOOKUP($E147,获取途径!$B:$D,3,0)</f>
        <v>14</v>
      </c>
      <c r="J147" s="32" t="s">
        <v>98</v>
      </c>
      <c r="K147" s="7" t="str">
        <f t="shared" si="8"/>
        <v>707,708,709,710,711,712,713</v>
      </c>
      <c r="N147" s="14"/>
      <c r="O147" s="14"/>
      <c r="P147" s="14"/>
      <c r="Q147" s="14"/>
      <c r="U147" s="1" t="e">
        <f>INT(MID($B147,MIN(FIND({0,1,2,3,4,5,6,7,8,9},$B147&amp;"0123456789")),LEN($B147)*2-LENB($B147)))</f>
        <v>#VALUE!</v>
      </c>
      <c r="V147" s="1" t="str">
        <f t="shared" si="9"/>
        <v>伙伴商铺消耗 [00821c]1000[-] 精魂</v>
      </c>
    </row>
    <row r="148" spans="1:22">
      <c r="A148" s="27">
        <v>714</v>
      </c>
      <c r="B148" s="24" t="s">
        <v>325</v>
      </c>
      <c r="C148" s="22">
        <v>2</v>
      </c>
      <c r="D148" s="8">
        <f>VLOOKUP($E148,获取途径!$B:$E,4,0)</f>
        <v>1</v>
      </c>
      <c r="E148" s="24">
        <v>55</v>
      </c>
      <c r="F148" s="24">
        <v>0</v>
      </c>
      <c r="G148" s="8" t="s">
        <v>113</v>
      </c>
      <c r="H148" s="8">
        <v>10000150</v>
      </c>
      <c r="I148" s="8">
        <f>VLOOKUP($E148,获取途径!$B:$D,3,0)</f>
        <v>14</v>
      </c>
      <c r="J148" s="32" t="s">
        <v>98</v>
      </c>
      <c r="K148" s="7" t="str">
        <f t="shared" si="8"/>
        <v>707,708,709,710,711,712,713,714</v>
      </c>
      <c r="N148" s="14"/>
      <c r="O148" s="14"/>
      <c r="P148" s="14"/>
      <c r="Q148" s="14"/>
      <c r="U148" s="1" t="e">
        <f>INT(MID($B148,MIN(FIND({0,1,2,3,4,5,6,7,8,9},$B148&amp;"0123456789")),LEN($B148)*2-LENB($B148)))</f>
        <v>#VALUE!</v>
      </c>
      <c r="V148" s="1" t="str">
        <f t="shared" si="9"/>
        <v>伙伴商铺消耗 [00821c]2000[-] 精魂</v>
      </c>
    </row>
    <row r="149" spans="1:22">
      <c r="A149" s="27">
        <v>715</v>
      </c>
      <c r="B149" s="24" t="s">
        <v>326</v>
      </c>
      <c r="C149" s="22">
        <v>2</v>
      </c>
      <c r="D149" s="8">
        <f>VLOOKUP($E149,获取途径!$B:$E,4,0)</f>
        <v>1</v>
      </c>
      <c r="E149" s="24">
        <v>55</v>
      </c>
      <c r="F149" s="24">
        <v>0</v>
      </c>
      <c r="G149" s="8" t="s">
        <v>108</v>
      </c>
      <c r="H149" s="8">
        <v>10000151</v>
      </c>
      <c r="I149" s="8">
        <f>VLOOKUP($E149,获取途径!$B:$D,3,0)</f>
        <v>14</v>
      </c>
      <c r="J149" s="32" t="s">
        <v>98</v>
      </c>
      <c r="K149" s="7" t="str">
        <f t="shared" si="8"/>
        <v>707,708,709,710,711,712,713,714,715</v>
      </c>
      <c r="N149" s="14"/>
      <c r="O149" s="14"/>
      <c r="P149" s="14"/>
      <c r="Q149" s="14"/>
      <c r="U149" s="1" t="e">
        <f>INT(MID($B149,MIN(FIND({0,1,2,3,4,5,6,7,8,9},$B149&amp;"0123456789")),LEN($B149)*2-LENB($B149)))</f>
        <v>#VALUE!</v>
      </c>
      <c r="V149" s="1" t="str">
        <f t="shared" si="9"/>
        <v>妖灵商铺消耗 [00821c]1000[-] 妖灵</v>
      </c>
    </row>
    <row r="150" spans="1:22">
      <c r="A150" s="27">
        <v>716</v>
      </c>
      <c r="B150" s="24" t="s">
        <v>327</v>
      </c>
      <c r="C150" s="22">
        <v>2</v>
      </c>
      <c r="D150" s="8">
        <f>VLOOKUP($E150,获取途径!$B:$E,4,0)</f>
        <v>1</v>
      </c>
      <c r="E150" s="24">
        <v>55</v>
      </c>
      <c r="F150" s="24">
        <v>0</v>
      </c>
      <c r="G150" s="8" t="s">
        <v>109</v>
      </c>
      <c r="H150" s="8">
        <v>10000152</v>
      </c>
      <c r="I150" s="8">
        <f>VLOOKUP($E150,获取途径!$B:$D,3,0)</f>
        <v>14</v>
      </c>
      <c r="J150" s="32" t="s">
        <v>98</v>
      </c>
      <c r="K150" s="7" t="str">
        <f t="shared" si="8"/>
        <v>707,708,709,710,711,712,713,714,715,716</v>
      </c>
      <c r="N150" s="14"/>
      <c r="O150" s="14"/>
      <c r="P150" s="14"/>
      <c r="Q150" s="14"/>
      <c r="U150" s="1" t="e">
        <f>INT(MID($B150,MIN(FIND({0,1,2,3,4,5,6,7,8,9},$B150&amp;"0123456789")),LEN($B150)*2-LENB($B150)))</f>
        <v>#VALUE!</v>
      </c>
      <c r="V150" s="1" t="str">
        <f t="shared" si="9"/>
        <v>妖灵商铺消耗 [00821c]2000[-] 妖灵</v>
      </c>
    </row>
    <row r="151" spans="1:22">
      <c r="A151" s="27">
        <v>717</v>
      </c>
      <c r="B151" s="24" t="s">
        <v>328</v>
      </c>
      <c r="C151" s="22">
        <v>2</v>
      </c>
      <c r="D151" s="8">
        <f>VLOOKUP($E151,获取途径!$B:$E,4,0)</f>
        <v>1</v>
      </c>
      <c r="E151" s="24">
        <v>55</v>
      </c>
      <c r="F151" s="24">
        <v>0</v>
      </c>
      <c r="G151" s="8" t="s">
        <v>115</v>
      </c>
      <c r="H151" s="8">
        <v>10000153</v>
      </c>
      <c r="I151" s="8">
        <f>VLOOKUP($E151,获取途径!$B:$D,3,0)</f>
        <v>14</v>
      </c>
      <c r="J151" s="32" t="s">
        <v>98</v>
      </c>
      <c r="K151" s="7" t="str">
        <f t="shared" si="8"/>
        <v>707,708,709,710,711,712,713,714,715,716,717</v>
      </c>
      <c r="N151" s="14"/>
      <c r="O151" s="14"/>
      <c r="P151" s="14"/>
      <c r="Q151" s="14"/>
      <c r="R151" s="14"/>
      <c r="U151" s="1" t="e">
        <f>INT(MID($B151,MIN(FIND({0,1,2,3,4,5,6,7,8,9},$B151&amp;"0123456789")),LEN($B151)*2-LENB($B151)))</f>
        <v>#VALUE!</v>
      </c>
      <c r="V151" s="1" t="str">
        <f t="shared" si="9"/>
        <v>普通商铺消耗 [00821c]1000[-] 元宝</v>
      </c>
    </row>
    <row r="152" spans="1:22">
      <c r="A152" s="27">
        <v>718</v>
      </c>
      <c r="B152" s="24" t="s">
        <v>329</v>
      </c>
      <c r="C152" s="22">
        <v>2</v>
      </c>
      <c r="D152" s="8">
        <f>VLOOKUP($E152,获取途径!$B:$E,4,0)</f>
        <v>1</v>
      </c>
      <c r="E152" s="24">
        <v>55</v>
      </c>
      <c r="F152" s="24">
        <v>0</v>
      </c>
      <c r="G152" s="8" t="s">
        <v>114</v>
      </c>
      <c r="H152" s="8">
        <v>10000154</v>
      </c>
      <c r="I152" s="8">
        <f>VLOOKUP($E152,获取途径!$B:$D,3,0)</f>
        <v>14</v>
      </c>
      <c r="J152" s="32" t="s">
        <v>98</v>
      </c>
      <c r="K152" s="7" t="str">
        <f t="shared" si="8"/>
        <v>707,708,709,710,711,712,713,714,715,716,717,718</v>
      </c>
      <c r="N152" s="14"/>
      <c r="O152" s="14"/>
      <c r="P152" s="14"/>
      <c r="Q152" s="14"/>
      <c r="R152" s="14"/>
      <c r="U152" s="1" t="e">
        <f>INT(MID($B152,MIN(FIND({0,1,2,3,4,5,6,7,8,9},$B152&amp;"0123456789")),LEN($B152)*2-LENB($B152)))</f>
        <v>#VALUE!</v>
      </c>
      <c r="V152" s="1" t="str">
        <f t="shared" si="9"/>
        <v>普通商铺消耗 [00821c]2000[-] 元宝</v>
      </c>
    </row>
    <row r="153" spans="1:22">
      <c r="A153" s="27">
        <v>719</v>
      </c>
      <c r="B153" s="24" t="s">
        <v>330</v>
      </c>
      <c r="C153" s="22">
        <v>2</v>
      </c>
      <c r="D153" s="8">
        <f>VLOOKUP($E153,获取途径!$B:$E,4,0)</f>
        <v>0</v>
      </c>
      <c r="E153" s="24">
        <v>34</v>
      </c>
      <c r="F153" s="24">
        <v>10250</v>
      </c>
      <c r="G153" s="8" t="s">
        <v>64</v>
      </c>
      <c r="H153" s="8">
        <v>10000155</v>
      </c>
      <c r="I153" s="8">
        <v>46</v>
      </c>
      <c r="J153" s="32" t="s">
        <v>99</v>
      </c>
      <c r="K153" s="7">
        <f t="shared" si="8"/>
        <v>719</v>
      </c>
      <c r="N153" s="14"/>
      <c r="O153" s="14"/>
      <c r="P153" s="14"/>
      <c r="Q153" s="14"/>
      <c r="R153" s="14"/>
      <c r="U153" s="1" t="e">
        <f>INT(MID($B153,MIN(FIND({0,1,2,3,4,5,6,7,8,9},$B153&amp;"0123456789")),LEN($B153)*2-LENB($B153)))</f>
        <v>#VALUE!</v>
      </c>
      <c r="V153" s="1" t="str">
        <f t="shared" si="9"/>
        <v>主线副本通关第 [00821c]25[-] 章</v>
      </c>
    </row>
    <row r="154" spans="1:22">
      <c r="A154" s="27">
        <v>720</v>
      </c>
      <c r="B154" s="24" t="s">
        <v>331</v>
      </c>
      <c r="C154" s="22">
        <v>2</v>
      </c>
      <c r="D154" s="8">
        <f>VLOOKUP($E154,获取途径!$B:$E,4,0)</f>
        <v>0</v>
      </c>
      <c r="E154" s="24">
        <v>34</v>
      </c>
      <c r="F154" s="24">
        <v>10280</v>
      </c>
      <c r="G154" s="8" t="s">
        <v>64</v>
      </c>
      <c r="H154" s="8">
        <v>10000156</v>
      </c>
      <c r="I154" s="8">
        <v>46</v>
      </c>
      <c r="J154" s="4" t="s">
        <v>99</v>
      </c>
      <c r="K154" s="7" t="str">
        <f t="shared" si="8"/>
        <v>719,720</v>
      </c>
      <c r="N154" s="14"/>
      <c r="O154" s="14"/>
      <c r="P154" s="14"/>
      <c r="Q154" s="14"/>
      <c r="R154" s="14"/>
      <c r="U154" s="1" t="e">
        <f>INT(MID($B154,MIN(FIND({0,1,2,3,4,5,6,7,8,9},$B154&amp;"0123456789")),LEN($B154)*2-LENB($B154)))</f>
        <v>#VALUE!</v>
      </c>
      <c r="V154" s="1" t="str">
        <f t="shared" si="9"/>
        <v>主线副本通关第 [00821c]28[-] 章</v>
      </c>
    </row>
    <row r="155" spans="1:22">
      <c r="A155" s="27">
        <v>721</v>
      </c>
      <c r="B155" s="24" t="s">
        <v>332</v>
      </c>
      <c r="C155" s="22">
        <v>2</v>
      </c>
      <c r="D155" s="8">
        <f>VLOOKUP($E155,获取途径!$B:$E,4,0)</f>
        <v>0</v>
      </c>
      <c r="E155" s="24">
        <v>34</v>
      </c>
      <c r="F155" s="24">
        <v>10300</v>
      </c>
      <c r="G155" s="8" t="s">
        <v>64</v>
      </c>
      <c r="H155" s="8">
        <v>10000157</v>
      </c>
      <c r="I155" s="8">
        <v>46</v>
      </c>
      <c r="J155" s="4" t="s">
        <v>99</v>
      </c>
      <c r="K155" s="7" t="str">
        <f t="shared" si="8"/>
        <v>719,720,721</v>
      </c>
      <c r="N155" s="14"/>
      <c r="O155" s="14"/>
      <c r="P155" s="14"/>
      <c r="Q155" s="14"/>
      <c r="R155" s="14"/>
      <c r="U155" s="1" t="e">
        <f>INT(MID($B155,MIN(FIND({0,1,2,3,4,5,6,7,8,9},$B155&amp;"0123456789")),LEN($B155)*2-LENB($B155)))</f>
        <v>#VALUE!</v>
      </c>
      <c r="V155" s="1" t="str">
        <f t="shared" si="9"/>
        <v>主线副本通关第 [00821c]30[-] 章</v>
      </c>
    </row>
    <row r="156" spans="1:22">
      <c r="A156" s="27">
        <v>722</v>
      </c>
      <c r="B156" s="24" t="s">
        <v>306</v>
      </c>
      <c r="C156" s="22">
        <v>2</v>
      </c>
      <c r="D156" s="8">
        <f>VLOOKUP($E156,获取途径!$B:$E,4,0)</f>
        <v>0</v>
      </c>
      <c r="E156" s="24">
        <v>34</v>
      </c>
      <c r="F156" s="24">
        <v>20114</v>
      </c>
      <c r="G156" s="8" t="s">
        <v>64</v>
      </c>
      <c r="H156" s="8">
        <v>10000158</v>
      </c>
      <c r="I156" s="8">
        <v>64</v>
      </c>
      <c r="J156" s="4" t="s">
        <v>99</v>
      </c>
      <c r="K156" s="7" t="str">
        <f t="shared" si="8"/>
        <v>719,720,721,722</v>
      </c>
      <c r="N156" s="14"/>
      <c r="O156" s="14"/>
      <c r="P156" s="14"/>
      <c r="Q156" s="14"/>
      <c r="R156" s="14"/>
      <c r="U156" s="1" t="e">
        <f>INT(MID($B156,MIN(FIND({0,1,2,3,4,5,6,7,8,9},$B156&amp;"0123456789")),LEN($B156)*2-LENB($B156)))</f>
        <v>#VALUE!</v>
      </c>
      <c r="V156" s="1" t="str">
        <f t="shared" si="9"/>
        <v>精英副本通关第 [00821c]12[-] 章</v>
      </c>
    </row>
    <row r="157" spans="1:22">
      <c r="A157" s="27">
        <v>723</v>
      </c>
      <c r="B157" s="24" t="s">
        <v>333</v>
      </c>
      <c r="C157" s="22">
        <v>2</v>
      </c>
      <c r="D157" s="8">
        <f>VLOOKUP($E157,获取途径!$B:$E,4,0)</f>
        <v>0</v>
      </c>
      <c r="E157" s="24">
        <v>34</v>
      </c>
      <c r="F157" s="24">
        <v>20134</v>
      </c>
      <c r="G157" s="8" t="s">
        <v>64</v>
      </c>
      <c r="H157" s="8">
        <v>10000159</v>
      </c>
      <c r="I157" s="8">
        <v>64</v>
      </c>
      <c r="J157" s="4" t="s">
        <v>99</v>
      </c>
      <c r="K157" s="7" t="str">
        <f t="shared" si="8"/>
        <v>719,720,721,722,723</v>
      </c>
      <c r="N157" s="14"/>
      <c r="O157" s="14"/>
      <c r="P157" s="14"/>
      <c r="Q157" s="14"/>
      <c r="R157" s="14"/>
      <c r="U157" s="1" t="e">
        <f>INT(MID($B157,MIN(FIND({0,1,2,3,4,5,6,7,8,9},$B157&amp;"0123456789")),LEN($B157)*2-LENB($B157)))</f>
        <v>#VALUE!</v>
      </c>
      <c r="V157" s="1" t="str">
        <f t="shared" si="9"/>
        <v>精英副本通关第 [00821c]14[-] 章</v>
      </c>
    </row>
    <row r="158" spans="1:22">
      <c r="A158" s="27">
        <v>724</v>
      </c>
      <c r="B158" s="24" t="s">
        <v>334</v>
      </c>
      <c r="C158" s="22">
        <v>2</v>
      </c>
      <c r="D158" s="8">
        <f>VLOOKUP($E158,获取途径!$B:$E,4,0)</f>
        <v>0</v>
      </c>
      <c r="E158" s="24">
        <v>34</v>
      </c>
      <c r="F158" s="24">
        <v>20154</v>
      </c>
      <c r="G158" s="8" t="s">
        <v>64</v>
      </c>
      <c r="H158" s="8">
        <v>10000160</v>
      </c>
      <c r="I158" s="8">
        <v>64</v>
      </c>
      <c r="J158" s="4" t="s">
        <v>99</v>
      </c>
      <c r="K158" s="7" t="str">
        <f t="shared" si="8"/>
        <v>719,720,721,722,723,724</v>
      </c>
      <c r="N158" s="14"/>
      <c r="O158" s="14"/>
      <c r="P158" s="14"/>
      <c r="Q158" s="14"/>
      <c r="R158" s="14"/>
      <c r="U158" s="1" t="e">
        <f>INT(MID($B158,MIN(FIND({0,1,2,3,4,5,6,7,8,9},$B158&amp;"0123456789")),LEN($B158)*2-LENB($B158)))</f>
        <v>#VALUE!</v>
      </c>
      <c r="V158" s="1" t="str">
        <f t="shared" si="9"/>
        <v>精英副本通关第 [00821c]16[-] 章</v>
      </c>
    </row>
    <row r="159" spans="1:22">
      <c r="C159" s="4"/>
      <c r="G159" s="4"/>
      <c r="K159" s="4"/>
      <c r="L159" s="4"/>
      <c r="M159" s="4"/>
      <c r="N159" s="4"/>
      <c r="O159" s="4"/>
      <c r="P159" s="4"/>
      <c r="Q159" s="4"/>
      <c r="R159" s="4"/>
      <c r="S159" s="4"/>
    </row>
    <row r="160" spans="1:22">
      <c r="C160" s="4"/>
      <c r="G160" s="4"/>
      <c r="K160" s="4"/>
      <c r="L160" s="4"/>
      <c r="M160" s="4"/>
      <c r="N160" s="4"/>
      <c r="O160" s="4"/>
      <c r="P160" s="4"/>
      <c r="Q160" s="4"/>
      <c r="R160" s="4"/>
      <c r="S160" s="4"/>
    </row>
    <row r="161" spans="3:19">
      <c r="C161" s="4"/>
      <c r="G161" s="4"/>
      <c r="K161" s="4"/>
      <c r="L161" s="4"/>
      <c r="M161" s="4"/>
      <c r="N161" s="4"/>
      <c r="O161" s="4"/>
      <c r="P161" s="4"/>
      <c r="Q161" s="4"/>
      <c r="R161" s="4"/>
      <c r="S161" s="4"/>
    </row>
    <row r="162" spans="3:19">
      <c r="C162" s="4"/>
      <c r="G162" s="4"/>
      <c r="K162" s="4"/>
      <c r="L162" s="4"/>
      <c r="M162" s="4"/>
      <c r="N162" s="4"/>
      <c r="O162" s="4"/>
      <c r="P162" s="4"/>
      <c r="Q162" s="4"/>
      <c r="R162" s="4"/>
      <c r="S162" s="4"/>
    </row>
    <row r="163" spans="3:19">
      <c r="C163" s="4"/>
      <c r="G163" s="4"/>
      <c r="K163" s="4"/>
      <c r="L163" s="4"/>
      <c r="M163" s="4"/>
      <c r="N163" s="4"/>
      <c r="O163" s="4"/>
      <c r="P163" s="4"/>
      <c r="Q163" s="4"/>
      <c r="R163" s="4"/>
      <c r="S163" s="4"/>
    </row>
    <row r="164" spans="3:19">
      <c r="C164" s="4"/>
      <c r="G164" s="4"/>
      <c r="K164" s="4"/>
      <c r="L164" s="4"/>
      <c r="M164" s="4"/>
      <c r="N164" s="4"/>
      <c r="O164" s="4"/>
      <c r="P164" s="4"/>
      <c r="Q164" s="4"/>
      <c r="R164" s="4"/>
      <c r="S164" s="4"/>
    </row>
    <row r="165" spans="3:19">
      <c r="C165" s="4"/>
      <c r="G165" s="4"/>
      <c r="K165" s="4"/>
      <c r="L165" s="4"/>
      <c r="M165" s="4"/>
      <c r="N165" s="4"/>
      <c r="O165" s="4"/>
      <c r="P165" s="4"/>
      <c r="Q165" s="4"/>
      <c r="R165" s="4"/>
      <c r="S165" s="4"/>
    </row>
    <row r="166" spans="3:19">
      <c r="C166" s="4"/>
      <c r="G166" s="4"/>
      <c r="K166" s="4"/>
      <c r="L166" s="4"/>
      <c r="M166" s="4"/>
      <c r="N166" s="4"/>
      <c r="O166" s="4"/>
      <c r="P166" s="4"/>
      <c r="Q166" s="4"/>
      <c r="R166" s="4"/>
      <c r="S166" s="4"/>
    </row>
    <row r="167" spans="3:19">
      <c r="C167" s="4"/>
      <c r="G167" s="4"/>
      <c r="K167" s="4"/>
      <c r="L167" s="4"/>
      <c r="M167" s="4"/>
      <c r="N167" s="4"/>
      <c r="O167" s="4"/>
      <c r="P167" s="4"/>
      <c r="Q167" s="4"/>
      <c r="R167" s="4"/>
      <c r="S167" s="4"/>
    </row>
    <row r="168" spans="3:19">
      <c r="C168" s="4"/>
      <c r="G168" s="4"/>
      <c r="K168" s="4"/>
      <c r="L168" s="4"/>
      <c r="M168" s="4"/>
      <c r="N168" s="4"/>
      <c r="O168" s="4"/>
      <c r="P168" s="4"/>
      <c r="Q168" s="4"/>
      <c r="R168" s="4"/>
      <c r="S168" s="4"/>
    </row>
    <row r="169" spans="3:19">
      <c r="C169" s="4"/>
      <c r="G169" s="4"/>
      <c r="K169" s="4"/>
      <c r="L169" s="4"/>
      <c r="M169" s="4"/>
      <c r="N169" s="4"/>
      <c r="O169" s="4"/>
      <c r="P169" s="4"/>
      <c r="Q169" s="4"/>
      <c r="R169" s="4"/>
      <c r="S169" s="4"/>
    </row>
    <row r="170" spans="3:19">
      <c r="C170" s="4"/>
      <c r="G170" s="4"/>
      <c r="K170" s="4"/>
      <c r="L170" s="4"/>
      <c r="M170" s="4"/>
      <c r="N170" s="4"/>
      <c r="O170" s="4"/>
      <c r="P170" s="4"/>
      <c r="Q170" s="4"/>
      <c r="R170" s="4"/>
      <c r="S170" s="4"/>
    </row>
    <row r="171" spans="3:19">
      <c r="C171" s="4"/>
      <c r="G171" s="4"/>
      <c r="K171" s="4"/>
      <c r="L171" s="4"/>
      <c r="M171" s="4"/>
      <c r="N171" s="4"/>
      <c r="O171" s="4"/>
      <c r="P171" s="4"/>
      <c r="Q171" s="4"/>
      <c r="R171" s="4"/>
      <c r="S171" s="4"/>
    </row>
    <row r="172" spans="3:19">
      <c r="C172" s="4"/>
      <c r="G172" s="4"/>
      <c r="K172" s="4"/>
      <c r="L172" s="4"/>
      <c r="M172" s="4"/>
      <c r="N172" s="4"/>
      <c r="O172" s="4"/>
      <c r="P172" s="4"/>
      <c r="Q172" s="4"/>
      <c r="R172" s="4"/>
      <c r="S172" s="4"/>
    </row>
  </sheetData>
  <autoFilter ref="A3:I4"/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B1:E178"/>
  <sheetViews>
    <sheetView topLeftCell="A13" workbookViewId="0">
      <selection activeCell="D35" sqref="D35"/>
    </sheetView>
  </sheetViews>
  <sheetFormatPr defaultRowHeight="13.5"/>
  <cols>
    <col min="1" max="2" width="9" style="33"/>
    <col min="3" max="3" width="66.75" style="33" bestFit="1" customWidth="1"/>
    <col min="4" max="4" width="10.5" style="45" bestFit="1" customWidth="1"/>
    <col min="5" max="5" width="25.125" style="33" customWidth="1"/>
    <col min="6" max="16384" width="9" style="33"/>
  </cols>
  <sheetData>
    <row r="1" spans="2:5" ht="40.5">
      <c r="B1" s="33" t="s">
        <v>180</v>
      </c>
      <c r="C1" s="33" t="s">
        <v>181</v>
      </c>
      <c r="D1" s="45" t="s">
        <v>179</v>
      </c>
      <c r="E1" s="46" t="s">
        <v>185</v>
      </c>
    </row>
    <row r="2" spans="2:5">
      <c r="B2" s="33">
        <v>1</v>
      </c>
      <c r="C2" s="33" t="s">
        <v>121</v>
      </c>
      <c r="D2" s="45">
        <v>46</v>
      </c>
      <c r="E2" s="33">
        <v>0</v>
      </c>
    </row>
    <row r="3" spans="2:5">
      <c r="B3" s="33">
        <v>2</v>
      </c>
      <c r="C3" s="33" t="s">
        <v>122</v>
      </c>
      <c r="D3" s="45">
        <v>64</v>
      </c>
      <c r="E3" s="33">
        <v>0</v>
      </c>
    </row>
    <row r="4" spans="2:5">
      <c r="B4" s="33">
        <v>3</v>
      </c>
      <c r="C4" s="33" t="s">
        <v>123</v>
      </c>
      <c r="D4" s="45" t="s">
        <v>182</v>
      </c>
      <c r="E4" s="33">
        <v>0</v>
      </c>
    </row>
    <row r="5" spans="2:5">
      <c r="B5" s="33">
        <v>4</v>
      </c>
      <c r="C5" s="33" t="s">
        <v>124</v>
      </c>
      <c r="D5" s="45">
        <v>10</v>
      </c>
      <c r="E5" s="33">
        <v>1</v>
      </c>
    </row>
    <row r="6" spans="2:5">
      <c r="B6" s="33">
        <v>5</v>
      </c>
      <c r="C6" s="33" t="s">
        <v>125</v>
      </c>
      <c r="D6" s="45" t="s">
        <v>182</v>
      </c>
      <c r="E6" s="33">
        <v>0</v>
      </c>
    </row>
    <row r="7" spans="2:5">
      <c r="B7" s="33">
        <v>6</v>
      </c>
      <c r="C7" s="33" t="s">
        <v>126</v>
      </c>
      <c r="D7" s="45">
        <v>28</v>
      </c>
      <c r="E7" s="33">
        <v>1</v>
      </c>
    </row>
    <row r="8" spans="2:5">
      <c r="B8" s="33">
        <v>7</v>
      </c>
      <c r="C8" s="33" t="s">
        <v>127</v>
      </c>
      <c r="D8" s="45">
        <v>12</v>
      </c>
      <c r="E8" s="33">
        <v>1</v>
      </c>
    </row>
    <row r="9" spans="2:5">
      <c r="B9" s="33">
        <v>8</v>
      </c>
      <c r="C9" s="33" t="s">
        <v>128</v>
      </c>
      <c r="D9" s="45">
        <v>45</v>
      </c>
      <c r="E9" s="33">
        <v>1</v>
      </c>
    </row>
    <row r="10" spans="2:5">
      <c r="B10" s="33">
        <v>9</v>
      </c>
      <c r="C10" s="33" t="s">
        <v>129</v>
      </c>
      <c r="D10" s="45">
        <v>45</v>
      </c>
      <c r="E10" s="33">
        <v>1</v>
      </c>
    </row>
    <row r="11" spans="2:5">
      <c r="B11" s="33">
        <v>10</v>
      </c>
      <c r="C11" s="33" t="s">
        <v>130</v>
      </c>
      <c r="D11" s="45">
        <v>47</v>
      </c>
      <c r="E11" s="33">
        <v>1</v>
      </c>
    </row>
    <row r="12" spans="2:5">
      <c r="B12" s="33">
        <v>11</v>
      </c>
      <c r="C12" s="33" t="s">
        <v>131</v>
      </c>
      <c r="D12" s="45">
        <v>47</v>
      </c>
      <c r="E12" s="33">
        <v>1</v>
      </c>
    </row>
    <row r="13" spans="2:5">
      <c r="B13" s="33">
        <v>12</v>
      </c>
      <c r="C13" s="33" t="s">
        <v>132</v>
      </c>
      <c r="D13" s="45">
        <v>34</v>
      </c>
      <c r="E13" s="33">
        <v>0</v>
      </c>
    </row>
    <row r="14" spans="2:5">
      <c r="B14" s="33">
        <v>13</v>
      </c>
      <c r="C14" s="33" t="s">
        <v>133</v>
      </c>
      <c r="D14" s="45" t="s">
        <v>183</v>
      </c>
      <c r="E14" s="33">
        <v>1</v>
      </c>
    </row>
    <row r="15" spans="2:5">
      <c r="B15" s="33">
        <v>14</v>
      </c>
      <c r="C15" s="33" t="s">
        <v>134</v>
      </c>
      <c r="D15" s="45">
        <v>46</v>
      </c>
      <c r="E15" s="33">
        <v>1</v>
      </c>
    </row>
    <row r="16" spans="2:5">
      <c r="B16" s="33">
        <v>15</v>
      </c>
      <c r="C16" s="33" t="s">
        <v>135</v>
      </c>
      <c r="D16" s="45">
        <v>46</v>
      </c>
      <c r="E16" s="33">
        <v>1</v>
      </c>
    </row>
    <row r="17" spans="2:5">
      <c r="B17" s="33">
        <v>16</v>
      </c>
      <c r="C17" s="33" t="s">
        <v>136</v>
      </c>
      <c r="D17" s="45">
        <v>64</v>
      </c>
      <c r="E17" s="33">
        <v>1</v>
      </c>
    </row>
    <row r="18" spans="2:5">
      <c r="B18" s="33">
        <v>17</v>
      </c>
      <c r="C18" s="33" t="s">
        <v>137</v>
      </c>
      <c r="D18" s="45" t="s">
        <v>182</v>
      </c>
      <c r="E18" s="33">
        <v>1</v>
      </c>
    </row>
    <row r="19" spans="2:5">
      <c r="B19" s="33">
        <v>18</v>
      </c>
      <c r="C19" s="33" t="s">
        <v>138</v>
      </c>
      <c r="D19" s="45">
        <v>41</v>
      </c>
      <c r="E19" s="33">
        <v>1</v>
      </c>
    </row>
    <row r="20" spans="2:5">
      <c r="B20" s="33">
        <v>19</v>
      </c>
      <c r="C20" s="33" t="s">
        <v>139</v>
      </c>
      <c r="D20" s="45">
        <v>34</v>
      </c>
      <c r="E20" s="33">
        <v>1</v>
      </c>
    </row>
    <row r="21" spans="2:5">
      <c r="B21" s="33">
        <v>20</v>
      </c>
      <c r="C21" s="33" t="s">
        <v>140</v>
      </c>
      <c r="D21" s="45">
        <v>12</v>
      </c>
      <c r="E21" s="33">
        <v>1</v>
      </c>
    </row>
    <row r="22" spans="2:5">
      <c r="B22" s="33">
        <v>21</v>
      </c>
      <c r="C22" s="33" t="s">
        <v>141</v>
      </c>
      <c r="D22" s="45" t="s">
        <v>184</v>
      </c>
      <c r="E22" s="33">
        <v>1</v>
      </c>
    </row>
    <row r="23" spans="2:5">
      <c r="B23" s="33">
        <v>22</v>
      </c>
      <c r="C23" s="33" t="s">
        <v>142</v>
      </c>
      <c r="D23" s="45" t="s">
        <v>182</v>
      </c>
      <c r="E23" s="33">
        <v>1</v>
      </c>
    </row>
    <row r="24" spans="2:5">
      <c r="B24" s="33">
        <v>23</v>
      </c>
      <c r="C24" s="33" t="s">
        <v>143</v>
      </c>
      <c r="D24" s="45">
        <v>10</v>
      </c>
      <c r="E24" s="33">
        <v>1</v>
      </c>
    </row>
    <row r="25" spans="2:5">
      <c r="B25" s="34">
        <v>24</v>
      </c>
      <c r="C25" s="33" t="s">
        <v>144</v>
      </c>
      <c r="D25" s="45">
        <v>41</v>
      </c>
      <c r="E25" s="33">
        <v>1</v>
      </c>
    </row>
    <row r="26" spans="2:5">
      <c r="B26" s="34">
        <v>25</v>
      </c>
      <c r="C26" s="33" t="s">
        <v>145</v>
      </c>
      <c r="D26" s="45">
        <v>34</v>
      </c>
      <c r="E26" s="33">
        <v>1</v>
      </c>
    </row>
    <row r="27" spans="2:5">
      <c r="B27" s="34">
        <v>26</v>
      </c>
      <c r="C27" s="33" t="s">
        <v>146</v>
      </c>
      <c r="D27" s="45">
        <v>15</v>
      </c>
      <c r="E27" s="33">
        <v>1</v>
      </c>
    </row>
    <row r="28" spans="2:5">
      <c r="B28" s="34">
        <v>27</v>
      </c>
      <c r="C28" s="33" t="s">
        <v>147</v>
      </c>
      <c r="D28" s="45">
        <v>15</v>
      </c>
      <c r="E28" s="33">
        <v>1</v>
      </c>
    </row>
    <row r="29" spans="2:5">
      <c r="B29" s="34">
        <v>28</v>
      </c>
      <c r="C29" s="33" t="s">
        <v>148</v>
      </c>
      <c r="D29" s="45">
        <v>53</v>
      </c>
      <c r="E29" s="33">
        <v>1</v>
      </c>
    </row>
    <row r="30" spans="2:5">
      <c r="B30" s="34">
        <v>29</v>
      </c>
      <c r="C30" s="33" t="s">
        <v>149</v>
      </c>
      <c r="D30" s="45">
        <v>53</v>
      </c>
      <c r="E30" s="33">
        <v>1</v>
      </c>
    </row>
    <row r="31" spans="2:5">
      <c r="B31" s="35">
        <v>30</v>
      </c>
      <c r="C31" s="33" t="s">
        <v>150</v>
      </c>
      <c r="D31" s="45">
        <v>45</v>
      </c>
      <c r="E31" s="33">
        <v>1</v>
      </c>
    </row>
    <row r="32" spans="2:5">
      <c r="B32" s="36">
        <v>31</v>
      </c>
      <c r="C32" s="33" t="s">
        <v>151</v>
      </c>
      <c r="D32" s="45">
        <v>45</v>
      </c>
      <c r="E32" s="33">
        <v>1</v>
      </c>
    </row>
    <row r="33" spans="2:5">
      <c r="B33" s="36">
        <v>32</v>
      </c>
      <c r="C33" s="33" t="s">
        <v>152</v>
      </c>
      <c r="D33" s="45">
        <v>28</v>
      </c>
      <c r="E33" s="33">
        <v>1</v>
      </c>
    </row>
    <row r="34" spans="2:5">
      <c r="B34" s="36">
        <v>33</v>
      </c>
      <c r="C34" s="33" t="s">
        <v>153</v>
      </c>
      <c r="D34" s="45">
        <v>28</v>
      </c>
      <c r="E34" s="33">
        <v>1</v>
      </c>
    </row>
    <row r="35" spans="2:5">
      <c r="B35" s="36">
        <v>34</v>
      </c>
      <c r="C35" s="33" t="s">
        <v>154</v>
      </c>
      <c r="D35" s="45" t="s">
        <v>182</v>
      </c>
      <c r="E35" s="33">
        <v>0</v>
      </c>
    </row>
    <row r="36" spans="2:5">
      <c r="B36" s="33">
        <v>35</v>
      </c>
      <c r="C36" s="33" t="s">
        <v>155</v>
      </c>
      <c r="D36" s="45">
        <v>58</v>
      </c>
      <c r="E36" s="33">
        <v>1</v>
      </c>
    </row>
    <row r="37" spans="2:5">
      <c r="B37" s="33">
        <v>36</v>
      </c>
      <c r="C37" s="33" t="s">
        <v>156</v>
      </c>
      <c r="D37" s="45">
        <v>54</v>
      </c>
      <c r="E37" s="33">
        <v>1</v>
      </c>
    </row>
    <row r="38" spans="2:5">
      <c r="B38" s="33">
        <v>37</v>
      </c>
      <c r="C38" s="33" t="s">
        <v>157</v>
      </c>
      <c r="D38" s="45">
        <v>52</v>
      </c>
      <c r="E38" s="33">
        <v>1</v>
      </c>
    </row>
    <row r="39" spans="2:5">
      <c r="B39" s="33">
        <v>38</v>
      </c>
      <c r="C39" s="33" t="s">
        <v>158</v>
      </c>
      <c r="D39" s="45">
        <v>52</v>
      </c>
      <c r="E39" s="33">
        <v>1</v>
      </c>
    </row>
    <row r="40" spans="2:5">
      <c r="B40" s="37">
        <v>39</v>
      </c>
      <c r="C40" s="33" t="s">
        <v>159</v>
      </c>
      <c r="D40" s="45">
        <v>41</v>
      </c>
      <c r="E40" s="33">
        <v>1</v>
      </c>
    </row>
    <row r="41" spans="2:5">
      <c r="B41" s="37">
        <v>40</v>
      </c>
      <c r="C41" s="33" t="s">
        <v>160</v>
      </c>
      <c r="D41" s="45">
        <v>41</v>
      </c>
      <c r="E41" s="33">
        <v>1</v>
      </c>
    </row>
    <row r="42" spans="2:5">
      <c r="B42" s="33">
        <v>41</v>
      </c>
      <c r="C42" s="33" t="s">
        <v>161</v>
      </c>
      <c r="D42" s="45">
        <v>14</v>
      </c>
      <c r="E42" s="33">
        <v>1</v>
      </c>
    </row>
    <row r="43" spans="2:5">
      <c r="B43" s="33">
        <v>42</v>
      </c>
      <c r="C43" s="33" t="s">
        <v>162</v>
      </c>
      <c r="D43" s="45">
        <v>54</v>
      </c>
      <c r="E43" s="33">
        <v>1</v>
      </c>
    </row>
    <row r="44" spans="2:5">
      <c r="B44" s="38">
        <v>43</v>
      </c>
      <c r="C44" s="33" t="s">
        <v>163</v>
      </c>
      <c r="D44" s="45">
        <v>41</v>
      </c>
      <c r="E44" s="33">
        <v>1</v>
      </c>
    </row>
    <row r="45" spans="2:5">
      <c r="B45" s="38">
        <v>44</v>
      </c>
      <c r="C45" s="33" t="s">
        <v>164</v>
      </c>
      <c r="D45" s="45">
        <v>41</v>
      </c>
      <c r="E45" s="33">
        <v>1</v>
      </c>
    </row>
    <row r="46" spans="2:5">
      <c r="B46" s="39">
        <v>45</v>
      </c>
      <c r="C46" s="33" t="s">
        <v>165</v>
      </c>
      <c r="D46" s="45">
        <v>58</v>
      </c>
      <c r="E46" s="33">
        <v>1</v>
      </c>
    </row>
    <row r="47" spans="2:5">
      <c r="B47" s="40">
        <v>46</v>
      </c>
      <c r="C47" s="33" t="s">
        <v>166</v>
      </c>
      <c r="D47" s="45">
        <v>45</v>
      </c>
      <c r="E47" s="33">
        <v>1</v>
      </c>
    </row>
    <row r="48" spans="2:5">
      <c r="B48" s="40">
        <v>47</v>
      </c>
      <c r="C48" s="33" t="s">
        <v>167</v>
      </c>
      <c r="D48" s="45">
        <v>45</v>
      </c>
      <c r="E48" s="33">
        <v>1</v>
      </c>
    </row>
    <row r="49" spans="2:5">
      <c r="B49" s="40">
        <v>48</v>
      </c>
      <c r="C49" s="33" t="s">
        <v>168</v>
      </c>
      <c r="D49" s="45">
        <v>28</v>
      </c>
      <c r="E49" s="33">
        <v>1</v>
      </c>
    </row>
    <row r="50" spans="2:5">
      <c r="B50" s="40">
        <v>49</v>
      </c>
      <c r="C50" s="33" t="s">
        <v>169</v>
      </c>
      <c r="D50" s="45">
        <v>28</v>
      </c>
      <c r="E50" s="33">
        <v>1</v>
      </c>
    </row>
    <row r="51" spans="2:5">
      <c r="B51" s="40">
        <v>50</v>
      </c>
      <c r="C51" s="33" t="s">
        <v>170</v>
      </c>
      <c r="D51" s="45">
        <v>41</v>
      </c>
      <c r="E51" s="33">
        <v>1</v>
      </c>
    </row>
    <row r="52" spans="2:5">
      <c r="B52" s="40">
        <v>51</v>
      </c>
      <c r="C52" s="33" t="s">
        <v>171</v>
      </c>
      <c r="D52" s="45">
        <v>41</v>
      </c>
      <c r="E52" s="33">
        <v>1</v>
      </c>
    </row>
    <row r="53" spans="2:5">
      <c r="B53" s="40">
        <v>52</v>
      </c>
      <c r="C53" s="33" t="s">
        <v>172</v>
      </c>
      <c r="D53" s="45">
        <v>41</v>
      </c>
      <c r="E53" s="33">
        <v>1</v>
      </c>
    </row>
    <row r="54" spans="2:5">
      <c r="B54" s="40">
        <v>53</v>
      </c>
      <c r="C54" s="33" t="s">
        <v>173</v>
      </c>
      <c r="D54" s="45">
        <v>41</v>
      </c>
      <c r="E54" s="33">
        <v>1</v>
      </c>
    </row>
    <row r="55" spans="2:5">
      <c r="B55" s="40">
        <v>54</v>
      </c>
      <c r="C55" s="33" t="s">
        <v>174</v>
      </c>
      <c r="D55" s="45">
        <v>41</v>
      </c>
      <c r="E55" s="33">
        <v>1</v>
      </c>
    </row>
    <row r="56" spans="2:5">
      <c r="B56" s="40">
        <v>55</v>
      </c>
      <c r="C56" s="33" t="s">
        <v>175</v>
      </c>
      <c r="D56" s="45">
        <v>14</v>
      </c>
      <c r="E56" s="33">
        <v>1</v>
      </c>
    </row>
    <row r="57" spans="2:5">
      <c r="B57" s="41">
        <v>56</v>
      </c>
      <c r="C57" s="33" t="s">
        <v>176</v>
      </c>
      <c r="D57" s="45">
        <v>36</v>
      </c>
      <c r="E57" s="33">
        <v>1</v>
      </c>
    </row>
    <row r="58" spans="2:5">
      <c r="B58" s="40">
        <v>57</v>
      </c>
      <c r="C58" s="33" t="s">
        <v>177</v>
      </c>
      <c r="D58" s="45">
        <v>14</v>
      </c>
      <c r="E58" s="33">
        <v>1</v>
      </c>
    </row>
    <row r="59" spans="2:5">
      <c r="B59" s="41">
        <v>58</v>
      </c>
      <c r="C59" s="33" t="s">
        <v>178</v>
      </c>
      <c r="D59" s="45">
        <v>15</v>
      </c>
      <c r="E59" s="33">
        <v>1</v>
      </c>
    </row>
    <row r="60" spans="2:5">
      <c r="B60" s="34"/>
    </row>
    <row r="61" spans="2:5">
      <c r="B61" s="34"/>
    </row>
    <row r="62" spans="2:5">
      <c r="B62" s="34"/>
    </row>
    <row r="63" spans="2:5">
      <c r="B63" s="34"/>
    </row>
    <row r="64" spans="2:5">
      <c r="B64" s="34"/>
    </row>
    <row r="65" spans="2:2">
      <c r="B65" s="34"/>
    </row>
    <row r="66" spans="2:2">
      <c r="B66" s="34"/>
    </row>
    <row r="67" spans="2:2">
      <c r="B67" s="34"/>
    </row>
    <row r="68" spans="2:2">
      <c r="B68" s="34"/>
    </row>
    <row r="69" spans="2:2">
      <c r="B69" s="34"/>
    </row>
    <row r="70" spans="2:2">
      <c r="B70" s="34"/>
    </row>
    <row r="71" spans="2:2">
      <c r="B71" s="34"/>
    </row>
    <row r="72" spans="2:2">
      <c r="B72" s="34"/>
    </row>
    <row r="73" spans="2:2">
      <c r="B73" s="34"/>
    </row>
    <row r="74" spans="2:2">
      <c r="B74" s="34"/>
    </row>
    <row r="75" spans="2:2">
      <c r="B75" s="34"/>
    </row>
    <row r="76" spans="2:2">
      <c r="B76" s="34"/>
    </row>
    <row r="77" spans="2:2">
      <c r="B77" s="34"/>
    </row>
    <row r="78" spans="2:2">
      <c r="B78" s="34"/>
    </row>
    <row r="79" spans="2:2">
      <c r="B79" s="34"/>
    </row>
    <row r="80" spans="2:2">
      <c r="B80" s="34"/>
    </row>
    <row r="81" spans="2:2">
      <c r="B81" s="34"/>
    </row>
    <row r="82" spans="2:2">
      <c r="B82" s="34"/>
    </row>
    <row r="83" spans="2:2">
      <c r="B83" s="34"/>
    </row>
    <row r="84" spans="2:2">
      <c r="B84" s="42"/>
    </row>
    <row r="85" spans="2:2">
      <c r="B85" s="42"/>
    </row>
    <row r="86" spans="2:2">
      <c r="B86" s="42"/>
    </row>
    <row r="87" spans="2:2">
      <c r="B87" s="42"/>
    </row>
    <row r="88" spans="2:2">
      <c r="B88" s="42"/>
    </row>
    <row r="89" spans="2:2">
      <c r="B89" s="42"/>
    </row>
    <row r="90" spans="2:2">
      <c r="B90" s="42"/>
    </row>
    <row r="91" spans="2:2">
      <c r="B91" s="42"/>
    </row>
    <row r="92" spans="2:2">
      <c r="B92" s="42"/>
    </row>
    <row r="93" spans="2:2">
      <c r="B93" s="42"/>
    </row>
    <row r="94" spans="2:2">
      <c r="B94" s="42"/>
    </row>
    <row r="95" spans="2:2">
      <c r="B95" s="42"/>
    </row>
    <row r="96" spans="2:2">
      <c r="B96" s="42"/>
    </row>
    <row r="97" spans="2:2">
      <c r="B97" s="42"/>
    </row>
    <row r="98" spans="2:2">
      <c r="B98" s="42"/>
    </row>
    <row r="99" spans="2:2">
      <c r="B99" s="42"/>
    </row>
    <row r="100" spans="2:2">
      <c r="B100" s="42"/>
    </row>
    <row r="101" spans="2:2">
      <c r="B101" s="42"/>
    </row>
    <row r="102" spans="2:2">
      <c r="B102" s="42"/>
    </row>
    <row r="103" spans="2:2">
      <c r="B103" s="42"/>
    </row>
    <row r="104" spans="2:2">
      <c r="B104" s="42"/>
    </row>
    <row r="105" spans="2:2">
      <c r="B105" s="42"/>
    </row>
    <row r="106" spans="2:2">
      <c r="B106" s="42"/>
    </row>
    <row r="107" spans="2:2">
      <c r="B107" s="39"/>
    </row>
    <row r="108" spans="2:2">
      <c r="B108" s="39"/>
    </row>
    <row r="109" spans="2:2">
      <c r="B109" s="39"/>
    </row>
    <row r="110" spans="2:2">
      <c r="B110" s="39"/>
    </row>
    <row r="111" spans="2:2">
      <c r="B111" s="39"/>
    </row>
    <row r="112" spans="2:2">
      <c r="B112" s="39"/>
    </row>
    <row r="113" spans="2:2">
      <c r="B113" s="39"/>
    </row>
    <row r="114" spans="2:2">
      <c r="B114" s="39"/>
    </row>
    <row r="115" spans="2:2">
      <c r="B115" s="39"/>
    </row>
    <row r="116" spans="2:2">
      <c r="B116" s="39"/>
    </row>
    <row r="117" spans="2:2">
      <c r="B117" s="43"/>
    </row>
    <row r="118" spans="2:2">
      <c r="B118" s="43"/>
    </row>
    <row r="119" spans="2:2">
      <c r="B119" s="43"/>
    </row>
    <row r="120" spans="2:2">
      <c r="B120" s="43"/>
    </row>
    <row r="121" spans="2:2">
      <c r="B121" s="43"/>
    </row>
    <row r="122" spans="2:2">
      <c r="B122" s="43"/>
    </row>
    <row r="123" spans="2:2">
      <c r="B123" s="39"/>
    </row>
    <row r="124" spans="2:2">
      <c r="B124" s="39"/>
    </row>
    <row r="125" spans="2:2">
      <c r="B125" s="39"/>
    </row>
    <row r="126" spans="2:2">
      <c r="B126" s="39"/>
    </row>
    <row r="127" spans="2:2">
      <c r="B127" s="39"/>
    </row>
    <row r="128" spans="2:2">
      <c r="B128" s="39"/>
    </row>
    <row r="129" spans="2:2">
      <c r="B129" s="39"/>
    </row>
    <row r="130" spans="2:2">
      <c r="B130" s="39"/>
    </row>
    <row r="131" spans="2:2">
      <c r="B131" s="39"/>
    </row>
    <row r="132" spans="2:2">
      <c r="B132" s="39"/>
    </row>
    <row r="133" spans="2:2">
      <c r="B133" s="39"/>
    </row>
    <row r="134" spans="2:2">
      <c r="B134" s="34"/>
    </row>
    <row r="135" spans="2:2">
      <c r="B135" s="34"/>
    </row>
    <row r="136" spans="2:2">
      <c r="B136" s="34"/>
    </row>
    <row r="137" spans="2:2">
      <c r="B137" s="34"/>
    </row>
    <row r="138" spans="2:2">
      <c r="B138" s="34"/>
    </row>
    <row r="139" spans="2:2">
      <c r="B139" s="34"/>
    </row>
    <row r="140" spans="2:2">
      <c r="B140" s="34"/>
    </row>
    <row r="141" spans="2:2">
      <c r="B141" s="34"/>
    </row>
    <row r="142" spans="2:2">
      <c r="B142" s="34"/>
    </row>
    <row r="143" spans="2:2">
      <c r="B143" s="34"/>
    </row>
    <row r="144" spans="2:2">
      <c r="B144" s="34"/>
    </row>
    <row r="145" spans="2:2">
      <c r="B145" s="34"/>
    </row>
    <row r="146" spans="2:2">
      <c r="B146" s="34"/>
    </row>
    <row r="147" spans="2:2">
      <c r="B147" s="34"/>
    </row>
    <row r="148" spans="2:2">
      <c r="B148" s="34"/>
    </row>
    <row r="149" spans="2:2">
      <c r="B149" s="34"/>
    </row>
    <row r="150" spans="2:2">
      <c r="B150" s="34"/>
    </row>
    <row r="151" spans="2:2">
      <c r="B151" s="34"/>
    </row>
    <row r="152" spans="2:2">
      <c r="B152" s="34"/>
    </row>
    <row r="153" spans="2:2">
      <c r="B153" s="34"/>
    </row>
    <row r="154" spans="2:2">
      <c r="B154" s="34"/>
    </row>
    <row r="155" spans="2:2">
      <c r="B155" s="34"/>
    </row>
    <row r="156" spans="2:2">
      <c r="B156" s="34"/>
    </row>
    <row r="157" spans="2:2">
      <c r="B157" s="34"/>
    </row>
    <row r="158" spans="2:2">
      <c r="B158" s="34"/>
    </row>
    <row r="159" spans="2:2">
      <c r="B159" s="34"/>
    </row>
    <row r="160" spans="2:2">
      <c r="B160" s="34"/>
    </row>
    <row r="161" spans="2:2">
      <c r="B161" s="34"/>
    </row>
    <row r="162" spans="2:2">
      <c r="B162" s="34"/>
    </row>
    <row r="163" spans="2:2">
      <c r="B163" s="34"/>
    </row>
    <row r="164" spans="2:2">
      <c r="B164" s="34"/>
    </row>
    <row r="165" spans="2:2">
      <c r="B165" s="44"/>
    </row>
    <row r="166" spans="2:2">
      <c r="B166" s="44"/>
    </row>
    <row r="167" spans="2:2">
      <c r="B167" s="44"/>
    </row>
    <row r="168" spans="2:2">
      <c r="B168" s="44"/>
    </row>
    <row r="169" spans="2:2">
      <c r="B169" s="44"/>
    </row>
    <row r="170" spans="2:2">
      <c r="B170" s="44"/>
    </row>
    <row r="171" spans="2:2">
      <c r="B171" s="44"/>
    </row>
    <row r="172" spans="2:2">
      <c r="B172" s="44"/>
    </row>
    <row r="173" spans="2:2">
      <c r="B173" s="44"/>
    </row>
    <row r="174" spans="2:2">
      <c r="B174" s="44"/>
    </row>
    <row r="175" spans="2:2">
      <c r="B175" s="44"/>
    </row>
    <row r="176" spans="2:2">
      <c r="B176" s="44"/>
    </row>
    <row r="177" spans="2:2">
      <c r="B177" s="44"/>
    </row>
    <row r="178" spans="2:2">
      <c r="B178" s="44"/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获取途径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微软用户</cp:lastModifiedBy>
  <dcterms:created xsi:type="dcterms:W3CDTF">2006-09-13T11:21:00Z</dcterms:created>
  <dcterms:modified xsi:type="dcterms:W3CDTF">2018-01-30T16:25:41Z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2052-10.1.0.6393</vt:lpwstr>
  </property>
</Properties>
</file>